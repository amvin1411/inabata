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3_UI/01_Waha移行/02_バッチ設計書（個別処理）/001440_日本触媒/"/>
    </mc:Choice>
  </mc:AlternateContent>
  <xr:revisionPtr revIDLastSave="16" documentId="13_ncr:1_{E4B2394A-F9C4-441E-97C5-991A4E092DA0}" xr6:coauthVersionLast="47" xr6:coauthVersionMax="47" xr10:uidLastSave="{EB135760-C8CA-408A-BAAA-C90C4373EDCD}"/>
  <bookViews>
    <workbookView xWindow="-108" yWindow="-108" windowWidth="23256" windowHeight="12456" tabRatio="817" xr2:uid="{00000000-000D-0000-FFFF-FFFF00000000}"/>
  </bookViews>
  <sheets>
    <sheet name="表紙" sheetId="15" r:id="rId1"/>
    <sheet name="変更履歴" sheetId="17" r:id="rId2"/>
    <sheet name="１．送受信情報" sheetId="34" r:id="rId3"/>
    <sheet name="２．機能" sheetId="18" r:id="rId4"/>
    <sheet name="３．INPUTファイルレイアウト(B)（連携ファイル）" sheetId="41" r:id="rId5"/>
    <sheet name="４．OUTPUTファイルレイアウト(B) (送信ファイル）" sheetId="35" r:id="rId6"/>
    <sheet name="５．項目転送（EDI送信DB_請求確認）_更新" sheetId="28" r:id="rId7"/>
    <sheet name="６．項目転送（ EDI受信DB_仕入先）_更新" sheetId="31" r:id="rId8"/>
    <sheet name="６．１．相手先別データレイアウト" sheetId="37" r:id="rId9"/>
    <sheet name="７．項目転送 (請求データ送信ファイル)" sheetId="36" r:id="rId10"/>
    <sheet name="８．【参考】日本触媒　OUTPUTファイルレイアウト" sheetId="38" r:id="rId11"/>
  </sheets>
  <definedNames>
    <definedName name="_1枚目">#REF!</definedName>
    <definedName name="_2枚目">#REF!</definedName>
    <definedName name="_3枚目">#REF!</definedName>
    <definedName name="_4枚目">#REF!</definedName>
    <definedName name="_xlnm._FilterDatabase" localSheetId="4" hidden="1">'３．INPUTファイルレイアウト(B)（連携ファイル）'!$A$9:$M$18</definedName>
    <definedName name="_xlnm._FilterDatabase" localSheetId="5" hidden="1">'４．OUTPUTファイルレイアウト(B) (送信ファイル）'!$A$9:$M$77</definedName>
    <definedName name="_xlnm._FilterDatabase" localSheetId="8" hidden="1">'６．１．相手先別データレイアウト'!$A$9:$K$141</definedName>
    <definedName name="_xlnm._FilterDatabase" localSheetId="10" hidden="1">'８．【参考】日本触媒　OUTPUTファイルレイアウト'!$A$5:$M$74</definedName>
    <definedName name="a">#REF!</definedName>
    <definedName name="AA">#REF!</definedName>
    <definedName name="b">#REF!</definedName>
    <definedName name="B_下" localSheetId="10">#REF!</definedName>
    <definedName name="B_下">#REF!</definedName>
    <definedName name="B_上" localSheetId="10">#REF!</definedName>
    <definedName name="B_上">#REF!</definedName>
    <definedName name="CSV項目編集仕様">#REF!</definedName>
    <definedName name="dd">#REF!</definedName>
    <definedName name="DS_下" localSheetId="10">#REF!</definedName>
    <definedName name="DS_下">#REF!</definedName>
    <definedName name="DS_上" localSheetId="10">#REF!</definedName>
    <definedName name="DS_上">#REF!</definedName>
    <definedName name="ＤＳ担当" localSheetId="10">#REF!</definedName>
    <definedName name="ＤＳ担当">#REF!</definedName>
    <definedName name="GUI名称">#REF!</definedName>
    <definedName name="ＩＤ" localSheetId="10">#REF!</definedName>
    <definedName name="ＩＤ">#REF!</definedName>
    <definedName name="IO">#REF!</definedName>
    <definedName name="IT項目">#REF!</definedName>
    <definedName name="kkk">#REF!</definedName>
    <definedName name="NULL" localSheetId="10">#REF!</definedName>
    <definedName name="NULL">#REF!</definedName>
    <definedName name="ON">#REF!</definedName>
    <definedName name="PCL_下" localSheetId="10">#REF!</definedName>
    <definedName name="PCL_下">#REF!</definedName>
    <definedName name="PCL_上" localSheetId="10">#REF!</definedName>
    <definedName name="PCL_上">#REF!</definedName>
    <definedName name="ＰＧ担当" localSheetId="10">#REF!</definedName>
    <definedName name="ＰＧ担当">#REF!</definedName>
    <definedName name="_xlnm.Print_Area" localSheetId="2">'１．送受信情報'!$A$1:$AR$33</definedName>
    <definedName name="_xlnm.Print_Area" localSheetId="3">'２．機能'!$A$1:$AR$107</definedName>
    <definedName name="_xlnm.Print_Area" localSheetId="4">'３．INPUTファイルレイアウト(B)（連携ファイル）'!$A$1:$M$19</definedName>
    <definedName name="_xlnm.Print_Area" localSheetId="5">'４．OUTPUTファイルレイアウト(B) (送信ファイル）'!$A$1:$M$78</definedName>
    <definedName name="_xlnm.Print_Area" localSheetId="6">'５．項目転送（EDI送信DB_請求確認）_更新'!$A$1:$I$39</definedName>
    <definedName name="_xlnm.Print_Area" localSheetId="8">'６．１．相手先別データレイアウト'!$A$1:$K$142</definedName>
    <definedName name="_xlnm.Print_Area" localSheetId="7">'６．項目転送（ EDI受信DB_仕入先）_更新'!$A$1:$I$270</definedName>
    <definedName name="_xlnm.Print_Area" localSheetId="9">'７．項目転送 (請求データ送信ファイル)'!$A$1:$E$92</definedName>
    <definedName name="_xlnm.Print_Area" localSheetId="10">'８．【参考】日本触媒　OUTPUTファイルレイアウト'!$A$1:$J$80</definedName>
    <definedName name="_xlnm.Print_Area" localSheetId="0">表紙!$A$1:$AZ$38</definedName>
    <definedName name="_xlnm.Print_Area" localSheetId="1">変更履歴!$A$1:$BQ$53</definedName>
    <definedName name="_xlnm.Print_Titles" localSheetId="2">'１．送受信情報'!$1:$4</definedName>
    <definedName name="_xlnm.Print_Titles" localSheetId="3">'２．機能'!$1:$4</definedName>
    <definedName name="_xlnm.Print_Titles" localSheetId="4">'３．INPUTファイルレイアウト(B)（連携ファイル）'!$1:$9</definedName>
    <definedName name="_xlnm.Print_Titles" localSheetId="5">'４．OUTPUTファイルレイアウト(B) (送信ファイル）'!$1:$9</definedName>
    <definedName name="_xlnm.Print_Titles" localSheetId="6">'５．項目転送（EDI送信DB_請求確認）_更新'!$1:$8</definedName>
    <definedName name="_xlnm.Print_Titles" localSheetId="8">'６．１．相手先別データレイアウト'!$1:$9</definedName>
    <definedName name="_xlnm.Print_Titles" localSheetId="7">'６．項目転送（ EDI受信DB_仕入先）_更新'!$1:$8</definedName>
    <definedName name="_xlnm.Print_Titles" localSheetId="9">'７．項目転送 (請求データ送信ファイル)'!$1:$8</definedName>
    <definedName name="_xlnm.Print_Titles" localSheetId="1">変更履歴!$1:$5</definedName>
    <definedName name="PT項目">#REF!</definedName>
    <definedName name="RI" localSheetId="10">#REF!</definedName>
    <definedName name="RI">#REF!</definedName>
    <definedName name="riyu" localSheetId="10">#REF!</definedName>
    <definedName name="riyu">#REF!</definedName>
    <definedName name="RYZ" localSheetId="10">#REF!</definedName>
    <definedName name="RYZ">#REF!</definedName>
    <definedName name="STEP_下" localSheetId="10">#REF!</definedName>
    <definedName name="STEP_下">#REF!</definedName>
    <definedName name="STEP_上" localSheetId="10">#REF!</definedName>
    <definedName name="STEP_上">#REF!</definedName>
    <definedName name="UD" localSheetId="10">#REF!</definedName>
    <definedName name="UD">#REF!</definedName>
    <definedName name="x" localSheetId="10">'８．【参考】日本触媒　OUTPUTファイルレイアウト'!x</definedName>
    <definedName name="x">[0]!x</definedName>
    <definedName name="カーソルキー移動↑↓←">#REF!</definedName>
    <definedName name="カテゴリ一覧" localSheetId="10">#REF!</definedName>
    <definedName name="カテゴリ一覧">#REF!</definedName>
    <definedName name="クラス名">#REF!</definedName>
    <definedName name="サブシステム名">#REF!</definedName>
    <definedName name="システム名">#REF!</definedName>
    <definedName name="セパレータ">#REF!</definedName>
    <definedName name="タイトル">#REF!</definedName>
    <definedName name="チェック" localSheetId="10">#REF!</definedName>
    <definedName name="チェック">#REF!</definedName>
    <definedName name="チェック実行アプリ">#REF!</definedName>
    <definedName name="ﾃｰﾌﾞﾙID群" localSheetId="10">#REF!</definedName>
    <definedName name="ﾃｰﾌﾞﾙID群">#REF!</definedName>
    <definedName name="ファイル名" localSheetId="10">#REF!</definedName>
    <definedName name="ファイル名">#REF!</definedName>
    <definedName name="ファンクションキー割当">#REF!</definedName>
    <definedName name="ブロック" localSheetId="10">#REF!</definedName>
    <definedName name="ブロック">#REF!</definedName>
    <definedName name="ブロックＩＤ" localSheetId="10">#REF!</definedName>
    <definedName name="ブロックＩＤ">#REF!</definedName>
    <definedName name="レベル" localSheetId="10">#REF!</definedName>
    <definedName name="レベル">#REF!</definedName>
    <definedName name="移行元ﾌｧｲﾙＩＤ" localSheetId="10">#REF!</definedName>
    <definedName name="移行元ﾌｧｲﾙＩＤ">#REF!</definedName>
    <definedName name="移行元項目ＩＤ" localSheetId="10">#REF!</definedName>
    <definedName name="移行元項目ＩＤ">#REF!</definedName>
    <definedName name="一意" localSheetId="10">#REF!</definedName>
    <definedName name="一意">#REF!</definedName>
    <definedName name="一覧２">#REF!</definedName>
    <definedName name="可変行表示">#REF!</definedName>
    <definedName name="確認区分" localSheetId="10">#REF!</definedName>
    <definedName name="確認区分">#REF!</definedName>
    <definedName name="管理No">#REF!</definedName>
    <definedName name="基準稼働時間" localSheetId="10">#REF!</definedName>
    <definedName name="基準稼働時間">#REF!</definedName>
    <definedName name="期限">#REF!</definedName>
    <definedName name="機能名_選択">#REF!</definedName>
    <definedName name="共通">#REF!</definedName>
    <definedName name="業">#REF!</definedName>
    <definedName name="業務間連携" localSheetId="10">#REF!</definedName>
    <definedName name="業務間連携">#REF!</definedName>
    <definedName name="区分" localSheetId="10">#REF!</definedName>
    <definedName name="区分">#REF!</definedName>
    <definedName name="繰返" localSheetId="10">#REF!</definedName>
    <definedName name="繰返">#REF!</definedName>
    <definedName name="型" localSheetId="10">#REF!</definedName>
    <definedName name="型">#REF!</definedName>
    <definedName name="桁数１" localSheetId="10">#REF!</definedName>
    <definedName name="桁数１">#REF!</definedName>
    <definedName name="桁数２" localSheetId="10">#REF!</definedName>
    <definedName name="桁数２">#REF!</definedName>
    <definedName name="検索条件_グループ" localSheetId="10">#REF!</definedName>
    <definedName name="検索条件_グループ">#REF!</definedName>
    <definedName name="検索条件_チーム" localSheetId="10">#REF!</definedName>
    <definedName name="検索条件_チーム">#REF!</definedName>
    <definedName name="検索条件_営業担当者" localSheetId="10">#REF!</definedName>
    <definedName name="検索条件_営業担当者">#REF!</definedName>
    <definedName name="検索条件_企業" localSheetId="10">#REF!</definedName>
    <definedName name="検索条件_企業">#REF!</definedName>
    <definedName name="検索条件_企業グループ" localSheetId="10">#REF!</definedName>
    <definedName name="検索条件_企業グループ">#REF!</definedName>
    <definedName name="検索条件_月" localSheetId="10">#REF!</definedName>
    <definedName name="検索条件_月">#REF!</definedName>
    <definedName name="検索条件_仕入先" localSheetId="10">#REF!</definedName>
    <definedName name="検索条件_仕入先">#REF!</definedName>
    <definedName name="検索条件_仕入先企業" localSheetId="10">#REF!</definedName>
    <definedName name="検索条件_仕入先企業">#REF!</definedName>
    <definedName name="検索条件_商品分類" localSheetId="10">#REF!</definedName>
    <definedName name="検索条件_商品分類">#REF!</definedName>
    <definedName name="検索条件_商品名" localSheetId="10">#REF!</definedName>
    <definedName name="検索条件_商品名">#REF!</definedName>
    <definedName name="検索条件_年" localSheetId="10">#REF!</definedName>
    <definedName name="検索条件_年">#REF!</definedName>
    <definedName name="検索条件_発注先" localSheetId="10">#REF!</definedName>
    <definedName name="検索条件_発注先">#REF!</definedName>
    <definedName name="検索条件_発注先企業" localSheetId="10">#REF!</definedName>
    <definedName name="検索条件_発注先企業">#REF!</definedName>
    <definedName name="検索条件_本支店" localSheetId="10">#REF!</definedName>
    <definedName name="検索条件_本支店">#REF!</definedName>
    <definedName name="検索条件_本部" localSheetId="10">#REF!</definedName>
    <definedName name="検索条件_本部">#REF!</definedName>
    <definedName name="原因区分" localSheetId="10">#REF!</definedName>
    <definedName name="原因区分">#REF!</definedName>
    <definedName name="原因工程" localSheetId="10">#REF!</definedName>
    <definedName name="原因工程">#REF!</definedName>
    <definedName name="原因種別" localSheetId="10">#REF!</definedName>
    <definedName name="原因種別">#REF!</definedName>
    <definedName name="言語" localSheetId="10">#REF!</definedName>
    <definedName name="言語">#REF!</definedName>
    <definedName name="更新者">#REF!</definedName>
    <definedName name="更新日">#REF!</definedName>
    <definedName name="項番" localSheetId="10">#REF!</definedName>
    <definedName name="項番">#REF!</definedName>
    <definedName name="項目名CK" localSheetId="10">#REF!</definedName>
    <definedName name="項目名CK">#REF!</definedName>
    <definedName name="項目名称" localSheetId="10">#REF!</definedName>
    <definedName name="項目名称">#REF!</definedName>
    <definedName name="仕様">#REF!</definedName>
    <definedName name="仕様確定">#REF!</definedName>
    <definedName name="指摘区分" localSheetId="10">#REF!</definedName>
    <definedName name="指摘区分">#REF!</definedName>
    <definedName name="指摘種別" localSheetId="10">#REF!</definedName>
    <definedName name="指摘種別">#REF!</definedName>
    <definedName name="質的分類" localSheetId="10">#REF!</definedName>
    <definedName name="質的分類">#REF!</definedName>
    <definedName name="主キー" localSheetId="10">#REF!</definedName>
    <definedName name="主キー">#REF!</definedName>
    <definedName name="処理区分" localSheetId="10">#REF!</definedName>
    <definedName name="処理区分">#REF!</definedName>
    <definedName name="初期値" localSheetId="10">#REF!</definedName>
    <definedName name="初期値">#REF!</definedName>
    <definedName name="所属" localSheetId="10">#REF!</definedName>
    <definedName name="所属">#REF!</definedName>
    <definedName name="数字">#REF!</definedName>
    <definedName name="数字編集出力仕様">#REF!</definedName>
    <definedName name="前工程" localSheetId="10">#REF!</definedName>
    <definedName name="前工程">#REF!</definedName>
    <definedName name="対象工程" localSheetId="10">#REF!</definedName>
    <definedName name="対象工程">#REF!</definedName>
    <definedName name="抽出クラス" localSheetId="10">#REF!</definedName>
    <definedName name="抽出クラス">#REF!</definedName>
    <definedName name="日付編集出力仕様">#REF!</definedName>
    <definedName name="日本語" localSheetId="10">#REF!</definedName>
    <definedName name="日本語">#REF!</definedName>
    <definedName name="日本語名">#REF!</definedName>
    <definedName name="日本語名称" localSheetId="10">#REF!</definedName>
    <definedName name="日本語名称">#REF!</definedName>
    <definedName name="入出">#REF!</definedName>
    <definedName name="入出力項目">#REF!</definedName>
    <definedName name="入出力部品日本語名・クラス名対応表">#REF!</definedName>
    <definedName name="入力チェック" localSheetId="10">#REF!</definedName>
    <definedName name="入力チェック">#REF!</definedName>
    <definedName name="年表示パターン">#REF!</definedName>
    <definedName name="発行日">#REF!</definedName>
    <definedName name="備考" localSheetId="10">#REF!</definedName>
    <definedName name="備考">#REF!</definedName>
    <definedName name="必須" localSheetId="10">#REF!</definedName>
    <definedName name="必須">#REF!</definedName>
    <definedName name="必須入力項目">#REF!</definedName>
    <definedName name="評価_PCL" localSheetId="10">#REF!</definedName>
    <definedName name="評価_PCL">#REF!</definedName>
    <definedName name="符号" localSheetId="10">#REF!</definedName>
    <definedName name="符号">#REF!</definedName>
    <definedName name="物理名" localSheetId="10">#REF!</definedName>
    <definedName name="物理名">#REF!</definedName>
    <definedName name="本支店" localSheetId="10">#REF!</definedName>
    <definedName name="本支店">#REF!</definedName>
    <definedName name="本支店2" localSheetId="10">#REF!</definedName>
    <definedName name="本支店2">#REF!</definedName>
    <definedName name="本部" localSheetId="10">#REF!</definedName>
    <definedName name="本部">#REF!</definedName>
    <definedName name="本部1" localSheetId="10">#REF!</definedName>
    <definedName name="本部1">#REF!</definedName>
    <definedName name="目標値" localSheetId="10">#REF!</definedName>
    <definedName name="目標値">#REF!</definedName>
    <definedName name="利用可否" localSheetId="10">#REF!</definedName>
    <definedName name="利用可否">#REF!</definedName>
    <definedName name="利用可否1" localSheetId="10">#REF!</definedName>
    <definedName name="利用可否1">#REF!</definedName>
    <definedName name="類別選択" localSheetId="10">'８．【参考】日本触媒　OUTPUTファイルレイアウト'!類別選択</definedName>
    <definedName name="類別選択">[0]!類別選択</definedName>
    <definedName name="連番" localSheetId="10">#REF!</definedName>
    <definedName name="連番">#REF!</definedName>
    <definedName name="論理データ型一覧" localSheetId="10">#REF!</definedName>
    <definedName name="論理データ型一覧">#REF!</definedName>
    <definedName name="論理データ型一覧２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8" l="1"/>
  <c r="AC3" i="34"/>
  <c r="X3" i="34"/>
  <c r="O3" i="18"/>
  <c r="AJ3" i="34"/>
  <c r="AG3" i="34"/>
  <c r="O3" i="34"/>
  <c r="L12" i="35"/>
  <c r="L13" i="35"/>
  <c r="L14" i="35"/>
  <c r="L15" i="35"/>
  <c r="L16" i="35"/>
  <c r="L17" i="35"/>
  <c r="L18" i="35"/>
  <c r="L19" i="35"/>
  <c r="L20" i="35" s="1"/>
  <c r="L21" i="35" s="1"/>
  <c r="L22" i="35" s="1"/>
  <c r="L23" i="35" s="1"/>
  <c r="L24" i="35" s="1"/>
  <c r="L25" i="35" s="1"/>
  <c r="L26" i="35" s="1"/>
  <c r="L27" i="35" s="1"/>
  <c r="L28" i="35" s="1"/>
  <c r="L29" i="35" s="1"/>
  <c r="L30" i="35" s="1"/>
  <c r="L31" i="35" s="1"/>
  <c r="L32" i="35" s="1"/>
  <c r="L33" i="35" s="1"/>
  <c r="L34" i="35" s="1"/>
  <c r="L35" i="35" s="1"/>
  <c r="L36" i="35" s="1"/>
  <c r="L37" i="35" s="1"/>
  <c r="L38" i="35" s="1"/>
  <c r="L39" i="35" s="1"/>
  <c r="L40" i="35" s="1"/>
  <c r="L41" i="35" s="1"/>
  <c r="L42" i="35" s="1"/>
  <c r="L43" i="35" s="1"/>
  <c r="L44" i="35" s="1"/>
  <c r="L45" i="35" s="1"/>
  <c r="L46" i="35" s="1"/>
  <c r="L47" i="35" s="1"/>
  <c r="L48" i="35" s="1"/>
  <c r="L49" i="35" s="1"/>
  <c r="L50" i="35" s="1"/>
  <c r="L51" i="35" s="1"/>
  <c r="L52" i="35" s="1"/>
  <c r="L53" i="35" s="1"/>
  <c r="L54" i="35" s="1"/>
  <c r="L55" i="35" s="1"/>
  <c r="L56" i="35" s="1"/>
  <c r="L57" i="35" s="1"/>
  <c r="L58" i="35" s="1"/>
  <c r="L59" i="35" s="1"/>
  <c r="L60" i="35" s="1"/>
  <c r="L61" i="35" s="1"/>
  <c r="L62" i="35" s="1"/>
  <c r="L63" i="35" s="1"/>
  <c r="L64" i="35" s="1"/>
  <c r="L65" i="35" s="1"/>
  <c r="L66" i="35" s="1"/>
  <c r="L67" i="35" s="1"/>
  <c r="L68" i="35" s="1"/>
  <c r="L69" i="35" s="1"/>
  <c r="L70" i="35" s="1"/>
  <c r="L71" i="35" s="1"/>
  <c r="L72" i="35" s="1"/>
  <c r="L73" i="35" s="1"/>
  <c r="L74" i="35" s="1"/>
  <c r="L75" i="35" s="1"/>
  <c r="L76" i="35" s="1"/>
  <c r="L77" i="35" s="1"/>
  <c r="L11" i="35"/>
  <c r="A71" i="36"/>
  <c r="A18" i="41" l="1"/>
  <c r="A17" i="41" l="1"/>
  <c r="A16" i="41"/>
  <c r="A15" i="41"/>
  <c r="A14" i="41"/>
  <c r="A13" i="41"/>
  <c r="A12" i="41"/>
  <c r="A11" i="41"/>
  <c r="A10" i="41"/>
  <c r="G7" i="38" l="1"/>
  <c r="G8" i="38" s="1"/>
  <c r="G9" i="38" s="1"/>
  <c r="G10" i="38" s="1"/>
  <c r="G11" i="38" s="1"/>
  <c r="G12" i="38" s="1"/>
  <c r="G13" i="38" s="1"/>
  <c r="G14" i="38" s="1"/>
  <c r="G15" i="38" s="1"/>
  <c r="G16" i="38" s="1"/>
  <c r="G17" i="38" s="1"/>
  <c r="G18" i="38" s="1"/>
  <c r="G19" i="38" s="1"/>
  <c r="G20" i="38" s="1"/>
  <c r="G21" i="38" s="1"/>
  <c r="G22" i="38" s="1"/>
  <c r="G23" i="38" s="1"/>
  <c r="G24" i="38" s="1"/>
  <c r="G25" i="38" s="1"/>
  <c r="G26" i="38" s="1"/>
  <c r="G27" i="38" s="1"/>
  <c r="G28" i="38" s="1"/>
  <c r="G29" i="38" s="1"/>
  <c r="G30" i="38" s="1"/>
  <c r="G31" i="38" s="1"/>
  <c r="G32" i="38" s="1"/>
  <c r="G33" i="38" s="1"/>
  <c r="G34" i="38" s="1"/>
  <c r="G35" i="38" s="1"/>
  <c r="G36" i="38" s="1"/>
  <c r="G37" i="38" s="1"/>
  <c r="G38" i="38" s="1"/>
  <c r="G39" i="38" s="1"/>
  <c r="G40" i="38" s="1"/>
  <c r="G41" i="38" s="1"/>
  <c r="G42" i="38" s="1"/>
  <c r="G43" i="38" s="1"/>
  <c r="G44" i="38" s="1"/>
  <c r="G45" i="38" s="1"/>
  <c r="G46" i="38" s="1"/>
  <c r="G47" i="38" s="1"/>
  <c r="G48" i="38" s="1"/>
  <c r="G49" i="38" s="1"/>
  <c r="G50" i="38" s="1"/>
  <c r="G51" i="38" s="1"/>
  <c r="G52" i="38" s="1"/>
  <c r="G53" i="38" s="1"/>
  <c r="G54" i="38" s="1"/>
  <c r="G55" i="38" s="1"/>
  <c r="G56" i="38" s="1"/>
  <c r="G57" i="38" s="1"/>
  <c r="G58" i="38" s="1"/>
  <c r="G59" i="38" s="1"/>
  <c r="G60" i="38" s="1"/>
  <c r="G61" i="38" s="1"/>
  <c r="G62" i="38" s="1"/>
  <c r="G63" i="38" s="1"/>
  <c r="G64" i="38" s="1"/>
  <c r="G65" i="38" s="1"/>
  <c r="G66" i="38" s="1"/>
  <c r="G67" i="38" s="1"/>
  <c r="G68" i="38" s="1"/>
  <c r="G69" i="38" s="1"/>
  <c r="G70" i="38" s="1"/>
  <c r="G71" i="38" s="1"/>
  <c r="G72" i="38" s="1"/>
  <c r="G73" i="38" s="1"/>
  <c r="J11" i="37"/>
  <c r="J12" i="37" s="1"/>
  <c r="J13" i="37" s="1"/>
  <c r="J14" i="37" s="1"/>
  <c r="J15" i="37" s="1"/>
  <c r="J16" i="37" s="1"/>
  <c r="J17" i="37" s="1"/>
  <c r="J18" i="37" s="1"/>
  <c r="J19" i="37" s="1"/>
  <c r="J20" i="37" s="1"/>
  <c r="J21" i="37" s="1"/>
  <c r="J22" i="37" s="1"/>
  <c r="J23" i="37" s="1"/>
  <c r="J24" i="37" s="1"/>
  <c r="J25" i="37" s="1"/>
  <c r="J26" i="37" s="1"/>
  <c r="J27" i="37" s="1"/>
  <c r="J28" i="37" s="1"/>
  <c r="J29" i="37" s="1"/>
  <c r="J30" i="37" s="1"/>
  <c r="J31" i="37" s="1"/>
  <c r="J32" i="37" s="1"/>
  <c r="J33" i="37" s="1"/>
  <c r="J34" i="37" s="1"/>
  <c r="J35" i="37" s="1"/>
  <c r="J36" i="37" s="1"/>
  <c r="J37" i="37" s="1"/>
  <c r="J38" i="37" s="1"/>
  <c r="J39" i="37" s="1"/>
  <c r="J40" i="37" s="1"/>
  <c r="J41" i="37" s="1"/>
  <c r="J42" i="37" s="1"/>
  <c r="J43" i="37" s="1"/>
  <c r="J44" i="37" s="1"/>
  <c r="J45" i="37" s="1"/>
  <c r="J46" i="37" s="1"/>
  <c r="J47" i="37" s="1"/>
  <c r="J48" i="37" s="1"/>
  <c r="J49" i="37" s="1"/>
  <c r="J50" i="37" s="1"/>
  <c r="J51" i="37" s="1"/>
  <c r="J52" i="37" s="1"/>
  <c r="J53" i="37" s="1"/>
  <c r="J54" i="37" s="1"/>
  <c r="J55" i="37" s="1"/>
  <c r="J56" i="37" s="1"/>
  <c r="J57" i="37" s="1"/>
  <c r="J58" i="37" s="1"/>
  <c r="J59" i="37" s="1"/>
  <c r="J60" i="37" s="1"/>
  <c r="J61" i="37" s="1"/>
  <c r="J62" i="37" s="1"/>
  <c r="J63" i="37" s="1"/>
  <c r="J64" i="37" s="1"/>
  <c r="J65" i="37" s="1"/>
  <c r="J66" i="37" s="1"/>
  <c r="J67" i="37" s="1"/>
  <c r="J68" i="37" s="1"/>
  <c r="J69" i="37" s="1"/>
  <c r="J70" i="37" s="1"/>
  <c r="J71" i="37" s="1"/>
  <c r="J72" i="37" s="1"/>
  <c r="J73" i="37" s="1"/>
  <c r="J74" i="37" s="1"/>
  <c r="J75" i="37" s="1"/>
  <c r="J76" i="37" s="1"/>
  <c r="J77" i="37" s="1"/>
  <c r="J78" i="37" s="1"/>
  <c r="J79" i="37" s="1"/>
  <c r="J80" i="37" s="1"/>
  <c r="J81" i="37" s="1"/>
  <c r="J82" i="37" s="1"/>
  <c r="J83" i="37" s="1"/>
  <c r="J84" i="37" s="1"/>
  <c r="J85" i="37" s="1"/>
  <c r="J86" i="37" s="1"/>
  <c r="J87" i="37" s="1"/>
  <c r="J88" i="37" s="1"/>
  <c r="J89" i="37" s="1"/>
  <c r="J90" i="37" s="1"/>
  <c r="J91" i="37" s="1"/>
  <c r="J92" i="37" s="1"/>
  <c r="J93" i="37" s="1"/>
  <c r="J94" i="37" s="1"/>
  <c r="J95" i="37" s="1"/>
  <c r="J96" i="37" s="1"/>
  <c r="J97" i="37" s="1"/>
  <c r="J98" i="37" s="1"/>
  <c r="J99" i="37" s="1"/>
  <c r="J100" i="37" s="1"/>
  <c r="J101" i="37" s="1"/>
  <c r="J102" i="37" s="1"/>
  <c r="J103" i="37" s="1"/>
  <c r="J104" i="37" s="1"/>
  <c r="J105" i="37" s="1"/>
  <c r="J106" i="37" s="1"/>
  <c r="J107" i="37" s="1"/>
  <c r="J108" i="37" s="1"/>
  <c r="J109" i="37" s="1"/>
  <c r="J110" i="37" s="1"/>
  <c r="J111" i="37" s="1"/>
  <c r="J112" i="37" s="1"/>
  <c r="J113" i="37" s="1"/>
  <c r="J114" i="37" s="1"/>
  <c r="J115" i="37" s="1"/>
  <c r="J116" i="37" s="1"/>
  <c r="J117" i="37" s="1"/>
  <c r="J118" i="37" s="1"/>
  <c r="J119" i="37" s="1"/>
  <c r="J120" i="37" s="1"/>
  <c r="J121" i="37" s="1"/>
  <c r="J122" i="37" s="1"/>
  <c r="J123" i="37" s="1"/>
  <c r="J124" i="37" s="1"/>
  <c r="J125" i="37" s="1"/>
  <c r="J126" i="37" s="1"/>
  <c r="J127" i="37" s="1"/>
  <c r="J128" i="37" s="1"/>
  <c r="J129" i="37" s="1"/>
  <c r="J130" i="37" s="1"/>
  <c r="J131" i="37" s="1"/>
  <c r="J132" i="37" s="1"/>
  <c r="J133" i="37" s="1"/>
  <c r="J134" i="37" s="1"/>
  <c r="J135" i="37" s="1"/>
  <c r="J136" i="37" s="1"/>
  <c r="J137" i="37" s="1"/>
  <c r="J138" i="37" s="1"/>
  <c r="J139" i="37" s="1"/>
  <c r="J140" i="37" s="1"/>
  <c r="J141" i="37" s="1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F6" i="37"/>
  <c r="A77" i="35" l="1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269" i="31" l="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38" i="28" l="1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88" i="31" l="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G3" i="18" l="1"/>
  <c r="A21" i="28" l="1"/>
  <c r="A20" i="28"/>
  <c r="A19" i="28"/>
  <c r="A18" i="28"/>
  <c r="A17" i="28"/>
  <c r="A16" i="28"/>
  <c r="A15" i="28"/>
  <c r="A14" i="28"/>
  <c r="A13" i="28"/>
  <c r="A12" i="28"/>
  <c r="A11" i="28"/>
  <c r="A10" i="28"/>
  <c r="A9" i="28"/>
  <c r="AJ3" i="18" l="1"/>
  <c r="X3" i="18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</calcChain>
</file>

<file path=xl/sharedStrings.xml><?xml version="1.0" encoding="utf-8"?>
<sst xmlns="http://schemas.openxmlformats.org/spreadsheetml/2006/main" count="2218" uniqueCount="1153">
  <si>
    <t>稲畑産業株式会社様</t>
    <phoneticPr fontId="3"/>
  </si>
  <si>
    <t>EDIシステム</t>
    <phoneticPr fontId="3"/>
  </si>
  <si>
    <t>バッチ処理設計書</t>
    <rPh sb="7" eb="8">
      <t>ショ</t>
    </rPh>
    <phoneticPr fontId="3"/>
  </si>
  <si>
    <t>富士通株式会社</t>
    <rPh sb="0" eb="3">
      <t>フジツウ</t>
    </rPh>
    <rPh sb="3" eb="5">
      <t>カブシキ</t>
    </rPh>
    <rPh sb="5" eb="7">
      <t>カイシャ</t>
    </rPh>
    <phoneticPr fontId="3"/>
  </si>
  <si>
    <t>承認</t>
    <rPh sb="0" eb="2">
      <t>ショウニン</t>
    </rPh>
    <phoneticPr fontId="3"/>
  </si>
  <si>
    <t>作成</t>
    <rPh sb="0" eb="2">
      <t>サクセイ</t>
    </rPh>
    <phoneticPr fontId="3"/>
  </si>
  <si>
    <t>稲畑産業
株式会社</t>
    <rPh sb="0" eb="2">
      <t>イナバタ</t>
    </rPh>
    <rPh sb="2" eb="4">
      <t>サンギョウ</t>
    </rPh>
    <rPh sb="5" eb="9">
      <t>カブシキガイシャ</t>
    </rPh>
    <phoneticPr fontId="3"/>
  </si>
  <si>
    <t>バッチ処理設計書</t>
    <rPh sb="3" eb="5">
      <t>ショリ</t>
    </rPh>
    <rPh sb="5" eb="7">
      <t>セッケイ</t>
    </rPh>
    <rPh sb="7" eb="8">
      <t>ショ</t>
    </rPh>
    <phoneticPr fontId="3"/>
  </si>
  <si>
    <t>取引先名</t>
    <rPh sb="0" eb="2">
      <t>トリヒキ</t>
    </rPh>
    <rPh sb="2" eb="3">
      <t>サキ</t>
    </rPh>
    <rPh sb="3" eb="4">
      <t>メイ</t>
    </rPh>
    <phoneticPr fontId="3"/>
  </si>
  <si>
    <t>取引先略称ID</t>
    <rPh sb="0" eb="2">
      <t>トリヒキ</t>
    </rPh>
    <rPh sb="2" eb="3">
      <t>サキ</t>
    </rPh>
    <rPh sb="3" eb="5">
      <t>リャクショウ</t>
    </rPh>
    <phoneticPr fontId="3"/>
  </si>
  <si>
    <t>カテゴリ名</t>
    <phoneticPr fontId="3"/>
  </si>
  <si>
    <t>作成者</t>
    <rPh sb="0" eb="3">
      <t>サクセイシャ</t>
    </rPh>
    <phoneticPr fontId="3"/>
  </si>
  <si>
    <t>作成日</t>
    <rPh sb="0" eb="2">
      <t>サクセイ</t>
    </rPh>
    <rPh sb="2" eb="3">
      <t>ヒ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</si>
  <si>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</si>
  <si>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2">
      <t>コウシン</t>
    </rPh>
    <rPh sb="2" eb="3">
      <t>ヒ</t>
    </rPh>
    <phoneticPr fontId="3"/>
  </si>
  <si>
    <t>№</t>
    <phoneticPr fontId="3"/>
  </si>
  <si>
    <t>バージョン</t>
    <phoneticPr fontId="3"/>
  </si>
  <si>
    <t>変更日付</t>
    <rPh sb="0" eb="2">
      <t>ヘンコウ</t>
    </rPh>
    <rPh sb="2" eb="4">
      <t>ヒヅケ</t>
    </rPh>
    <phoneticPr fontId="3"/>
  </si>
  <si>
    <t>変更者</t>
    <rPh sb="0" eb="2">
      <t>ヘンコウ</t>
    </rPh>
    <rPh sb="2" eb="3">
      <t>シャ</t>
    </rPh>
    <phoneticPr fontId="3"/>
  </si>
  <si>
    <t>区分</t>
    <rPh sb="0" eb="2">
      <t>クブン</t>
    </rPh>
    <phoneticPr fontId="3"/>
  </si>
  <si>
    <t>変更管理番号</t>
    <phoneticPr fontId="3"/>
  </si>
  <si>
    <t>変更箇所</t>
  </si>
  <si>
    <t>変更内容</t>
    <rPh sb="0" eb="2">
      <t>ヘンコウ</t>
    </rPh>
    <rPh sb="2" eb="4">
      <t>ナイヨウ</t>
    </rPh>
    <phoneticPr fontId="3"/>
  </si>
  <si>
    <t>備考</t>
    <rPh sb="0" eb="2">
      <t>ビコウ</t>
    </rPh>
    <phoneticPr fontId="3"/>
  </si>
  <si>
    <t>新規</t>
  </si>
  <si>
    <t>新規作成</t>
    <rPh sb="0" eb="2">
      <t>シンキ</t>
    </rPh>
    <rPh sb="2" eb="4">
      <t>サクセイ</t>
    </rPh>
    <phoneticPr fontId="3"/>
  </si>
  <si>
    <t>①目的</t>
    <rPh sb="1" eb="3">
      <t>モクテキ</t>
    </rPh>
    <phoneticPr fontId="3"/>
  </si>
  <si>
    <t>②機能概要</t>
    <rPh sb="1" eb="3">
      <t>キノウ</t>
    </rPh>
    <rPh sb="3" eb="5">
      <t>ガイヨウ</t>
    </rPh>
    <phoneticPr fontId="3"/>
  </si>
  <si>
    <t>③入出力情報</t>
    <rPh sb="1" eb="4">
      <t>ニュウシュツリョク</t>
    </rPh>
    <rPh sb="4" eb="6">
      <t>ジョウホウ</t>
    </rPh>
    <phoneticPr fontId="3"/>
  </si>
  <si>
    <t>[入力]</t>
    <rPh sb="1" eb="3">
      <t>ニュウリョク</t>
    </rPh>
    <phoneticPr fontId="3"/>
  </si>
  <si>
    <t>テーブル名orファイル名</t>
    <rPh sb="4" eb="5">
      <t>メイ</t>
    </rPh>
    <rPh sb="11" eb="12">
      <t>メイ</t>
    </rPh>
    <phoneticPr fontId="3"/>
  </si>
  <si>
    <t>抽出条件</t>
    <phoneticPr fontId="3"/>
  </si>
  <si>
    <t>使用目的</t>
    <rPh sb="0" eb="2">
      <t>シヨウ</t>
    </rPh>
    <rPh sb="2" eb="4">
      <t>モクテキ</t>
    </rPh>
    <phoneticPr fontId="3"/>
  </si>
  <si>
    <t>[出力]</t>
    <rPh sb="1" eb="3">
      <t>シュツリョク</t>
    </rPh>
    <phoneticPr fontId="3"/>
  </si>
  <si>
    <t>更新条件</t>
    <rPh sb="0" eb="2">
      <t>コウシン</t>
    </rPh>
    <phoneticPr fontId="3"/>
  </si>
  <si>
    <t>④機能詳細</t>
    <rPh sb="1" eb="3">
      <t>キノウ</t>
    </rPh>
    <rPh sb="3" eb="5">
      <t>ショウサイ</t>
    </rPh>
    <phoneticPr fontId="3"/>
  </si>
  <si>
    <t>■</t>
    <phoneticPr fontId="3"/>
  </si>
  <si>
    <t>設      定      値</t>
    <rPh sb="0" eb="1">
      <t>セツ</t>
    </rPh>
    <rPh sb="7" eb="8">
      <t>サダム</t>
    </rPh>
    <rPh sb="14" eb="15">
      <t>チ</t>
    </rPh>
    <phoneticPr fontId="3"/>
  </si>
  <si>
    <t>№</t>
  </si>
  <si>
    <t>項目グループ</t>
    <phoneticPr fontId="3"/>
  </si>
  <si>
    <t>項　目　名（和名）</t>
    <rPh sb="0" eb="1">
      <t>コウ</t>
    </rPh>
    <rPh sb="2" eb="3">
      <t>メ</t>
    </rPh>
    <rPh sb="4" eb="5">
      <t>メイ</t>
    </rPh>
    <rPh sb="6" eb="8">
      <t>ワメイ</t>
    </rPh>
    <phoneticPr fontId="3"/>
  </si>
  <si>
    <t>項　目　名（英名）</t>
    <rPh sb="0" eb="1">
      <t>コウ</t>
    </rPh>
    <rPh sb="2" eb="3">
      <t>メ</t>
    </rPh>
    <rPh sb="4" eb="5">
      <t>メイ</t>
    </rPh>
    <rPh sb="6" eb="8">
      <t>エイメイ</t>
    </rPh>
    <phoneticPr fontId="3"/>
  </si>
  <si>
    <t>型</t>
    <rPh sb="0" eb="1">
      <t>ガタ</t>
    </rPh>
    <phoneticPr fontId="3"/>
  </si>
  <si>
    <t>桁数</t>
    <rPh sb="0" eb="2">
      <t>ケタスウ</t>
    </rPh>
    <phoneticPr fontId="3"/>
  </si>
  <si>
    <t>小数桁数</t>
    <rPh sb="0" eb="2">
      <t>ショウスウ</t>
    </rPh>
    <rPh sb="2" eb="4">
      <t>ケタスウ</t>
    </rPh>
    <phoneticPr fontId="3"/>
  </si>
  <si>
    <t>単  純  転  送</t>
    <rPh sb="0" eb="1">
      <t>タン</t>
    </rPh>
    <rPh sb="3" eb="4">
      <t>ジュン</t>
    </rPh>
    <rPh sb="6" eb="7">
      <t>テン</t>
    </rPh>
    <rPh sb="9" eb="10">
      <t>ソウ</t>
    </rPh>
    <phoneticPr fontId="3"/>
  </si>
  <si>
    <t>編    集    内    容</t>
    <rPh sb="0" eb="1">
      <t>ヘン</t>
    </rPh>
    <rPh sb="5" eb="6">
      <t>シュウ</t>
    </rPh>
    <rPh sb="10" eb="11">
      <t>ナイ</t>
    </rPh>
    <rPh sb="15" eb="16">
      <t>カタチ</t>
    </rPh>
    <phoneticPr fontId="3"/>
  </si>
  <si>
    <t>半角数字</t>
  </si>
  <si>
    <t>全半角混在文字</t>
  </si>
  <si>
    <t>削除区分</t>
  </si>
  <si>
    <t>DEL_KBN</t>
  </si>
  <si>
    <t>作成日時</t>
  </si>
  <si>
    <t>CREATE_DT</t>
  </si>
  <si>
    <t>作成ユーザ</t>
  </si>
  <si>
    <t>CREATE_USR</t>
  </si>
  <si>
    <t>"EDI"</t>
  </si>
  <si>
    <t>作成処理</t>
  </si>
  <si>
    <t>CREATE_FUNC</t>
  </si>
  <si>
    <t>最新更新日時</t>
  </si>
  <si>
    <t>NEW_UPDATE_DT</t>
  </si>
  <si>
    <t>最新更新ユーザ</t>
  </si>
  <si>
    <t>NEW_UPDATE_USR</t>
  </si>
  <si>
    <t>最新更新処理</t>
  </si>
  <si>
    <t>NEW_UPDATE_FUNC</t>
  </si>
  <si>
    <t>更新回数</t>
  </si>
  <si>
    <t>UPDATE_CNT</t>
  </si>
  <si>
    <t>2.00</t>
    <phoneticPr fontId="3"/>
  </si>
  <si>
    <t>小数付き数値</t>
  </si>
  <si>
    <t>半角英数記号</t>
  </si>
  <si>
    <t>システム日時(YYYY/MM/DD HH:MI:SS)</t>
    <rPh sb="4" eb="6">
      <t>ニチジ</t>
    </rPh>
    <phoneticPr fontId="3"/>
  </si>
  <si>
    <t>- Ver.2.00 -</t>
    <phoneticPr fontId="3"/>
  </si>
  <si>
    <t>　抽出条件：</t>
  </si>
  <si>
    <t>EDI_機能カテゴリコード</t>
  </si>
  <si>
    <t>データ交換ID</t>
  </si>
  <si>
    <t>仕入先コード</t>
  </si>
  <si>
    <t>相手先別データ</t>
  </si>
  <si>
    <t>DATA_KOKAN_ID</t>
  </si>
  <si>
    <t>SUP_CD</t>
  </si>
  <si>
    <t>AITE_SAKI_BETSU_DATA</t>
  </si>
  <si>
    <t>半角英数字</t>
  </si>
  <si>
    <t>日付(年月日)</t>
  </si>
  <si>
    <t>半角文字</t>
  </si>
  <si>
    <t>商品コード</t>
  </si>
  <si>
    <t>登録年月日</t>
  </si>
  <si>
    <t>EDI_送信状況種別</t>
  </si>
  <si>
    <t>送信日時</t>
  </si>
  <si>
    <t>送信データ削除区分</t>
  </si>
  <si>
    <t>処理受付番号</t>
  </si>
  <si>
    <t>SND_SEQ_NO</t>
  </si>
  <si>
    <t>EDI_KINO_CATEGORY_CD</t>
  </si>
  <si>
    <t>ITEM_CD</t>
  </si>
  <si>
    <t>REG_YMD</t>
  </si>
  <si>
    <t>EDI_SND_JOKYO_SBT</t>
  </si>
  <si>
    <t>SND_DT</t>
  </si>
  <si>
    <t>SND_DATA_DEL_KBN</t>
  </si>
  <si>
    <t>FUNC_UKETSUKE_NO</t>
  </si>
  <si>
    <t>半角英数字</t>
    <rPh sb="0" eb="2">
      <t>ハンカク</t>
    </rPh>
    <rPh sb="2" eb="5">
      <t>エイスウジ</t>
    </rPh>
    <phoneticPr fontId="3"/>
  </si>
  <si>
    <t>【更新回数】＋1</t>
  </si>
  <si>
    <t>数値</t>
  </si>
  <si>
    <t>配置箇所：EDIサーバ\PRD\Temp\</t>
    <rPh sb="0" eb="2">
      <t>ハイチ</t>
    </rPh>
    <rPh sb="2" eb="4">
      <t>カショ</t>
    </rPh>
    <phoneticPr fontId="3"/>
  </si>
  <si>
    <t>FJ松枝</t>
    <phoneticPr fontId="3"/>
  </si>
  <si>
    <t>R60795</t>
    <phoneticPr fontId="3"/>
  </si>
  <si>
    <t>EDIミドル移行対応</t>
    <rPh sb="6" eb="8">
      <t>イコウ</t>
    </rPh>
    <rPh sb="8" eb="10">
      <t>タイオウ</t>
    </rPh>
    <phoneticPr fontId="3"/>
  </si>
  <si>
    <t>EDI受信DB_仕入先</t>
    <phoneticPr fontId="3"/>
  </si>
  <si>
    <t>EDI送信DB_請求確認</t>
    <phoneticPr fontId="3"/>
  </si>
  <si>
    <t>EDI送信DB_請求確認　　更新</t>
    <rPh sb="3" eb="5">
      <t>ソウシン</t>
    </rPh>
    <rPh sb="8" eb="10">
      <t>セイキュウ</t>
    </rPh>
    <rPh sb="10" eb="12">
      <t>カクニン</t>
    </rPh>
    <rPh sb="14" eb="16">
      <t>コウシン</t>
    </rPh>
    <phoneticPr fontId="3"/>
  </si>
  <si>
    <t>EDI送信DB_請求確認フォーマットマッピング</t>
    <rPh sb="3" eb="5">
      <t>ソウシン</t>
    </rPh>
    <rPh sb="8" eb="10">
      <t>セイキュウ</t>
    </rPh>
    <rPh sb="10" eb="12">
      <t>カクニン</t>
    </rPh>
    <phoneticPr fontId="3"/>
  </si>
  <si>
    <t>計上状況種別</t>
  </si>
  <si>
    <t>エラー種別</t>
  </si>
  <si>
    <t>サイン区分</t>
  </si>
  <si>
    <t>仕入伝票番号</t>
  </si>
  <si>
    <t>エラーメッセージ(否認理由)</t>
  </si>
  <si>
    <t>組織コード</t>
  </si>
  <si>
    <t>担当者</t>
  </si>
  <si>
    <t>計上年月日</t>
  </si>
  <si>
    <t>受信シーケンスNO</t>
  </si>
  <si>
    <t>出荷報告番号</t>
  </si>
  <si>
    <t>EDI_照合キー</t>
  </si>
  <si>
    <t>販売先注文番号</t>
  </si>
  <si>
    <t>最新更新処理</t>
    <phoneticPr fontId="3"/>
  </si>
  <si>
    <t>KEIJO_JOKYO_SBT</t>
  </si>
  <si>
    <t>ERR_SBT</t>
  </si>
  <si>
    <t>SIGN_KBN</t>
  </si>
  <si>
    <t>SIR_DEN_NO</t>
  </si>
  <si>
    <t>ERR_MSG_HININ_RIYU</t>
  </si>
  <si>
    <t>SOSHIKI_CD</t>
  </si>
  <si>
    <t>TANTO</t>
  </si>
  <si>
    <t>KEIJO_YMD</t>
  </si>
  <si>
    <t>RCV_SEQ_NO</t>
  </si>
  <si>
    <t>SHUKKA_HOKOKU_NO</t>
  </si>
  <si>
    <t>EDI_SHOGO_KEY</t>
  </si>
  <si>
    <t>HAN_CHUMON_NO</t>
  </si>
  <si>
    <t>EDI採番マスタマッピング</t>
    <rPh sb="3" eb="5">
      <t>サイバン</t>
    </rPh>
    <phoneticPr fontId="3"/>
  </si>
  <si>
    <t>日本触媒</t>
    <rPh sb="0" eb="4">
      <t>ニホンショクバイ</t>
    </rPh>
    <phoneticPr fontId="3"/>
  </si>
  <si>
    <t>・送信対象データの件数 が0件ではない場合、取引先への送信ファイルを作成する。</t>
    <rPh sb="14" eb="15">
      <t>ケン</t>
    </rPh>
    <rPh sb="19" eb="21">
      <t>バアイ</t>
    </rPh>
    <rPh sb="22" eb="25">
      <t>トリヒキサキ</t>
    </rPh>
    <rPh sb="27" eb="29">
      <t>ソウシン</t>
    </rPh>
    <rPh sb="34" eb="36">
      <t>サクセイ</t>
    </rPh>
    <phoneticPr fontId="3"/>
  </si>
  <si>
    <t>送信対象データの抽出</t>
    <rPh sb="0" eb="4">
      <t>ソウシンタイショウ</t>
    </rPh>
    <phoneticPr fontId="3"/>
  </si>
  <si>
    <t>送信シーケンスNO</t>
    <phoneticPr fontId="3"/>
  </si>
  <si>
    <t>送信ファイル</t>
    <phoneticPr fontId="3"/>
  </si>
  <si>
    <t>処理済フラグを設定</t>
    <rPh sb="0" eb="2">
      <t>ショリ</t>
    </rPh>
    <rPh sb="2" eb="3">
      <t>スミ</t>
    </rPh>
    <rPh sb="7" eb="9">
      <t>セッテイ</t>
    </rPh>
    <phoneticPr fontId="3"/>
  </si>
  <si>
    <t>作成済フラグを設定</t>
    <rPh sb="0" eb="2">
      <t>サクセイ</t>
    </rPh>
    <rPh sb="2" eb="3">
      <t>スミ</t>
    </rPh>
    <rPh sb="7" eb="9">
      <t>セッテイ</t>
    </rPh>
    <phoneticPr fontId="3"/>
  </si>
  <si>
    <t>取引先への送信ファイル作成</t>
    <phoneticPr fontId="3"/>
  </si>
  <si>
    <t>②送信対象データが存在する場合、取引先への送信ファイルを作成する。</t>
    <rPh sb="1" eb="3">
      <t>ソウシン</t>
    </rPh>
    <rPh sb="3" eb="5">
      <t>タイショウ</t>
    </rPh>
    <rPh sb="9" eb="11">
      <t>ソンザイ</t>
    </rPh>
    <rPh sb="13" eb="15">
      <t>バアイ</t>
    </rPh>
    <phoneticPr fontId="3"/>
  </si>
  <si>
    <t>販売先不明区分</t>
  </si>
  <si>
    <t>HAN_FUMEI_KBN</t>
  </si>
  <si>
    <t>販売先コード</t>
  </si>
  <si>
    <t>HAN_CD</t>
  </si>
  <si>
    <t>販売先コード(確定)</t>
  </si>
  <si>
    <t>HAN_CD_KAKUTEI</t>
  </si>
  <si>
    <t>受信時組織コード</t>
  </si>
  <si>
    <t>RCV_SOSHIKI_CD</t>
  </si>
  <si>
    <t>受信時組織コード(確定)</t>
  </si>
  <si>
    <t>RCV_SOSHIKI_CD_KAKUTEI</t>
  </si>
  <si>
    <t>確定仕入責任組織コード(旧)</t>
    <rPh sb="0" eb="2">
      <t>カクテイ</t>
    </rPh>
    <rPh sb="2" eb="4">
      <t>シイレ</t>
    </rPh>
    <rPh sb="4" eb="6">
      <t>セキニン</t>
    </rPh>
    <rPh sb="6" eb="8">
      <t>ソシキ</t>
    </rPh>
    <rPh sb="12" eb="13">
      <t>キュウ</t>
    </rPh>
    <phoneticPr fontId="2"/>
  </si>
  <si>
    <t>CONFIRM_SIR_SKNIN_SSHK_CD_OLD</t>
  </si>
  <si>
    <t>確定仕入責任組織コード(新)</t>
    <rPh sb="0" eb="2">
      <t>カクテイ</t>
    </rPh>
    <rPh sb="2" eb="4">
      <t>シイレ</t>
    </rPh>
    <rPh sb="4" eb="6">
      <t>セキニン</t>
    </rPh>
    <rPh sb="6" eb="8">
      <t>ソシキ</t>
    </rPh>
    <rPh sb="12" eb="13">
      <t>シン</t>
    </rPh>
    <phoneticPr fontId="2"/>
  </si>
  <si>
    <t>CONFIRM_SIR_SKNIN_SSHK_CD_NEW</t>
  </si>
  <si>
    <t>仕入先不明区分</t>
  </si>
  <si>
    <t>SUP_FUMEI_KBN</t>
  </si>
  <si>
    <t>仕入先コード(確定)</t>
  </si>
  <si>
    <t>SUP_CD_KAKUTEI</t>
  </si>
  <si>
    <t>商品不明区分</t>
  </si>
  <si>
    <t>ITEM_FUMEI_KBN</t>
  </si>
  <si>
    <t>商品コード(確定)</t>
  </si>
  <si>
    <t>ITEM_CD_KAKUTEI</t>
  </si>
  <si>
    <t>商品別称コード</t>
  </si>
  <si>
    <t>ITEM_BESSHO_CD</t>
  </si>
  <si>
    <t>倉庫不明区分</t>
  </si>
  <si>
    <t>SOKO_FUMEI_KBN</t>
  </si>
  <si>
    <t>倉庫コード</t>
  </si>
  <si>
    <t>SOKO_CD</t>
  </si>
  <si>
    <t>倉庫コード(確定)</t>
  </si>
  <si>
    <t>SOKO_CD_KAKUTEI</t>
  </si>
  <si>
    <t>本部コード</t>
  </si>
  <si>
    <t>HOMBU_CD</t>
  </si>
  <si>
    <t>納入先コード</t>
  </si>
  <si>
    <t>NNY_CD</t>
  </si>
  <si>
    <t>納入先コード(確定)</t>
  </si>
  <si>
    <t>NNY_CD_KAKUTEI</t>
  </si>
  <si>
    <t>納入先名</t>
  </si>
  <si>
    <t>NNY_NM</t>
  </si>
  <si>
    <t>納入先名称(確定)</t>
  </si>
  <si>
    <t>NNY_NM_KAKUTEI</t>
  </si>
  <si>
    <t>メニュー番号</t>
  </si>
  <si>
    <t>MENU_NO</t>
  </si>
  <si>
    <t>商品対比相手コード</t>
  </si>
  <si>
    <t>ITEM_TAIHI_AITE_CD</t>
  </si>
  <si>
    <t>販売先対比相手コード</t>
  </si>
  <si>
    <t>HAN_TAIHI_AITE_CD</t>
  </si>
  <si>
    <t>発注部署対比相手コード</t>
  </si>
  <si>
    <t>HAC_BUSHO_TAIHI_AITE_CD</t>
  </si>
  <si>
    <t>受信年月日</t>
  </si>
  <si>
    <t>RCV_YMD</t>
  </si>
  <si>
    <t>受信時刻</t>
  </si>
  <si>
    <t>RCV_TM</t>
  </si>
  <si>
    <t>受信処理結果通知</t>
  </si>
  <si>
    <t>RCV_FUNC_KEKKA_TSUCHI</t>
  </si>
  <si>
    <t>IK自由使用欄1</t>
  </si>
  <si>
    <t>IK_FREE_SPACE1</t>
  </si>
  <si>
    <t>IK自由使用欄2</t>
  </si>
  <si>
    <t>IK_FREE_SPACE2</t>
  </si>
  <si>
    <t>IK自由使用欄3</t>
  </si>
  <si>
    <t>IK_FREE_SPACE3</t>
  </si>
  <si>
    <t>IK自由使用欄4</t>
  </si>
  <si>
    <t>IK_FREE_SPACE4</t>
  </si>
  <si>
    <t>IK自由使用欄5</t>
  </si>
  <si>
    <t>IK_FREE_SPACE5</t>
  </si>
  <si>
    <t>IK自由使用欄6</t>
  </si>
  <si>
    <t>IK_FREE_SPACE6</t>
  </si>
  <si>
    <t>IK自由使用欄7</t>
  </si>
  <si>
    <t>IK_FREE_SPACE7</t>
  </si>
  <si>
    <t>IK自由使用欄8</t>
  </si>
  <si>
    <t>IK_FREE_SPACE8</t>
  </si>
  <si>
    <t>IK自由使用欄9</t>
  </si>
  <si>
    <t>IK_FREE_SPACE9</t>
  </si>
  <si>
    <t>IK自由使用欄10</t>
  </si>
  <si>
    <t>IK_FREE_SPACE10</t>
  </si>
  <si>
    <t>商品名追記</t>
  </si>
  <si>
    <t>ITEM_NM_TSUIKI</t>
  </si>
  <si>
    <t>売上単価</t>
  </si>
  <si>
    <t>URI_TANK</t>
  </si>
  <si>
    <t>売上金額本体</t>
  </si>
  <si>
    <t>URI_GAKU_HONTAI</t>
  </si>
  <si>
    <t>EDI_請求金額(確定)</t>
  </si>
  <si>
    <t>EDI_SEIKYU_GAKU_KAKUTEI</t>
  </si>
  <si>
    <t>EDI_消費税額(確定)</t>
  </si>
  <si>
    <t>EDI_SHOHIZEI_GAKU_KAKUTEI</t>
  </si>
  <si>
    <t>税込請求額(確定)</t>
  </si>
  <si>
    <t>ZEIKOMI_SEIKYU_GAKU_KAKUTEI</t>
  </si>
  <si>
    <t>仕入先計上年月日</t>
  </si>
  <si>
    <t>SUP_KEIJO_YMD</t>
  </si>
  <si>
    <t>仕入先売上NO</t>
  </si>
  <si>
    <t>SUP_URI_NO</t>
  </si>
  <si>
    <t>重量</t>
  </si>
  <si>
    <t>JURYO</t>
  </si>
  <si>
    <t>EDI_支払サイト</t>
  </si>
  <si>
    <t>EDI_PAY_SIGHT</t>
  </si>
  <si>
    <t>メモ</t>
  </si>
  <si>
    <t>MEMO</t>
  </si>
  <si>
    <t>訂正時の相手照合NO</t>
  </si>
  <si>
    <t>TEISEI_H_AITE_SHOGO_NO</t>
  </si>
  <si>
    <t>メーカ事業所</t>
  </si>
  <si>
    <t>MK_JIGYOSHO</t>
  </si>
  <si>
    <t>メーカ商品コード(FULL)</t>
  </si>
  <si>
    <t>MK_ITEM_CD_FULL</t>
  </si>
  <si>
    <t>出荷場所名(漢字)</t>
  </si>
  <si>
    <t>SHUKKA_BASHO_NM</t>
  </si>
  <si>
    <t>EDI_メーカ荷姿名(漢字)</t>
  </si>
  <si>
    <t>EDI_MK_NISUGATA_NM</t>
  </si>
  <si>
    <t>工場名</t>
  </si>
  <si>
    <t>KOJO_NM</t>
  </si>
  <si>
    <t>現場名</t>
  </si>
  <si>
    <t>GEMBA_NM</t>
  </si>
  <si>
    <t>販売区域</t>
  </si>
  <si>
    <t>HAN_ARER</t>
  </si>
  <si>
    <t>担当課コード</t>
  </si>
  <si>
    <t>TANTOKA_CD</t>
  </si>
  <si>
    <t>漢字備考種別</t>
    <rPh sb="0" eb="2">
      <t>カンジ</t>
    </rPh>
    <rPh sb="2" eb="4">
      <t>ビコウ</t>
    </rPh>
    <rPh sb="4" eb="6">
      <t>シュベツ</t>
    </rPh>
    <phoneticPr fontId="2"/>
  </si>
  <si>
    <t>KANJI_NOTE_SBT</t>
  </si>
  <si>
    <t>備考</t>
  </si>
  <si>
    <t>NOTE</t>
  </si>
  <si>
    <t>グレード/カラーNO</t>
  </si>
  <si>
    <t>GRADE_COLOR_NO</t>
  </si>
  <si>
    <t>EDI_商品巾</t>
  </si>
  <si>
    <t>EDI_ITEM_WIDTH</t>
  </si>
  <si>
    <t>EDI_商品長さ</t>
  </si>
  <si>
    <t>EDI_ITEM_LENGTH</t>
  </si>
  <si>
    <t>EDI_商品厚み</t>
  </si>
  <si>
    <t>EDI_ITEM_THICK</t>
  </si>
  <si>
    <t>EDI_商品代替品巾</t>
  </si>
  <si>
    <t>EDI_ITEM_DAITAIHIN_WIDTH</t>
  </si>
  <si>
    <t>販売先品番</t>
  </si>
  <si>
    <t>HAN_HIMBAN</t>
  </si>
  <si>
    <t>リスト出力用エラー内容</t>
  </si>
  <si>
    <t>LIST_OUT_YO_ERR_NAIYO</t>
  </si>
  <si>
    <t>売上伝票番号</t>
  </si>
  <si>
    <t>URI_DEN_NO</t>
  </si>
  <si>
    <t>相殺先受信シーケンスNO</t>
  </si>
  <si>
    <t>SOSAI_RCV_SEQ_NO</t>
  </si>
  <si>
    <t>EDI_支払締切年月日</t>
  </si>
  <si>
    <t>EDI_PAY_SHIMEKIRI_YMD</t>
  </si>
  <si>
    <t>変更後期日年月日</t>
  </si>
  <si>
    <t>HENKOGO_KIJITSU_YMD</t>
  </si>
  <si>
    <t>支払照合番号</t>
  </si>
  <si>
    <t>PAY_SHOGO_NO</t>
  </si>
  <si>
    <t>出荷請求確認番号(債務)</t>
  </si>
  <si>
    <t>SHUKKA_SEIKYU_CHK_NO_SAIMU</t>
  </si>
  <si>
    <t>計上状況種別(仮締め)</t>
  </si>
  <si>
    <t>KEIJO_JOKYO_SBT_KARISHIME</t>
  </si>
  <si>
    <t>EDI_支払締め種別</t>
  </si>
  <si>
    <t>EDI_PAY_SHIME_SBT</t>
  </si>
  <si>
    <t>EDI_支払種別</t>
  </si>
  <si>
    <t>EDI_PAY_SBT</t>
  </si>
  <si>
    <t>代表宛メール送信区分</t>
  </si>
  <si>
    <t>DAIHYOATE_MAIL_SND_KBN</t>
  </si>
  <si>
    <t>業務反映要否区分</t>
  </si>
  <si>
    <t>ACT_HANEI_YN_KBN</t>
  </si>
  <si>
    <t>業務反映済区分</t>
  </si>
  <si>
    <t>ACT_HANEI_ZUMI_KBN</t>
  </si>
  <si>
    <t>マスタ反映済区分</t>
  </si>
  <si>
    <t>MST_HANEI_ZUMI_KBN</t>
  </si>
  <si>
    <t>価格マスタ照合自動計上区分</t>
  </si>
  <si>
    <t>KAKAKU_MST_SHOGO_AUTO_ADD_KBN</t>
  </si>
  <si>
    <t>価格マスタ照合キー種別</t>
  </si>
  <si>
    <t>KAKAKU_MST_SHOGO_KEY_SBT</t>
  </si>
  <si>
    <t>価格マスタ照合キー</t>
  </si>
  <si>
    <t>KAKAKU_MST_SHOGO_KEY</t>
  </si>
  <si>
    <t>EDI_売上額確定済区分</t>
  </si>
  <si>
    <t>EDI_URI_GAKU_KAKUTEI_ZUMI_KBN</t>
  </si>
  <si>
    <t>自動計上対象外区分</t>
  </si>
  <si>
    <t>AUTO_ADD_TAISHOGAI_KBN</t>
  </si>
  <si>
    <t>ネットネット自動計上対象区分</t>
  </si>
  <si>
    <t>NETNET_AUTO_ADD_TAISHO_KBN</t>
  </si>
  <si>
    <t>出荷請求確認済区分</t>
  </si>
  <si>
    <t>SHUKKA_SEIKYU_CHK_ZUMI_KBN</t>
  </si>
  <si>
    <t>レコード削除可区分</t>
  </si>
  <si>
    <t>RECORD_DEL_KANO_KBN</t>
  </si>
  <si>
    <t>受信項目訂正可区分</t>
  </si>
  <si>
    <t>RCV_KOUMOKU_TEISEIKA_KBN</t>
  </si>
  <si>
    <t>リスト出力済区分</t>
  </si>
  <si>
    <t>LIST_OUT_ZUMI_KBN</t>
  </si>
  <si>
    <t>バッチ処理完了区分</t>
  </si>
  <si>
    <t>BATCH_FUNC_KANRYO_KBN</t>
  </si>
  <si>
    <t>仕入税処理コード</t>
    <rPh sb="0" eb="2">
      <t>シイレ</t>
    </rPh>
    <rPh sb="2" eb="3">
      <t>ゼイ</t>
    </rPh>
    <rPh sb="3" eb="5">
      <t>ショリ</t>
    </rPh>
    <phoneticPr fontId="2"/>
  </si>
  <si>
    <t>SIR_TAX_FUNC_CD</t>
  </si>
  <si>
    <t>仕入税処理コード(確定)</t>
    <rPh sb="0" eb="2">
      <t>シイレ</t>
    </rPh>
    <rPh sb="2" eb="3">
      <t>ゼイ</t>
    </rPh>
    <rPh sb="3" eb="5">
      <t>ショリ</t>
    </rPh>
    <rPh sb="9" eb="11">
      <t>カクテイ</t>
    </rPh>
    <phoneticPr fontId="2"/>
  </si>
  <si>
    <t>SIR_TAX_FUNC_CD_CONFIRM</t>
  </si>
  <si>
    <t>売上税処理コード</t>
    <rPh sb="0" eb="2">
      <t>ウリアゲ</t>
    </rPh>
    <rPh sb="2" eb="3">
      <t>ゼイ</t>
    </rPh>
    <rPh sb="3" eb="5">
      <t>ショリ</t>
    </rPh>
    <phoneticPr fontId="2"/>
  </si>
  <si>
    <t>URI_TAX_FUNC_CD</t>
  </si>
  <si>
    <t>売上税処理コード(確定)</t>
    <rPh sb="0" eb="2">
      <t>ウリアゲ</t>
    </rPh>
    <rPh sb="2" eb="3">
      <t>ゼイ</t>
    </rPh>
    <rPh sb="3" eb="5">
      <t>ショリ</t>
    </rPh>
    <rPh sb="9" eb="11">
      <t>カクテイ</t>
    </rPh>
    <phoneticPr fontId="2"/>
  </si>
  <si>
    <t>URI_TAX_FUNC_CD_CONFIRM</t>
  </si>
  <si>
    <t>営業担当者コード</t>
  </si>
  <si>
    <t>EIGYO_TANTO_CD</t>
  </si>
  <si>
    <t>入力担当者コード</t>
  </si>
  <si>
    <t>INP_TANTO_CD</t>
  </si>
  <si>
    <t>エラーレベル種別</t>
  </si>
  <si>
    <t>ERR_LEVEL_SBT</t>
  </si>
  <si>
    <t>仕入先回答種別</t>
  </si>
  <si>
    <t>SUP_KAITO_SBT</t>
  </si>
  <si>
    <t>ユーザ発注処理種別</t>
  </si>
  <si>
    <t>USR_HAC_FUNC_SBT</t>
  </si>
  <si>
    <t>請求確認作成種別</t>
  </si>
  <si>
    <t>SEIKYU_CHK_CREATE_SBT</t>
  </si>
  <si>
    <t>確認種別</t>
  </si>
  <si>
    <t>CHK_SBT</t>
  </si>
  <si>
    <t>EDI_計上種別</t>
  </si>
  <si>
    <t>EDI_KEIJO_SBT</t>
  </si>
  <si>
    <t>EDI_計上種別(確定)</t>
  </si>
  <si>
    <t>EDI_KEIJO_SBT_KAKUTEI</t>
  </si>
  <si>
    <t>自動取消実施状況種別</t>
  </si>
  <si>
    <t>AUTO_DEL_JISSHI_JOKYO_SBT</t>
  </si>
  <si>
    <t>業務エラーコード</t>
  </si>
  <si>
    <t>ACT_ERR_CD</t>
  </si>
  <si>
    <t>EDI_請求データ区分</t>
  </si>
  <si>
    <t>EDI_SEIKYU_DATA_KBN</t>
  </si>
  <si>
    <t>JPCA_リザーブ</t>
  </si>
  <si>
    <t>JPCA_RESERVE</t>
  </si>
  <si>
    <t>JPCA_BPID</t>
  </si>
  <si>
    <t>JPCA_送受信</t>
  </si>
  <si>
    <t>JPCA_SND_RCV</t>
  </si>
  <si>
    <t>JPCA_情報区分</t>
  </si>
  <si>
    <t>JPCA_INF_KBN</t>
  </si>
  <si>
    <t>JPCA_自社コード</t>
  </si>
  <si>
    <t>JPCA_JISHA_CD</t>
  </si>
  <si>
    <t>JPCA_相手先コード</t>
  </si>
  <si>
    <t>JPCA_AITE_SAKI_CD</t>
  </si>
  <si>
    <t>JPCA_仕入EDI_データ種別コード</t>
  </si>
  <si>
    <t>JPCA_SIR_EDI_DATA_SBT_CD</t>
  </si>
  <si>
    <t>JPCA_処理区分</t>
  </si>
  <si>
    <t>JPCA_FUNC_KBN</t>
  </si>
  <si>
    <t>JPCA_処理年月日</t>
  </si>
  <si>
    <t>JPCA_FUNC_YMD</t>
  </si>
  <si>
    <t>JPCA_処理時分秒</t>
  </si>
  <si>
    <t>JPCA_FUNC_HMS</t>
  </si>
  <si>
    <t>JPCA_赤黒区分</t>
  </si>
  <si>
    <t>JPCA_AKAKURO_KBN</t>
  </si>
  <si>
    <t>JPCA_発注者企業コード</t>
  </si>
  <si>
    <t>JPCA_HACSHA_KIGYO_CD</t>
  </si>
  <si>
    <t>JPCA_発注者部門コード</t>
  </si>
  <si>
    <t>JPCA_HACSHA_BMN_CD</t>
  </si>
  <si>
    <t>JPCA_新発注者企業コード</t>
  </si>
  <si>
    <t>JPCA_NEW_HACSHA_KIGYO_CD</t>
  </si>
  <si>
    <t>JPCA_新発注者部門コード</t>
  </si>
  <si>
    <t>JPCA_NEW_HACSHA_BMN_CD</t>
  </si>
  <si>
    <t>JPCA_受注者企業コード</t>
  </si>
  <si>
    <t>JPCA_JUC_KIGYO_CD</t>
  </si>
  <si>
    <t>JPCA_受注者部門コード</t>
  </si>
  <si>
    <t>JPCA_JUC_BMN_CD</t>
  </si>
  <si>
    <t>JPCA_請求者企業コード</t>
  </si>
  <si>
    <t>JPCA_SEIKYU_KIGYO_CD</t>
  </si>
  <si>
    <t>JPCA_請求者部門コード</t>
  </si>
  <si>
    <t>JPCA_SEIKYU_BMN_CD</t>
  </si>
  <si>
    <t>JPCA_支払者企業コード</t>
  </si>
  <si>
    <t>JPCA_PAY_KIGYO_CD</t>
  </si>
  <si>
    <t>JPCA_支払者部門コード</t>
  </si>
  <si>
    <t>JPCA_PAY_BMN_CD</t>
  </si>
  <si>
    <t>JPCA_契約番号</t>
  </si>
  <si>
    <t>JPCA_KEIYAKU_NO</t>
  </si>
  <si>
    <t>JPCA_実施年月日</t>
  </si>
  <si>
    <t>JPCA_JISSHI_YMD</t>
  </si>
  <si>
    <t>JPCA_EDI注文番号</t>
  </si>
  <si>
    <t>JPCA_EDI_CHUMON_NO</t>
  </si>
  <si>
    <t>JPCA_発注者注文日</t>
  </si>
  <si>
    <t>JPCA_HACSHA_CHUMON_D</t>
  </si>
  <si>
    <t>JPCA_発注者注文時刻</t>
  </si>
  <si>
    <t>JPCA_HACSHA_CHUMON_TM</t>
  </si>
  <si>
    <t>JPCA_オーダー区分</t>
  </si>
  <si>
    <t>JPCA_ORDER_KBN</t>
  </si>
  <si>
    <t>JPCA_連絡要否区分</t>
  </si>
  <si>
    <t>JPCA_RENRAKU_YN_KBN</t>
  </si>
  <si>
    <t>JPCA_数量指定区分</t>
  </si>
  <si>
    <t>JPCA_SU_SHITEI_KBN</t>
  </si>
  <si>
    <t>JPCA_発注コメント(カナ)</t>
  </si>
  <si>
    <t>JPCA_HAC_COMMENT_KANA</t>
  </si>
  <si>
    <t>JPCA_発注コメント(漢字)</t>
  </si>
  <si>
    <t>JPCA_HAC_COMMENT_KANJI</t>
  </si>
  <si>
    <t>JPCA_EDI受注番号</t>
  </si>
  <si>
    <t>JPCA_EDI_JUC_NO</t>
  </si>
  <si>
    <t>JPCA_受注者注文受付日</t>
  </si>
  <si>
    <t>JPCA_JUC_CHUMON_UKETSUKE_D</t>
  </si>
  <si>
    <t>JPCA_受注者注文受付時刻</t>
  </si>
  <si>
    <t>JPCA_JUC_CHUMON_UKETSUKE_TM</t>
  </si>
  <si>
    <t>JPCA_受注者注文確定日</t>
  </si>
  <si>
    <t>JPCA_JUC_CHUMON_KAKUTEI_D</t>
  </si>
  <si>
    <t>JPCA_分納区分</t>
  </si>
  <si>
    <t>JPCA_BUNNO_KBN</t>
  </si>
  <si>
    <t>JPCA_受注者処理区分</t>
  </si>
  <si>
    <t>JPCA_JUC_FUNC_KBN</t>
  </si>
  <si>
    <t>JPCA_品名グループ</t>
  </si>
  <si>
    <t>JPCA_ITEM_NM_GROUP</t>
  </si>
  <si>
    <t>JPCA_品名(カナ)</t>
  </si>
  <si>
    <t>JPCA_ITEM_NMK</t>
  </si>
  <si>
    <t>JPCA_品名(漢字)</t>
  </si>
  <si>
    <t>JPCA_ITEM_NM_KANJI</t>
  </si>
  <si>
    <t>JPCA_ロット番号指定区分</t>
  </si>
  <si>
    <t>JPCA_LOT_NO_SHITEI_KBN</t>
  </si>
  <si>
    <t>JPCA_ロット番号</t>
  </si>
  <si>
    <t>JPCA_LOT_NO</t>
  </si>
  <si>
    <t>JPCA_需要家企業コード</t>
  </si>
  <si>
    <t>JPCA_JUYOKA_KIGYO_CD</t>
  </si>
  <si>
    <t>JPCA_需要家部門コード</t>
  </si>
  <si>
    <t>JPCA_JUYOKA_BMN_CD</t>
  </si>
  <si>
    <t>JPCA_需要家名称(カナ)</t>
  </si>
  <si>
    <t>JPCA_JUYOKA_NMK</t>
  </si>
  <si>
    <t>JPCA_需要家名称(漢字)</t>
  </si>
  <si>
    <t>JPCA_JUYOKA_NM_KANJI</t>
  </si>
  <si>
    <t>JPCA_需要家注文番号</t>
  </si>
  <si>
    <t>JPCA_JUYOKA_CHUMON_NO</t>
  </si>
  <si>
    <t>JPCA_2次店企業コード</t>
  </si>
  <si>
    <t>JPCA_NIJITEN_KIGYO_CD</t>
  </si>
  <si>
    <t>JPCA_2次店部門コード</t>
  </si>
  <si>
    <t>JPCA_NIJITEN_BMN_CD</t>
  </si>
  <si>
    <t>JPCA_2次店名称(カナ)</t>
  </si>
  <si>
    <t>JPCA_NIJITEN_NMK</t>
  </si>
  <si>
    <t>JPCA_2次店名</t>
  </si>
  <si>
    <t>JPCA_NIJITEN_NM</t>
  </si>
  <si>
    <t>JPCA_3次店企業コード</t>
  </si>
  <si>
    <t>JPCA_SANJITEN_KIGYO_CD</t>
  </si>
  <si>
    <t>JPCA_3次店部門コード</t>
  </si>
  <si>
    <t>JPCA_SANJITEN_BMN_CD</t>
  </si>
  <si>
    <t>JPCA_3次店名(カナ)</t>
  </si>
  <si>
    <t>JPCA_SANJITEN_NMK</t>
  </si>
  <si>
    <t>JPCA_3次店名</t>
  </si>
  <si>
    <t>JPCA_SANJITEN_NM</t>
  </si>
  <si>
    <t>JPCA_決済条件締切日</t>
  </si>
  <si>
    <t>JPCA_KESSAI_JOKEN_SHIMEKIRI_D</t>
  </si>
  <si>
    <t>JPCA_決済条件起算日</t>
  </si>
  <si>
    <t>JPCA_KESSAI_JOKEN_KISAN_D</t>
  </si>
  <si>
    <t>JPCA_決済条件手段</t>
  </si>
  <si>
    <t>JPCA_KESSAI_JOKEN_SHUDAN</t>
  </si>
  <si>
    <t>JPCA_決済条件満期日</t>
  </si>
  <si>
    <t>JPCA_KESSAI_JOKEN_MANKI_D</t>
  </si>
  <si>
    <t>JPCA_決済基準</t>
  </si>
  <si>
    <t>JPCA_KESSAI_KIJUN</t>
  </si>
  <si>
    <t>JPCA_決済条件</t>
  </si>
  <si>
    <t>JPCA_KESSAI_JOKEN</t>
  </si>
  <si>
    <t>JPCA_数量確定区分</t>
  </si>
  <si>
    <t>JPCA_SU_KAKUTEI_KBN</t>
  </si>
  <si>
    <t>JPCA_販売単価</t>
  </si>
  <si>
    <t>JPCA_HAN_TANK</t>
  </si>
  <si>
    <t>JPCA_単価単位</t>
  </si>
  <si>
    <t>JPCA_TANK_UNIT</t>
  </si>
  <si>
    <t>JPCA_単価区分</t>
  </si>
  <si>
    <t>JPCA_TANK_KBN</t>
  </si>
  <si>
    <t>JPCA_口銭区分</t>
  </si>
  <si>
    <t>JPCA_KOSEN_KBN</t>
  </si>
  <si>
    <t>JPCA_口銭単価</t>
  </si>
  <si>
    <t>JPCA_KOSEN_TANK</t>
  </si>
  <si>
    <t>JPCA_口銭</t>
  </si>
  <si>
    <t>JPCA_KOSEN</t>
  </si>
  <si>
    <t>JPCA_2次店口銭区分</t>
  </si>
  <si>
    <t>JPCA_NIJITEN_KOSEN_KBN</t>
  </si>
  <si>
    <t>JPCA_2次店口銭単価</t>
  </si>
  <si>
    <t>JPCA_NIJITEN_KOSEN_TANK</t>
  </si>
  <si>
    <t>JPCA_2次店口銭</t>
  </si>
  <si>
    <t>JPCA_NIJITEN_KOSEN</t>
  </si>
  <si>
    <t>JPCA_納入先企業コード</t>
  </si>
  <si>
    <t>JPCA_NNY_KIGYO_CD</t>
  </si>
  <si>
    <t>JPCA_納入先部門コード</t>
  </si>
  <si>
    <t>JPCA_NNY_BMN_CD</t>
  </si>
  <si>
    <t>JPCA_納入先名称(カナ)</t>
  </si>
  <si>
    <t>JPCA_NNY_NMK</t>
  </si>
  <si>
    <t>JPCA_納入先名称(漢字)</t>
  </si>
  <si>
    <t>JPCA_NNY_NM_KANJI</t>
  </si>
  <si>
    <t>JPCA_EDI受渡条件</t>
  </si>
  <si>
    <t>JPCA_EDI_UKEWATASHI_JOKEN</t>
  </si>
  <si>
    <t>JPCA_受渡場所住所(カナ)</t>
  </si>
  <si>
    <t>JPCA_UKEWATASHI_BASHO_ADDRK</t>
  </si>
  <si>
    <t>JPCA_受渡場所住所(漢字)</t>
  </si>
  <si>
    <t>JPCA_UKEWATASHI_BASHO_ADDR</t>
  </si>
  <si>
    <t>JPCA_地区コード</t>
  </si>
  <si>
    <t>JPCA_CHIKU_CD</t>
  </si>
  <si>
    <t>JPCA_郵便番号</t>
  </si>
  <si>
    <t>JPCA_ZIP</t>
  </si>
  <si>
    <t>JPCA_EDI電話番号</t>
  </si>
  <si>
    <t>JPCA_EDI_TEL</t>
  </si>
  <si>
    <t>JPCA_FAX番号</t>
  </si>
  <si>
    <t>JPCA_FAX</t>
  </si>
  <si>
    <t>JPCA_希望納入年月日</t>
  </si>
  <si>
    <t>JPCA_KIBO_NONYU_YMD</t>
  </si>
  <si>
    <t>JPCA_希望納入時刻</t>
  </si>
  <si>
    <t>JPCA_KIBO_NONYU_TM</t>
  </si>
  <si>
    <t>JPCA_希望納入コメント</t>
  </si>
  <si>
    <t>JPCA_KIBO_NONYU_COMMENT</t>
  </si>
  <si>
    <t>JPCA_納入年月日(予定)</t>
  </si>
  <si>
    <t>JPCA_NONYU_YMD_YOTEI</t>
  </si>
  <si>
    <t>JPCA_納入要件(カナ)</t>
  </si>
  <si>
    <t>JPCA_NONYU_YOKEN_KANA</t>
  </si>
  <si>
    <t>JPCA_納入要件(漢字)</t>
  </si>
  <si>
    <t>JPCA_NONYU_YOKEN_KANJI</t>
  </si>
  <si>
    <t>JPCA_EDI支払金額</t>
  </si>
  <si>
    <t>JPCA_EDI_PAY_GAKU</t>
  </si>
  <si>
    <t>JPCA_支払整理番号</t>
  </si>
  <si>
    <t>JPCA_PAY_SEIRI_NO</t>
  </si>
  <si>
    <t>JPCA_手形番号(小切手番号)</t>
  </si>
  <si>
    <t>JPCA_TEGATA_NO_KOGITTE</t>
  </si>
  <si>
    <t>JPCA_振出銀行(コード)</t>
  </si>
  <si>
    <t>JPCA_ISSUE_BANK_CD</t>
  </si>
  <si>
    <t>JPCA_振出銀行(名称)</t>
  </si>
  <si>
    <t>JPCA_ISSUE_BANK_NM</t>
  </si>
  <si>
    <t>JPCA_振込銀行(コード)</t>
  </si>
  <si>
    <t>JPCA_FURIKOMI_BANK_CD</t>
  </si>
  <si>
    <t>JPCA_振込銀行(名称)</t>
  </si>
  <si>
    <t>JPCA_FURIKOMI_BANK_NM</t>
  </si>
  <si>
    <t>JPCA_口座番号</t>
  </si>
  <si>
    <t>JPCA_KOZA_NO</t>
  </si>
  <si>
    <t>JPCA_支払要件</t>
  </si>
  <si>
    <t>JPCA_PAY_YOKEN</t>
  </si>
  <si>
    <t>JPCA_注文数量</t>
  </si>
  <si>
    <t>JPCA_CHUMON_SU</t>
  </si>
  <si>
    <t>JPCA_注文・販売個数</t>
  </si>
  <si>
    <t>JPCA_CHUMON_HAN_KOSU</t>
  </si>
  <si>
    <t>JPCA_注文数量単位</t>
  </si>
  <si>
    <t>JPCA_CHUMON_SU_UNIT</t>
  </si>
  <si>
    <t>JPCA_販売数量</t>
  </si>
  <si>
    <t>JPCA_HAN_SU</t>
  </si>
  <si>
    <t>JPCA_金額算出数量</t>
  </si>
  <si>
    <t>JPCA_GAKU_CLC_SU</t>
  </si>
  <si>
    <t>JPCA_EDI荷姿</t>
  </si>
  <si>
    <t>JPCA_EDI_NISUGATA</t>
  </si>
  <si>
    <t>JPCA_容量</t>
  </si>
  <si>
    <t>JPCA_YORYO</t>
  </si>
  <si>
    <t>JPCA_販売金額</t>
  </si>
  <si>
    <t>JPCA_HAN_GAKU</t>
  </si>
  <si>
    <t>JPCA_EDI請求金額</t>
  </si>
  <si>
    <t>JPCA_EDI_SEIKYU_GAKU</t>
  </si>
  <si>
    <t>JPCA_EDI消費税額</t>
  </si>
  <si>
    <t>JPCA_EDI_SHOHIZEI_GAKU</t>
  </si>
  <si>
    <t>JPCA_税込請求額</t>
  </si>
  <si>
    <t>JPCA_ZEIKOMI_SEIKYU_GAKU</t>
  </si>
  <si>
    <t>JPCA_単価金額区分</t>
  </si>
  <si>
    <t>JPCA_TANK_GAKU_KBN</t>
  </si>
  <si>
    <t>JPCA_EDI取引区分コード</t>
  </si>
  <si>
    <t>JPCA_EDI_TORIHIKI_KBN_CD</t>
  </si>
  <si>
    <t>JPCA_遡及区分</t>
  </si>
  <si>
    <t>JPCA_SOKYU_KBN</t>
  </si>
  <si>
    <t>JPCA_出荷請求区分</t>
  </si>
  <si>
    <t>JPCA_SHUKKA_SEIKYU_KBN</t>
  </si>
  <si>
    <t>JPCA_課税区分</t>
  </si>
  <si>
    <t>JPCA_KAZEI_KBN</t>
  </si>
  <si>
    <t>JPCA_バックオーダー計上区分</t>
  </si>
  <si>
    <t>JPCA_BACK_ORDER_KEIJO_KBN</t>
  </si>
  <si>
    <t>JPCA_計上年月</t>
  </si>
  <si>
    <t>JPCA_KEIJO_YM</t>
  </si>
  <si>
    <t>JPCA_割増割引区分</t>
  </si>
  <si>
    <t>JPCA_WARIMASHI_HIKI_KBN</t>
  </si>
  <si>
    <t>JPCA_割増割引理由</t>
  </si>
  <si>
    <t>JPCA_WARIMASHI_HIKI_RIYU</t>
  </si>
  <si>
    <t>JPCA_出荷年月日(予定)</t>
  </si>
  <si>
    <t>JPCA_SHUKKA_YMD_YOTEI</t>
  </si>
  <si>
    <t>JPCA_出荷報告番号</t>
  </si>
  <si>
    <t>JPCA_SHUKKA_HOKOKU_NO</t>
  </si>
  <si>
    <t>JPCA_出荷請求番号</t>
  </si>
  <si>
    <t>JPCA_SHUKKA_SEIKYU_NO</t>
  </si>
  <si>
    <t>JPCA_出荷場所</t>
  </si>
  <si>
    <t>JPCA_SHUKKA_BASHO</t>
  </si>
  <si>
    <t>JPCA_出荷指示コメント(カナ)</t>
  </si>
  <si>
    <t>JPCA_SHUKKA_SHIJI_COMMENT_KANA</t>
  </si>
  <si>
    <t>JPCA_出荷指示コメント(漢字)</t>
  </si>
  <si>
    <t>JPCA_SHUKKA_SHIJI_COMMENT_KANJ</t>
  </si>
  <si>
    <t>JPCA_輸送手段</t>
  </si>
  <si>
    <t>JPCA_YUSO_SHUDAN</t>
  </si>
  <si>
    <t>JPCA_輸送車両</t>
  </si>
  <si>
    <t>JPCA_YUSO_SHARYO</t>
  </si>
  <si>
    <t>JPCA_発注者情報</t>
  </si>
  <si>
    <t>JPCA_HACSHA_INF</t>
  </si>
  <si>
    <t>JPCA_受注者情報</t>
  </si>
  <si>
    <t>JPCA_JUC_INF</t>
  </si>
  <si>
    <t>JPCA_国内輸出区分</t>
  </si>
  <si>
    <t>JPCA_DOM_EXP_KBN</t>
  </si>
  <si>
    <t>JPCA_エラー理由</t>
  </si>
  <si>
    <t>JPCA_ERR_RIYU</t>
  </si>
  <si>
    <t>JPCA_エラーコメント(カナ)</t>
  </si>
  <si>
    <t>JPCA_ERR_COMMENT_KANA</t>
  </si>
  <si>
    <t>JPCA_エラーコメント(漢字)</t>
  </si>
  <si>
    <t>JPCA_ERR_COMMENT_KANJI</t>
  </si>
  <si>
    <t>JPCA_請求確認区分</t>
  </si>
  <si>
    <t>JPCA_SEIKYU_CHK_KBN</t>
  </si>
  <si>
    <t>JPCA_予備欄(カナ)</t>
  </si>
  <si>
    <t>JPCA_YOBI_KANA</t>
  </si>
  <si>
    <t>JPCA_予備欄(漢字)</t>
  </si>
  <si>
    <t>JPCA_YOBI_KANJI</t>
  </si>
  <si>
    <t>全角文字</t>
  </si>
  <si>
    <t>NSB</t>
    <phoneticPr fontId="3"/>
  </si>
  <si>
    <t>①送受信ファイル一覧</t>
    <rPh sb="1" eb="4">
      <t>ソウジュシン</t>
    </rPh>
    <rPh sb="8" eb="10">
      <t>イチラン</t>
    </rPh>
    <phoneticPr fontId="3"/>
  </si>
  <si>
    <t>S：スタート、H：ヘッダ、B：ボディ、T：トレーラ、E：エンド</t>
    <phoneticPr fontId="3"/>
  </si>
  <si>
    <t>フォーマット種類</t>
    <rPh sb="6" eb="8">
      <t>シュルイ</t>
    </rPh>
    <phoneticPr fontId="3"/>
  </si>
  <si>
    <t>ファイル構成</t>
    <rPh sb="4" eb="6">
      <t>コウセイ</t>
    </rPh>
    <phoneticPr fontId="3"/>
  </si>
  <si>
    <t>0件データ伝送有無</t>
    <rPh sb="1" eb="2">
      <t>ケン</t>
    </rPh>
    <rPh sb="5" eb="7">
      <t>デンソウ</t>
    </rPh>
    <rPh sb="7" eb="9">
      <t>ウム</t>
    </rPh>
    <phoneticPr fontId="3"/>
  </si>
  <si>
    <t>JPCA</t>
    <phoneticPr fontId="3"/>
  </si>
  <si>
    <t>無</t>
    <rPh sb="0" eb="1">
      <t>ナシ</t>
    </rPh>
    <phoneticPr fontId="3"/>
  </si>
  <si>
    <t>②データの見方</t>
    <rPh sb="5" eb="7">
      <t>ミカタ</t>
    </rPh>
    <phoneticPr fontId="3"/>
  </si>
  <si>
    <t>B：ボディ</t>
    <phoneticPr fontId="3"/>
  </si>
  <si>
    <t>③抽出条件</t>
    <rPh sb="1" eb="3">
      <t>チュウシュツ</t>
    </rPh>
    <rPh sb="3" eb="5">
      <t>ジョウケン</t>
    </rPh>
    <phoneticPr fontId="3"/>
  </si>
  <si>
    <t>④ヘッダ・トレーラ編集</t>
    <rPh sb="9" eb="11">
      <t>ヘンシュウ</t>
    </rPh>
    <phoneticPr fontId="3"/>
  </si>
  <si>
    <t>なし。</t>
    <phoneticPr fontId="3"/>
  </si>
  <si>
    <t>⑤0件データ伝送仕様</t>
    <rPh sb="2" eb="3">
      <t>ケン</t>
    </rPh>
    <rPh sb="6" eb="8">
      <t>デンソウ</t>
    </rPh>
    <rPh sb="8" eb="10">
      <t>シヨウ</t>
    </rPh>
    <phoneticPr fontId="3"/>
  </si>
  <si>
    <t>■</t>
  </si>
  <si>
    <t>レコード長</t>
    <rPh sb="4" eb="5">
      <t>チョウ</t>
    </rPh>
    <phoneticPr fontId="3"/>
  </si>
  <si>
    <t>文字コード</t>
    <rPh sb="0" eb="2">
      <t>モジ</t>
    </rPh>
    <phoneticPr fontId="3"/>
  </si>
  <si>
    <t>SJIS</t>
  </si>
  <si>
    <t>項目</t>
  </si>
  <si>
    <t>小数</t>
  </si>
  <si>
    <t>小数点</t>
    <rPh sb="0" eb="3">
      <t>ショウスウテン</t>
    </rPh>
    <phoneticPr fontId="3"/>
  </si>
  <si>
    <t>Ｓｈｉｆｔ
有無</t>
    <rPh sb="6" eb="8">
      <t>ウム</t>
    </rPh>
    <phoneticPr fontId="3"/>
  </si>
  <si>
    <t>開始</t>
    <rPh sb="0" eb="2">
      <t>カイシ</t>
    </rPh>
    <phoneticPr fontId="3"/>
  </si>
  <si>
    <t>グループ</t>
  </si>
  <si>
    <t>項　目　名（和名）</t>
    <rPh sb="6" eb="8">
      <t>ワメイ</t>
    </rPh>
    <phoneticPr fontId="3"/>
  </si>
  <si>
    <t>項目名（英名）</t>
    <rPh sb="0" eb="2">
      <t>コウモク</t>
    </rPh>
    <rPh sb="2" eb="3">
      <t>メイ</t>
    </rPh>
    <rPh sb="4" eb="6">
      <t>エイメイ</t>
    </rPh>
    <phoneticPr fontId="3"/>
  </si>
  <si>
    <t>型</t>
  </si>
  <si>
    <t>桁数</t>
  </si>
  <si>
    <t>有無</t>
    <rPh sb="0" eb="2">
      <t>ウム</t>
    </rPh>
    <phoneticPr fontId="3"/>
  </si>
  <si>
    <t>UNPAC</t>
    <phoneticPr fontId="3"/>
  </si>
  <si>
    <t>位置</t>
    <rPh sb="0" eb="2">
      <t>イチ</t>
    </rPh>
    <phoneticPr fontId="3"/>
  </si>
  <si>
    <t>備　　　　　考</t>
    <rPh sb="0" eb="1">
      <t>ソナエ</t>
    </rPh>
    <rPh sb="6" eb="7">
      <t>コウ</t>
    </rPh>
    <phoneticPr fontId="3"/>
  </si>
  <si>
    <t>リザーブ</t>
  </si>
  <si>
    <t>RESERVE</t>
  </si>
  <si>
    <t>文字</t>
  </si>
  <si>
    <t>BPID</t>
  </si>
  <si>
    <t>送受信</t>
  </si>
  <si>
    <t>SND_RCV</t>
  </si>
  <si>
    <t>情報区分</t>
  </si>
  <si>
    <t>INF_KBN</t>
  </si>
  <si>
    <t>JISHA_CD</t>
  </si>
  <si>
    <t>AITE_SAKI_CD</t>
  </si>
  <si>
    <t>データ種別</t>
  </si>
  <si>
    <t>DATA_SBT</t>
  </si>
  <si>
    <t>処理区分</t>
  </si>
  <si>
    <t>FUNC_KBN</t>
  </si>
  <si>
    <t>処理年月日</t>
  </si>
  <si>
    <t>FUNC_YMD</t>
  </si>
  <si>
    <t>処理時刻</t>
  </si>
  <si>
    <t>FUNC_TM</t>
  </si>
  <si>
    <t>赤黒区分</t>
  </si>
  <si>
    <t>AKAKURO_KBN</t>
  </si>
  <si>
    <t>HACSHA_KIGYO_CD</t>
  </si>
  <si>
    <t>発注者部門コード</t>
  </si>
  <si>
    <t>HACSHA_BMN_CD</t>
  </si>
  <si>
    <t>新発注者企業コード</t>
  </si>
  <si>
    <t>NEW_HACSHA_KIGYO_CD</t>
  </si>
  <si>
    <t>新発注者部門コード</t>
  </si>
  <si>
    <t>NEW_HACSHA_BMN_CD</t>
  </si>
  <si>
    <t>JUC_KIGYO_CD</t>
  </si>
  <si>
    <t>受注者部門コード</t>
  </si>
  <si>
    <t>JUC_BMN_CD</t>
  </si>
  <si>
    <t>請求者企業コード</t>
  </si>
  <si>
    <t>SEIKYU_KIGYO_CD</t>
  </si>
  <si>
    <t>請求者部門コード</t>
  </si>
  <si>
    <t>SEIKYU_BMN_CD</t>
  </si>
  <si>
    <t>支払者企業コード</t>
  </si>
  <si>
    <t>PAY_KIGYO_CD</t>
  </si>
  <si>
    <t>支払者部門コード</t>
  </si>
  <si>
    <t>PAY_BMN_CD</t>
  </si>
  <si>
    <t>契約番号</t>
  </si>
  <si>
    <t>KEIYAKU_NO</t>
  </si>
  <si>
    <t>注文番号</t>
  </si>
  <si>
    <t>CHUMON_NO</t>
  </si>
  <si>
    <t>HACSHA_CHUMON_D</t>
  </si>
  <si>
    <t>HACSHA_CHUMON_TM</t>
  </si>
  <si>
    <t>オーダー区分</t>
  </si>
  <si>
    <t>ORDER_KBN</t>
  </si>
  <si>
    <t>連絡要否区分</t>
  </si>
  <si>
    <t>RENRAKU_YN_KBN</t>
  </si>
  <si>
    <t>数量指定区分</t>
  </si>
  <si>
    <t>SURYO_SHITEI_KBN</t>
  </si>
  <si>
    <t>受注番号</t>
  </si>
  <si>
    <t>JUC_NO</t>
  </si>
  <si>
    <t>受注者注文受付日付</t>
  </si>
  <si>
    <t>JUC_CHUMON_UKETSUKE_DT</t>
  </si>
  <si>
    <t>受注者注文受付時刻</t>
  </si>
  <si>
    <t>JUC_CHUMON_UKETSUKE_TM</t>
  </si>
  <si>
    <t>受注者注文確定日</t>
  </si>
  <si>
    <t>JUC_CHUMON_CONFIRM_D</t>
  </si>
  <si>
    <t>分納区分</t>
  </si>
  <si>
    <t>BUNNO_KBN</t>
  </si>
  <si>
    <t>受注者処理区分</t>
  </si>
  <si>
    <t>JUC_FUNC_KBN</t>
  </si>
  <si>
    <t>品名グループ</t>
  </si>
  <si>
    <t>HINMEI_GROUP</t>
  </si>
  <si>
    <t>HINMEI_KANA</t>
  </si>
  <si>
    <t>品名（漢字）</t>
  </si>
  <si>
    <t>HINMEI_KANJI</t>
  </si>
  <si>
    <t>ロット番号指定区分</t>
  </si>
  <si>
    <t>LOT_NO_SHITEI_KBN</t>
  </si>
  <si>
    <t>ロット番号</t>
  </si>
  <si>
    <t>LOT_NO</t>
  </si>
  <si>
    <t>需要家企業コード</t>
  </si>
  <si>
    <t>JUYOKA_KIGYO_CD</t>
  </si>
  <si>
    <t>需要家部門コード</t>
  </si>
  <si>
    <t>JUYOKA_BMN_CD</t>
  </si>
  <si>
    <t>需要家名称（カナ）</t>
  </si>
  <si>
    <t>JUYOKA_NM_KANA</t>
  </si>
  <si>
    <t>需要家名称（漢字）</t>
  </si>
  <si>
    <t>JUYOKA_NM_KANJI</t>
  </si>
  <si>
    <t>需要家注文番号</t>
  </si>
  <si>
    <t>JUYOKA_CHUMON_NO</t>
  </si>
  <si>
    <t>NIJITEN_NM_KANA</t>
  </si>
  <si>
    <t>NIJITEN_NM_KANJI</t>
  </si>
  <si>
    <t>SANJITEN_KIGYO_CD</t>
  </si>
  <si>
    <t>SANJITEN_BMN_CD</t>
  </si>
  <si>
    <t>SANJITEN_NM_KANA</t>
  </si>
  <si>
    <t>SANJITEN_NM_KANJI</t>
  </si>
  <si>
    <t>決済条件締切日</t>
  </si>
  <si>
    <t>KESSAI_JOKEN_SHIMEKIRI_D</t>
  </si>
  <si>
    <t>決済条件起算日</t>
  </si>
  <si>
    <t>KESSAI_JOKEN_KISAN_D</t>
  </si>
  <si>
    <t>KESSAI_JOKEN_SHUDAN</t>
  </si>
  <si>
    <t>決済条件満期日</t>
  </si>
  <si>
    <t>KESSAI_JOKEN_MANKI_D</t>
  </si>
  <si>
    <t>決済条件</t>
  </si>
  <si>
    <t>KESSAI_JOKEN</t>
  </si>
  <si>
    <t>数量確定区分</t>
  </si>
  <si>
    <t>SURYO_CONFIRM_KBN</t>
  </si>
  <si>
    <t>HAN_TANK</t>
  </si>
  <si>
    <t>無</t>
  </si>
  <si>
    <t>単価単位</t>
  </si>
  <si>
    <t>TANK_UNIT</t>
  </si>
  <si>
    <t>単価区分</t>
  </si>
  <si>
    <t>TANK_KBN</t>
  </si>
  <si>
    <t>口銭区分</t>
  </si>
  <si>
    <t>KOSEN_KBN</t>
  </si>
  <si>
    <t>口銭単価</t>
  </si>
  <si>
    <t>KOSEN_TANK</t>
  </si>
  <si>
    <t>NIJITEN_KOSEN_KBN</t>
  </si>
  <si>
    <t>NIJITEN_KOSEN_TANK</t>
  </si>
  <si>
    <t>納入先企業コード</t>
  </si>
  <si>
    <t>NNY_KIGYO_CD</t>
  </si>
  <si>
    <t>納入先部門コード</t>
  </si>
  <si>
    <t>NNY_BMN_CD</t>
  </si>
  <si>
    <t>納入先名称（カナ）</t>
  </si>
  <si>
    <t>NNY_NM_KANA</t>
  </si>
  <si>
    <t>納入先名称（漢字）</t>
  </si>
  <si>
    <t>NNY_NM_KANJI</t>
  </si>
  <si>
    <t>受渡条件</t>
  </si>
  <si>
    <t>UKEWATASHI_JOKEN</t>
  </si>
  <si>
    <t>受渡場所住所（カナ）</t>
  </si>
  <si>
    <t>UKEWATASHI_BASHO_ADDRK</t>
  </si>
  <si>
    <t>受渡場所住所（漢字）</t>
  </si>
  <si>
    <t>UKEWATASHI_BASHO_ADDR</t>
  </si>
  <si>
    <t>地区コード</t>
  </si>
  <si>
    <t>CHIKU_CD</t>
  </si>
  <si>
    <t>郵便番号</t>
  </si>
  <si>
    <t>ZIP</t>
  </si>
  <si>
    <t>電話番号</t>
  </si>
  <si>
    <t>TEL</t>
  </si>
  <si>
    <t>希望納入時刻</t>
  </si>
  <si>
    <t>KIBO_NONYU_TM</t>
  </si>
  <si>
    <t>希望納入コメント</t>
  </si>
  <si>
    <t>KIBO_NONYU_COMMENT</t>
  </si>
  <si>
    <t>納入年月日</t>
  </si>
  <si>
    <t>NONYU_YMD</t>
  </si>
  <si>
    <t>納入要件（漢字）</t>
  </si>
  <si>
    <t>NONYU_YOKEN_KANJI</t>
  </si>
  <si>
    <t>PAY_GAKU</t>
  </si>
  <si>
    <t>支払整理番号</t>
  </si>
  <si>
    <t>PAY_SEIRI_NO</t>
  </si>
  <si>
    <t>CHUMON_SURYO</t>
  </si>
  <si>
    <t>CHUMON_HAN_KOSU</t>
  </si>
  <si>
    <t>注文数量単位</t>
  </si>
  <si>
    <t>CHUMON_SURYO_UNIT</t>
  </si>
  <si>
    <t>販売数量</t>
  </si>
  <si>
    <t>HAN_SURYO</t>
  </si>
  <si>
    <t>金額算出数量</t>
  </si>
  <si>
    <t>GAKU_CLC_SURYO</t>
  </si>
  <si>
    <t>荷姿</t>
  </si>
  <si>
    <t>NISUGATA</t>
  </si>
  <si>
    <t>容量</t>
  </si>
  <si>
    <t>YORYO</t>
  </si>
  <si>
    <t>販売金額</t>
  </si>
  <si>
    <t>HAN_GAKU</t>
  </si>
  <si>
    <t>請求金額</t>
  </si>
  <si>
    <t>SEIKYU_GAKU</t>
  </si>
  <si>
    <t>消費税額</t>
  </si>
  <si>
    <t>SHOHIZEI_GAKU</t>
  </si>
  <si>
    <t>税込請求額</t>
  </si>
  <si>
    <t>ZEIKOMI_SEIKYU_GAKU</t>
  </si>
  <si>
    <t>TANK_GAKU_KBN</t>
  </si>
  <si>
    <t>TORIHIKI_KBN</t>
  </si>
  <si>
    <t>遡及区分</t>
  </si>
  <si>
    <t>SOKYU_KBN</t>
  </si>
  <si>
    <t>課税区分</t>
  </si>
  <si>
    <t>KAZEI_KBN</t>
  </si>
  <si>
    <t>バックオーダー区分</t>
  </si>
  <si>
    <t>BACK_ORDER_KBN</t>
  </si>
  <si>
    <t>出荷年月日（予定）</t>
  </si>
  <si>
    <t>SHUKKA_YMD_YOTEI</t>
  </si>
  <si>
    <t>出荷請求番号</t>
  </si>
  <si>
    <t>SHUKKA_SEIKYU_NO</t>
  </si>
  <si>
    <t>出荷場所</t>
  </si>
  <si>
    <t>SHUKKA_BASHO</t>
  </si>
  <si>
    <t>出荷指図コメント（カナ）</t>
  </si>
  <si>
    <t>SHUKKA_SASHIZU_COMMENT_KANA</t>
  </si>
  <si>
    <t>出荷指図コメント（漢字）</t>
  </si>
  <si>
    <t>SHUKKA_SASHIZU_COMMENT_KANJI</t>
  </si>
  <si>
    <t>輸送手段</t>
  </si>
  <si>
    <t>YUSO_SHUDAN</t>
  </si>
  <si>
    <t>輸送車種</t>
  </si>
  <si>
    <t>YUSO_SHASHU</t>
  </si>
  <si>
    <t>発注者情報</t>
  </si>
  <si>
    <t>HACSHA_INF</t>
  </si>
  <si>
    <t>受注者情報</t>
  </si>
  <si>
    <t>JUC_INF</t>
  </si>
  <si>
    <t>国内輸出区分</t>
  </si>
  <si>
    <t>DOM_EXP_KBN</t>
  </si>
  <si>
    <t>エラー理由</t>
  </si>
  <si>
    <t>ERR_RIYU</t>
  </si>
  <si>
    <t>エラーコメント（漢字）</t>
  </si>
  <si>
    <t>ERR_COMMENT_KANJI</t>
  </si>
  <si>
    <t>請求確認区分</t>
  </si>
  <si>
    <t>SEIKYU_CHK_KBN</t>
  </si>
  <si>
    <t>予備欄（漢字）</t>
  </si>
  <si>
    <t>YOBI_KANJI</t>
  </si>
  <si>
    <t>△：半角空白、□：全角空白</t>
    <rPh sb="2" eb="4">
      <t>ハンカク</t>
    </rPh>
    <rPh sb="4" eb="6">
      <t>クウハク</t>
    </rPh>
    <rPh sb="9" eb="11">
      <t>ゼンカク</t>
    </rPh>
    <rPh sb="11" eb="13">
      <t>クウハク</t>
    </rPh>
    <phoneticPr fontId="3"/>
  </si>
  <si>
    <t>ファイル名:NSBA1301</t>
    <rPh sb="4" eb="5">
      <t>メイ</t>
    </rPh>
    <phoneticPr fontId="3"/>
  </si>
  <si>
    <t>OUTPUTファイルレイアウト</t>
    <phoneticPr fontId="3"/>
  </si>
  <si>
    <t>自社コード</t>
  </si>
  <si>
    <t>発注者企業コード</t>
  </si>
  <si>
    <t>受注者企業コード</t>
  </si>
  <si>
    <t>品名（カナ）</t>
  </si>
  <si>
    <t>決済条件手段</t>
  </si>
  <si>
    <t>決済条件基準</t>
  </si>
  <si>
    <t>販売単価</t>
  </si>
  <si>
    <t>納入先名称</t>
  </si>
  <si>
    <t>納入日（予定）</t>
  </si>
  <si>
    <t>単価金額区分</t>
  </si>
  <si>
    <t>取引区分</t>
  </si>
  <si>
    <t>出荷請求区分</t>
  </si>
  <si>
    <t>適用税率</t>
  </si>
  <si>
    <t>請求者登録番号</t>
  </si>
  <si>
    <t>エラーメッセージ</t>
  </si>
  <si>
    <t>KESSAI_JOKEN_KIJUN</t>
  </si>
  <si>
    <t>NNY_NM_D_YOTEI</t>
  </si>
  <si>
    <t>SHUKKA_SEIKYU_KBN</t>
  </si>
  <si>
    <t>TEKIYO_TAX_RATE</t>
  </si>
  <si>
    <t>ERR_MSG</t>
  </si>
  <si>
    <t>YOBI</t>
  </si>
  <si>
    <t>PAC/</t>
    <phoneticPr fontId="3"/>
  </si>
  <si>
    <t>数値文字列</t>
  </si>
  <si>
    <t>相手先コード</t>
    <rPh sb="2" eb="3">
      <t>サキ</t>
    </rPh>
    <phoneticPr fontId="3"/>
  </si>
  <si>
    <t>支払先部門コード</t>
  </si>
  <si>
    <t>空白5</t>
  </si>
  <si>
    <t>レコード長</t>
    <phoneticPr fontId="3"/>
  </si>
  <si>
    <t>相手先別データレイアウト</t>
  </si>
  <si>
    <t>変更</t>
    <phoneticPr fontId="3"/>
  </si>
  <si>
    <t>箇所</t>
    <rPh sb="0" eb="2">
      <t>カショ</t>
    </rPh>
    <phoneticPr fontId="3"/>
  </si>
  <si>
    <t xml:space="preserve"> </t>
  </si>
  <si>
    <t>●</t>
    <phoneticPr fontId="3"/>
  </si>
  <si>
    <t>支払金額</t>
  </si>
  <si>
    <t>相手先企業コード</t>
  </si>
  <si>
    <t>AITE_SAKI_KIGYO_CD</t>
  </si>
  <si>
    <t>相手先部門コード</t>
  </si>
  <si>
    <t>AITE_SAKI_BMN_CD</t>
  </si>
  <si>
    <t>実施日</t>
  </si>
  <si>
    <t>JISSHI_D</t>
  </si>
  <si>
    <t>発注者注文日</t>
  </si>
  <si>
    <t>発注者注文時刻</t>
  </si>
  <si>
    <t>発注者コメント（カナ）</t>
  </si>
  <si>
    <t>HACSHA_COMMENT_KANA</t>
  </si>
  <si>
    <t>発注者コメント（漢字）</t>
  </si>
  <si>
    <t>HACSHA_COMMENT_KANJI</t>
  </si>
  <si>
    <t>2次店コード</t>
  </si>
  <si>
    <t>NIJITEN_CODE</t>
  </si>
  <si>
    <t>2次店名称（カナ）</t>
  </si>
  <si>
    <t>2次店名称（漢字）</t>
  </si>
  <si>
    <t>3次店企業コード</t>
  </si>
  <si>
    <t>3次店部門コード</t>
  </si>
  <si>
    <t>3次店名称（カナ）</t>
  </si>
  <si>
    <t>3次店名称（漢字）</t>
  </si>
  <si>
    <t>口銭金額</t>
  </si>
  <si>
    <t>KOSEN_GAKU</t>
  </si>
  <si>
    <t>2次店口銭区分</t>
  </si>
  <si>
    <t>2次店口銭単価</t>
  </si>
  <si>
    <t>2次店口銭金額</t>
  </si>
  <si>
    <t>NIJITEN_KOSEN_GAKU</t>
  </si>
  <si>
    <t>FAX番号</t>
  </si>
  <si>
    <t>FAX</t>
  </si>
  <si>
    <t>希望納入日</t>
  </si>
  <si>
    <t>KIBO_NONYU_D</t>
  </si>
  <si>
    <t>納入要件（カナ）</t>
  </si>
  <si>
    <t>NONYU_YOKEN_KANA</t>
  </si>
  <si>
    <t>銀行情報</t>
  </si>
  <si>
    <t>BANK_INF</t>
  </si>
  <si>
    <t>注文数量</t>
  </si>
  <si>
    <t>注文･販売個数</t>
  </si>
  <si>
    <t>販売個数</t>
  </si>
  <si>
    <t>HAN_KOSU</t>
  </si>
  <si>
    <t>荷姿コード</t>
  </si>
  <si>
    <t>NISUGATA_CD</t>
  </si>
  <si>
    <t>荷姿名</t>
  </si>
  <si>
    <t>NISUGATA_NM</t>
  </si>
  <si>
    <t>単価･金額区分</t>
  </si>
  <si>
    <t>SHUKKA_SEIKYU_REG_NO</t>
  </si>
  <si>
    <t>返品資産の基譲渡日</t>
  </si>
  <si>
    <t>HEMPIN_SHISAN_MOTO_JOTO_KEIJO_D</t>
  </si>
  <si>
    <t>出荷請求年月日(予定)</t>
  </si>
  <si>
    <t>SHUKKA_SEIKYU_YMD_YOTEI</t>
  </si>
  <si>
    <t>エラーコメント（カナ）</t>
  </si>
  <si>
    <t>ERR_COMMENT_KANA</t>
  </si>
  <si>
    <t>予備欄</t>
  </si>
  <si>
    <t>余白</t>
  </si>
  <si>
    <t>カラム1</t>
  </si>
  <si>
    <t>COLUMN_1</t>
  </si>
  <si>
    <t>△*30</t>
  </si>
  <si>
    <t>△*103</t>
  </si>
  <si>
    <t>yymmdd(システム日付）</t>
    <rPh sb="11" eb="13">
      <t>ヒヅケ</t>
    </rPh>
    <phoneticPr fontId="3"/>
  </si>
  <si>
    <t>送信はJPCAの800バイトのファイルレイアウトで行う</t>
    <rPh sb="0" eb="2">
      <t>ソウシン</t>
    </rPh>
    <rPh sb="25" eb="26">
      <t>オコナ</t>
    </rPh>
    <phoneticPr fontId="3"/>
  </si>
  <si>
    <t>IK</t>
    <phoneticPr fontId="3"/>
  </si>
  <si>
    <t>項目名</t>
    <rPh sb="0" eb="2">
      <t>コウモク</t>
    </rPh>
    <rPh sb="2" eb="3">
      <t>メイ</t>
    </rPh>
    <phoneticPr fontId="3"/>
  </si>
  <si>
    <t>型</t>
    <rPh sb="0" eb="1">
      <t>カタ</t>
    </rPh>
    <phoneticPr fontId="3"/>
  </si>
  <si>
    <t>桁数</t>
    <phoneticPr fontId="3"/>
  </si>
  <si>
    <t>小数
桁数</t>
    <phoneticPr fontId="3"/>
  </si>
  <si>
    <t>開始
位置</t>
    <rPh sb="0" eb="2">
      <t>カイシ</t>
    </rPh>
    <rPh sb="3" eb="5">
      <t>イチ</t>
    </rPh>
    <phoneticPr fontId="3"/>
  </si>
  <si>
    <t>必須/任意</t>
    <rPh sb="0" eb="2">
      <t>ヒッス</t>
    </rPh>
    <rPh sb="3" eb="5">
      <t>ニンイ</t>
    </rPh>
    <phoneticPr fontId="3"/>
  </si>
  <si>
    <t>ﾘｻﾞ-ﾌﾞ</t>
  </si>
  <si>
    <t>自社ｺ-ﾄﾞ</t>
  </si>
  <si>
    <t>相手先ｺ-ﾄﾞ</t>
  </si>
  <si>
    <t>ﾃﾞｰﾀ種別</t>
  </si>
  <si>
    <t>発注者企業ｺｰﾄﾞ</t>
  </si>
  <si>
    <t>発注者部門ｺｰﾄﾞ</t>
  </si>
  <si>
    <t>受注者企業ｺｰﾄﾞ</t>
  </si>
  <si>
    <t>受注者部門ｺｰﾄﾞ</t>
  </si>
  <si>
    <t>請求者企業ｺｰﾄﾞ</t>
  </si>
  <si>
    <t>請求者部門ｺｰﾄﾞ</t>
  </si>
  <si>
    <t>支払者企業ｺｰﾄﾞ</t>
  </si>
  <si>
    <t>支払先部門ｺｰﾄﾞ</t>
  </si>
  <si>
    <t>品名  (ｶﾅ)</t>
  </si>
  <si>
    <t>需要家企業ｺｰﾄﾞ</t>
  </si>
  <si>
    <t>需要家名称  (ｶﾅ)</t>
  </si>
  <si>
    <t>納入先企業ｺｰﾄﾞ</t>
  </si>
  <si>
    <t>納入日(予定)</t>
  </si>
  <si>
    <t>ﾊﾞﾂｸｵ-ﾀﾞ-  区分</t>
  </si>
  <si>
    <t>出荷年月日(予定)</t>
  </si>
  <si>
    <t>出荷指図ｺﾒﾝﾄ(ｶﾅ)</t>
  </si>
  <si>
    <t>ｴﾗｰ理由</t>
  </si>
  <si>
    <t>ｴﾗｰﾒｯｾｰｼﾞ</t>
  </si>
  <si>
    <t>予備欄(漢字)</t>
  </si>
  <si>
    <t>請求確認作成種別＝"2"（作成済）</t>
    <phoneticPr fontId="3"/>
  </si>
  <si>
    <t>・連携ファイルを取り込み、送信対象データを抽出して、件数を確認する。</t>
    <rPh sb="13" eb="17">
      <t>ソウシンタイショウ</t>
    </rPh>
    <rPh sb="21" eb="23">
      <t>チュウシュツ</t>
    </rPh>
    <rPh sb="26" eb="28">
      <t>ケンスウ</t>
    </rPh>
    <rPh sb="29" eb="31">
      <t>カクニン</t>
    </rPh>
    <phoneticPr fontId="3"/>
  </si>
  <si>
    <t>連携ファイル</t>
    <phoneticPr fontId="3"/>
  </si>
  <si>
    <t>(1) 連携ファイルの取込</t>
    <rPh sb="4" eb="6">
      <t>レンケイ</t>
    </rPh>
    <rPh sb="11" eb="13">
      <t>トリコ</t>
    </rPh>
    <phoneticPr fontId="3"/>
  </si>
  <si>
    <t>(2) 送信対象データ作成</t>
    <rPh sb="4" eb="6">
      <t>ソウシン</t>
    </rPh>
    <rPh sb="6" eb="8">
      <t>タイショウ</t>
    </rPh>
    <rPh sb="11" eb="13">
      <t>サクセイ</t>
    </rPh>
    <phoneticPr fontId="3"/>
  </si>
  <si>
    <t>(3) EDI送信DB_請求確認のステータス更新（共通処理呼び出し）</t>
    <phoneticPr fontId="3"/>
  </si>
  <si>
    <t>①連携ファイルから、送信対象データを取得する。</t>
    <rPh sb="10" eb="14">
      <t>ソウシンタイショウ</t>
    </rPh>
    <rPh sb="18" eb="20">
      <t>シュトク</t>
    </rPh>
    <phoneticPr fontId="3"/>
  </si>
  <si>
    <t>FILLER</t>
    <phoneticPr fontId="3"/>
  </si>
  <si>
    <t>FILLER</t>
    <phoneticPr fontId="3"/>
  </si>
  <si>
    <t>送信シーケンスNO</t>
  </si>
  <si>
    <t>受信シーケンスNO_1</t>
  </si>
  <si>
    <t>RCV_SEQ_NO_1</t>
  </si>
  <si>
    <t>受信シーケンスNO_2</t>
  </si>
  <si>
    <t>RCV_SEQ_NO_2</t>
  </si>
  <si>
    <t>計上状況種別</t>
    <phoneticPr fontId="3"/>
  </si>
  <si>
    <t>INPUTファイルレイアウト</t>
    <phoneticPr fontId="3"/>
  </si>
  <si>
    <t>処理受付番号</t>
    <phoneticPr fontId="3"/>
  </si>
  <si>
    <t>【処理受付番号】</t>
    <phoneticPr fontId="3"/>
  </si>
  <si>
    <t>②EDI送信DB_請求確認をEDI送信状況種別="3"（処理済）、処理受付番号=連携ファイル.処理受付番号 にUPDATEする。</t>
    <rPh sb="29" eb="30">
      <t>ズ</t>
    </rPh>
    <rPh sb="40" eb="42">
      <t>レンケイ</t>
    </rPh>
    <phoneticPr fontId="2"/>
  </si>
  <si>
    <t>"m_NSB_請求確認_データ編集_010"</t>
    <phoneticPr fontId="3"/>
  </si>
  <si>
    <t>"m_NSB_請求確認_データ編集_010"</t>
    <phoneticPr fontId="3"/>
  </si>
  <si>
    <t>[処理区分]</t>
  </si>
  <si>
    <t>[赤黒区分]</t>
  </si>
  <si>
    <t>[発注者企業コード]</t>
  </si>
  <si>
    <t>[発注者部門コード]</t>
  </si>
  <si>
    <t>[受注者企業コード]</t>
  </si>
  <si>
    <t>[受注者部門コード]</t>
  </si>
  <si>
    <t>[請求者企業コード]</t>
  </si>
  <si>
    <t>[請求者部門コード]</t>
  </si>
  <si>
    <t>[支払者企業コード]</t>
  </si>
  <si>
    <t>[支払者部門コード]</t>
  </si>
  <si>
    <t>[契約番号]</t>
  </si>
  <si>
    <t>[注文番号]</t>
  </si>
  <si>
    <t>[受注番号]</t>
  </si>
  <si>
    <t>[分納区分]</t>
  </si>
  <si>
    <t>[品名（カナ）]</t>
  </si>
  <si>
    <t>[需要家企業コード]</t>
  </si>
  <si>
    <t>[需要家部門コード]</t>
  </si>
  <si>
    <t>[需要家名称（カナ）]</t>
  </si>
  <si>
    <t>[需要家注文番号]</t>
  </si>
  <si>
    <t>[決済条件締切日]</t>
  </si>
  <si>
    <t>[決済条件起算日]</t>
  </si>
  <si>
    <t>[決済条件手段]</t>
  </si>
  <si>
    <t>[決済条件満期日]</t>
  </si>
  <si>
    <t>[決済条件基準]</t>
  </si>
  <si>
    <t>[決済条件]</t>
  </si>
  <si>
    <t>[数量確定区分]</t>
  </si>
  <si>
    <t>[販売単価]</t>
  </si>
  <si>
    <t>[単価単位]</t>
  </si>
  <si>
    <t>[単価区分]</t>
  </si>
  <si>
    <t>[納入先企業コード]</t>
  </si>
  <si>
    <t>[納入先部門コード]</t>
  </si>
  <si>
    <t>[納入先名称（カナ）]</t>
  </si>
  <si>
    <t>[納入年月日]</t>
  </si>
  <si>
    <t>[販売個数]</t>
  </si>
  <si>
    <t>[金額算出数量]</t>
  </si>
  <si>
    <t>[容量]</t>
  </si>
  <si>
    <t>[販売金額]</t>
  </si>
  <si>
    <t>[消費税額]</t>
  </si>
  <si>
    <t>[税込請求額]</t>
  </si>
  <si>
    <t>[単価･金額区分]</t>
  </si>
  <si>
    <t>[取引区分]</t>
  </si>
  <si>
    <t>[遡及区分]</t>
  </si>
  <si>
    <t>[出荷請求区分]</t>
  </si>
  <si>
    <t>[課税区分]</t>
  </si>
  <si>
    <t>[バックオーダー区分]</t>
  </si>
  <si>
    <t>[出荷請求年月日(予定)]</t>
  </si>
  <si>
    <t>[国内輸出区分]</t>
  </si>
  <si>
    <t>[請求金額]</t>
  </si>
  <si>
    <t>結合文字（[荷姿ｺｰﾄﾞ]、[荷姿名]）</t>
    <rPh sb="0" eb="2">
      <t>ケツゴウ</t>
    </rPh>
    <rPh sb="2" eb="4">
      <t>モジ</t>
    </rPh>
    <phoneticPr fontId="5"/>
  </si>
  <si>
    <t>1</t>
    <phoneticPr fontId="3"/>
  </si>
  <si>
    <t>相手先別データの編集</t>
    <rPh sb="0" eb="2">
      <t>アイテ</t>
    </rPh>
    <rPh sb="2" eb="4">
      <t>サキベツ</t>
    </rPh>
    <rPh sb="8" eb="10">
      <t>ヘンシュウ</t>
    </rPh>
    <phoneticPr fontId="3"/>
  </si>
  <si>
    <t>2</t>
    <phoneticPr fontId="3"/>
  </si>
  <si>
    <t>取引先への送信ファイルの編集</t>
    <rPh sb="0" eb="3">
      <t>トリヒキサキ</t>
    </rPh>
    <rPh sb="5" eb="7">
      <t>ソウシン</t>
    </rPh>
    <rPh sb="12" eb="14">
      <t>ヘンシュウ</t>
    </rPh>
    <phoneticPr fontId="3"/>
  </si>
  <si>
    <t>3</t>
    <phoneticPr fontId="3"/>
  </si>
  <si>
    <t>取引先への送信ファイルを作成</t>
    <phoneticPr fontId="3"/>
  </si>
  <si>
    <t xml:space="preserve">       ﾐｶｸﾆﾝ</t>
    <phoneticPr fontId="3"/>
  </si>
  <si>
    <t>それ以外の場合</t>
    <phoneticPr fontId="3"/>
  </si>
  <si>
    <t xml:space="preserve">       △*10</t>
    <phoneticPr fontId="3"/>
  </si>
  <si>
    <t>エラーメッセージ</t>
    <phoneticPr fontId="3"/>
  </si>
  <si>
    <t>ERR_MSG</t>
    <phoneticPr fontId="3"/>
  </si>
  <si>
    <t xml:space="preserve">       △*44</t>
    <phoneticPr fontId="3"/>
  </si>
  <si>
    <t>請求確認区分</t>
    <phoneticPr fontId="3"/>
  </si>
  <si>
    <t>SEIKYU_CHK_KBN</t>
    <phoneticPr fontId="3"/>
  </si>
  <si>
    <t xml:space="preserve">       2</t>
    <phoneticPr fontId="3"/>
  </si>
  <si>
    <t xml:space="preserve">       1</t>
    <phoneticPr fontId="3"/>
  </si>
  <si>
    <t>CII変換時にバッチでヘッダを付与。</t>
    <rPh sb="3" eb="6">
      <t>ヘンカンジ</t>
    </rPh>
    <rPh sb="15" eb="17">
      <t>フヨ</t>
    </rPh>
    <phoneticPr fontId="3"/>
  </si>
  <si>
    <t>以下の抽出条件を基に作成。</t>
    <rPh sb="0" eb="2">
      <t>イカ</t>
    </rPh>
    <rPh sb="3" eb="5">
      <t>チュウシュツ</t>
    </rPh>
    <rPh sb="5" eb="7">
      <t>ジョウケン</t>
    </rPh>
    <rPh sb="8" eb="9">
      <t>モト</t>
    </rPh>
    <rPh sb="10" eb="12">
      <t>サクセイ</t>
    </rPh>
    <phoneticPr fontId="3"/>
  </si>
  <si>
    <t>連携ファイル.計上状況種別 = '0' ,'1' ,'2' ,'3' ,'4' ,'5'（※１）</t>
    <phoneticPr fontId="3"/>
  </si>
  <si>
    <t>EDI送信状況種別="3"（処理済）</t>
  </si>
  <si>
    <t>処理受付番号=連携ファイル.処理受付番号</t>
  </si>
  <si>
    <t>以下の更新条件を基に更新。</t>
    <rPh sb="0" eb="2">
      <t>イカ</t>
    </rPh>
    <rPh sb="3" eb="5">
      <t>コウシン</t>
    </rPh>
    <rPh sb="5" eb="7">
      <t>ジョウケン</t>
    </rPh>
    <rPh sb="8" eb="9">
      <t>モト</t>
    </rPh>
    <rPh sb="10" eb="12">
      <t>コウシン</t>
    </rPh>
    <phoneticPr fontId="3"/>
  </si>
  <si>
    <t>①より取得した連携ファイルの相手先別データを「６．１．相手先別データレイアウト」の桁数ごとに分割し、各項目にマッピングする。</t>
    <phoneticPr fontId="3"/>
  </si>
  <si>
    <t>再マッピングした相手先別データと連携ファイルを元に、「７．項目転送 (請求データ送信ファイル)」に従い、送信ファイルの項目にマッピングする。</t>
    <phoneticPr fontId="3"/>
  </si>
  <si>
    <t>"3"（処理済）</t>
    <phoneticPr fontId="3"/>
  </si>
  <si>
    <t>"2"（作成済）</t>
    <phoneticPr fontId="3"/>
  </si>
  <si>
    <t xml:space="preserve">連携ファイル.計上状況種別 IN ('0' ,'5')の場合	</t>
    <rPh sb="0" eb="2">
      <t>レンケイ</t>
    </rPh>
    <phoneticPr fontId="3"/>
  </si>
  <si>
    <t>請求確認データ送信ファイルマッピング仕様</t>
    <rPh sb="0" eb="2">
      <t>セイキュウ</t>
    </rPh>
    <rPh sb="2" eb="4">
      <t>カクニン</t>
    </rPh>
    <rPh sb="7" eb="9">
      <t>ソウシン</t>
    </rPh>
    <phoneticPr fontId="3"/>
  </si>
  <si>
    <t>請求確認データ送信ファイルマッピング</t>
    <phoneticPr fontId="3"/>
  </si>
  <si>
    <t>【ボディレコード】</t>
    <phoneticPr fontId="3"/>
  </si>
  <si>
    <t>シート「２.機能」　④機能詳細　(1) 送信対象データ作成　を参照。</t>
    <rPh sb="6" eb="8">
      <t>キノウ</t>
    </rPh>
    <rPh sb="31" eb="33">
      <t>サンショウ</t>
    </rPh>
    <phoneticPr fontId="3"/>
  </si>
  <si>
    <t>計上状況種別</t>
    <phoneticPr fontId="53"/>
  </si>
  <si>
    <t>未確認</t>
  </si>
  <si>
    <t>計上済</t>
  </si>
  <si>
    <t>否認</t>
  </si>
  <si>
    <t>保留</t>
  </si>
  <si>
    <t>相殺</t>
  </si>
  <si>
    <t>計上取消</t>
  </si>
  <si>
    <t>※１　計上状況種別</t>
    <rPh sb="3" eb="5">
      <t>ケイジョウ</t>
    </rPh>
    <rPh sb="5" eb="7">
      <t>ジョウキョウ</t>
    </rPh>
    <rPh sb="7" eb="9">
      <t>シュベツ</t>
    </rPh>
    <phoneticPr fontId="3"/>
  </si>
  <si>
    <t>　・連携ファイル.計上状況種別 = '0' ,'1' ,'2' ,'3' ,'4' ,'5'（※１）</t>
    <phoneticPr fontId="3"/>
  </si>
  <si>
    <t>出力フォーマットは「５．OUTPUTファイルレイアウト(B) (送信ファイル）」シートを参照。</t>
    <phoneticPr fontId="3"/>
  </si>
  <si>
    <t>連携ファイル.削除区分 = "0"（有効）　かつ</t>
    <rPh sb="18" eb="20">
      <t>ユウコウ</t>
    </rPh>
    <phoneticPr fontId="3"/>
  </si>
  <si>
    <t>H：ヘッダ</t>
    <phoneticPr fontId="3"/>
  </si>
  <si>
    <t>　・連携ファイル.削除区分 = '0'（有効）</t>
    <phoneticPr fontId="3"/>
  </si>
  <si>
    <t>　・連携ファイル.送信データ削除区分 = '0'（送信対象）</t>
    <phoneticPr fontId="3"/>
  </si>
  <si>
    <t>連携ファイル.送信データ削除区分 = "0"（送信対象）　かつ</t>
    <phoneticPr fontId="3"/>
  </si>
  <si>
    <t>連携ファイル.計上状況種別 = '2'の場合</t>
    <phoneticPr fontId="3"/>
  </si>
  <si>
    <t>エラーメッセージ(否認理由)</t>
    <phoneticPr fontId="3"/>
  </si>
  <si>
    <t xml:space="preserve">       連携ファイル.エラーメッセージ(否認理由)の先頭10バイト	</t>
    <phoneticPr fontId="3"/>
  </si>
  <si>
    <t>連携ファイル.計上状況種別 IN ('0' ,'5')の場合</t>
    <phoneticPr fontId="3"/>
  </si>
  <si>
    <t>連携ファイル.計上状況種別] = '2'の場合</t>
    <phoneticPr fontId="3"/>
  </si>
  <si>
    <t xml:space="preserve">       連携ファイル.エラーメッセージ(否認理由)</t>
    <phoneticPr fontId="3"/>
  </si>
  <si>
    <t>連携ファイル.計上状況種別 IN ('0' ,'2' ,'5')の場合</t>
    <phoneticPr fontId="3"/>
  </si>
  <si>
    <t>連携ファイル.計上状況種別 IN ('1' ,'3' ,'4')の場合</t>
    <phoneticPr fontId="3"/>
  </si>
  <si>
    <t>"△"</t>
    <phoneticPr fontId="3"/>
  </si>
  <si>
    <t>"JPCA0102"</t>
    <phoneticPr fontId="3"/>
  </si>
  <si>
    <t>"S"</t>
    <phoneticPr fontId="3"/>
  </si>
  <si>
    <t>"1720"</t>
    <phoneticPr fontId="3"/>
  </si>
  <si>
    <t>"101913000010"</t>
    <phoneticPr fontId="3"/>
  </si>
  <si>
    <t>"506040999995"</t>
    <phoneticPr fontId="3"/>
  </si>
  <si>
    <t xml:space="preserve">［  ］：６．１．相手先別データレイアウト </t>
    <phoneticPr fontId="3"/>
  </si>
  <si>
    <t>アンパック数値文字列を数値に変換し使用</t>
  </si>
  <si>
    <t>更新対象レコードのロック</t>
    <phoneticPr fontId="3"/>
  </si>
  <si>
    <t>日本触媒_請求確認</t>
    <rPh sb="0" eb="4">
      <t>ニホンショクバイ</t>
    </rPh>
    <phoneticPr fontId="3"/>
  </si>
  <si>
    <t>請求確認</t>
    <rPh sb="0" eb="2">
      <t>セイキュウ</t>
    </rPh>
    <rPh sb="2" eb="4">
      <t>カクニン</t>
    </rPh>
    <phoneticPr fontId="3"/>
  </si>
  <si>
    <t>・共通処理_EDI送信_請求確認_データ抽出 にて、連携ファイル（NSBA130S02001）を取り込み、日本触媒向けの請求確認ファイルを作成する。</t>
    <rPh sb="26" eb="28">
      <t>レンケイ</t>
    </rPh>
    <rPh sb="48" eb="49">
      <t>ト</t>
    </rPh>
    <rPh sb="50" eb="51">
      <t>コ</t>
    </rPh>
    <rPh sb="53" eb="57">
      <t>ニホンショクバイ</t>
    </rPh>
    <rPh sb="57" eb="58">
      <t>ム</t>
    </rPh>
    <rPh sb="60" eb="64">
      <t>セイキュウカクニン</t>
    </rPh>
    <phoneticPr fontId="3"/>
  </si>
  <si>
    <t>EDIサーバ：/PRD/Temp/NSBA130S02001（共通処理で作成）</t>
  </si>
  <si>
    <t>共通処理で作成された連携ファイル「NSBA130S02001」を取り込む。</t>
    <rPh sb="32" eb="33">
      <t>ト</t>
    </rPh>
    <phoneticPr fontId="3"/>
  </si>
  <si>
    <t>→ファイルパス：/EDIサーバ/PRD/Temp/NSBA130S02001</t>
  </si>
  <si>
    <t>H1+H2+B+T</t>
    <phoneticPr fontId="3"/>
  </si>
  <si>
    <t>発注データ</t>
    <phoneticPr fontId="3"/>
  </si>
  <si>
    <t>※</t>
    <phoneticPr fontId="3"/>
  </si>
  <si>
    <t>T：トレーラ</t>
    <phoneticPr fontId="3"/>
  </si>
  <si>
    <t>１レコード目：ヘッダ、ボディ、最終レコード：トレーラ</t>
    <phoneticPr fontId="3"/>
  </si>
  <si>
    <t>（※NTS処理で付与）</t>
    <rPh sb="5" eb="7">
      <t>ショリ</t>
    </rPh>
    <rPh sb="8" eb="10">
      <t>フヨ</t>
    </rPh>
    <phoneticPr fontId="3"/>
  </si>
  <si>
    <t>EDI送信DB_請求確認.受信SEQ番号 = EDI受信DB_仕入先.受信SEQ番号</t>
  </si>
  <si>
    <t>EDI送信DB_請求確認.削除区分＝"0"（有効）</t>
  </si>
  <si>
    <t>EDI送信DB_請求確認.EDI送信状況種別="1"（処理中）</t>
    <rPh sb="27" eb="30">
      <t>ショリチュウ</t>
    </rPh>
    <phoneticPr fontId="3"/>
  </si>
  <si>
    <t>EDI送信DB_請求確認.送信データ削除区分＝"0"（送信対象）</t>
  </si>
  <si>
    <t>EDI送信DB_請求確認.ﾃﾞｰﾀ交換ID="001440"（日本触媒）</t>
    <rPh sb="31" eb="35">
      <t>ニホンショクバイ</t>
    </rPh>
    <phoneticPr fontId="3"/>
  </si>
  <si>
    <t>EDI送信DB_請求確認.EDI機能カテゴリ種別 = 'A130'（請求確認）</t>
    <rPh sb="34" eb="38">
      <t>セイキュウカクニン</t>
    </rPh>
    <phoneticPr fontId="3"/>
  </si>
  <si>
    <t>※送信シーケンスNO = 中間データ.送信シーケンスNO</t>
    <rPh sb="1" eb="3">
      <t>ソウシン</t>
    </rPh>
    <rPh sb="13" eb="15">
      <t>チュウカン</t>
    </rPh>
    <rPh sb="19" eb="21">
      <t>ソウシン</t>
    </rPh>
    <phoneticPr fontId="3"/>
  </si>
  <si>
    <t>①EDI送信DB_請求確認とEDI受信DB_仕入先より対象の中間ﾃﾞｰﾀをSELECT for Updateでレコードロックする</t>
    <rPh sb="4" eb="6">
      <t>ソウシン</t>
    </rPh>
    <rPh sb="9" eb="13">
      <t>セイキュウカクニン</t>
    </rPh>
    <rPh sb="17" eb="19">
      <t>ジュシン</t>
    </rPh>
    <rPh sb="22" eb="25">
      <t>シイレサキ</t>
    </rPh>
    <rPh sb="27" eb="29">
      <t>タイショウ</t>
    </rPh>
    <rPh sb="30" eb="32">
      <t>チュウカン</t>
    </rPh>
    <phoneticPr fontId="3"/>
  </si>
  <si>
    <t>　・中間データ.計上状況種別＝"1"（計上済） もしくは "4"（相殺）</t>
    <rPh sb="2" eb="4">
      <t>チュウカン</t>
    </rPh>
    <rPh sb="8" eb="10">
      <t>ケイジョウ</t>
    </rPh>
    <rPh sb="10" eb="12">
      <t>ジョウキョウ</t>
    </rPh>
    <rPh sb="12" eb="14">
      <t>シュベツ</t>
    </rPh>
    <rPh sb="19" eb="21">
      <t>ケイジョウ</t>
    </rPh>
    <rPh sb="21" eb="22">
      <t>ズミ</t>
    </rPh>
    <rPh sb="33" eb="35">
      <t>ソウサイ</t>
    </rPh>
    <phoneticPr fontId="2"/>
  </si>
  <si>
    <t>※受信シーケンスNO = 中間データ.受信シーケンスNO</t>
    <rPh sb="1" eb="3">
      <t>ジュシン</t>
    </rPh>
    <rPh sb="13" eb="15">
      <t>チュウカン</t>
    </rPh>
    <rPh sb="19" eb="21">
      <t>ジュシン</t>
    </rPh>
    <phoneticPr fontId="3"/>
  </si>
  <si>
    <t>③中間データから以下の条件の受信シーケンスNOを抽出する。</t>
    <rPh sb="1" eb="3">
      <t>チュウカン</t>
    </rPh>
    <rPh sb="8" eb="10">
      <t>イカ</t>
    </rPh>
    <rPh sb="11" eb="13">
      <t>ジョウケン</t>
    </rPh>
    <rPh sb="14" eb="16">
      <t>ジュシン</t>
    </rPh>
    <rPh sb="24" eb="26">
      <t>チュウシュツ</t>
    </rPh>
    <phoneticPr fontId="3"/>
  </si>
  <si>
    <t>④EDI受信DB_仕入先を請求確認作成種別＝"2"（作成済）にUPDATEする。</t>
    <phoneticPr fontId="2"/>
  </si>
  <si>
    <t>中間データ</t>
    <rPh sb="0" eb="2">
      <t>チュウカン</t>
    </rPh>
    <phoneticPr fontId="3"/>
  </si>
  <si>
    <t>受信SEQ番号=中間データ.受信SEQ番号</t>
    <rPh sb="0" eb="2">
      <t>ジュシン</t>
    </rPh>
    <rPh sb="8" eb="10">
      <t>チュウカン</t>
    </rPh>
    <rPh sb="14" eb="16">
      <t>ジュシン</t>
    </rPh>
    <phoneticPr fontId="3"/>
  </si>
  <si>
    <t>送信シーケンスNOの抽出</t>
    <rPh sb="0" eb="2">
      <t>ソウシン</t>
    </rPh>
    <rPh sb="10" eb="12">
      <t>チュウシュツ</t>
    </rPh>
    <phoneticPr fontId="3"/>
  </si>
  <si>
    <t>受信シーケンスNOの抽出</t>
    <rPh sb="0" eb="2">
      <t>ジュシン</t>
    </rPh>
    <rPh sb="10" eb="12">
      <t>チュウシュツ</t>
    </rPh>
    <phoneticPr fontId="3"/>
  </si>
  <si>
    <t>[出荷報告番号]の空白スペースをトリム</t>
    <rPh sb="9" eb="11">
      <t>クウハク</t>
    </rPh>
    <phoneticPr fontId="3"/>
  </si>
  <si>
    <t>[出荷請求番号]の空白スペースをトリム</t>
    <phoneticPr fontId="3"/>
  </si>
  <si>
    <t>mplt_CMN_EDI送信DB_請求確認更新２ を呼び出し、以下の処理を行う。</t>
    <phoneticPr fontId="3"/>
  </si>
  <si>
    <t>・mplt_CMN_EDI送信DB_請求確認更新２を呼び出し、EDI送信DB_請求確認のEDI送信状況種別と処理受付番号、EDI受信DB_仕入先の請求確認作成種別を更新する。</t>
    <rPh sb="54" eb="56">
      <t>ウケツケ</t>
    </rPh>
    <rPh sb="56" eb="58">
      <t>バンゴウ</t>
    </rPh>
    <rPh sb="64" eb="66">
      <t>ジュシン</t>
    </rPh>
    <rPh sb="69" eb="71">
      <t>シイレ</t>
    </rPh>
    <rPh sb="71" eb="72">
      <t>サキ</t>
    </rPh>
    <rPh sb="73" eb="75">
      <t>セイキュウ</t>
    </rPh>
    <rPh sb="75" eb="77">
      <t>カクニン</t>
    </rPh>
    <rPh sb="77" eb="79">
      <t>サクセイ</t>
    </rPh>
    <rPh sb="79" eb="81">
      <t>シュベツ</t>
    </rPh>
    <rPh sb="82" eb="84">
      <t>コウシン</t>
    </rPh>
    <phoneticPr fontId="3"/>
  </si>
  <si>
    <t>　・EDI送信DB_請求確認.ﾃﾞｰﾀ交換ID="001440"（日本触媒）</t>
    <rPh sb="33" eb="37">
      <t>ニホンショクバイ</t>
    </rPh>
    <phoneticPr fontId="3"/>
  </si>
  <si>
    <t>　・EDI送信DB_請求確認.EDI機能カテゴリ種別 = 'A130'（請求確認）</t>
    <rPh sb="36" eb="40">
      <t>セイキュウカクニン</t>
    </rPh>
    <phoneticPr fontId="3"/>
  </si>
  <si>
    <t>　・EDI送信DB_請求確認.EDI送信状況種別="1"（処理中）</t>
    <rPh sb="29" eb="32">
      <t>ショリチュウ</t>
    </rPh>
    <phoneticPr fontId="3"/>
  </si>
  <si>
    <t>　・EDI送信DB_請求確認.削除区分＝"0"（有効）</t>
    <phoneticPr fontId="3"/>
  </si>
  <si>
    <t>　・EDI送信DB_請求確認.送信データ削除区分＝"0"（送信対象）</t>
    <phoneticPr fontId="3"/>
  </si>
  <si>
    <t>　・EDI送信DB_請求確認.受信SEQ番号 = EDI受信DB_仕入先.受信SEQ番号</t>
    <phoneticPr fontId="3"/>
  </si>
  <si>
    <t>HHMMSS(システム時刻)</t>
    <rPh sb="11" eb="13">
      <t>ジコク</t>
    </rPh>
    <phoneticPr fontId="3"/>
  </si>
  <si>
    <t>有</t>
  </si>
  <si>
    <t>PAC</t>
  </si>
  <si>
    <t>EDI受信DB_仕入先　更新</t>
    <rPh sb="12" eb="14">
      <t>コウシン</t>
    </rPh>
    <phoneticPr fontId="3"/>
  </si>
  <si>
    <t>[出荷指図コメント（カナ）]の空白スペースをトリム</t>
    <phoneticPr fontId="3"/>
  </si>
  <si>
    <t>[発注者情報]の空白スペースをトリム</t>
    <phoneticPr fontId="3"/>
  </si>
  <si>
    <t xml:space="preserve">送信シーケンスNO = 中間データ.送信シーケンスNO </t>
    <rPh sb="12" eb="14">
      <t>チュウカン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</si>
</sst>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\.mm\.dd"/>
    <numFmt numFmtId="181" formatCode="yyyy&quot;年&quot;m&quot;月&quot;d&quot;日&quot;;@"/>
    <numFmt numFmtId="182" formatCode="#,##0;\-#,##0;&quot;-&quot;"/>
    <numFmt numFmtId="183" formatCode="d&quot;¥&quot;&quot;¥&quot;\.mmm&quot;¥&quot;&quot;¥&quot;\.yy"/>
    <numFmt numFmtId="184" formatCode="&quot;$&quot;#,##0_);[Red]\(&quot;$&quot;#,##0\)"/>
    <numFmt numFmtId="185" formatCode="&quot;$&quot;#,##0.00_);[Red]\(&quot;$&quot;#,##0.00\)"/>
    <numFmt numFmtId="186" formatCode="yyyy/mm/dd"/>
  </numFmts>
  <fonts count="5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sz val="11"/>
      <name val="明朝"/>
      <family val="1"/>
      <charset val="128"/>
    </font>
    <font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・団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u/>
      <sz val="9"/>
      <color indexed="8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9"/>
      <color indexed="8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indexed="10"/>
      <name val="ＭＳ ゴシック"/>
      <family val="3"/>
      <charset val="128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B0F0"/>
        <bgColor indexed="64"/>
      </patternFill>
    </fill>
  </fills>
  <borders count="7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6">
    <xf numFmtId="0" fontId="0" fillId="0" borderId="0">
      <alignment vertical="center"/>
    </xf>
    <xf numFmtId="0" fontId="4" fillId="0" borderId="0">
      <alignment horizontal="center" wrapText="1"/>
      <protection locked="0"/>
    </xf>
    <xf numFmtId="182" fontId="19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20" fillId="0" borderId="0"/>
    <xf numFmtId="14" fontId="4" fillId="0" borderId="0">
      <alignment horizontal="center" wrapText="1"/>
      <protection locked="0"/>
    </xf>
    <xf numFmtId="0" fontId="11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/>
    <xf numFmtId="0" fontId="21" fillId="0" borderId="0">
      <alignment vertical="center"/>
    </xf>
    <xf numFmtId="183" fontId="2" fillId="0" borderId="6">
      <alignment horizontal="right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0" borderId="0">
      <alignment horizontal="left"/>
    </xf>
    <xf numFmtId="38" fontId="26" fillId="3" borderId="0" applyNumberFormat="0" applyBorder="0" applyAlignment="0" applyProtection="0"/>
    <xf numFmtId="0" fontId="6" fillId="0" borderId="0" applyBorder="0"/>
    <xf numFmtId="10" fontId="26" fillId="23" borderId="6" applyNumberFormat="0" applyBorder="0" applyAlignment="0" applyProtection="0"/>
    <xf numFmtId="0" fontId="6" fillId="0" borderId="0"/>
    <xf numFmtId="0" fontId="27" fillId="0" borderId="0"/>
    <xf numFmtId="38" fontId="28" fillId="0" borderId="0" applyFont="0" applyFill="0" applyBorder="0" applyAlignment="0" applyProtection="0"/>
    <xf numFmtId="40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37" fontId="2" fillId="0" borderId="0"/>
    <xf numFmtId="10" fontId="20" fillId="0" borderId="0" applyFont="0" applyFill="0" applyBorder="0" applyAlignment="0" applyProtection="0"/>
    <xf numFmtId="4" fontId="25" fillId="0" borderId="0">
      <alignment horizontal="right"/>
    </xf>
    <xf numFmtId="4" fontId="29" fillId="0" borderId="0">
      <alignment horizontal="right"/>
    </xf>
    <xf numFmtId="0" fontId="30" fillId="0" borderId="0">
      <alignment horizontal="left"/>
    </xf>
    <xf numFmtId="0" fontId="31" fillId="0" borderId="0"/>
    <xf numFmtId="0" fontId="32" fillId="0" borderId="0">
      <alignment horizont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3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32" applyNumberFormat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9" fillId="30" borderId="33" applyNumberFormat="0" applyFont="0" applyAlignment="0" applyProtection="0">
      <alignment vertical="center"/>
    </xf>
    <xf numFmtId="0" fontId="37" fillId="0" borderId="34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31" borderId="3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79" fontId="40" fillId="0" borderId="0" applyFont="0" applyFill="0" applyBorder="0" applyAlignment="0" applyProtection="0"/>
    <xf numFmtId="177" fontId="40" fillId="0" borderId="0" applyFont="0" applyFill="0" applyBorder="0" applyAlignment="0" applyProtection="0"/>
    <xf numFmtId="0" fontId="41" fillId="0" borderId="36" applyNumberFormat="0" applyFill="0" applyAlignment="0" applyProtection="0">
      <alignment vertical="center"/>
    </xf>
    <xf numFmtId="0" fontId="42" fillId="0" borderId="37" applyNumberFormat="0" applyFill="0" applyAlignment="0" applyProtection="0">
      <alignment vertical="center"/>
    </xf>
    <xf numFmtId="0" fontId="43" fillId="0" borderId="3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44" fillId="31" borderId="40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178" fontId="40" fillId="0" borderId="0" applyFont="0" applyFill="0" applyBorder="0" applyAlignment="0" applyProtection="0"/>
    <xf numFmtId="176" fontId="40" fillId="0" borderId="0" applyFont="0" applyFill="0" applyBorder="0" applyAlignment="0" applyProtection="0"/>
    <xf numFmtId="0" fontId="46" fillId="14" borderId="35" applyNumberFormat="0" applyAlignment="0" applyProtection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186" fontId="6" fillId="0" borderId="0">
      <alignment vertical="center"/>
    </xf>
    <xf numFmtId="0" fontId="47" fillId="0" borderId="0"/>
    <xf numFmtId="0" fontId="48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</cellStyleXfs>
  <cellXfs count="315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7" fillId="2" borderId="3" xfId="0" applyFont="1" applyFill="1" applyBorder="1">
      <alignment vertical="center"/>
    </xf>
    <xf numFmtId="0" fontId="7" fillId="2" borderId="0" xfId="0" applyFont="1" applyFill="1" applyAlignment="1">
      <alignment horizontal="left" vertical="center" indent="1"/>
    </xf>
    <xf numFmtId="0" fontId="10" fillId="2" borderId="0" xfId="0" applyFont="1" applyFill="1">
      <alignment vertical="center"/>
    </xf>
    <xf numFmtId="0" fontId="7" fillId="2" borderId="8" xfId="0" applyFont="1" applyFill="1" applyBorder="1">
      <alignment vertical="center"/>
    </xf>
    <xf numFmtId="0" fontId="7" fillId="2" borderId="9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8" fillId="2" borderId="3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7" fillId="7" borderId="10" xfId="0" applyFont="1" applyFill="1" applyBorder="1" applyAlignment="1">
      <alignment horizontal="centerContinuous" vertical="center"/>
    </xf>
    <xf numFmtId="0" fontId="10" fillId="2" borderId="0" xfId="9" applyFont="1" applyFill="1">
      <alignment vertical="center"/>
    </xf>
    <xf numFmtId="0" fontId="12" fillId="2" borderId="0" xfId="9" applyFont="1" applyFill="1">
      <alignment vertical="center"/>
    </xf>
    <xf numFmtId="49" fontId="16" fillId="2" borderId="0" xfId="9" applyNumberFormat="1" applyFont="1" applyFill="1" applyAlignment="1">
      <alignment horizontal="center" vertical="center"/>
    </xf>
    <xf numFmtId="49" fontId="16" fillId="2" borderId="0" xfId="9" applyNumberFormat="1" applyFont="1" applyFill="1" applyAlignment="1">
      <alignment horizontal="center" vertical="center" wrapText="1"/>
    </xf>
    <xf numFmtId="0" fontId="10" fillId="2" borderId="0" xfId="9" applyFont="1" applyFill="1" applyAlignment="1">
      <alignment horizontal="center" vertical="center" wrapText="1"/>
    </xf>
    <xf numFmtId="0" fontId="10" fillId="2" borderId="0" xfId="9" applyFont="1" applyFill="1" applyAlignment="1">
      <alignment horizontal="center" vertical="center"/>
    </xf>
    <xf numFmtId="0" fontId="6" fillId="0" borderId="0" xfId="9" applyFont="1">
      <alignment vertical="center"/>
    </xf>
    <xf numFmtId="0" fontId="18" fillId="0" borderId="0" xfId="9" applyFont="1">
      <alignment vertical="center"/>
    </xf>
    <xf numFmtId="0" fontId="6" fillId="2" borderId="3" xfId="9" applyFont="1" applyFill="1" applyBorder="1">
      <alignment vertical="center"/>
    </xf>
    <xf numFmtId="0" fontId="6" fillId="2" borderId="8" xfId="9" applyFont="1" applyFill="1" applyBorder="1">
      <alignment vertical="center"/>
    </xf>
    <xf numFmtId="0" fontId="6" fillId="0" borderId="4" xfId="9" applyFont="1" applyBorder="1">
      <alignment vertical="center"/>
    </xf>
    <xf numFmtId="0" fontId="6" fillId="0" borderId="5" xfId="9" applyFont="1" applyBorder="1" applyAlignment="1">
      <alignment horizontal="center" vertical="center"/>
    </xf>
    <xf numFmtId="0" fontId="6" fillId="0" borderId="5" xfId="9" applyFont="1" applyBorder="1">
      <alignment vertical="center"/>
    </xf>
    <xf numFmtId="0" fontId="6" fillId="0" borderId="5" xfId="9" applyFont="1" applyBorder="1" applyAlignment="1">
      <alignment horizontal="center" vertical="center" wrapText="1"/>
    </xf>
    <xf numFmtId="0" fontId="6" fillId="0" borderId="9" xfId="9" applyFont="1" applyBorder="1">
      <alignment vertical="center"/>
    </xf>
    <xf numFmtId="0" fontId="18" fillId="0" borderId="0" xfId="9" applyFont="1" applyAlignment="1">
      <alignment horizontal="center" vertical="center" wrapText="1"/>
    </xf>
    <xf numFmtId="0" fontId="18" fillId="0" borderId="0" xfId="9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8" xfId="0" applyFill="1" applyBorder="1">
      <alignment vertical="center"/>
    </xf>
    <xf numFmtId="0" fontId="7" fillId="2" borderId="10" xfId="10" applyFont="1" applyFill="1" applyBorder="1" applyAlignment="1">
      <alignment vertical="top"/>
    </xf>
    <xf numFmtId="0" fontId="7" fillId="8" borderId="12" xfId="0" applyFont="1" applyFill="1" applyBorder="1" applyAlignment="1">
      <alignment horizontal="centerContinuous" vertical="center"/>
    </xf>
    <xf numFmtId="0" fontId="7" fillId="2" borderId="4" xfId="0" applyFont="1" applyFill="1" applyBorder="1">
      <alignment vertical="center"/>
    </xf>
    <xf numFmtId="0" fontId="7" fillId="2" borderId="5" xfId="0" applyFont="1" applyFill="1" applyBorder="1">
      <alignment vertical="center"/>
    </xf>
    <xf numFmtId="0" fontId="49" fillId="0" borderId="0" xfId="8" applyFo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Continuous" vertical="center"/>
    </xf>
    <xf numFmtId="0" fontId="7" fillId="7" borderId="6" xfId="0" applyFont="1" applyFill="1" applyBorder="1" applyAlignment="1">
      <alignment horizontal="centerContinuous" vertical="center"/>
    </xf>
    <xf numFmtId="0" fontId="7" fillId="33" borderId="10" xfId="0" applyFont="1" applyFill="1" applyBorder="1">
      <alignment vertical="center"/>
    </xf>
    <xf numFmtId="0" fontId="7" fillId="33" borderId="41" xfId="0" applyFont="1" applyFill="1" applyBorder="1">
      <alignment vertical="center"/>
    </xf>
    <xf numFmtId="0" fontId="7" fillId="2" borderId="42" xfId="0" applyFont="1" applyFill="1" applyBorder="1">
      <alignment vertical="center"/>
    </xf>
    <xf numFmtId="0" fontId="7" fillId="2" borderId="43" xfId="0" applyFont="1" applyFill="1" applyBorder="1">
      <alignment vertical="center"/>
    </xf>
    <xf numFmtId="0" fontId="7" fillId="2" borderId="44" xfId="0" applyFont="1" applyFill="1" applyBorder="1">
      <alignment vertical="center"/>
    </xf>
    <xf numFmtId="0" fontId="7" fillId="6" borderId="42" xfId="0" applyFont="1" applyFill="1" applyBorder="1">
      <alignment vertical="center"/>
    </xf>
    <xf numFmtId="0" fontId="7" fillId="33" borderId="42" xfId="0" applyFont="1" applyFill="1" applyBorder="1">
      <alignment vertical="center"/>
    </xf>
    <xf numFmtId="0" fontId="7" fillId="33" borderId="44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6" fillId="0" borderId="43" xfId="9" applyFont="1" applyBorder="1">
      <alignment vertical="center"/>
    </xf>
    <xf numFmtId="0" fontId="6" fillId="0" borderId="42" xfId="9" applyFont="1" applyBorder="1">
      <alignment vertical="center"/>
    </xf>
    <xf numFmtId="0" fontId="6" fillId="0" borderId="44" xfId="9" applyFont="1" applyBorder="1">
      <alignment vertical="center"/>
    </xf>
    <xf numFmtId="0" fontId="6" fillId="0" borderId="41" xfId="9" applyFont="1" applyBorder="1" applyAlignment="1">
      <alignment vertical="top"/>
    </xf>
    <xf numFmtId="0" fontId="6" fillId="0" borderId="42" xfId="9" applyFont="1" applyBorder="1" applyAlignment="1">
      <alignment horizontal="center" vertical="center"/>
    </xf>
    <xf numFmtId="0" fontId="18" fillId="0" borderId="42" xfId="9" applyFont="1" applyBorder="1">
      <alignment vertical="center"/>
    </xf>
    <xf numFmtId="0" fontId="18" fillId="0" borderId="42" xfId="9" applyFont="1" applyBorder="1" applyAlignment="1">
      <alignment horizontal="center" vertical="center" wrapText="1"/>
    </xf>
    <xf numFmtId="0" fontId="18" fillId="0" borderId="42" xfId="9" applyFont="1" applyBorder="1" applyAlignment="1">
      <alignment horizontal="center" vertical="center"/>
    </xf>
    <xf numFmtId="0" fontId="7" fillId="0" borderId="42" xfId="9" applyFont="1" applyBorder="1">
      <alignment vertical="center"/>
    </xf>
    <xf numFmtId="0" fontId="0" fillId="2" borderId="43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44" xfId="0" applyFill="1" applyBorder="1">
      <alignment vertical="center"/>
    </xf>
    <xf numFmtId="0" fontId="7" fillId="7" borderId="41" xfId="0" applyFont="1" applyFill="1" applyBorder="1" applyAlignment="1">
      <alignment horizontal="centerContinuous" vertical="center"/>
    </xf>
    <xf numFmtId="0" fontId="7" fillId="7" borderId="43" xfId="0" applyFont="1" applyFill="1" applyBorder="1" applyAlignment="1">
      <alignment horizontal="centerContinuous" vertical="center"/>
    </xf>
    <xf numFmtId="0" fontId="7" fillId="6" borderId="5" xfId="0" applyFont="1" applyFill="1" applyBorder="1">
      <alignment vertical="center"/>
    </xf>
    <xf numFmtId="0" fontId="7" fillId="7" borderId="2" xfId="0" applyFont="1" applyFill="1" applyBorder="1" applyAlignment="1">
      <alignment horizontal="centerContinuous" vertical="center"/>
    </xf>
    <xf numFmtId="0" fontId="7" fillId="0" borderId="10" xfId="10" applyFont="1" applyBorder="1" applyAlignment="1">
      <alignment vertical="top"/>
    </xf>
    <xf numFmtId="0" fontId="7" fillId="2" borderId="0" xfId="0" applyFont="1" applyFill="1" applyBorder="1">
      <alignment vertical="center"/>
    </xf>
    <xf numFmtId="0" fontId="7" fillId="6" borderId="0" xfId="0" applyFont="1" applyFill="1" applyBorder="1">
      <alignment vertical="center"/>
    </xf>
    <xf numFmtId="0" fontId="10" fillId="2" borderId="0" xfId="0" applyFont="1" applyFill="1" applyBorder="1">
      <alignment vertical="center"/>
    </xf>
    <xf numFmtId="0" fontId="10" fillId="2" borderId="48" xfId="0" applyFont="1" applyFill="1" applyBorder="1">
      <alignment vertical="center"/>
    </xf>
    <xf numFmtId="0" fontId="10" fillId="2" borderId="46" xfId="0" applyFont="1" applyFill="1" applyBorder="1">
      <alignment vertical="center"/>
    </xf>
    <xf numFmtId="0" fontId="10" fillId="2" borderId="47" xfId="0" applyFont="1" applyFill="1" applyBorder="1">
      <alignment vertical="center"/>
    </xf>
    <xf numFmtId="0" fontId="10" fillId="2" borderId="3" xfId="0" applyFont="1" applyFill="1" applyBorder="1">
      <alignment vertical="center"/>
    </xf>
    <xf numFmtId="0" fontId="10" fillId="2" borderId="8" xfId="0" applyFont="1" applyFill="1" applyBorder="1">
      <alignment vertical="center"/>
    </xf>
    <xf numFmtId="0" fontId="10" fillId="2" borderId="0" xfId="10" applyFont="1" applyFill="1" applyAlignment="1">
      <alignment vertical="top"/>
    </xf>
    <xf numFmtId="0" fontId="10" fillId="2" borderId="4" xfId="0" applyFont="1" applyFill="1" applyBorder="1">
      <alignment vertical="center"/>
    </xf>
    <xf numFmtId="0" fontId="10" fillId="2" borderId="9" xfId="0" applyFont="1" applyFill="1" applyBorder="1">
      <alignment vertical="center"/>
    </xf>
    <xf numFmtId="0" fontId="10" fillId="2" borderId="0" xfId="83" applyFont="1" applyFill="1"/>
    <xf numFmtId="0" fontId="50" fillId="2" borderId="0" xfId="0" applyFont="1" applyFill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quotePrefix="1" applyFont="1" applyFill="1" applyAlignment="1">
      <alignment horizontal="center" vertical="center"/>
    </xf>
    <xf numFmtId="0" fontId="0" fillId="2" borderId="48" xfId="0" applyFill="1" applyBorder="1">
      <alignment vertical="center"/>
    </xf>
    <xf numFmtId="0" fontId="0" fillId="2" borderId="46" xfId="0" applyFill="1" applyBorder="1">
      <alignment vertical="center"/>
    </xf>
    <xf numFmtId="0" fontId="0" fillId="2" borderId="47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>
      <alignment vertical="center"/>
    </xf>
    <xf numFmtId="0" fontId="7" fillId="2" borderId="48" xfId="0" applyFont="1" applyFill="1" applyBorder="1">
      <alignment vertical="center"/>
    </xf>
    <xf numFmtId="0" fontId="7" fillId="2" borderId="46" xfId="0" applyFont="1" applyFill="1" applyBorder="1">
      <alignment vertical="center"/>
    </xf>
    <xf numFmtId="0" fontId="7" fillId="2" borderId="47" xfId="0" applyFont="1" applyFill="1" applyBorder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7" borderId="49" xfId="0" applyFont="1" applyFill="1" applyBorder="1" applyAlignment="1">
      <alignment horizontal="centerContinuous" vertical="center"/>
    </xf>
    <xf numFmtId="0" fontId="7" fillId="7" borderId="49" xfId="0" applyFont="1" applyFill="1" applyBorder="1">
      <alignment vertical="center"/>
    </xf>
    <xf numFmtId="0" fontId="51" fillId="7" borderId="49" xfId="0" applyFont="1" applyFill="1" applyBorder="1" applyAlignment="1">
      <alignment horizontal="centerContinuous" vertical="center"/>
    </xf>
    <xf numFmtId="0" fontId="0" fillId="7" borderId="49" xfId="0" applyFill="1" applyBorder="1">
      <alignment vertical="center"/>
    </xf>
    <xf numFmtId="0" fontId="7" fillId="7" borderId="11" xfId="0" applyFont="1" applyFill="1" applyBorder="1" applyAlignment="1">
      <alignment horizontal="centerContinuous" vertical="center"/>
    </xf>
    <xf numFmtId="0" fontId="51" fillId="7" borderId="11" xfId="0" applyFont="1" applyFill="1" applyBorder="1" applyAlignment="1">
      <alignment horizontal="centerContinuous" vertical="center"/>
    </xf>
    <xf numFmtId="0" fontId="7" fillId="2" borderId="11" xfId="0" applyFont="1" applyFill="1" applyBorder="1">
      <alignment vertical="center"/>
    </xf>
    <xf numFmtId="0" fontId="7" fillId="36" borderId="6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right" vertical="center"/>
    </xf>
    <xf numFmtId="0" fontId="7" fillId="7" borderId="48" xfId="0" applyFont="1" applyFill="1" applyBorder="1" applyAlignment="1">
      <alignment horizontal="centerContinuous" vertical="center"/>
    </xf>
    <xf numFmtId="0" fontId="7" fillId="2" borderId="6" xfId="0" applyFont="1" applyFill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6" fillId="2" borderId="46" xfId="0" applyFont="1" applyFill="1" applyBorder="1">
      <alignment vertical="center"/>
    </xf>
    <xf numFmtId="0" fontId="7" fillId="7" borderId="50" xfId="0" applyFont="1" applyFill="1" applyBorder="1" applyAlignment="1">
      <alignment horizontal="centerContinuous" vertical="center"/>
    </xf>
    <xf numFmtId="0" fontId="7" fillId="7" borderId="50" xfId="0" applyFont="1" applyFill="1" applyBorder="1">
      <alignment vertical="center"/>
    </xf>
    <xf numFmtId="0" fontId="51" fillId="7" borderId="50" xfId="0" applyFont="1" applyFill="1" applyBorder="1" applyAlignment="1">
      <alignment horizontal="centerContinuous" vertical="center"/>
    </xf>
    <xf numFmtId="0" fontId="0" fillId="7" borderId="50" xfId="0" applyFill="1" applyBorder="1">
      <alignment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49" fontId="7" fillId="0" borderId="6" xfId="0" applyNumberFormat="1" applyFont="1" applyBorder="1" applyAlignment="1">
      <alignment vertical="top" wrapText="1"/>
    </xf>
    <xf numFmtId="49" fontId="7" fillId="0" borderId="6" xfId="0" applyNumberFormat="1" applyFont="1" applyBorder="1" applyAlignment="1">
      <alignment vertical="top"/>
    </xf>
    <xf numFmtId="49" fontId="7" fillId="0" borderId="6" xfId="0" quotePrefix="1" applyNumberFormat="1" applyFont="1" applyBorder="1" applyAlignment="1">
      <alignment vertical="top"/>
    </xf>
    <xf numFmtId="49" fontId="7" fillId="2" borderId="46" xfId="0" applyNumberFormat="1" applyFont="1" applyFill="1" applyBorder="1" applyAlignment="1">
      <alignment horizontal="centerContinuous" vertical="center"/>
    </xf>
    <xf numFmtId="49" fontId="10" fillId="2" borderId="0" xfId="0" applyNumberFormat="1" applyFont="1" applyFill="1">
      <alignment vertical="center"/>
    </xf>
    <xf numFmtId="0" fontId="2" fillId="0" borderId="0" xfId="84"/>
    <xf numFmtId="0" fontId="2" fillId="37" borderId="51" xfId="11" applyFont="1" applyFill="1" applyBorder="1" applyAlignment="1">
      <alignment horizontal="centerContinuous" vertical="center"/>
    </xf>
    <xf numFmtId="0" fontId="2" fillId="37" borderId="52" xfId="11" applyFont="1" applyFill="1" applyBorder="1" applyAlignment="1">
      <alignment horizontal="centerContinuous" vertical="center"/>
    </xf>
    <xf numFmtId="0" fontId="2" fillId="37" borderId="53" xfId="11" applyFont="1" applyFill="1" applyBorder="1" applyAlignment="1">
      <alignment horizontal="centerContinuous" vertical="center"/>
    </xf>
    <xf numFmtId="0" fontId="2" fillId="0" borderId="0" xfId="11" applyFont="1">
      <alignment vertical="center"/>
    </xf>
    <xf numFmtId="0" fontId="2" fillId="0" borderId="61" xfId="84" applyBorder="1"/>
    <xf numFmtId="0" fontId="2" fillId="0" borderId="62" xfId="84" applyBorder="1" applyAlignment="1">
      <alignment vertical="center" wrapText="1"/>
    </xf>
    <xf numFmtId="0" fontId="2" fillId="0" borderId="62" xfId="84" applyBorder="1"/>
    <xf numFmtId="0" fontId="2" fillId="0" borderId="63" xfId="84" applyBorder="1"/>
    <xf numFmtId="0" fontId="2" fillId="0" borderId="64" xfId="84" applyBorder="1"/>
    <xf numFmtId="0" fontId="2" fillId="0" borderId="65" xfId="84" applyBorder="1"/>
    <xf numFmtId="0" fontId="2" fillId="0" borderId="66" xfId="84" applyBorder="1"/>
    <xf numFmtId="0" fontId="2" fillId="0" borderId="65" xfId="84" applyBorder="1" applyAlignment="1">
      <alignment vertical="center"/>
    </xf>
    <xf numFmtId="0" fontId="52" fillId="0" borderId="66" xfId="84" applyFont="1" applyBorder="1"/>
    <xf numFmtId="0" fontId="2" fillId="0" borderId="67" xfId="84" applyBorder="1"/>
    <xf numFmtId="0" fontId="2" fillId="0" borderId="68" xfId="84" applyBorder="1"/>
    <xf numFmtId="0" fontId="2" fillId="0" borderId="69" xfId="84" applyBorder="1"/>
    <xf numFmtId="0" fontId="2" fillId="0" borderId="70" xfId="84" applyBorder="1"/>
    <xf numFmtId="0" fontId="7" fillId="2" borderId="0" xfId="0" quotePrefix="1" applyFont="1" applyFill="1">
      <alignment vertical="center"/>
    </xf>
    <xf numFmtId="49" fontId="7" fillId="6" borderId="71" xfId="0" applyNumberFormat="1" applyFont="1" applyFill="1" applyBorder="1" applyAlignment="1">
      <alignment vertical="top" wrapText="1"/>
    </xf>
    <xf numFmtId="49" fontId="7" fillId="6" borderId="12" xfId="0" applyNumberFormat="1" applyFont="1" applyFill="1" applyBorder="1" applyAlignment="1">
      <alignment vertical="top" wrapText="1"/>
    </xf>
    <xf numFmtId="49" fontId="7" fillId="6" borderId="11" xfId="0" applyNumberFormat="1" applyFont="1" applyFill="1" applyBorder="1" applyAlignment="1">
      <alignment vertical="top" wrapText="1"/>
    </xf>
    <xf numFmtId="49" fontId="7" fillId="0" borderId="71" xfId="0" applyNumberFormat="1" applyFont="1" applyBorder="1" applyAlignment="1">
      <alignment vertical="top"/>
    </xf>
    <xf numFmtId="0" fontId="7" fillId="2" borderId="7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2" borderId="11" xfId="0" applyFont="1" applyFill="1" applyBorder="1" applyAlignment="1">
      <alignment vertical="top"/>
    </xf>
    <xf numFmtId="0" fontId="7" fillId="0" borderId="3" xfId="0" applyFont="1" applyFill="1" applyBorder="1">
      <alignment vertical="center"/>
    </xf>
    <xf numFmtId="0" fontId="7" fillId="0" borderId="0" xfId="0" applyFont="1" applyFill="1">
      <alignment vertical="center"/>
    </xf>
    <xf numFmtId="0" fontId="7" fillId="0" borderId="8" xfId="0" applyFont="1" applyFill="1" applyBorder="1">
      <alignment vertical="center"/>
    </xf>
    <xf numFmtId="0" fontId="7" fillId="38" borderId="10" xfId="0" applyFont="1" applyFill="1" applyBorder="1">
      <alignment vertical="center"/>
    </xf>
    <xf numFmtId="0" fontId="54" fillId="0" borderId="0" xfId="8" applyFont="1">
      <alignment vertical="center"/>
    </xf>
    <xf numFmtId="0" fontId="54" fillId="34" borderId="6" xfId="8" applyFont="1" applyFill="1" applyBorder="1" applyAlignment="1">
      <alignment horizontal="center" vertical="center"/>
    </xf>
    <xf numFmtId="0" fontId="54" fillId="34" borderId="6" xfId="8" applyFont="1" applyFill="1" applyBorder="1" applyAlignment="1">
      <alignment horizontal="centerContinuous" vertical="center"/>
    </xf>
    <xf numFmtId="0" fontId="54" fillId="34" borderId="7" xfId="8" applyFont="1" applyFill="1" applyBorder="1" applyAlignment="1">
      <alignment horizontal="centerContinuous" vertical="center"/>
    </xf>
    <xf numFmtId="0" fontId="54" fillId="0" borderId="6" xfId="8" applyFont="1" applyBorder="1" applyAlignment="1">
      <alignment horizontal="center" vertical="center"/>
    </xf>
    <xf numFmtId="0" fontId="7" fillId="0" borderId="0" xfId="0" applyFont="1">
      <alignment vertical="center"/>
    </xf>
    <xf numFmtId="0" fontId="49" fillId="6" borderId="0" xfId="8" applyFont="1" applyFill="1">
      <alignment vertical="center"/>
    </xf>
    <xf numFmtId="0" fontId="54" fillId="6" borderId="0" xfId="8" applyFont="1" applyFill="1">
      <alignment vertical="center"/>
    </xf>
    <xf numFmtId="0" fontId="7" fillId="6" borderId="0" xfId="0" applyFont="1" applyFill="1">
      <alignment vertical="center"/>
    </xf>
    <xf numFmtId="0" fontId="56" fillId="6" borderId="0" xfId="8" applyFont="1" applyFill="1">
      <alignment vertical="center"/>
    </xf>
    <xf numFmtId="0" fontId="56" fillId="6" borderId="0" xfId="8" applyFont="1" applyFill="1" applyAlignment="1">
      <alignment horizontal="right" vertical="center"/>
    </xf>
    <xf numFmtId="0" fontId="7" fillId="2" borderId="0" xfId="10" applyFont="1" applyFill="1" applyAlignment="1">
      <alignment vertical="top"/>
    </xf>
    <xf numFmtId="0" fontId="49" fillId="0" borderId="0" xfId="8" applyFont="1" applyBorder="1">
      <alignment vertical="center"/>
    </xf>
    <xf numFmtId="0" fontId="7" fillId="2" borderId="0" xfId="83" applyFont="1" applyFill="1"/>
    <xf numFmtId="0" fontId="7" fillId="2" borderId="72" xfId="0" applyFont="1" applyFill="1" applyBorder="1">
      <alignment vertical="center"/>
    </xf>
    <xf numFmtId="0" fontId="7" fillId="6" borderId="46" xfId="0" applyFont="1" applyFill="1" applyBorder="1">
      <alignment vertical="center"/>
    </xf>
    <xf numFmtId="0" fontId="51" fillId="0" borderId="6" xfId="0" applyFont="1" applyBorder="1" applyAlignment="1">
      <alignment horizontal="center"/>
    </xf>
    <xf numFmtId="0" fontId="10" fillId="2" borderId="3" xfId="9" applyFont="1" applyFill="1" applyBorder="1" applyAlignment="1">
      <alignment horizontal="center" vertical="center"/>
    </xf>
    <xf numFmtId="0" fontId="10" fillId="2" borderId="0" xfId="9" applyFont="1" applyFill="1" applyAlignment="1">
      <alignment horizontal="center" vertical="center"/>
    </xf>
    <xf numFmtId="0" fontId="10" fillId="2" borderId="8" xfId="9" applyFont="1" applyFill="1" applyBorder="1" applyAlignment="1">
      <alignment horizontal="center" vertical="center"/>
    </xf>
    <xf numFmtId="0" fontId="10" fillId="2" borderId="4" xfId="9" applyFont="1" applyFill="1" applyBorder="1" applyAlignment="1">
      <alignment horizontal="center" vertical="center"/>
    </xf>
    <xf numFmtId="0" fontId="10" fillId="2" borderId="5" xfId="9" applyFont="1" applyFill="1" applyBorder="1" applyAlignment="1">
      <alignment horizontal="center" vertical="center"/>
    </xf>
    <xf numFmtId="0" fontId="10" fillId="2" borderId="9" xfId="9" applyFont="1" applyFill="1" applyBorder="1" applyAlignment="1">
      <alignment horizontal="center" vertical="center"/>
    </xf>
    <xf numFmtId="0" fontId="10" fillId="0" borderId="3" xfId="9" applyFont="1" applyBorder="1" applyAlignment="1">
      <alignment horizontal="center" vertical="center"/>
    </xf>
    <xf numFmtId="0" fontId="10" fillId="0" borderId="0" xfId="9" applyFont="1" applyAlignment="1">
      <alignment horizontal="center" vertical="center"/>
    </xf>
    <xf numFmtId="0" fontId="10" fillId="0" borderId="8" xfId="9" applyFont="1" applyBorder="1" applyAlignment="1">
      <alignment horizontal="center" vertical="center"/>
    </xf>
    <xf numFmtId="0" fontId="10" fillId="0" borderId="4" xfId="9" applyFont="1" applyBorder="1" applyAlignment="1">
      <alignment horizontal="center" vertical="center"/>
    </xf>
    <xf numFmtId="0" fontId="10" fillId="0" borderId="5" xfId="9" applyFont="1" applyBorder="1" applyAlignment="1">
      <alignment horizontal="center" vertical="center"/>
    </xf>
    <xf numFmtId="0" fontId="10" fillId="0" borderId="9" xfId="9" applyFont="1" applyBorder="1" applyAlignment="1">
      <alignment horizontal="center" vertical="center"/>
    </xf>
    <xf numFmtId="0" fontId="17" fillId="2" borderId="0" xfId="9" applyFont="1" applyFill="1" applyAlignment="1">
      <alignment horizontal="center" vertical="center"/>
    </xf>
    <xf numFmtId="0" fontId="17" fillId="2" borderId="0" xfId="9" applyFont="1" applyFill="1" applyAlignment="1">
      <alignment horizontal="center" vertical="center" wrapText="1"/>
    </xf>
    <xf numFmtId="0" fontId="10" fillId="3" borderId="10" xfId="9" applyFont="1" applyFill="1" applyBorder="1" applyAlignment="1">
      <alignment horizontal="center" vertical="center"/>
    </xf>
    <xf numFmtId="0" fontId="10" fillId="3" borderId="41" xfId="9" applyFont="1" applyFill="1" applyBorder="1" applyAlignment="1">
      <alignment horizontal="center" vertical="center"/>
    </xf>
    <xf numFmtId="0" fontId="10" fillId="3" borderId="7" xfId="9" applyFont="1" applyFill="1" applyBorder="1" applyAlignment="1">
      <alignment horizontal="center" vertical="center"/>
    </xf>
    <xf numFmtId="14" fontId="10" fillId="2" borderId="13" xfId="9" applyNumberFormat="1" applyFont="1" applyFill="1" applyBorder="1" applyAlignment="1">
      <alignment horizontal="center" vertical="center"/>
    </xf>
    <xf numFmtId="0" fontId="10" fillId="2" borderId="14" xfId="9" applyFont="1" applyFill="1" applyBorder="1" applyAlignment="1">
      <alignment horizontal="center" vertical="center"/>
    </xf>
    <xf numFmtId="0" fontId="10" fillId="2" borderId="15" xfId="9" applyFont="1" applyFill="1" applyBorder="1" applyAlignment="1">
      <alignment horizontal="center" vertical="center"/>
    </xf>
    <xf numFmtId="0" fontId="13" fillId="2" borderId="0" xfId="9" applyFont="1" applyFill="1" applyAlignment="1">
      <alignment horizontal="center" vertical="center"/>
    </xf>
    <xf numFmtId="0" fontId="13" fillId="2" borderId="0" xfId="9" applyFont="1" applyFill="1" applyAlignment="1">
      <alignment horizontal="center" vertical="center" wrapText="1"/>
    </xf>
    <xf numFmtId="0" fontId="14" fillId="2" borderId="0" xfId="9" applyFont="1" applyFill="1" applyAlignment="1">
      <alignment horizontal="center" vertical="center"/>
    </xf>
    <xf numFmtId="0" fontId="14" fillId="2" borderId="0" xfId="9" applyFont="1" applyFill="1" applyAlignment="1">
      <alignment horizontal="center" vertical="center" wrapText="1"/>
    </xf>
    <xf numFmtId="49" fontId="15" fillId="2" borderId="0" xfId="9" applyNumberFormat="1" applyFont="1" applyFill="1" applyAlignment="1">
      <alignment horizontal="center" vertical="center"/>
    </xf>
    <xf numFmtId="49" fontId="15" fillId="2" borderId="0" xfId="9" applyNumberFormat="1" applyFont="1" applyFill="1" applyAlignment="1">
      <alignment horizontal="center" vertical="center" wrapText="1"/>
    </xf>
    <xf numFmtId="181" fontId="17" fillId="2" borderId="0" xfId="9" applyNumberFormat="1" applyFont="1" applyFill="1" applyAlignment="1">
      <alignment horizontal="center" vertical="center"/>
    </xf>
    <xf numFmtId="181" fontId="17" fillId="2" borderId="0" xfId="9" applyNumberFormat="1" applyFont="1" applyFill="1" applyAlignment="1">
      <alignment horizontal="center" vertical="center" wrapText="1"/>
    </xf>
    <xf numFmtId="0" fontId="6" fillId="0" borderId="10" xfId="9" applyFont="1" applyBorder="1" applyAlignment="1">
      <alignment horizontal="right" vertical="center"/>
    </xf>
    <xf numFmtId="0" fontId="6" fillId="0" borderId="7" xfId="9" applyFont="1" applyBorder="1" applyAlignment="1">
      <alignment horizontal="right" vertical="center"/>
    </xf>
    <xf numFmtId="0" fontId="6" fillId="0" borderId="10" xfId="9" applyFont="1" applyBorder="1" applyAlignment="1">
      <alignment horizontal="left" vertical="top" wrapText="1"/>
    </xf>
    <xf numFmtId="0" fontId="6" fillId="0" borderId="41" xfId="9" applyFont="1" applyBorder="1" applyAlignment="1">
      <alignment horizontal="left" vertical="top" wrapText="1"/>
    </xf>
    <xf numFmtId="0" fontId="6" fillId="0" borderId="7" xfId="9" applyFont="1" applyBorder="1" applyAlignment="1">
      <alignment horizontal="left" vertical="top" wrapText="1"/>
    </xf>
    <xf numFmtId="14" fontId="6" fillId="0" borderId="10" xfId="9" applyNumberFormat="1" applyFont="1" applyBorder="1" applyAlignment="1">
      <alignment horizontal="left" vertical="top" wrapText="1"/>
    </xf>
    <xf numFmtId="0" fontId="6" fillId="0" borderId="41" xfId="9" applyFont="1" applyBorder="1" applyAlignment="1">
      <alignment horizontal="center" vertical="top" wrapText="1"/>
    </xf>
    <xf numFmtId="0" fontId="6" fillId="0" borderId="2" xfId="9" applyFont="1" applyBorder="1" applyAlignment="1">
      <alignment horizontal="left" vertical="top" wrapText="1"/>
    </xf>
    <xf numFmtId="0" fontId="6" fillId="0" borderId="2" xfId="9" applyFont="1" applyBorder="1" applyAlignment="1">
      <alignment horizontal="center" vertical="top" wrapText="1"/>
    </xf>
    <xf numFmtId="0" fontId="18" fillId="5" borderId="10" xfId="9" applyFont="1" applyFill="1" applyBorder="1" applyAlignment="1">
      <alignment horizontal="center" vertical="center"/>
    </xf>
    <xf numFmtId="0" fontId="18" fillId="5" borderId="41" xfId="9" applyFont="1" applyFill="1" applyBorder="1" applyAlignment="1">
      <alignment horizontal="center" vertical="center"/>
    </xf>
    <xf numFmtId="0" fontId="18" fillId="5" borderId="7" xfId="9" applyFont="1" applyFill="1" applyBorder="1" applyAlignment="1">
      <alignment horizontal="center" vertical="center"/>
    </xf>
    <xf numFmtId="0" fontId="6" fillId="0" borderId="10" xfId="9" quotePrefix="1" applyFont="1" applyBorder="1" applyAlignment="1">
      <alignment horizontal="left" vertical="top" wrapText="1"/>
    </xf>
    <xf numFmtId="0" fontId="6" fillId="5" borderId="10" xfId="9" applyFont="1" applyFill="1" applyBorder="1" applyAlignment="1">
      <alignment horizontal="center" vertical="center"/>
    </xf>
    <xf numFmtId="0" fontId="6" fillId="5" borderId="7" xfId="9" applyFont="1" applyFill="1" applyBorder="1" applyAlignment="1">
      <alignment horizontal="center" vertical="center"/>
    </xf>
    <xf numFmtId="0" fontId="10" fillId="4" borderId="16" xfId="9" applyFont="1" applyFill="1" applyBorder="1" applyAlignment="1">
      <alignment horizontal="center" vertical="center" wrapText="1"/>
    </xf>
    <xf numFmtId="0" fontId="10" fillId="4" borderId="17" xfId="9" applyFont="1" applyFill="1" applyBorder="1" applyAlignment="1">
      <alignment horizontal="center" vertical="center" wrapText="1"/>
    </xf>
    <xf numFmtId="0" fontId="10" fillId="4" borderId="19" xfId="9" applyFont="1" applyFill="1" applyBorder="1" applyAlignment="1">
      <alignment horizontal="center" vertical="center" wrapText="1"/>
    </xf>
    <xf numFmtId="0" fontId="10" fillId="4" borderId="0" xfId="9" applyFont="1" applyFill="1" applyAlignment="1">
      <alignment horizontal="center" vertical="center" wrapText="1"/>
    </xf>
    <xf numFmtId="0" fontId="10" fillId="4" borderId="21" xfId="9" applyFont="1" applyFill="1" applyBorder="1" applyAlignment="1">
      <alignment horizontal="center" vertical="center" wrapText="1"/>
    </xf>
    <xf numFmtId="0" fontId="10" fillId="4" borderId="22" xfId="9" applyFont="1" applyFill="1" applyBorder="1" applyAlignment="1">
      <alignment horizontal="center" vertical="center" wrapText="1"/>
    </xf>
    <xf numFmtId="0" fontId="6" fillId="5" borderId="41" xfId="9" applyFont="1" applyFill="1" applyBorder="1" applyAlignment="1">
      <alignment horizontal="center" vertical="center"/>
    </xf>
    <xf numFmtId="0" fontId="10" fillId="0" borderId="16" xfId="9" applyFont="1" applyBorder="1" applyAlignment="1">
      <alignment horizontal="center" vertical="center"/>
    </xf>
    <xf numFmtId="0" fontId="10" fillId="0" borderId="17" xfId="9" applyFont="1" applyBorder="1" applyAlignment="1">
      <alignment horizontal="center" vertical="center"/>
    </xf>
    <xf numFmtId="0" fontId="10" fillId="0" borderId="18" xfId="9" applyFont="1" applyBorder="1" applyAlignment="1">
      <alignment horizontal="center" vertical="center"/>
    </xf>
    <xf numFmtId="0" fontId="10" fillId="0" borderId="19" xfId="9" applyFont="1" applyBorder="1" applyAlignment="1">
      <alignment horizontal="center" vertical="center"/>
    </xf>
    <xf numFmtId="0" fontId="10" fillId="0" borderId="20" xfId="9" applyFont="1" applyBorder="1" applyAlignment="1">
      <alignment horizontal="center" vertical="center"/>
    </xf>
    <xf numFmtId="0" fontId="10" fillId="0" borderId="21" xfId="9" applyFont="1" applyBorder="1" applyAlignment="1">
      <alignment horizontal="center" vertical="center"/>
    </xf>
    <xf numFmtId="0" fontId="10" fillId="0" borderId="22" xfId="9" applyFont="1" applyBorder="1" applyAlignment="1">
      <alignment horizontal="center" vertical="center"/>
    </xf>
    <xf numFmtId="0" fontId="10" fillId="0" borderId="23" xfId="9" applyFont="1" applyBorder="1" applyAlignment="1">
      <alignment horizontal="center" vertical="center"/>
    </xf>
    <xf numFmtId="0" fontId="10" fillId="32" borderId="24" xfId="0" applyFont="1" applyFill="1" applyBorder="1" applyAlignment="1">
      <alignment horizontal="center" vertical="center"/>
    </xf>
    <xf numFmtId="0" fontId="10" fillId="32" borderId="25" xfId="0" applyFont="1" applyFill="1" applyBorder="1" applyAlignment="1">
      <alignment horizontal="center" vertical="center"/>
    </xf>
    <xf numFmtId="0" fontId="10" fillId="32" borderId="26" xfId="0" applyFont="1" applyFill="1" applyBorder="1" applyAlignment="1">
      <alignment horizontal="center" vertical="center"/>
    </xf>
    <xf numFmtId="0" fontId="10" fillId="32" borderId="41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32" borderId="29" xfId="0" applyFont="1" applyFill="1" applyBorder="1" applyAlignment="1">
      <alignment horizontal="center" vertical="center"/>
    </xf>
    <xf numFmtId="0" fontId="10" fillId="32" borderId="30" xfId="0" applyFont="1" applyFill="1" applyBorder="1" applyAlignment="1">
      <alignment horizontal="center" vertical="center"/>
    </xf>
    <xf numFmtId="49" fontId="10" fillId="0" borderId="26" xfId="0" applyNumberFormat="1" applyFont="1" applyBorder="1" applyAlignment="1">
      <alignment horizontal="center" vertical="center"/>
    </xf>
    <xf numFmtId="49" fontId="10" fillId="0" borderId="41" xfId="0" applyNumberFormat="1" applyFont="1" applyBorder="1" applyAlignment="1">
      <alignment horizontal="center" vertical="center"/>
    </xf>
    <xf numFmtId="49" fontId="10" fillId="0" borderId="30" xfId="0" applyNumberFormat="1" applyFont="1" applyBorder="1" applyAlignment="1">
      <alignment horizontal="center" vertical="center"/>
    </xf>
    <xf numFmtId="49" fontId="10" fillId="0" borderId="27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80" fontId="10" fillId="2" borderId="26" xfId="0" applyNumberFormat="1" applyFont="1" applyFill="1" applyBorder="1" applyAlignment="1">
      <alignment horizontal="center" vertical="center"/>
    </xf>
    <xf numFmtId="180" fontId="10" fillId="2" borderId="41" xfId="0" applyNumberFormat="1" applyFont="1" applyFill="1" applyBorder="1" applyAlignment="1">
      <alignment horizontal="center" vertical="center"/>
    </xf>
    <xf numFmtId="180" fontId="10" fillId="2" borderId="30" xfId="0" applyNumberFormat="1" applyFont="1" applyFill="1" applyBorder="1" applyAlignment="1">
      <alignment horizontal="center" vertical="center"/>
    </xf>
    <xf numFmtId="180" fontId="10" fillId="2" borderId="27" xfId="0" applyNumberFormat="1" applyFont="1" applyFill="1" applyBorder="1" applyAlignment="1">
      <alignment horizontal="center" vertical="center"/>
    </xf>
    <xf numFmtId="180" fontId="10" fillId="2" borderId="28" xfId="0" applyNumberFormat="1" applyFont="1" applyFill="1" applyBorder="1" applyAlignment="1">
      <alignment horizontal="center" vertical="center"/>
    </xf>
    <xf numFmtId="180" fontId="10" fillId="2" borderId="31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80" fontId="10" fillId="2" borderId="2" xfId="0" applyNumberFormat="1" applyFont="1" applyFill="1" applyBorder="1" applyAlignment="1">
      <alignment horizontal="center" vertical="center"/>
    </xf>
    <xf numFmtId="0" fontId="6" fillId="5" borderId="6" xfId="9" applyFont="1" applyFill="1" applyBorder="1" applyAlignment="1">
      <alignment horizontal="center" vertical="center"/>
    </xf>
    <xf numFmtId="0" fontId="10" fillId="32" borderId="6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180" fontId="10" fillId="2" borderId="45" xfId="0" applyNumberFormat="1" applyFont="1" applyFill="1" applyBorder="1" applyAlignment="1">
      <alignment horizontal="center" vertical="center"/>
    </xf>
    <xf numFmtId="180" fontId="10" fillId="2" borderId="11" xfId="0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80" fontId="10" fillId="2" borderId="6" xfId="0" applyNumberFormat="1" applyFont="1" applyFill="1" applyBorder="1" applyAlignment="1">
      <alignment horizontal="center" vertical="center"/>
    </xf>
    <xf numFmtId="0" fontId="10" fillId="4" borderId="6" xfId="9" applyFont="1" applyFill="1" applyBorder="1" applyAlignment="1">
      <alignment horizontal="center" vertical="center" wrapText="1"/>
    </xf>
    <xf numFmtId="0" fontId="10" fillId="0" borderId="6" xfId="9" applyFont="1" applyBorder="1" applyAlignment="1">
      <alignment horizontal="center" vertical="center"/>
    </xf>
    <xf numFmtId="0" fontId="54" fillId="6" borderId="10" xfId="8" applyFont="1" applyFill="1" applyBorder="1" applyAlignment="1">
      <alignment horizontal="center" vertical="center"/>
    </xf>
    <xf numFmtId="0" fontId="54" fillId="6" borderId="2" xfId="8" applyFont="1" applyFill="1" applyBorder="1" applyAlignment="1">
      <alignment horizontal="center" vertical="center"/>
    </xf>
    <xf numFmtId="0" fontId="54" fillId="6" borderId="7" xfId="8" applyFont="1" applyFill="1" applyBorder="1" applyAlignment="1">
      <alignment horizontal="center" vertical="center"/>
    </xf>
    <xf numFmtId="0" fontId="55" fillId="8" borderId="10" xfId="11" applyFont="1" applyFill="1" applyBorder="1" applyAlignment="1">
      <alignment horizontal="center" vertical="center"/>
    </xf>
    <xf numFmtId="0" fontId="55" fillId="8" borderId="2" xfId="11" applyFont="1" applyFill="1" applyBorder="1" applyAlignment="1">
      <alignment horizontal="center" vertical="center"/>
    </xf>
    <xf numFmtId="0" fontId="55" fillId="8" borderId="7" xfId="11" applyFont="1" applyFill="1" applyBorder="1" applyAlignment="1">
      <alignment horizontal="center" vertical="center"/>
    </xf>
    <xf numFmtId="0" fontId="55" fillId="39" borderId="10" xfId="11" applyFont="1" applyFill="1" applyBorder="1" applyAlignment="1">
      <alignment horizontal="center" vertical="center"/>
    </xf>
    <xf numFmtId="0" fontId="55" fillId="39" borderId="2" xfId="11" applyFont="1" applyFill="1" applyBorder="1" applyAlignment="1">
      <alignment horizontal="center" vertical="center"/>
    </xf>
    <xf numFmtId="0" fontId="55" fillId="39" borderId="7" xfId="11" applyFont="1" applyFill="1" applyBorder="1" applyAlignment="1">
      <alignment horizontal="center" vertical="center"/>
    </xf>
    <xf numFmtId="0" fontId="54" fillId="35" borderId="72" xfId="8" applyFont="1" applyFill="1" applyBorder="1" applyAlignment="1">
      <alignment horizontal="center" vertical="center"/>
    </xf>
    <xf numFmtId="0" fontId="54" fillId="35" borderId="46" xfId="8" applyFont="1" applyFill="1" applyBorder="1" applyAlignment="1">
      <alignment horizontal="center" vertical="center"/>
    </xf>
    <xf numFmtId="0" fontId="54" fillId="35" borderId="47" xfId="8" applyFont="1" applyFill="1" applyBorder="1" applyAlignment="1">
      <alignment horizontal="center" vertical="center"/>
    </xf>
    <xf numFmtId="0" fontId="54" fillId="35" borderId="10" xfId="8" applyFont="1" applyFill="1" applyBorder="1" applyAlignment="1">
      <alignment horizontal="center" vertical="center"/>
    </xf>
    <xf numFmtId="0" fontId="54" fillId="35" borderId="2" xfId="8" applyFont="1" applyFill="1" applyBorder="1" applyAlignment="1">
      <alignment horizontal="center" vertical="center"/>
    </xf>
    <xf numFmtId="0" fontId="54" fillId="35" borderId="7" xfId="8" applyFont="1" applyFill="1" applyBorder="1" applyAlignment="1">
      <alignment horizontal="center" vertical="center"/>
    </xf>
    <xf numFmtId="0" fontId="10" fillId="32" borderId="45" xfId="9" applyFont="1" applyFill="1" applyBorder="1" applyAlignment="1">
      <alignment horizontal="center" vertical="center" wrapText="1"/>
    </xf>
    <xf numFmtId="0" fontId="10" fillId="32" borderId="12" xfId="9" applyFont="1" applyFill="1" applyBorder="1" applyAlignment="1">
      <alignment horizontal="center" vertical="center" wrapText="1"/>
    </xf>
    <xf numFmtId="0" fontId="10" fillId="32" borderId="11" xfId="9" applyFont="1" applyFill="1" applyBorder="1" applyAlignment="1">
      <alignment horizontal="center" vertical="center" wrapText="1"/>
    </xf>
    <xf numFmtId="0" fontId="10" fillId="0" borderId="45" xfId="9" applyFont="1" applyBorder="1" applyAlignment="1">
      <alignment horizontal="center" vertical="center"/>
    </xf>
    <xf numFmtId="0" fontId="10" fillId="0" borderId="12" xfId="9" applyFont="1" applyBorder="1" applyAlignment="1">
      <alignment horizontal="center" vertical="center"/>
    </xf>
    <xf numFmtId="0" fontId="10" fillId="0" borderId="11" xfId="9" applyFont="1" applyBorder="1" applyAlignment="1">
      <alignment horizontal="center" vertical="center"/>
    </xf>
    <xf numFmtId="0" fontId="10" fillId="32" borderId="45" xfId="0" applyFont="1" applyFill="1" applyBorder="1" applyAlignment="1">
      <alignment horizontal="center" vertical="center"/>
    </xf>
    <xf numFmtId="0" fontId="10" fillId="32" borderId="11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51" fillId="0" borderId="6" xfId="0" applyFont="1" applyBorder="1" applyAlignment="1">
      <alignment horizontal="center"/>
    </xf>
    <xf numFmtId="0" fontId="51" fillId="38" borderId="6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51" fillId="7" borderId="49" xfId="0" applyFont="1" applyFill="1" applyBorder="1" applyAlignment="1">
      <alignment horizontal="center" vertical="center" wrapText="1"/>
    </xf>
    <xf numFmtId="0" fontId="51" fillId="7" borderId="11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0" borderId="71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7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49" fontId="6" fillId="37" borderId="50" xfId="11" applyNumberFormat="1" applyFont="1" applyFill="1" applyBorder="1" applyAlignment="1">
      <alignment horizontal="center" wrapText="1"/>
    </xf>
    <xf numFmtId="49" fontId="6" fillId="37" borderId="59" xfId="11" applyNumberFormat="1" applyFont="1" applyFill="1" applyBorder="1" applyAlignment="1">
      <alignment horizontal="center" wrapText="1"/>
    </xf>
    <xf numFmtId="49" fontId="6" fillId="37" borderId="56" xfId="11" applyNumberFormat="1" applyFont="1" applyFill="1" applyBorder="1" applyAlignment="1">
      <alignment horizontal="center" wrapText="1"/>
    </xf>
    <xf numFmtId="49" fontId="6" fillId="37" borderId="60" xfId="11" applyNumberFormat="1" applyFont="1" applyFill="1" applyBorder="1" applyAlignment="1">
      <alignment horizontal="center" wrapText="1"/>
    </xf>
    <xf numFmtId="49" fontId="6" fillId="37" borderId="54" xfId="11" applyNumberFormat="1" applyFont="1" applyFill="1" applyBorder="1" applyAlignment="1">
      <alignment horizontal="center"/>
    </xf>
    <xf numFmtId="49" fontId="6" fillId="37" borderId="57" xfId="11" applyNumberFormat="1" applyFont="1" applyFill="1" applyBorder="1" applyAlignment="1">
      <alignment horizontal="center"/>
    </xf>
    <xf numFmtId="49" fontId="6" fillId="37" borderId="55" xfId="11" applyNumberFormat="1" applyFont="1" applyFill="1" applyBorder="1" applyAlignment="1">
      <alignment horizontal="center"/>
    </xf>
    <xf numFmtId="49" fontId="6" fillId="37" borderId="58" xfId="11" applyNumberFormat="1" applyFont="1" applyFill="1" applyBorder="1" applyAlignment="1">
      <alignment horizontal="center"/>
    </xf>
    <xf numFmtId="49" fontId="6" fillId="37" borderId="50" xfId="11" applyNumberFormat="1" applyFont="1" applyFill="1" applyBorder="1" applyAlignment="1">
      <alignment horizontal="center"/>
    </xf>
    <xf numFmtId="49" fontId="6" fillId="37" borderId="59" xfId="11" applyNumberFormat="1" applyFont="1" applyFill="1" applyBorder="1" applyAlignment="1">
      <alignment horizontal="center"/>
    </xf>
    <xf numFmtId="49" fontId="6" fillId="37" borderId="3" xfId="11" applyNumberFormat="1" applyFont="1" applyFill="1" applyBorder="1" applyAlignment="1">
      <alignment horizontal="center" wrapText="1"/>
    </xf>
    <xf numFmtId="49" fontId="6" fillId="37" borderId="58" xfId="11" applyNumberFormat="1" applyFont="1" applyFill="1" applyBorder="1" applyAlignment="1">
      <alignment horizontal="center" wrapText="1"/>
    </xf>
    <xf numFmtId="49" fontId="6" fillId="37" borderId="55" xfId="11" applyNumberFormat="1" applyFont="1" applyFill="1" applyBorder="1" applyAlignment="1">
      <alignment horizontal="center" wrapText="1"/>
    </xf>
  </cellXfs>
  <cellStyles count="86">
    <cellStyle name="11.5" xfId="12" xr:uid="{00000000-0005-0000-0000-000000000000}"/>
    <cellStyle name="20% - アクセント 1 2" xfId="13" xr:uid="{00000000-0005-0000-0000-000001000000}"/>
    <cellStyle name="20% - アクセント 2 2" xfId="14" xr:uid="{00000000-0005-0000-0000-000002000000}"/>
    <cellStyle name="20% - アクセント 3 2" xfId="15" xr:uid="{00000000-0005-0000-0000-000003000000}"/>
    <cellStyle name="20% - アクセント 4 2" xfId="16" xr:uid="{00000000-0005-0000-0000-000004000000}"/>
    <cellStyle name="20% - アクセント 5 2" xfId="17" xr:uid="{00000000-0005-0000-0000-000005000000}"/>
    <cellStyle name="20% - アクセント 6 2" xfId="18" xr:uid="{00000000-0005-0000-0000-000006000000}"/>
    <cellStyle name="40% - アクセント 1 2" xfId="19" xr:uid="{00000000-0005-0000-0000-000007000000}"/>
    <cellStyle name="40% - アクセント 2 2" xfId="20" xr:uid="{00000000-0005-0000-0000-000008000000}"/>
    <cellStyle name="40% - アクセント 3 2" xfId="21" xr:uid="{00000000-0005-0000-0000-000009000000}"/>
    <cellStyle name="40% - アクセント 4 2" xfId="22" xr:uid="{00000000-0005-0000-0000-00000A000000}"/>
    <cellStyle name="40% - アクセント 5 2" xfId="23" xr:uid="{00000000-0005-0000-0000-00000B000000}"/>
    <cellStyle name="40% - アクセント 6 2" xfId="24" xr:uid="{00000000-0005-0000-0000-00000C000000}"/>
    <cellStyle name="60% - アクセント 1 2" xfId="25" xr:uid="{00000000-0005-0000-0000-00000D000000}"/>
    <cellStyle name="60% - アクセント 2 2" xfId="26" xr:uid="{00000000-0005-0000-0000-00000E000000}"/>
    <cellStyle name="60% - アクセント 3 2" xfId="27" xr:uid="{00000000-0005-0000-0000-00000F000000}"/>
    <cellStyle name="60% - アクセント 4 2" xfId="28" xr:uid="{00000000-0005-0000-0000-000010000000}"/>
    <cellStyle name="60% - アクセント 5 2" xfId="29" xr:uid="{00000000-0005-0000-0000-000011000000}"/>
    <cellStyle name="60% - アクセント 6 2" xfId="30" xr:uid="{00000000-0005-0000-0000-000012000000}"/>
    <cellStyle name="args.style" xfId="1" xr:uid="{00000000-0005-0000-0000-000013000000}"/>
    <cellStyle name="Calc Currency (0)" xfId="2" xr:uid="{00000000-0005-0000-0000-000014000000}"/>
    <cellStyle name="entry" xfId="31" xr:uid="{00000000-0005-0000-0000-000015000000}"/>
    <cellStyle name="Grey" xfId="32" xr:uid="{00000000-0005-0000-0000-000016000000}"/>
    <cellStyle name="Header1" xfId="3" xr:uid="{00000000-0005-0000-0000-000017000000}"/>
    <cellStyle name="Header2" xfId="4" xr:uid="{00000000-0005-0000-0000-000018000000}"/>
    <cellStyle name="IBM(401K)" xfId="33" xr:uid="{00000000-0005-0000-0000-000019000000}"/>
    <cellStyle name="Input [yellow]" xfId="34" xr:uid="{00000000-0005-0000-0000-00001A000000}"/>
    <cellStyle name="J401K" xfId="35" xr:uid="{00000000-0005-0000-0000-00001B000000}"/>
    <cellStyle name="JT帳票" xfId="36" xr:uid="{00000000-0005-0000-0000-00001C000000}"/>
    <cellStyle name="Milliers [0]_AR1194" xfId="37" xr:uid="{00000000-0005-0000-0000-00001D000000}"/>
    <cellStyle name="Milliers_AR1194" xfId="38" xr:uid="{00000000-0005-0000-0000-00001E000000}"/>
    <cellStyle name="Mon騁aire [0]_AR1194" xfId="39" xr:uid="{00000000-0005-0000-0000-00001F000000}"/>
    <cellStyle name="Mon騁aire_AR1194" xfId="40" xr:uid="{00000000-0005-0000-0000-000020000000}"/>
    <cellStyle name="Normal - Style1" xfId="41" xr:uid="{00000000-0005-0000-0000-000021000000}"/>
    <cellStyle name="Normal_#18-Internet" xfId="5" xr:uid="{00000000-0005-0000-0000-000022000000}"/>
    <cellStyle name="per.style" xfId="6" xr:uid="{00000000-0005-0000-0000-000023000000}"/>
    <cellStyle name="Percent [2]" xfId="42" xr:uid="{00000000-0005-0000-0000-000024000000}"/>
    <cellStyle name="price" xfId="43" xr:uid="{00000000-0005-0000-0000-000025000000}"/>
    <cellStyle name="revised" xfId="44" xr:uid="{00000000-0005-0000-0000-000026000000}"/>
    <cellStyle name="section" xfId="45" xr:uid="{00000000-0005-0000-0000-000027000000}"/>
    <cellStyle name="subhead" xfId="46" xr:uid="{00000000-0005-0000-0000-000028000000}"/>
    <cellStyle name="title" xfId="47" xr:uid="{00000000-0005-0000-0000-000029000000}"/>
    <cellStyle name="アクセント 1 2" xfId="48" xr:uid="{00000000-0005-0000-0000-00002A000000}"/>
    <cellStyle name="アクセント 2 2" xfId="49" xr:uid="{00000000-0005-0000-0000-00002B000000}"/>
    <cellStyle name="アクセント 3 2" xfId="50" xr:uid="{00000000-0005-0000-0000-00002C000000}"/>
    <cellStyle name="アクセント 4 2" xfId="51" xr:uid="{00000000-0005-0000-0000-00002D000000}"/>
    <cellStyle name="アクセント 5 2" xfId="52" xr:uid="{00000000-0005-0000-0000-00002E000000}"/>
    <cellStyle name="アクセント 6 2" xfId="53" xr:uid="{00000000-0005-0000-0000-00002F000000}"/>
    <cellStyle name="センター" xfId="54" xr:uid="{00000000-0005-0000-0000-000030000000}"/>
    <cellStyle name="タイトル 2" xfId="55" xr:uid="{00000000-0005-0000-0000-000031000000}"/>
    <cellStyle name="チェック セル 2" xfId="56" xr:uid="{00000000-0005-0000-0000-000032000000}"/>
    <cellStyle name="どちらでもない 2" xfId="57" xr:uid="{00000000-0005-0000-0000-000033000000}"/>
    <cellStyle name="メモ 2" xfId="58" xr:uid="{00000000-0005-0000-0000-000034000000}"/>
    <cellStyle name="リンク セル 2" xfId="59" xr:uid="{00000000-0005-0000-0000-000035000000}"/>
    <cellStyle name="悪い 2" xfId="60" xr:uid="{00000000-0005-0000-0000-000036000000}"/>
    <cellStyle name="計算 2" xfId="61" xr:uid="{00000000-0005-0000-0000-000037000000}"/>
    <cellStyle name="警告文 2" xfId="62" xr:uid="{00000000-0005-0000-0000-000038000000}"/>
    <cellStyle name="桁蟻唇Ｆ [0.00]_laroux" xfId="63" xr:uid="{00000000-0005-0000-0000-000039000000}"/>
    <cellStyle name="桁蟻唇Ｆ_laroux" xfId="64" xr:uid="{00000000-0005-0000-0000-00003A000000}"/>
    <cellStyle name="見出し 1 2" xfId="65" xr:uid="{00000000-0005-0000-0000-00003B000000}"/>
    <cellStyle name="見出し 2 2" xfId="66" xr:uid="{00000000-0005-0000-0000-00003C000000}"/>
    <cellStyle name="見出し 3 2" xfId="67" xr:uid="{00000000-0005-0000-0000-00003D000000}"/>
    <cellStyle name="見出し 4 2" xfId="68" xr:uid="{00000000-0005-0000-0000-00003E000000}"/>
    <cellStyle name="集計 2" xfId="69" xr:uid="{00000000-0005-0000-0000-00003F000000}"/>
    <cellStyle name="出力 2" xfId="70" xr:uid="{00000000-0005-0000-0000-000040000000}"/>
    <cellStyle name="説明文 2" xfId="71" xr:uid="{00000000-0005-0000-0000-000041000000}"/>
    <cellStyle name="脱浦 [0.00]_laroux" xfId="72" xr:uid="{00000000-0005-0000-0000-000042000000}"/>
    <cellStyle name="脱浦_laroux" xfId="73" xr:uid="{00000000-0005-0000-0000-000043000000}"/>
    <cellStyle name="入力 2" xfId="74" xr:uid="{00000000-0005-0000-0000-000044000000}"/>
    <cellStyle name="標準" xfId="0" builtinId="0"/>
    <cellStyle name="標準 2" xfId="7" xr:uid="{00000000-0005-0000-0000-000046000000}"/>
    <cellStyle name="標準 2 2" xfId="84" xr:uid="{24AE3A27-9112-45BF-804D-B3DD80D7F6D8}"/>
    <cellStyle name="標準 3" xfId="11" xr:uid="{00000000-0005-0000-0000-000047000000}"/>
    <cellStyle name="標準 4" xfId="75" xr:uid="{00000000-0005-0000-0000-000048000000}"/>
    <cellStyle name="標準 5" xfId="76" xr:uid="{00000000-0005-0000-0000-000049000000}"/>
    <cellStyle name="標準 6" xfId="77" xr:uid="{00000000-0005-0000-0000-00004A000000}"/>
    <cellStyle name="標準 7" xfId="81" xr:uid="{00000000-0005-0000-0000-00004B000000}"/>
    <cellStyle name="標準 8" xfId="82" xr:uid="{00000000-0005-0000-0000-00004C000000}"/>
    <cellStyle name="標準 9" xfId="85" xr:uid="{818D895F-AE97-4057-B880-C9219C6BA489}"/>
    <cellStyle name="標準_【申請】申請状況区分内容について 2" xfId="83" xr:uid="{65B85C20-E8DF-4E08-A11B-38558BACCD3C}"/>
    <cellStyle name="標準_000830_住友化学" xfId="8" xr:uid="{00000000-0005-0000-0000-00004D000000}"/>
    <cellStyle name="標準_01_論理データベースレイアウト定義書" xfId="9" xr:uid="{00000000-0005-0000-0000-00004E000000}"/>
    <cellStyle name="標準_Sheet1 2" xfId="10" xr:uid="{00000000-0005-0000-0000-00004F000000}"/>
    <cellStyle name="標準-2" xfId="78" xr:uid="{00000000-0005-0000-0000-000050000000}"/>
    <cellStyle name="未定義" xfId="79" xr:uid="{00000000-0005-0000-0000-000051000000}"/>
    <cellStyle name="良い 2" xfId="80" xr:uid="{00000000-0005-0000-0000-000052000000}"/>
  </cellStyles>
  <dxfs count="0"/>
  <tableStyles count="0" defaultTableStyle="TableStyleMedium2" defaultPivotStyle="PivotStyleLight16"/>
  <colors>
    <mruColors>
      <color rgb="FFB7DEE8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24848</xdr:colOff>
      <xdr:row>11</xdr:row>
      <xdr:rowOff>124240</xdr:rowOff>
    </xdr:from>
    <xdr:to>
      <xdr:col>19</xdr:col>
      <xdr:colOff>208815</xdr:colOff>
      <xdr:row>13</xdr:row>
      <xdr:rowOff>61897</xdr:rowOff>
    </xdr:to>
    <xdr:sp macro="" textlink="">
      <xdr:nvSpPr>
        <xdr:cNvPr id="2" name="右矢印 2">
          <a:extLst>
            <a:ext uri="{FF2B5EF4-FFF2-40B4-BE49-F238E27FC236}">
              <a16:creationId xmlns:a16="http://schemas.microsoft.com/office/drawing/2014/main" id="{4B11FF7B-D6AC-473C-9D0D-6C9679689003}"/>
            </a:ext>
          </a:extLst>
        </xdr:cNvPr>
        <xdr:cNvSpPr/>
      </xdr:nvSpPr>
      <xdr:spPr>
        <a:xfrm>
          <a:off x="2371808" y="1975900"/>
          <a:ext cx="1890847" cy="272937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14</xdr:row>
      <xdr:rowOff>90894</xdr:rowOff>
    </xdr:from>
    <xdr:to>
      <xdr:col>19</xdr:col>
      <xdr:colOff>174442</xdr:colOff>
      <xdr:row>16</xdr:row>
      <xdr:rowOff>50962</xdr:rowOff>
    </xdr:to>
    <xdr:sp macro="" textlink="">
      <xdr:nvSpPr>
        <xdr:cNvPr id="6" name="右矢印 3">
          <a:extLst>
            <a:ext uri="{FF2B5EF4-FFF2-40B4-BE49-F238E27FC236}">
              <a16:creationId xmlns:a16="http://schemas.microsoft.com/office/drawing/2014/main" id="{43524129-7822-4CEB-8A19-7B2ED557ABF4}"/>
            </a:ext>
          </a:extLst>
        </xdr:cNvPr>
        <xdr:cNvSpPr/>
      </xdr:nvSpPr>
      <xdr:spPr>
        <a:xfrm rot="10800000">
          <a:off x="2346960" y="2445474"/>
          <a:ext cx="1881322" cy="295348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17</xdr:col>
      <xdr:colOff>77019</xdr:colOff>
      <xdr:row>11</xdr:row>
      <xdr:rowOff>0</xdr:rowOff>
    </xdr:from>
    <xdr:to>
      <xdr:col>18</xdr:col>
      <xdr:colOff>56570</xdr:colOff>
      <xdr:row>17</xdr:row>
      <xdr:rowOff>49973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A4D93B1-BA95-4F57-9D24-28122944B2EA}"/>
            </a:ext>
          </a:extLst>
        </xdr:cNvPr>
        <xdr:cNvSpPr/>
      </xdr:nvSpPr>
      <xdr:spPr>
        <a:xfrm>
          <a:off x="3704139" y="1851660"/>
          <a:ext cx="192911" cy="10558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eaVert" tIns="0" bIns="0" rtlCol="0" anchor="ctr"/>
        <a:lstStyle/>
        <a:p>
          <a:pPr algn="ctr"/>
          <a:r>
            <a:rPr kumimoji="1" lang="ja-JP" altLang="en-US" sz="1100"/>
            <a:t>トランスレータ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2521322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177D7838-B5CA-4C53-A964-3C17CA0138B3}"/>
            </a:ext>
          </a:extLst>
        </xdr:cNvPr>
        <xdr:cNvGrpSpPr>
          <a:grpSpLocks/>
        </xdr:cNvGrpSpPr>
      </xdr:nvGrpSpPr>
      <xdr:grpSpPr bwMode="auto">
        <a:xfrm>
          <a:off x="0" y="0"/>
          <a:ext cx="10003714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AE151447-EB25-1553-A49A-1D8FA76A999B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BDBACDE1-A21A-4BA3-7965-7A48921DF6DA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78A0E83-58A3-55E9-ADAE-172A7153D26E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2022CE34-101B-1E6E-BBF4-7442E507B62D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9B32CB8D-34B8-54F3-3F5E-7DCB9036EE32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5A5CA440-DC5E-3222-6A2E-5DBBB481341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B8F45870-5C08-6262-09DA-9DC05340E4CF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6678CB2A-3491-B4D5-512F-A2759059AE4D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EF011F27-BED1-00D9-4436-F2278A4C501A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25.04.22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8AE56313-24DF-3E15-8977-D0B6C41ADE9A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9D7D65D3-D644-BB81-F604-83326328D8ED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>
                <a:effectLst/>
                <a:latin typeface="+mn-lt"/>
                <a:ea typeface="+mn-ea"/>
                <a:cs typeface="+mn-cs"/>
              </a:rPr>
              <a:t>FJ</a:t>
            </a:r>
            <a:r>
              <a:rPr lang="ja-JP" altLang="en-US" sz="1000" b="0" i="0" u="none" strike="noStrike">
                <a:effectLst/>
                <a:latin typeface="+mn-lt"/>
                <a:ea typeface="+mn-ea"/>
                <a:cs typeface="+mn-cs"/>
              </a:rPr>
              <a:t>松枝</a:t>
            </a:r>
            <a:r>
              <a:rPr lang="ja-JP" altLang="en-US"/>
              <a:t> 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359A4FE-6A0D-503B-B2DC-DC1A71BD5F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845D0809-058C-1EAC-0B5C-C593F97F735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A17E4CA3-7732-F2A3-F703-6059D773E570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5094F0DC-6899-F58B-C731-5E6095810100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0896718E-EA2D-184F-BC33-E97F8176C62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2521322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4693E729-8A30-4FEF-9DF7-00B1D1882358}"/>
            </a:ext>
          </a:extLst>
        </xdr:cNvPr>
        <xdr:cNvGrpSpPr>
          <a:grpSpLocks/>
        </xdr:cNvGrpSpPr>
      </xdr:nvGrpSpPr>
      <xdr:grpSpPr bwMode="auto">
        <a:xfrm>
          <a:off x="0" y="0"/>
          <a:ext cx="10012678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938570F-EF1E-D330-9C4E-DB2D7F96C454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ABC186A-E66B-A16C-3CE0-9DDF5C707FDB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C6894CFD-9E1D-8BB3-806B-580F444423C8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38ABEC06-53F3-1097-4853-FC89DE3C5AD9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A962B768-D757-067B-81C6-2F992A8CD97F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DAE0999C-3EFF-4CB5-528D-2240B5F9814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AAC4EA25-AB69-F2D4-79B7-155C5E0373CE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51BDAC2D-CA05-4A1B-E192-7002D30BB4B2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253FF0AD-B747-2503-6F6C-077EE33A2CD0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25.04.22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8DD6475C-0534-4476-DE61-AC8C4E9EF83A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09FC6B14-53F0-9124-55EB-6054E352D2D2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>
                <a:effectLst/>
                <a:latin typeface="+mn-lt"/>
                <a:ea typeface="+mn-ea"/>
                <a:cs typeface="+mn-cs"/>
              </a:rPr>
              <a:t>FJ</a:t>
            </a:r>
            <a:r>
              <a:rPr lang="ja-JP" altLang="en-US" sz="1000" b="0" i="0" u="none" strike="noStrike">
                <a:effectLst/>
                <a:latin typeface="+mn-lt"/>
                <a:ea typeface="+mn-ea"/>
                <a:cs typeface="+mn-cs"/>
              </a:rPr>
              <a:t>松枝</a:t>
            </a:r>
            <a:r>
              <a:rPr lang="ja-JP" altLang="en-US"/>
              <a:t> 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55709C32-9C3F-055D-8B1C-073D6ADD59B0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827E8E7B-D2E2-D926-C250-EC95768195E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2885B8B2-D322-5FAF-0B90-71D8E0C4018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E132E8AB-8093-E7D8-5DC4-7586AF04188D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61E85B11-5EE4-BCC8-E866-1F0029937C16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9</xdr:col>
      <xdr:colOff>0</xdr:colOff>
      <xdr:row>4</xdr:row>
      <xdr:rowOff>47626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A5F6FF74-CEA3-4DE7-AFA8-C19C3F1933EB}"/>
            </a:ext>
          </a:extLst>
        </xdr:cNvPr>
        <xdr:cNvGrpSpPr>
          <a:grpSpLocks/>
        </xdr:cNvGrpSpPr>
      </xdr:nvGrpSpPr>
      <xdr:grpSpPr bwMode="auto">
        <a:xfrm>
          <a:off x="0" y="38100"/>
          <a:ext cx="11313459" cy="690844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B29AB3-E8EF-46B9-8A22-3AEBA972C0B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1E3ED8B-9B47-4D02-842F-F9200F9ADBB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89465E6-7431-4EB9-8BC5-127743A1B5D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4EAC3C49-0ABA-4095-A0A3-0C2D2068DB73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2E1E287-64B2-4414-AD53-6707766E47B7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820B4330-CD7E-48A0-9597-1A9AAEF9845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6F5F39AF-7DEA-4EA9-B54C-9319CDD96ED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8B19B0C-208E-48BA-A2BD-F06E9DD2E5A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D236FCFD-BFA5-4206-B199-68046A0875E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25.04.22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A62D3A5-F797-4A34-9FD3-FC0EA52F58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B03EA637-336B-4833-985A-BA8B03497AD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松枝</a:t>
            </a: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82F8FF0-4F84-495D-8F9E-CEB5064EFD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311663B-45B8-41DE-9C07-D962D2FEA5A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6F87682-FAF7-42AF-8E30-17BB19971D6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36A5ACB-803F-45D3-A083-DF15DB5D4B64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6FDB569-06E1-4CF9-ACBF-F5C8925A863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F2B8539E-DD9C-4E5C-B5E6-AA2ED81E1AF7}"/>
            </a:ext>
          </a:extLst>
        </xdr:cNvPr>
        <xdr:cNvGrpSpPr>
          <a:grpSpLocks/>
        </xdr:cNvGrpSpPr>
      </xdr:nvGrpSpPr>
      <xdr:grpSpPr bwMode="auto">
        <a:xfrm>
          <a:off x="0" y="0"/>
          <a:ext cx="11143129" cy="690844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07F12E8-1DB3-46B6-5DB0-F7F7BC33CA51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F42AEB92-DE1F-9DA3-DB58-E59C1A2A90EF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9024AA85-9B5E-F5A7-FE98-5BB1E21D96C4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D0272817-37C7-CEC3-2FA0-962939FFAC01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D096B90E-B35C-B247-3BE6-84044E7E81C8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AF461DC4-D755-95C5-6630-D9F42AAFED8A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91370D49-E978-BB6B-C9F9-B3B744BC5E2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73F0155A-F0F9-1627-7196-A54B299956D8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E0CFCB6A-CE0E-821F-AA41-797CB9C11C96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25.04.22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4185D734-2099-7554-C41B-C804F8B0D01D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088AB658-36E6-3D55-8A09-95AF0FAD0507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松枝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F9D41A41-35D6-1A06-0971-0BEB00F0A586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8289326-0901-1732-C638-7A023396B15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0FB17388-5D97-0CC9-FC38-D1081178CEF3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7BBAE3F-5B3F-1C5D-EC6D-58916BC6F9C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56AEBD63-0234-D140-6112-B019A2F4807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BDC9A20E-4DB7-4C10-9BBA-0D3A6DDE9251}"/>
            </a:ext>
          </a:extLst>
        </xdr:cNvPr>
        <xdr:cNvGrpSpPr>
          <a:grpSpLocks/>
        </xdr:cNvGrpSpPr>
      </xdr:nvGrpSpPr>
      <xdr:grpSpPr bwMode="auto">
        <a:xfrm>
          <a:off x="0" y="0"/>
          <a:ext cx="9099176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F7305A5-453B-33B7-68F9-68473770FAC2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172F59F0-2F9C-6DDE-80D5-CB98111E6614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12C3EF19-C32C-6A50-AD18-6F462D92FC17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65506605-9586-97E2-38D8-816B1EB617A9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C2B42934-07C1-1C7A-AA59-2227CCD733EF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99F7B100-6B00-0EDB-7459-41E568F73D65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FDD6988C-C970-E62F-AAC2-EA7CA29E78B1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ED809E94-CF99-933D-16A8-68BDB82AD723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35435B00-AB3D-DBA9-AED5-DED660F33645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25.04.22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47C4CDF-52DF-03B1-07C8-C55F2432B7B9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1CFFC9DE-60CB-D172-9D9B-2778FD37AE34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松枝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00D01D56-1F4A-C355-E0B3-DA71FB641535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050">
                <a:effectLst/>
                <a:latin typeface="+mn-lt"/>
                <a:ea typeface="+mn-ea"/>
                <a:cs typeface="+mn-cs"/>
              </a:rPr>
              <a:t>請求確認</a:t>
            </a:r>
            <a:endParaRPr lang="ja-JP" altLang="ja-JP" sz="1050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E90E5B80-C038-C993-5743-E8419CBB0E40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238CF5D2-FEB4-C6FF-8ADB-1C56A02DC7D6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0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日本触媒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A2FB9150-E3F1-F9FB-FD32-68B8E195CDD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AD65DBB2-020B-71AC-EA17-497EA51E21FD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E873723A-61F2-43CF-B9DF-F673A62B222B}"/>
            </a:ext>
          </a:extLst>
        </xdr:cNvPr>
        <xdr:cNvGrpSpPr>
          <a:grpSpLocks/>
        </xdr:cNvGrpSpPr>
      </xdr:nvGrpSpPr>
      <xdr:grpSpPr bwMode="auto">
        <a:xfrm>
          <a:off x="0" y="0"/>
          <a:ext cx="10416988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FCAE377-C961-644F-1AC0-446920179CB2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7F60A051-426A-E970-F788-DCA613536688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31B50DE6-98C3-FD09-B3FA-D5CC473BAB3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A7C7A1A1-4186-A8DA-D454-33F2775D2984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A6F0F24D-1717-A303-9D1B-033197E25C54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6615B426-0DCB-F144-3FB5-3A1CF882DC45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97D8D3F9-6365-FF75-9323-086281282BC5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AAA0A6ED-F970-FF46-5A7E-192D9E00DE6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12263518-1A34-E47B-5125-D7B0A1826851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25.04.22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68BC3E99-6625-E1C1-F810-A5DEDF9909DE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5F4EC29E-7F25-F4D6-55BC-B252E9CFAC1E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松枝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DE991C2C-D997-117D-DB10-AF63DFBAEBC7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050">
                <a:effectLst/>
                <a:latin typeface="+mn-lt"/>
                <a:ea typeface="+mn-ea"/>
                <a:cs typeface="+mn-cs"/>
              </a:rPr>
              <a:t>請求確認</a:t>
            </a:r>
            <a:endParaRPr lang="ja-JP" altLang="ja-JP" sz="1050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CADB10CD-1933-FD3D-47EA-9C04112A177C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184EB7E9-4028-A0E7-AF92-20E05CC1B75F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86319E56-531A-4630-6D1E-5ED05D880D7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0B62D31-12CA-C069-7550-3F693460A675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a:spPr>
      <a:bodyPr vertOverflow="clip" wrap="square" lIns="27432" tIns="18288" rIns="27432" bIns="18288" anchor="ctr" upright="1"/>
      <a:lstStyle>
        <a:defPPr marL="0" marR="0" indent="0" algn="ctr" defTabSz="914400" rtl="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000" b="0" i="1" baseline="0">
            <a:effectLst/>
            <a:latin typeface="+mn-lt"/>
            <a:ea typeface="+mn-ea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"/>
  <sheetViews>
    <sheetView tabSelected="1" view="pageBreakPreview" zoomScale="85" zoomScaleNormal="85" zoomScaleSheetLayoutView="85" workbookViewId="0"/>
  </sheetViews>
  <sheetFormatPr defaultColWidth="2.6640625" defaultRowHeight="13.2"/>
  <cols>
    <col min="1" max="8" width="2.6640625" style="14" customWidth="1"/>
    <col min="9" max="9" width="2.6640625" style="18" customWidth="1"/>
    <col min="10" max="10" width="2.6640625" style="19" customWidth="1"/>
    <col min="11" max="16384" width="2.6640625" style="14"/>
  </cols>
  <sheetData>
    <row r="1" spans="1:52">
      <c r="I1" s="14"/>
      <c r="J1" s="14"/>
    </row>
    <row r="2" spans="1:52" ht="23.4">
      <c r="C2" s="15" t="s">
        <v>0</v>
      </c>
      <c r="I2" s="14"/>
      <c r="J2" s="14"/>
    </row>
    <row r="3" spans="1:52">
      <c r="I3" s="14"/>
      <c r="J3" s="14"/>
    </row>
    <row r="4" spans="1:52">
      <c r="I4" s="14"/>
      <c r="J4" s="14"/>
    </row>
    <row r="5" spans="1:52">
      <c r="I5" s="14"/>
      <c r="J5" s="14"/>
    </row>
    <row r="6" spans="1:52">
      <c r="I6" s="14"/>
      <c r="J6" s="14"/>
    </row>
    <row r="7" spans="1:52">
      <c r="I7" s="14"/>
      <c r="J7" s="14"/>
    </row>
    <row r="8" spans="1:52">
      <c r="A8" s="188" t="s">
        <v>1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</row>
    <row r="9" spans="1:52">
      <c r="A9" s="188"/>
      <c r="B9" s="188"/>
      <c r="C9" s="188"/>
      <c r="D9" s="188"/>
      <c r="E9" s="188"/>
      <c r="F9" s="188"/>
      <c r="G9" s="188"/>
      <c r="H9" s="188"/>
      <c r="I9" s="189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</row>
    <row r="10" spans="1:52">
      <c r="A10" s="190" t="s">
        <v>2</v>
      </c>
      <c r="B10" s="190"/>
      <c r="C10" s="190"/>
      <c r="D10" s="190"/>
      <c r="E10" s="190"/>
      <c r="F10" s="190"/>
      <c r="G10" s="190"/>
      <c r="H10" s="190"/>
      <c r="I10" s="191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/>
      <c r="AY10" s="190"/>
      <c r="AZ10" s="190"/>
    </row>
    <row r="11" spans="1:52">
      <c r="A11" s="190"/>
      <c r="B11" s="190"/>
      <c r="C11" s="190"/>
      <c r="D11" s="190"/>
      <c r="E11" s="190"/>
      <c r="F11" s="190"/>
      <c r="G11" s="190"/>
      <c r="H11" s="190"/>
      <c r="I11" s="191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</row>
    <row r="12" spans="1:52">
      <c r="A12" s="190"/>
      <c r="B12" s="190"/>
      <c r="C12" s="190"/>
      <c r="D12" s="190"/>
      <c r="E12" s="190"/>
      <c r="F12" s="190"/>
      <c r="G12" s="190"/>
      <c r="H12" s="190"/>
      <c r="I12" s="191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</row>
    <row r="13" spans="1:52">
      <c r="A13" s="190" t="s">
        <v>1108</v>
      </c>
      <c r="B13" s="190"/>
      <c r="C13" s="190"/>
      <c r="D13" s="190"/>
      <c r="E13" s="190"/>
      <c r="F13" s="190"/>
      <c r="G13" s="190"/>
      <c r="H13" s="190"/>
      <c r="I13" s="191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</row>
    <row r="14" spans="1:52">
      <c r="A14" s="190"/>
      <c r="B14" s="190"/>
      <c r="C14" s="190"/>
      <c r="D14" s="190"/>
      <c r="E14" s="190"/>
      <c r="F14" s="190"/>
      <c r="G14" s="190"/>
      <c r="H14" s="190"/>
      <c r="I14" s="191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/>
      <c r="AY14" s="190"/>
      <c r="AZ14" s="190"/>
    </row>
    <row r="15" spans="1:52">
      <c r="A15" s="190"/>
      <c r="B15" s="190"/>
      <c r="C15" s="190"/>
      <c r="D15" s="190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</row>
    <row r="17" spans="1:52" ht="19.2">
      <c r="A17" s="192" t="s">
        <v>70</v>
      </c>
      <c r="B17" s="192"/>
      <c r="C17" s="192"/>
      <c r="D17" s="192"/>
      <c r="E17" s="192"/>
      <c r="F17" s="192"/>
      <c r="G17" s="192"/>
      <c r="H17" s="192"/>
      <c r="I17" s="193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</row>
    <row r="18" spans="1:52" ht="13.5" customHeight="1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3.5" customHeight="1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2" spans="1:52">
      <c r="A22" s="194">
        <v>45769</v>
      </c>
      <c r="B22" s="194"/>
      <c r="C22" s="194"/>
      <c r="D22" s="194"/>
      <c r="E22" s="194"/>
      <c r="F22" s="194"/>
      <c r="G22" s="194"/>
      <c r="H22" s="194"/>
      <c r="I22" s="195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</row>
    <row r="23" spans="1:52">
      <c r="A23" s="194"/>
      <c r="B23" s="194"/>
      <c r="C23" s="194"/>
      <c r="D23" s="194"/>
      <c r="E23" s="194"/>
      <c r="F23" s="194"/>
      <c r="G23" s="194"/>
      <c r="H23" s="194"/>
      <c r="I23" s="195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</row>
    <row r="24" spans="1:52">
      <c r="A24" s="180" t="s">
        <v>3</v>
      </c>
      <c r="B24" s="180"/>
      <c r="C24" s="180"/>
      <c r="D24" s="180"/>
      <c r="E24" s="180"/>
      <c r="F24" s="180"/>
      <c r="G24" s="180"/>
      <c r="H24" s="180"/>
      <c r="I24" s="181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</row>
    <row r="25" spans="1:52">
      <c r="A25" s="180"/>
      <c r="B25" s="180"/>
      <c r="C25" s="180"/>
      <c r="D25" s="180"/>
      <c r="E25" s="180"/>
      <c r="F25" s="180"/>
      <c r="G25" s="180"/>
      <c r="H25" s="180"/>
      <c r="I25" s="181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</row>
    <row r="28" spans="1:52">
      <c r="V28" s="182" t="s">
        <v>4</v>
      </c>
      <c r="W28" s="183"/>
      <c r="X28" s="183"/>
      <c r="Y28" s="183"/>
      <c r="Z28" s="184"/>
      <c r="AA28" s="182" t="s">
        <v>5</v>
      </c>
      <c r="AB28" s="183"/>
      <c r="AC28" s="183"/>
      <c r="AD28" s="183"/>
      <c r="AE28" s="184"/>
    </row>
    <row r="29" spans="1:52">
      <c r="V29" s="185"/>
      <c r="W29" s="186"/>
      <c r="X29" s="186"/>
      <c r="Y29" s="186"/>
      <c r="Z29" s="187"/>
      <c r="AA29" s="185">
        <v>45769</v>
      </c>
      <c r="AB29" s="186"/>
      <c r="AC29" s="186"/>
      <c r="AD29" s="186"/>
      <c r="AE29" s="187"/>
    </row>
    <row r="30" spans="1:52">
      <c r="V30" s="168"/>
      <c r="W30" s="169"/>
      <c r="X30" s="169"/>
      <c r="Y30" s="169"/>
      <c r="Z30" s="170"/>
      <c r="AA30" s="174" t="s">
        <v>100</v>
      </c>
      <c r="AB30" s="175"/>
      <c r="AC30" s="175"/>
      <c r="AD30" s="175"/>
      <c r="AE30" s="176"/>
    </row>
    <row r="31" spans="1:52">
      <c r="V31" s="168"/>
      <c r="W31" s="169"/>
      <c r="X31" s="169"/>
      <c r="Y31" s="169"/>
      <c r="Z31" s="170"/>
      <c r="AA31" s="174"/>
      <c r="AB31" s="175"/>
      <c r="AC31" s="175"/>
      <c r="AD31" s="175"/>
      <c r="AE31" s="176"/>
    </row>
    <row r="32" spans="1:52">
      <c r="V32" s="168"/>
      <c r="W32" s="169"/>
      <c r="X32" s="169"/>
      <c r="Y32" s="169"/>
      <c r="Z32" s="170"/>
      <c r="AA32" s="174"/>
      <c r="AB32" s="175"/>
      <c r="AC32" s="175"/>
      <c r="AD32" s="175"/>
      <c r="AE32" s="176"/>
    </row>
    <row r="33" spans="22:31">
      <c r="V33" s="168"/>
      <c r="W33" s="169"/>
      <c r="X33" s="169"/>
      <c r="Y33" s="169"/>
      <c r="Z33" s="170"/>
      <c r="AA33" s="174"/>
      <c r="AB33" s="175"/>
      <c r="AC33" s="175"/>
      <c r="AD33" s="175"/>
      <c r="AE33" s="176"/>
    </row>
    <row r="34" spans="22:31">
      <c r="V34" s="171"/>
      <c r="W34" s="172"/>
      <c r="X34" s="172"/>
      <c r="Y34" s="172"/>
      <c r="Z34" s="173"/>
      <c r="AA34" s="177"/>
      <c r="AB34" s="178"/>
      <c r="AC34" s="178"/>
      <c r="AD34" s="178"/>
      <c r="AE34" s="179"/>
    </row>
  </sheetData>
  <mergeCells count="12">
    <mergeCell ref="A8:AZ9"/>
    <mergeCell ref="A10:AZ12"/>
    <mergeCell ref="A13:AZ15"/>
    <mergeCell ref="A17:AZ17"/>
    <mergeCell ref="A22:AZ23"/>
    <mergeCell ref="V30:Z34"/>
    <mergeCell ref="AA30:AE34"/>
    <mergeCell ref="A24:AZ25"/>
    <mergeCell ref="V28:Z28"/>
    <mergeCell ref="AA28:AE28"/>
    <mergeCell ref="V29:Z29"/>
    <mergeCell ref="AA29:AE29"/>
  </mergeCells>
  <phoneticPr fontId="3"/>
  <pageMargins left="0.59055118110236227" right="0.59055118110236227" top="0.78740157480314965" bottom="0.59055118110236227" header="0.51181102362204722" footer="0.23622047244094491"/>
  <pageSetup paperSize="9" scale="98" orientation="landscape" r:id="rId1"/>
  <headerFooter alignWithMargins="0"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4"/>
  <sheetViews>
    <sheetView showGridLines="0" view="pageBreakPreview" zoomScale="85" zoomScaleNormal="85" zoomScaleSheetLayoutView="85" workbookViewId="0">
      <selection sqref="A1:E4"/>
    </sheetView>
  </sheetViews>
  <sheetFormatPr defaultColWidth="2.6640625" defaultRowHeight="13.5" customHeight="1"/>
  <cols>
    <col min="1" max="7" width="2.6640625" style="20" customWidth="1"/>
    <col min="8" max="8" width="2.6640625" style="21" customWidth="1"/>
    <col min="9" max="9" width="2.6640625" style="29" customWidth="1"/>
    <col min="10" max="10" width="2.6640625" style="30" customWidth="1"/>
    <col min="11" max="11" width="2.6640625" style="21" customWidth="1"/>
    <col min="12" max="16384" width="2.6640625" style="20"/>
  </cols>
  <sheetData>
    <row r="1" spans="1:69" ht="13.5" customHeight="1">
      <c r="A1" s="211" t="s">
        <v>6</v>
      </c>
      <c r="B1" s="212"/>
      <c r="C1" s="212"/>
      <c r="D1" s="212"/>
      <c r="E1" s="212"/>
      <c r="F1" s="218" t="s">
        <v>7</v>
      </c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20"/>
      <c r="T1" s="226" t="s">
        <v>8</v>
      </c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6" t="s">
        <v>9</v>
      </c>
      <c r="AI1" s="227"/>
      <c r="AJ1" s="227"/>
      <c r="AK1" s="227"/>
      <c r="AL1" s="227"/>
      <c r="AM1" s="227"/>
      <c r="AN1" s="227"/>
      <c r="AO1" s="227"/>
      <c r="AP1" s="227"/>
      <c r="AQ1" s="227"/>
      <c r="AR1" s="234"/>
      <c r="AS1" s="226" t="s">
        <v>10</v>
      </c>
      <c r="AT1" s="227"/>
      <c r="AU1" s="227"/>
      <c r="AV1" s="227"/>
      <c r="AW1" s="227"/>
      <c r="AX1" s="227"/>
      <c r="AY1" s="227"/>
      <c r="AZ1" s="227"/>
      <c r="BA1" s="234"/>
      <c r="BB1" s="226" t="s">
        <v>11</v>
      </c>
      <c r="BC1" s="227"/>
      <c r="BD1" s="227"/>
      <c r="BE1" s="234"/>
      <c r="BF1" s="226" t="s">
        <v>12</v>
      </c>
      <c r="BG1" s="227"/>
      <c r="BH1" s="227"/>
      <c r="BI1" s="234"/>
      <c r="BJ1" s="226" t="s">
        <v>13</v>
      </c>
      <c r="BK1" s="227"/>
      <c r="BL1" s="227"/>
      <c r="BM1" s="234"/>
      <c r="BN1" s="226" t="s">
        <v>14</v>
      </c>
      <c r="BO1" s="227"/>
      <c r="BP1" s="227"/>
      <c r="BQ1" s="234"/>
    </row>
    <row r="2" spans="1:69" ht="13.5" customHeight="1">
      <c r="A2" s="213"/>
      <c r="B2" s="214"/>
      <c r="C2" s="214"/>
      <c r="D2" s="214"/>
      <c r="E2" s="214"/>
      <c r="F2" s="221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222"/>
      <c r="T2" s="228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8"/>
      <c r="AI2" s="229"/>
      <c r="AJ2" s="229"/>
      <c r="AK2" s="229"/>
      <c r="AL2" s="229"/>
      <c r="AM2" s="229"/>
      <c r="AN2" s="229"/>
      <c r="AO2" s="229"/>
      <c r="AP2" s="229"/>
      <c r="AQ2" s="229"/>
      <c r="AR2" s="235"/>
      <c r="AS2" s="228"/>
      <c r="AT2" s="229"/>
      <c r="AU2" s="229"/>
      <c r="AV2" s="229"/>
      <c r="AW2" s="229"/>
      <c r="AX2" s="229"/>
      <c r="AY2" s="229"/>
      <c r="AZ2" s="229"/>
      <c r="BA2" s="235"/>
      <c r="BB2" s="228"/>
      <c r="BC2" s="229"/>
      <c r="BD2" s="229"/>
      <c r="BE2" s="235"/>
      <c r="BF2" s="228"/>
      <c r="BG2" s="229"/>
      <c r="BH2" s="229"/>
      <c r="BI2" s="235"/>
      <c r="BJ2" s="228"/>
      <c r="BK2" s="229"/>
      <c r="BL2" s="229"/>
      <c r="BM2" s="235"/>
      <c r="BN2" s="228"/>
      <c r="BO2" s="229"/>
      <c r="BP2" s="229"/>
      <c r="BQ2" s="235"/>
    </row>
    <row r="3" spans="1:69" ht="13.5" customHeight="1">
      <c r="A3" s="213"/>
      <c r="B3" s="214"/>
      <c r="C3" s="214"/>
      <c r="D3" s="214"/>
      <c r="E3" s="214"/>
      <c r="F3" s="221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222"/>
      <c r="T3" s="230" t="s">
        <v>133</v>
      </c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6" t="s">
        <v>622</v>
      </c>
      <c r="AI3" s="237"/>
      <c r="AJ3" s="237"/>
      <c r="AK3" s="237"/>
      <c r="AL3" s="237"/>
      <c r="AM3" s="237"/>
      <c r="AN3" s="237"/>
      <c r="AO3" s="237"/>
      <c r="AP3" s="237"/>
      <c r="AQ3" s="237"/>
      <c r="AR3" s="238"/>
      <c r="AS3" s="230" t="s">
        <v>1109</v>
      </c>
      <c r="AT3" s="231"/>
      <c r="AU3" s="231"/>
      <c r="AV3" s="231"/>
      <c r="AW3" s="231"/>
      <c r="AX3" s="231"/>
      <c r="AY3" s="231"/>
      <c r="AZ3" s="231"/>
      <c r="BA3" s="242"/>
      <c r="BB3" s="230" t="s">
        <v>100</v>
      </c>
      <c r="BC3" s="231"/>
      <c r="BD3" s="231"/>
      <c r="BE3" s="242"/>
      <c r="BF3" s="244">
        <v>45769</v>
      </c>
      <c r="BG3" s="245"/>
      <c r="BH3" s="245"/>
      <c r="BI3" s="246"/>
      <c r="BJ3" s="230"/>
      <c r="BK3" s="250"/>
      <c r="BL3" s="250"/>
      <c r="BM3" s="242"/>
      <c r="BN3" s="244"/>
      <c r="BO3" s="251"/>
      <c r="BP3" s="251"/>
      <c r="BQ3" s="246"/>
    </row>
    <row r="4" spans="1:69" ht="13.5" customHeight="1" thickBot="1">
      <c r="A4" s="215"/>
      <c r="B4" s="216"/>
      <c r="C4" s="216"/>
      <c r="D4" s="216"/>
      <c r="E4" s="216"/>
      <c r="F4" s="223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232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9"/>
      <c r="AI4" s="240"/>
      <c r="AJ4" s="240"/>
      <c r="AK4" s="240"/>
      <c r="AL4" s="240"/>
      <c r="AM4" s="240"/>
      <c r="AN4" s="240"/>
      <c r="AO4" s="240"/>
      <c r="AP4" s="240"/>
      <c r="AQ4" s="240"/>
      <c r="AR4" s="241"/>
      <c r="AS4" s="232"/>
      <c r="AT4" s="233"/>
      <c r="AU4" s="233"/>
      <c r="AV4" s="233"/>
      <c r="AW4" s="233"/>
      <c r="AX4" s="233"/>
      <c r="AY4" s="233"/>
      <c r="AZ4" s="233"/>
      <c r="BA4" s="243"/>
      <c r="BB4" s="232"/>
      <c r="BC4" s="233"/>
      <c r="BD4" s="233"/>
      <c r="BE4" s="243"/>
      <c r="BF4" s="247"/>
      <c r="BG4" s="248"/>
      <c r="BH4" s="248"/>
      <c r="BI4" s="249"/>
      <c r="BJ4" s="232"/>
      <c r="BK4" s="233"/>
      <c r="BL4" s="233"/>
      <c r="BM4" s="243"/>
      <c r="BN4" s="247"/>
      <c r="BO4" s="248"/>
      <c r="BP4" s="248"/>
      <c r="BQ4" s="249"/>
    </row>
    <row r="5" spans="1:69" ht="13.5" customHeight="1">
      <c r="I5" s="21"/>
      <c r="J5" s="21"/>
    </row>
    <row r="6" spans="1:69" ht="13.5" customHeight="1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2"/>
    </row>
    <row r="7" spans="1:69" ht="13.5" customHeight="1">
      <c r="A7" s="22"/>
      <c r="B7" s="252" t="s">
        <v>15</v>
      </c>
      <c r="C7" s="252"/>
      <c r="D7" s="209" t="s">
        <v>16</v>
      </c>
      <c r="E7" s="217"/>
      <c r="F7" s="217"/>
      <c r="G7" s="210"/>
      <c r="H7" s="252" t="s">
        <v>17</v>
      </c>
      <c r="I7" s="252"/>
      <c r="J7" s="252"/>
      <c r="K7" s="252"/>
      <c r="L7" s="252" t="s">
        <v>18</v>
      </c>
      <c r="M7" s="252"/>
      <c r="N7" s="252"/>
      <c r="O7" s="209" t="s">
        <v>19</v>
      </c>
      <c r="P7" s="210"/>
      <c r="Q7" s="205" t="s">
        <v>20</v>
      </c>
      <c r="R7" s="206"/>
      <c r="S7" s="206"/>
      <c r="T7" s="207"/>
      <c r="U7" s="209" t="s">
        <v>21</v>
      </c>
      <c r="V7" s="217"/>
      <c r="W7" s="217"/>
      <c r="X7" s="217"/>
      <c r="Y7" s="217"/>
      <c r="Z7" s="217"/>
      <c r="AA7" s="217"/>
      <c r="AB7" s="217"/>
      <c r="AC7" s="217"/>
      <c r="AD7" s="217"/>
      <c r="AE7" s="210"/>
      <c r="AF7" s="209" t="s">
        <v>22</v>
      </c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0"/>
      <c r="AY7" s="209" t="s">
        <v>23</v>
      </c>
      <c r="AZ7" s="217"/>
      <c r="BA7" s="217"/>
      <c r="BB7" s="217"/>
      <c r="BC7" s="217"/>
      <c r="BD7" s="217"/>
      <c r="BE7" s="217"/>
      <c r="BF7" s="217"/>
      <c r="BG7" s="217"/>
      <c r="BH7" s="217"/>
      <c r="BI7" s="217"/>
      <c r="BJ7" s="217"/>
      <c r="BK7" s="217"/>
      <c r="BL7" s="217"/>
      <c r="BM7" s="217"/>
      <c r="BN7" s="217"/>
      <c r="BO7" s="217"/>
      <c r="BP7" s="210"/>
      <c r="BQ7" s="23"/>
    </row>
    <row r="8" spans="1:69" ht="12">
      <c r="A8" s="22"/>
      <c r="B8" s="196">
        <f t="shared" ref="B8:B52" si="0">ROW()-7</f>
        <v>1</v>
      </c>
      <c r="C8" s="197"/>
      <c r="D8" s="208" t="s">
        <v>66</v>
      </c>
      <c r="E8" s="199"/>
      <c r="F8" s="199"/>
      <c r="G8" s="200"/>
      <c r="H8" s="201">
        <v>45769</v>
      </c>
      <c r="I8" s="199"/>
      <c r="J8" s="199"/>
      <c r="K8" s="200"/>
      <c r="L8" s="198" t="s">
        <v>100</v>
      </c>
      <c r="M8" s="199"/>
      <c r="N8" s="200"/>
      <c r="O8" s="198" t="s">
        <v>24</v>
      </c>
      <c r="P8" s="200"/>
      <c r="Q8" s="198" t="s">
        <v>101</v>
      </c>
      <c r="R8" s="199"/>
      <c r="S8" s="199"/>
      <c r="T8" s="200"/>
      <c r="U8" s="198"/>
      <c r="V8" s="199"/>
      <c r="W8" s="199"/>
      <c r="X8" s="199"/>
      <c r="Y8" s="199"/>
      <c r="Z8" s="199"/>
      <c r="AA8" s="199"/>
      <c r="AB8" s="199"/>
      <c r="AC8" s="199"/>
      <c r="AD8" s="199"/>
      <c r="AE8" s="200"/>
      <c r="AF8" s="198" t="s">
        <v>25</v>
      </c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200"/>
      <c r="AY8" s="198" t="s">
        <v>102</v>
      </c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200"/>
      <c r="BQ8" s="23"/>
    </row>
    <row r="9" spans="1:69" ht="12">
      <c r="A9" s="22"/>
      <c r="B9" s="196">
        <f t="shared" si="0"/>
        <v>2</v>
      </c>
      <c r="C9" s="197"/>
      <c r="D9" s="198"/>
      <c r="E9" s="203"/>
      <c r="F9" s="203"/>
      <c r="G9" s="200"/>
      <c r="H9" s="201"/>
      <c r="I9" s="204"/>
      <c r="J9" s="204"/>
      <c r="K9" s="200"/>
      <c r="L9" s="198"/>
      <c r="M9" s="203"/>
      <c r="N9" s="200"/>
      <c r="O9" s="198"/>
      <c r="P9" s="200"/>
      <c r="Q9" s="198"/>
      <c r="R9" s="203"/>
      <c r="S9" s="203"/>
      <c r="T9" s="200"/>
      <c r="U9" s="198"/>
      <c r="V9" s="203"/>
      <c r="W9" s="203"/>
      <c r="X9" s="203"/>
      <c r="Y9" s="203"/>
      <c r="Z9" s="203"/>
      <c r="AA9" s="203"/>
      <c r="AB9" s="203"/>
      <c r="AC9" s="203"/>
      <c r="AD9" s="203"/>
      <c r="AE9" s="200"/>
      <c r="AF9" s="198"/>
      <c r="AG9" s="203"/>
      <c r="AH9" s="203"/>
      <c r="AI9" s="203"/>
      <c r="AJ9" s="203"/>
      <c r="AK9" s="203"/>
      <c r="AL9" s="203"/>
      <c r="AM9" s="203"/>
      <c r="AN9" s="203"/>
      <c r="AO9" s="203"/>
      <c r="AP9" s="203"/>
      <c r="AQ9" s="203"/>
      <c r="AR9" s="203"/>
      <c r="AS9" s="203"/>
      <c r="AT9" s="203"/>
      <c r="AU9" s="203"/>
      <c r="AV9" s="203"/>
      <c r="AW9" s="203"/>
      <c r="AX9" s="200"/>
      <c r="AY9" s="198"/>
      <c r="AZ9" s="203"/>
      <c r="BA9" s="203"/>
      <c r="BB9" s="203"/>
      <c r="BC9" s="203"/>
      <c r="BD9" s="203"/>
      <c r="BE9" s="203"/>
      <c r="BF9" s="203"/>
      <c r="BG9" s="203"/>
      <c r="BH9" s="203"/>
      <c r="BI9" s="203"/>
      <c r="BJ9" s="203"/>
      <c r="BK9" s="203"/>
      <c r="BL9" s="203"/>
      <c r="BM9" s="203"/>
      <c r="BN9" s="203"/>
      <c r="BO9" s="203"/>
      <c r="BP9" s="200"/>
      <c r="BQ9" s="23"/>
    </row>
    <row r="10" spans="1:69" ht="12">
      <c r="A10" s="22"/>
      <c r="B10" s="196">
        <f t="shared" si="0"/>
        <v>3</v>
      </c>
      <c r="C10" s="197"/>
      <c r="D10" s="198"/>
      <c r="E10" s="199"/>
      <c r="F10" s="199"/>
      <c r="G10" s="200"/>
      <c r="H10" s="201"/>
      <c r="I10" s="202"/>
      <c r="J10" s="202"/>
      <c r="K10" s="200"/>
      <c r="L10" s="198"/>
      <c r="M10" s="199"/>
      <c r="N10" s="200"/>
      <c r="O10" s="198"/>
      <c r="P10" s="200"/>
      <c r="Q10" s="198"/>
      <c r="R10" s="199"/>
      <c r="S10" s="199"/>
      <c r="T10" s="200"/>
      <c r="U10" s="198"/>
      <c r="V10" s="199"/>
      <c r="W10" s="199"/>
      <c r="X10" s="199"/>
      <c r="Y10" s="199"/>
      <c r="Z10" s="199"/>
      <c r="AA10" s="199"/>
      <c r="AB10" s="199"/>
      <c r="AC10" s="199"/>
      <c r="AD10" s="199"/>
      <c r="AE10" s="200"/>
      <c r="AF10" s="198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200"/>
      <c r="AY10" s="198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200"/>
      <c r="BQ10" s="23"/>
    </row>
    <row r="11" spans="1:69" ht="12">
      <c r="A11" s="22"/>
      <c r="B11" s="196">
        <f t="shared" si="0"/>
        <v>4</v>
      </c>
      <c r="C11" s="197"/>
      <c r="D11" s="198"/>
      <c r="E11" s="199"/>
      <c r="F11" s="199"/>
      <c r="G11" s="200"/>
      <c r="H11" s="201"/>
      <c r="I11" s="202"/>
      <c r="J11" s="202"/>
      <c r="K11" s="200"/>
      <c r="L11" s="198"/>
      <c r="M11" s="199"/>
      <c r="N11" s="200"/>
      <c r="O11" s="198"/>
      <c r="P11" s="200"/>
      <c r="Q11" s="198"/>
      <c r="R11" s="199"/>
      <c r="S11" s="199"/>
      <c r="T11" s="200"/>
      <c r="U11" s="198"/>
      <c r="V11" s="199"/>
      <c r="W11" s="199"/>
      <c r="X11" s="199"/>
      <c r="Y11" s="199"/>
      <c r="Z11" s="199"/>
      <c r="AA11" s="199"/>
      <c r="AB11" s="199"/>
      <c r="AC11" s="199"/>
      <c r="AD11" s="199"/>
      <c r="AE11" s="200"/>
      <c r="AF11" s="198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200"/>
      <c r="AY11" s="198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200"/>
      <c r="BQ11" s="23"/>
    </row>
    <row r="12" spans="1:69" ht="12">
      <c r="A12" s="22"/>
      <c r="B12" s="196">
        <f t="shared" si="0"/>
        <v>5</v>
      </c>
      <c r="C12" s="197"/>
      <c r="D12" s="198"/>
      <c r="E12" s="199"/>
      <c r="F12" s="199"/>
      <c r="G12" s="200"/>
      <c r="H12" s="201"/>
      <c r="I12" s="202"/>
      <c r="J12" s="202"/>
      <c r="K12" s="200"/>
      <c r="L12" s="198"/>
      <c r="M12" s="199"/>
      <c r="N12" s="200"/>
      <c r="O12" s="198"/>
      <c r="P12" s="200"/>
      <c r="Q12" s="198"/>
      <c r="R12" s="199"/>
      <c r="S12" s="199"/>
      <c r="T12" s="200"/>
      <c r="U12" s="198"/>
      <c r="V12" s="199"/>
      <c r="W12" s="199"/>
      <c r="X12" s="199"/>
      <c r="Y12" s="199"/>
      <c r="Z12" s="199"/>
      <c r="AA12" s="199"/>
      <c r="AB12" s="199"/>
      <c r="AC12" s="199"/>
      <c r="AD12" s="199"/>
      <c r="AE12" s="200"/>
      <c r="AF12" s="198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200"/>
      <c r="AY12" s="198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200"/>
      <c r="BQ12" s="23"/>
    </row>
    <row r="13" spans="1:69" ht="12">
      <c r="A13" s="22"/>
      <c r="B13" s="196">
        <f t="shared" si="0"/>
        <v>6</v>
      </c>
      <c r="C13" s="197"/>
      <c r="D13" s="198"/>
      <c r="E13" s="199"/>
      <c r="F13" s="199"/>
      <c r="G13" s="200"/>
      <c r="H13" s="201"/>
      <c r="I13" s="202"/>
      <c r="J13" s="202"/>
      <c r="K13" s="200"/>
      <c r="L13" s="198"/>
      <c r="M13" s="199"/>
      <c r="N13" s="200"/>
      <c r="O13" s="198"/>
      <c r="P13" s="200"/>
      <c r="Q13" s="198"/>
      <c r="R13" s="199"/>
      <c r="S13" s="199"/>
      <c r="T13" s="200"/>
      <c r="U13" s="198"/>
      <c r="V13" s="199"/>
      <c r="W13" s="199"/>
      <c r="X13" s="199"/>
      <c r="Y13" s="199"/>
      <c r="Z13" s="199"/>
      <c r="AA13" s="199"/>
      <c r="AB13" s="199"/>
      <c r="AC13" s="199"/>
      <c r="AD13" s="199"/>
      <c r="AE13" s="200"/>
      <c r="AF13" s="198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200"/>
      <c r="AY13" s="198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200"/>
      <c r="BQ13" s="23"/>
    </row>
    <row r="14" spans="1:69" ht="12">
      <c r="A14" s="22"/>
      <c r="B14" s="196">
        <f t="shared" si="0"/>
        <v>7</v>
      </c>
      <c r="C14" s="197"/>
      <c r="D14" s="198"/>
      <c r="E14" s="199"/>
      <c r="F14" s="199"/>
      <c r="G14" s="200"/>
      <c r="H14" s="201"/>
      <c r="I14" s="202"/>
      <c r="J14" s="202"/>
      <c r="K14" s="200"/>
      <c r="L14" s="198"/>
      <c r="M14" s="199"/>
      <c r="N14" s="200"/>
      <c r="O14" s="198"/>
      <c r="P14" s="200"/>
      <c r="Q14" s="198"/>
      <c r="R14" s="199"/>
      <c r="S14" s="199"/>
      <c r="T14" s="200"/>
      <c r="U14" s="198"/>
      <c r="V14" s="199"/>
      <c r="W14" s="199"/>
      <c r="X14" s="199"/>
      <c r="Y14" s="199"/>
      <c r="Z14" s="199"/>
      <c r="AA14" s="199"/>
      <c r="AB14" s="199"/>
      <c r="AC14" s="199"/>
      <c r="AD14" s="199"/>
      <c r="AE14" s="200"/>
      <c r="AF14" s="198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200"/>
      <c r="AY14" s="198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200"/>
      <c r="BQ14" s="23"/>
    </row>
    <row r="15" spans="1:69" ht="12">
      <c r="A15" s="22"/>
      <c r="B15" s="196">
        <f t="shared" si="0"/>
        <v>8</v>
      </c>
      <c r="C15" s="197"/>
      <c r="D15" s="198"/>
      <c r="E15" s="199"/>
      <c r="F15" s="199"/>
      <c r="G15" s="200"/>
      <c r="H15" s="201"/>
      <c r="I15" s="202"/>
      <c r="J15" s="202"/>
      <c r="K15" s="200"/>
      <c r="L15" s="198"/>
      <c r="M15" s="199"/>
      <c r="N15" s="200"/>
      <c r="O15" s="198"/>
      <c r="P15" s="200"/>
      <c r="Q15" s="198"/>
      <c r="R15" s="199"/>
      <c r="S15" s="199"/>
      <c r="T15" s="200"/>
      <c r="U15" s="198"/>
      <c r="V15" s="199"/>
      <c r="W15" s="199"/>
      <c r="X15" s="199"/>
      <c r="Y15" s="199"/>
      <c r="Z15" s="199"/>
      <c r="AA15" s="199"/>
      <c r="AB15" s="199"/>
      <c r="AC15" s="199"/>
      <c r="AD15" s="199"/>
      <c r="AE15" s="200"/>
      <c r="AF15" s="198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200"/>
      <c r="AY15" s="198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200"/>
      <c r="BQ15" s="23"/>
    </row>
    <row r="16" spans="1:69" ht="12">
      <c r="A16" s="22"/>
      <c r="B16" s="196">
        <f t="shared" si="0"/>
        <v>9</v>
      </c>
      <c r="C16" s="197"/>
      <c r="D16" s="198"/>
      <c r="E16" s="199"/>
      <c r="F16" s="199"/>
      <c r="G16" s="200"/>
      <c r="H16" s="201"/>
      <c r="I16" s="202"/>
      <c r="J16" s="202"/>
      <c r="K16" s="200"/>
      <c r="L16" s="198"/>
      <c r="M16" s="199"/>
      <c r="N16" s="200"/>
      <c r="O16" s="198"/>
      <c r="P16" s="200"/>
      <c r="Q16" s="198"/>
      <c r="R16" s="199"/>
      <c r="S16" s="199"/>
      <c r="T16" s="200"/>
      <c r="U16" s="198"/>
      <c r="V16" s="199"/>
      <c r="W16" s="199"/>
      <c r="X16" s="199"/>
      <c r="Y16" s="199"/>
      <c r="Z16" s="199"/>
      <c r="AA16" s="199"/>
      <c r="AB16" s="199"/>
      <c r="AC16" s="199"/>
      <c r="AD16" s="199"/>
      <c r="AE16" s="200"/>
      <c r="AF16" s="198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200"/>
      <c r="AY16" s="198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200"/>
      <c r="BQ16" s="23"/>
    </row>
    <row r="17" spans="1:69" ht="12">
      <c r="A17" s="22"/>
      <c r="B17" s="196">
        <f t="shared" si="0"/>
        <v>10</v>
      </c>
      <c r="C17" s="197"/>
      <c r="D17" s="198"/>
      <c r="E17" s="199"/>
      <c r="F17" s="199"/>
      <c r="G17" s="200"/>
      <c r="H17" s="201"/>
      <c r="I17" s="202"/>
      <c r="J17" s="202"/>
      <c r="K17" s="200"/>
      <c r="L17" s="198"/>
      <c r="M17" s="199"/>
      <c r="N17" s="200"/>
      <c r="O17" s="198"/>
      <c r="P17" s="200"/>
      <c r="Q17" s="198"/>
      <c r="R17" s="199"/>
      <c r="S17" s="199"/>
      <c r="T17" s="200"/>
      <c r="U17" s="198"/>
      <c r="V17" s="199"/>
      <c r="W17" s="199"/>
      <c r="X17" s="199"/>
      <c r="Y17" s="199"/>
      <c r="Z17" s="199"/>
      <c r="AA17" s="199"/>
      <c r="AB17" s="199"/>
      <c r="AC17" s="199"/>
      <c r="AD17" s="199"/>
      <c r="AE17" s="200"/>
      <c r="AF17" s="198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200"/>
      <c r="AY17" s="198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200"/>
      <c r="BQ17" s="23"/>
    </row>
    <row r="18" spans="1:69" ht="12">
      <c r="A18" s="22"/>
      <c r="B18" s="196">
        <f t="shared" si="0"/>
        <v>11</v>
      </c>
      <c r="C18" s="197"/>
      <c r="D18" s="198"/>
      <c r="E18" s="199"/>
      <c r="F18" s="199"/>
      <c r="G18" s="200"/>
      <c r="H18" s="201"/>
      <c r="I18" s="202"/>
      <c r="J18" s="202"/>
      <c r="K18" s="200"/>
      <c r="L18" s="198"/>
      <c r="M18" s="199"/>
      <c r="N18" s="200"/>
      <c r="O18" s="198"/>
      <c r="P18" s="200"/>
      <c r="Q18" s="198"/>
      <c r="R18" s="199"/>
      <c r="S18" s="199"/>
      <c r="T18" s="200"/>
      <c r="U18" s="198"/>
      <c r="V18" s="199"/>
      <c r="W18" s="199"/>
      <c r="X18" s="199"/>
      <c r="Y18" s="199"/>
      <c r="Z18" s="199"/>
      <c r="AA18" s="199"/>
      <c r="AB18" s="199"/>
      <c r="AC18" s="199"/>
      <c r="AD18" s="199"/>
      <c r="AE18" s="200"/>
      <c r="AF18" s="198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200"/>
      <c r="AY18" s="198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200"/>
      <c r="BQ18" s="23"/>
    </row>
    <row r="19" spans="1:69" ht="12">
      <c r="A19" s="22"/>
      <c r="B19" s="196">
        <f t="shared" si="0"/>
        <v>12</v>
      </c>
      <c r="C19" s="197"/>
      <c r="D19" s="198"/>
      <c r="E19" s="199"/>
      <c r="F19" s="199"/>
      <c r="G19" s="200"/>
      <c r="H19" s="201"/>
      <c r="I19" s="202"/>
      <c r="J19" s="202"/>
      <c r="K19" s="200"/>
      <c r="L19" s="198"/>
      <c r="M19" s="199"/>
      <c r="N19" s="200"/>
      <c r="O19" s="198"/>
      <c r="P19" s="200"/>
      <c r="Q19" s="198"/>
      <c r="R19" s="199"/>
      <c r="S19" s="199"/>
      <c r="T19" s="200"/>
      <c r="U19" s="198"/>
      <c r="V19" s="199"/>
      <c r="W19" s="199"/>
      <c r="X19" s="199"/>
      <c r="Y19" s="199"/>
      <c r="Z19" s="199"/>
      <c r="AA19" s="199"/>
      <c r="AB19" s="199"/>
      <c r="AC19" s="199"/>
      <c r="AD19" s="199"/>
      <c r="AE19" s="200"/>
      <c r="AF19" s="198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200"/>
      <c r="AY19" s="198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200"/>
      <c r="BQ19" s="23"/>
    </row>
    <row r="20" spans="1:69" ht="12">
      <c r="A20" s="22"/>
      <c r="B20" s="196">
        <f t="shared" si="0"/>
        <v>13</v>
      </c>
      <c r="C20" s="197"/>
      <c r="D20" s="198"/>
      <c r="E20" s="199"/>
      <c r="F20" s="199"/>
      <c r="G20" s="200"/>
      <c r="H20" s="201"/>
      <c r="I20" s="202"/>
      <c r="J20" s="202"/>
      <c r="K20" s="200"/>
      <c r="L20" s="198"/>
      <c r="M20" s="199"/>
      <c r="N20" s="200"/>
      <c r="O20" s="198"/>
      <c r="P20" s="200"/>
      <c r="Q20" s="198"/>
      <c r="R20" s="199"/>
      <c r="S20" s="199"/>
      <c r="T20" s="200"/>
      <c r="U20" s="198"/>
      <c r="V20" s="199"/>
      <c r="W20" s="199"/>
      <c r="X20" s="199"/>
      <c r="Y20" s="199"/>
      <c r="Z20" s="199"/>
      <c r="AA20" s="199"/>
      <c r="AB20" s="199"/>
      <c r="AC20" s="199"/>
      <c r="AD20" s="199"/>
      <c r="AE20" s="200"/>
      <c r="AF20" s="198"/>
      <c r="AG20" s="199"/>
      <c r="AH20" s="199"/>
      <c r="AI20" s="199"/>
      <c r="AJ20" s="199"/>
      <c r="AK20" s="199"/>
      <c r="AL20" s="199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200"/>
      <c r="AY20" s="198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200"/>
      <c r="BQ20" s="23"/>
    </row>
    <row r="21" spans="1:69" ht="12">
      <c r="A21" s="22"/>
      <c r="B21" s="196">
        <f t="shared" si="0"/>
        <v>14</v>
      </c>
      <c r="C21" s="197"/>
      <c r="D21" s="198"/>
      <c r="E21" s="199"/>
      <c r="F21" s="199"/>
      <c r="G21" s="200"/>
      <c r="H21" s="201"/>
      <c r="I21" s="202"/>
      <c r="J21" s="202"/>
      <c r="K21" s="200"/>
      <c r="L21" s="198"/>
      <c r="M21" s="199"/>
      <c r="N21" s="200"/>
      <c r="O21" s="198"/>
      <c r="P21" s="200"/>
      <c r="Q21" s="198"/>
      <c r="R21" s="199"/>
      <c r="S21" s="199"/>
      <c r="T21" s="200"/>
      <c r="U21" s="198"/>
      <c r="V21" s="199"/>
      <c r="W21" s="199"/>
      <c r="X21" s="199"/>
      <c r="Y21" s="199"/>
      <c r="Z21" s="199"/>
      <c r="AA21" s="199"/>
      <c r="AB21" s="199"/>
      <c r="AC21" s="199"/>
      <c r="AD21" s="199"/>
      <c r="AE21" s="200"/>
      <c r="AF21" s="198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200"/>
      <c r="AY21" s="198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200"/>
      <c r="BQ21" s="23"/>
    </row>
    <row r="22" spans="1:69" ht="12">
      <c r="A22" s="22"/>
      <c r="B22" s="196">
        <f t="shared" si="0"/>
        <v>15</v>
      </c>
      <c r="C22" s="197"/>
      <c r="D22" s="198"/>
      <c r="E22" s="199"/>
      <c r="F22" s="199"/>
      <c r="G22" s="200"/>
      <c r="H22" s="201"/>
      <c r="I22" s="202"/>
      <c r="J22" s="202"/>
      <c r="K22" s="200"/>
      <c r="L22" s="198"/>
      <c r="M22" s="199"/>
      <c r="N22" s="200"/>
      <c r="O22" s="198"/>
      <c r="P22" s="200"/>
      <c r="Q22" s="198"/>
      <c r="R22" s="199"/>
      <c r="S22" s="199"/>
      <c r="T22" s="200"/>
      <c r="U22" s="198"/>
      <c r="V22" s="199"/>
      <c r="W22" s="199"/>
      <c r="X22" s="199"/>
      <c r="Y22" s="199"/>
      <c r="Z22" s="199"/>
      <c r="AA22" s="199"/>
      <c r="AB22" s="199"/>
      <c r="AC22" s="199"/>
      <c r="AD22" s="199"/>
      <c r="AE22" s="200"/>
      <c r="AF22" s="198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200"/>
      <c r="AY22" s="198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200"/>
      <c r="BQ22" s="23"/>
    </row>
    <row r="23" spans="1:69" ht="12">
      <c r="A23" s="22"/>
      <c r="B23" s="196">
        <f t="shared" si="0"/>
        <v>16</v>
      </c>
      <c r="C23" s="197"/>
      <c r="D23" s="198"/>
      <c r="E23" s="199"/>
      <c r="F23" s="199"/>
      <c r="G23" s="200"/>
      <c r="H23" s="201"/>
      <c r="I23" s="202"/>
      <c r="J23" s="202"/>
      <c r="K23" s="200"/>
      <c r="L23" s="198"/>
      <c r="M23" s="199"/>
      <c r="N23" s="200"/>
      <c r="O23" s="198"/>
      <c r="P23" s="200"/>
      <c r="Q23" s="198"/>
      <c r="R23" s="199"/>
      <c r="S23" s="199"/>
      <c r="T23" s="200"/>
      <c r="U23" s="198"/>
      <c r="V23" s="199"/>
      <c r="W23" s="199"/>
      <c r="X23" s="199"/>
      <c r="Y23" s="199"/>
      <c r="Z23" s="199"/>
      <c r="AA23" s="199"/>
      <c r="AB23" s="199"/>
      <c r="AC23" s="199"/>
      <c r="AD23" s="199"/>
      <c r="AE23" s="200"/>
      <c r="AF23" s="198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200"/>
      <c r="AY23" s="198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200"/>
      <c r="BQ23" s="23"/>
    </row>
    <row r="24" spans="1:69" ht="12">
      <c r="A24" s="22"/>
      <c r="B24" s="196">
        <f t="shared" si="0"/>
        <v>17</v>
      </c>
      <c r="C24" s="197"/>
      <c r="D24" s="198"/>
      <c r="E24" s="199"/>
      <c r="F24" s="199"/>
      <c r="G24" s="200"/>
      <c r="H24" s="201"/>
      <c r="I24" s="202"/>
      <c r="J24" s="202"/>
      <c r="K24" s="200"/>
      <c r="L24" s="198"/>
      <c r="M24" s="199"/>
      <c r="N24" s="200"/>
      <c r="O24" s="198"/>
      <c r="P24" s="200"/>
      <c r="Q24" s="198"/>
      <c r="R24" s="199"/>
      <c r="S24" s="199"/>
      <c r="T24" s="200"/>
      <c r="U24" s="198"/>
      <c r="V24" s="199"/>
      <c r="W24" s="199"/>
      <c r="X24" s="199"/>
      <c r="Y24" s="199"/>
      <c r="Z24" s="199"/>
      <c r="AA24" s="199"/>
      <c r="AB24" s="199"/>
      <c r="AC24" s="199"/>
      <c r="AD24" s="199"/>
      <c r="AE24" s="200"/>
      <c r="AF24" s="198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200"/>
      <c r="AY24" s="198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200"/>
      <c r="BQ24" s="23"/>
    </row>
    <row r="25" spans="1:69" ht="12">
      <c r="A25" s="22"/>
      <c r="B25" s="196">
        <f t="shared" si="0"/>
        <v>18</v>
      </c>
      <c r="C25" s="197"/>
      <c r="D25" s="198"/>
      <c r="E25" s="199"/>
      <c r="F25" s="199"/>
      <c r="G25" s="200"/>
      <c r="H25" s="201"/>
      <c r="I25" s="202"/>
      <c r="J25" s="202"/>
      <c r="K25" s="200"/>
      <c r="L25" s="198"/>
      <c r="M25" s="199"/>
      <c r="N25" s="200"/>
      <c r="O25" s="198"/>
      <c r="P25" s="200"/>
      <c r="Q25" s="198"/>
      <c r="R25" s="199"/>
      <c r="S25" s="199"/>
      <c r="T25" s="200"/>
      <c r="U25" s="198"/>
      <c r="V25" s="199"/>
      <c r="W25" s="199"/>
      <c r="X25" s="199"/>
      <c r="Y25" s="199"/>
      <c r="Z25" s="199"/>
      <c r="AA25" s="199"/>
      <c r="AB25" s="199"/>
      <c r="AC25" s="199"/>
      <c r="AD25" s="199"/>
      <c r="AE25" s="200"/>
      <c r="AF25" s="198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200"/>
      <c r="AY25" s="198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200"/>
      <c r="BQ25" s="23"/>
    </row>
    <row r="26" spans="1:69" ht="12">
      <c r="A26" s="22"/>
      <c r="B26" s="196">
        <f t="shared" si="0"/>
        <v>19</v>
      </c>
      <c r="C26" s="197"/>
      <c r="D26" s="198"/>
      <c r="E26" s="199"/>
      <c r="F26" s="199"/>
      <c r="G26" s="200"/>
      <c r="H26" s="201"/>
      <c r="I26" s="202"/>
      <c r="J26" s="202"/>
      <c r="K26" s="200"/>
      <c r="L26" s="198"/>
      <c r="M26" s="199"/>
      <c r="N26" s="200"/>
      <c r="O26" s="198"/>
      <c r="P26" s="200"/>
      <c r="Q26" s="198"/>
      <c r="R26" s="199"/>
      <c r="S26" s="199"/>
      <c r="T26" s="200"/>
      <c r="U26" s="198"/>
      <c r="V26" s="199"/>
      <c r="W26" s="199"/>
      <c r="X26" s="199"/>
      <c r="Y26" s="199"/>
      <c r="Z26" s="199"/>
      <c r="AA26" s="199"/>
      <c r="AB26" s="199"/>
      <c r="AC26" s="199"/>
      <c r="AD26" s="199"/>
      <c r="AE26" s="200"/>
      <c r="AF26" s="198"/>
      <c r="AG26" s="199"/>
      <c r="AH26" s="199"/>
      <c r="AI26" s="199"/>
      <c r="AJ26" s="199"/>
      <c r="AK26" s="199"/>
      <c r="AL26" s="199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200"/>
      <c r="AY26" s="198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200"/>
      <c r="BQ26" s="23"/>
    </row>
    <row r="27" spans="1:69" ht="12">
      <c r="A27" s="22"/>
      <c r="B27" s="196">
        <f t="shared" si="0"/>
        <v>20</v>
      </c>
      <c r="C27" s="197"/>
      <c r="D27" s="198"/>
      <c r="E27" s="199"/>
      <c r="F27" s="199"/>
      <c r="G27" s="200"/>
      <c r="H27" s="201"/>
      <c r="I27" s="202"/>
      <c r="J27" s="202"/>
      <c r="K27" s="200"/>
      <c r="L27" s="198"/>
      <c r="M27" s="199"/>
      <c r="N27" s="200"/>
      <c r="O27" s="198"/>
      <c r="P27" s="200"/>
      <c r="Q27" s="198"/>
      <c r="R27" s="199"/>
      <c r="S27" s="199"/>
      <c r="T27" s="200"/>
      <c r="U27" s="198"/>
      <c r="V27" s="199"/>
      <c r="W27" s="199"/>
      <c r="X27" s="199"/>
      <c r="Y27" s="199"/>
      <c r="Z27" s="199"/>
      <c r="AA27" s="199"/>
      <c r="AB27" s="199"/>
      <c r="AC27" s="199"/>
      <c r="AD27" s="199"/>
      <c r="AE27" s="200"/>
      <c r="AF27" s="198"/>
      <c r="AG27" s="199"/>
      <c r="AH27" s="199"/>
      <c r="AI27" s="199"/>
      <c r="AJ27" s="199"/>
      <c r="AK27" s="199"/>
      <c r="AL27" s="199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200"/>
      <c r="AY27" s="198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200"/>
      <c r="BQ27" s="23"/>
    </row>
    <row r="28" spans="1:69" ht="12">
      <c r="A28" s="22"/>
      <c r="B28" s="196">
        <f t="shared" si="0"/>
        <v>21</v>
      </c>
      <c r="C28" s="197"/>
      <c r="D28" s="198"/>
      <c r="E28" s="199"/>
      <c r="F28" s="199"/>
      <c r="G28" s="200"/>
      <c r="H28" s="201"/>
      <c r="I28" s="202"/>
      <c r="J28" s="202"/>
      <c r="K28" s="200"/>
      <c r="L28" s="198"/>
      <c r="M28" s="199"/>
      <c r="N28" s="200"/>
      <c r="O28" s="198"/>
      <c r="P28" s="200"/>
      <c r="Q28" s="198"/>
      <c r="R28" s="199"/>
      <c r="S28" s="199"/>
      <c r="T28" s="200"/>
      <c r="U28" s="198"/>
      <c r="V28" s="199"/>
      <c r="W28" s="199"/>
      <c r="X28" s="199"/>
      <c r="Y28" s="199"/>
      <c r="Z28" s="199"/>
      <c r="AA28" s="199"/>
      <c r="AB28" s="199"/>
      <c r="AC28" s="199"/>
      <c r="AD28" s="199"/>
      <c r="AE28" s="200"/>
      <c r="AF28" s="198"/>
      <c r="AG28" s="199"/>
      <c r="AH28" s="199"/>
      <c r="AI28" s="199"/>
      <c r="AJ28" s="199"/>
      <c r="AK28" s="199"/>
      <c r="AL28" s="199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200"/>
      <c r="AY28" s="198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200"/>
      <c r="BQ28" s="23"/>
    </row>
    <row r="29" spans="1:69" ht="12">
      <c r="A29" s="22"/>
      <c r="B29" s="196">
        <f t="shared" si="0"/>
        <v>22</v>
      </c>
      <c r="C29" s="197"/>
      <c r="D29" s="198"/>
      <c r="E29" s="199"/>
      <c r="F29" s="199"/>
      <c r="G29" s="200"/>
      <c r="H29" s="201"/>
      <c r="I29" s="202"/>
      <c r="J29" s="202"/>
      <c r="K29" s="200"/>
      <c r="L29" s="198"/>
      <c r="M29" s="199"/>
      <c r="N29" s="200"/>
      <c r="O29" s="198"/>
      <c r="P29" s="200"/>
      <c r="Q29" s="198"/>
      <c r="R29" s="199"/>
      <c r="S29" s="199"/>
      <c r="T29" s="200"/>
      <c r="U29" s="198"/>
      <c r="V29" s="199"/>
      <c r="W29" s="199"/>
      <c r="X29" s="199"/>
      <c r="Y29" s="199"/>
      <c r="Z29" s="199"/>
      <c r="AA29" s="199"/>
      <c r="AB29" s="199"/>
      <c r="AC29" s="199"/>
      <c r="AD29" s="199"/>
      <c r="AE29" s="200"/>
      <c r="AF29" s="198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200"/>
      <c r="AY29" s="198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200"/>
      <c r="BQ29" s="23"/>
    </row>
    <row r="30" spans="1:69" ht="12">
      <c r="A30" s="22"/>
      <c r="B30" s="196">
        <f t="shared" si="0"/>
        <v>23</v>
      </c>
      <c r="C30" s="197"/>
      <c r="D30" s="198"/>
      <c r="E30" s="199"/>
      <c r="F30" s="199"/>
      <c r="G30" s="200"/>
      <c r="H30" s="201"/>
      <c r="I30" s="202"/>
      <c r="J30" s="202"/>
      <c r="K30" s="200"/>
      <c r="L30" s="198"/>
      <c r="M30" s="199"/>
      <c r="N30" s="200"/>
      <c r="O30" s="198"/>
      <c r="P30" s="200"/>
      <c r="Q30" s="198"/>
      <c r="R30" s="199"/>
      <c r="S30" s="199"/>
      <c r="T30" s="200"/>
      <c r="U30" s="198"/>
      <c r="V30" s="199"/>
      <c r="W30" s="199"/>
      <c r="X30" s="199"/>
      <c r="Y30" s="199"/>
      <c r="Z30" s="199"/>
      <c r="AA30" s="199"/>
      <c r="AB30" s="199"/>
      <c r="AC30" s="199"/>
      <c r="AD30" s="199"/>
      <c r="AE30" s="200"/>
      <c r="AF30" s="198"/>
      <c r="AG30" s="199"/>
      <c r="AH30" s="199"/>
      <c r="AI30" s="199"/>
      <c r="AJ30" s="199"/>
      <c r="AK30" s="199"/>
      <c r="AL30" s="199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200"/>
      <c r="AY30" s="198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200"/>
      <c r="BQ30" s="23"/>
    </row>
    <row r="31" spans="1:69" ht="12">
      <c r="A31" s="22"/>
      <c r="B31" s="196">
        <f t="shared" si="0"/>
        <v>24</v>
      </c>
      <c r="C31" s="197"/>
      <c r="D31" s="198"/>
      <c r="E31" s="199"/>
      <c r="F31" s="199"/>
      <c r="G31" s="200"/>
      <c r="H31" s="201"/>
      <c r="I31" s="202"/>
      <c r="J31" s="202"/>
      <c r="K31" s="200"/>
      <c r="L31" s="198"/>
      <c r="M31" s="199"/>
      <c r="N31" s="200"/>
      <c r="O31" s="198"/>
      <c r="P31" s="200"/>
      <c r="Q31" s="198"/>
      <c r="R31" s="199"/>
      <c r="S31" s="199"/>
      <c r="T31" s="200"/>
      <c r="U31" s="198"/>
      <c r="V31" s="199"/>
      <c r="W31" s="199"/>
      <c r="X31" s="199"/>
      <c r="Y31" s="199"/>
      <c r="Z31" s="199"/>
      <c r="AA31" s="199"/>
      <c r="AB31" s="199"/>
      <c r="AC31" s="199"/>
      <c r="AD31" s="199"/>
      <c r="AE31" s="200"/>
      <c r="AF31" s="198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200"/>
      <c r="AY31" s="198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200"/>
      <c r="BQ31" s="23"/>
    </row>
    <row r="32" spans="1:69" ht="12">
      <c r="A32" s="22"/>
      <c r="B32" s="196">
        <f t="shared" si="0"/>
        <v>25</v>
      </c>
      <c r="C32" s="197"/>
      <c r="D32" s="198"/>
      <c r="E32" s="199"/>
      <c r="F32" s="199"/>
      <c r="G32" s="200"/>
      <c r="H32" s="201"/>
      <c r="I32" s="202"/>
      <c r="J32" s="202"/>
      <c r="K32" s="200"/>
      <c r="L32" s="198"/>
      <c r="M32" s="199"/>
      <c r="N32" s="200"/>
      <c r="O32" s="198"/>
      <c r="P32" s="200"/>
      <c r="Q32" s="198"/>
      <c r="R32" s="199"/>
      <c r="S32" s="199"/>
      <c r="T32" s="200"/>
      <c r="U32" s="198"/>
      <c r="V32" s="199"/>
      <c r="W32" s="199"/>
      <c r="X32" s="199"/>
      <c r="Y32" s="199"/>
      <c r="Z32" s="199"/>
      <c r="AA32" s="199"/>
      <c r="AB32" s="199"/>
      <c r="AC32" s="199"/>
      <c r="AD32" s="199"/>
      <c r="AE32" s="200"/>
      <c r="AF32" s="198"/>
      <c r="AG32" s="199"/>
      <c r="AH32" s="199"/>
      <c r="AI32" s="199"/>
      <c r="AJ32" s="199"/>
      <c r="AK32" s="199"/>
      <c r="AL32" s="199"/>
      <c r="AM32" s="199"/>
      <c r="AN32" s="199"/>
      <c r="AO32" s="199"/>
      <c r="AP32" s="199"/>
      <c r="AQ32" s="199"/>
      <c r="AR32" s="199"/>
      <c r="AS32" s="199"/>
      <c r="AT32" s="199"/>
      <c r="AU32" s="199"/>
      <c r="AV32" s="199"/>
      <c r="AW32" s="199"/>
      <c r="AX32" s="200"/>
      <c r="AY32" s="198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200"/>
      <c r="BQ32" s="23"/>
    </row>
    <row r="33" spans="1:69" ht="12">
      <c r="A33" s="22"/>
      <c r="B33" s="196">
        <f t="shared" si="0"/>
        <v>26</v>
      </c>
      <c r="C33" s="197"/>
      <c r="D33" s="198"/>
      <c r="E33" s="199"/>
      <c r="F33" s="199"/>
      <c r="G33" s="200"/>
      <c r="H33" s="201"/>
      <c r="I33" s="202"/>
      <c r="J33" s="202"/>
      <c r="K33" s="200"/>
      <c r="L33" s="198"/>
      <c r="M33" s="199"/>
      <c r="N33" s="200"/>
      <c r="O33" s="198"/>
      <c r="P33" s="200"/>
      <c r="Q33" s="198"/>
      <c r="R33" s="199"/>
      <c r="S33" s="199"/>
      <c r="T33" s="200"/>
      <c r="U33" s="198"/>
      <c r="V33" s="199"/>
      <c r="W33" s="199"/>
      <c r="X33" s="199"/>
      <c r="Y33" s="199"/>
      <c r="Z33" s="199"/>
      <c r="AA33" s="199"/>
      <c r="AB33" s="199"/>
      <c r="AC33" s="199"/>
      <c r="AD33" s="199"/>
      <c r="AE33" s="200"/>
      <c r="AF33" s="198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199"/>
      <c r="AX33" s="200"/>
      <c r="AY33" s="198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200"/>
      <c r="BQ33" s="23"/>
    </row>
    <row r="34" spans="1:69" ht="12">
      <c r="A34" s="22"/>
      <c r="B34" s="196">
        <f t="shared" si="0"/>
        <v>27</v>
      </c>
      <c r="C34" s="197"/>
      <c r="D34" s="198"/>
      <c r="E34" s="199"/>
      <c r="F34" s="199"/>
      <c r="G34" s="200"/>
      <c r="H34" s="201"/>
      <c r="I34" s="202"/>
      <c r="J34" s="202"/>
      <c r="K34" s="200"/>
      <c r="L34" s="198"/>
      <c r="M34" s="199"/>
      <c r="N34" s="200"/>
      <c r="O34" s="198"/>
      <c r="P34" s="200"/>
      <c r="Q34" s="198"/>
      <c r="R34" s="199"/>
      <c r="S34" s="199"/>
      <c r="T34" s="200"/>
      <c r="U34" s="198"/>
      <c r="V34" s="199"/>
      <c r="W34" s="199"/>
      <c r="X34" s="199"/>
      <c r="Y34" s="199"/>
      <c r="Z34" s="199"/>
      <c r="AA34" s="199"/>
      <c r="AB34" s="199"/>
      <c r="AC34" s="199"/>
      <c r="AD34" s="199"/>
      <c r="AE34" s="200"/>
      <c r="AF34" s="198"/>
      <c r="AG34" s="199"/>
      <c r="AH34" s="199"/>
      <c r="AI34" s="199"/>
      <c r="AJ34" s="199"/>
      <c r="AK34" s="199"/>
      <c r="AL34" s="199"/>
      <c r="AM34" s="199"/>
      <c r="AN34" s="199"/>
      <c r="AO34" s="199"/>
      <c r="AP34" s="199"/>
      <c r="AQ34" s="199"/>
      <c r="AR34" s="199"/>
      <c r="AS34" s="199"/>
      <c r="AT34" s="199"/>
      <c r="AU34" s="199"/>
      <c r="AV34" s="199"/>
      <c r="AW34" s="199"/>
      <c r="AX34" s="200"/>
      <c r="AY34" s="198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200"/>
      <c r="BQ34" s="23"/>
    </row>
    <row r="35" spans="1:69" ht="12">
      <c r="A35" s="22"/>
      <c r="B35" s="196">
        <f t="shared" si="0"/>
        <v>28</v>
      </c>
      <c r="C35" s="197"/>
      <c r="D35" s="198"/>
      <c r="E35" s="199"/>
      <c r="F35" s="199"/>
      <c r="G35" s="200"/>
      <c r="H35" s="201"/>
      <c r="I35" s="202"/>
      <c r="J35" s="202"/>
      <c r="K35" s="200"/>
      <c r="L35" s="198"/>
      <c r="M35" s="199"/>
      <c r="N35" s="200"/>
      <c r="O35" s="198"/>
      <c r="P35" s="200"/>
      <c r="Q35" s="198"/>
      <c r="R35" s="199"/>
      <c r="S35" s="199"/>
      <c r="T35" s="200"/>
      <c r="U35" s="198"/>
      <c r="V35" s="199"/>
      <c r="W35" s="199"/>
      <c r="X35" s="199"/>
      <c r="Y35" s="199"/>
      <c r="Z35" s="199"/>
      <c r="AA35" s="199"/>
      <c r="AB35" s="199"/>
      <c r="AC35" s="199"/>
      <c r="AD35" s="199"/>
      <c r="AE35" s="200"/>
      <c r="AF35" s="198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199"/>
      <c r="AX35" s="200"/>
      <c r="AY35" s="198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200"/>
      <c r="BQ35" s="23"/>
    </row>
    <row r="36" spans="1:69" ht="12">
      <c r="A36" s="22"/>
      <c r="B36" s="196">
        <f t="shared" si="0"/>
        <v>29</v>
      </c>
      <c r="C36" s="197"/>
      <c r="D36" s="198"/>
      <c r="E36" s="199"/>
      <c r="F36" s="199"/>
      <c r="G36" s="200"/>
      <c r="H36" s="201"/>
      <c r="I36" s="202"/>
      <c r="J36" s="202"/>
      <c r="K36" s="200"/>
      <c r="L36" s="198"/>
      <c r="M36" s="199"/>
      <c r="N36" s="200"/>
      <c r="O36" s="198"/>
      <c r="P36" s="200"/>
      <c r="Q36" s="198"/>
      <c r="R36" s="199"/>
      <c r="S36" s="199"/>
      <c r="T36" s="200"/>
      <c r="U36" s="198"/>
      <c r="V36" s="199"/>
      <c r="W36" s="199"/>
      <c r="X36" s="199"/>
      <c r="Y36" s="199"/>
      <c r="Z36" s="199"/>
      <c r="AA36" s="199"/>
      <c r="AB36" s="199"/>
      <c r="AC36" s="199"/>
      <c r="AD36" s="199"/>
      <c r="AE36" s="200"/>
      <c r="AF36" s="198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W36" s="199"/>
      <c r="AX36" s="200"/>
      <c r="AY36" s="198"/>
      <c r="AZ36" s="199"/>
      <c r="BA36" s="199"/>
      <c r="BB36" s="199"/>
      <c r="BC36" s="199"/>
      <c r="BD36" s="199"/>
      <c r="BE36" s="199"/>
      <c r="BF36" s="199"/>
      <c r="BG36" s="199"/>
      <c r="BH36" s="199"/>
      <c r="BI36" s="199"/>
      <c r="BJ36" s="199"/>
      <c r="BK36" s="199"/>
      <c r="BL36" s="199"/>
      <c r="BM36" s="199"/>
      <c r="BN36" s="199"/>
      <c r="BO36" s="199"/>
      <c r="BP36" s="200"/>
      <c r="BQ36" s="23"/>
    </row>
    <row r="37" spans="1:69" ht="12">
      <c r="A37" s="22"/>
      <c r="B37" s="196">
        <f t="shared" si="0"/>
        <v>30</v>
      </c>
      <c r="C37" s="197"/>
      <c r="D37" s="198"/>
      <c r="E37" s="199"/>
      <c r="F37" s="199"/>
      <c r="G37" s="200"/>
      <c r="H37" s="201"/>
      <c r="I37" s="202"/>
      <c r="J37" s="202"/>
      <c r="K37" s="200"/>
      <c r="L37" s="198"/>
      <c r="M37" s="199"/>
      <c r="N37" s="200"/>
      <c r="O37" s="198"/>
      <c r="P37" s="200"/>
      <c r="Q37" s="198"/>
      <c r="R37" s="199"/>
      <c r="S37" s="199"/>
      <c r="T37" s="200"/>
      <c r="U37" s="198"/>
      <c r="V37" s="199"/>
      <c r="W37" s="199"/>
      <c r="X37" s="199"/>
      <c r="Y37" s="199"/>
      <c r="Z37" s="199"/>
      <c r="AA37" s="199"/>
      <c r="AB37" s="199"/>
      <c r="AC37" s="199"/>
      <c r="AD37" s="199"/>
      <c r="AE37" s="200"/>
      <c r="AF37" s="198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200"/>
      <c r="AY37" s="198"/>
      <c r="AZ37" s="199"/>
      <c r="BA37" s="199"/>
      <c r="BB37" s="199"/>
      <c r="BC37" s="199"/>
      <c r="BD37" s="199"/>
      <c r="BE37" s="199"/>
      <c r="BF37" s="199"/>
      <c r="BG37" s="199"/>
      <c r="BH37" s="199"/>
      <c r="BI37" s="199"/>
      <c r="BJ37" s="199"/>
      <c r="BK37" s="199"/>
      <c r="BL37" s="199"/>
      <c r="BM37" s="199"/>
      <c r="BN37" s="199"/>
      <c r="BO37" s="199"/>
      <c r="BP37" s="200"/>
      <c r="BQ37" s="23"/>
    </row>
    <row r="38" spans="1:69" ht="12">
      <c r="A38" s="22"/>
      <c r="B38" s="196">
        <f t="shared" si="0"/>
        <v>31</v>
      </c>
      <c r="C38" s="197"/>
      <c r="D38" s="198"/>
      <c r="E38" s="199"/>
      <c r="F38" s="199"/>
      <c r="G38" s="200"/>
      <c r="H38" s="201"/>
      <c r="I38" s="202"/>
      <c r="J38" s="202"/>
      <c r="K38" s="200"/>
      <c r="L38" s="198"/>
      <c r="M38" s="199"/>
      <c r="N38" s="200"/>
      <c r="O38" s="198"/>
      <c r="P38" s="200"/>
      <c r="Q38" s="198"/>
      <c r="R38" s="199"/>
      <c r="S38" s="199"/>
      <c r="T38" s="200"/>
      <c r="U38" s="198"/>
      <c r="V38" s="199"/>
      <c r="W38" s="199"/>
      <c r="X38" s="199"/>
      <c r="Y38" s="199"/>
      <c r="Z38" s="199"/>
      <c r="AA38" s="199"/>
      <c r="AB38" s="199"/>
      <c r="AC38" s="199"/>
      <c r="AD38" s="199"/>
      <c r="AE38" s="200"/>
      <c r="AF38" s="198"/>
      <c r="AG38" s="199"/>
      <c r="AH38" s="199"/>
      <c r="AI38" s="199"/>
      <c r="AJ38" s="199"/>
      <c r="AK38" s="199"/>
      <c r="AL38" s="199"/>
      <c r="AM38" s="199"/>
      <c r="AN38" s="199"/>
      <c r="AO38" s="199"/>
      <c r="AP38" s="199"/>
      <c r="AQ38" s="199"/>
      <c r="AR38" s="199"/>
      <c r="AS38" s="199"/>
      <c r="AT38" s="199"/>
      <c r="AU38" s="199"/>
      <c r="AV38" s="199"/>
      <c r="AW38" s="199"/>
      <c r="AX38" s="200"/>
      <c r="AY38" s="198"/>
      <c r="AZ38" s="199"/>
      <c r="BA38" s="199"/>
      <c r="BB38" s="199"/>
      <c r="BC38" s="199"/>
      <c r="BD38" s="199"/>
      <c r="BE38" s="199"/>
      <c r="BF38" s="199"/>
      <c r="BG38" s="199"/>
      <c r="BH38" s="199"/>
      <c r="BI38" s="199"/>
      <c r="BJ38" s="199"/>
      <c r="BK38" s="199"/>
      <c r="BL38" s="199"/>
      <c r="BM38" s="199"/>
      <c r="BN38" s="199"/>
      <c r="BO38" s="199"/>
      <c r="BP38" s="200"/>
      <c r="BQ38" s="23"/>
    </row>
    <row r="39" spans="1:69" ht="12">
      <c r="A39" s="22"/>
      <c r="B39" s="196">
        <f t="shared" si="0"/>
        <v>32</v>
      </c>
      <c r="C39" s="197"/>
      <c r="D39" s="198"/>
      <c r="E39" s="199"/>
      <c r="F39" s="199"/>
      <c r="G39" s="200"/>
      <c r="H39" s="201"/>
      <c r="I39" s="202"/>
      <c r="J39" s="202"/>
      <c r="K39" s="200"/>
      <c r="L39" s="198"/>
      <c r="M39" s="199"/>
      <c r="N39" s="200"/>
      <c r="O39" s="198"/>
      <c r="P39" s="200"/>
      <c r="Q39" s="198"/>
      <c r="R39" s="199"/>
      <c r="S39" s="199"/>
      <c r="T39" s="200"/>
      <c r="U39" s="198"/>
      <c r="V39" s="199"/>
      <c r="W39" s="199"/>
      <c r="X39" s="199"/>
      <c r="Y39" s="199"/>
      <c r="Z39" s="199"/>
      <c r="AA39" s="199"/>
      <c r="AB39" s="199"/>
      <c r="AC39" s="199"/>
      <c r="AD39" s="199"/>
      <c r="AE39" s="200"/>
      <c r="AF39" s="198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199"/>
      <c r="AX39" s="200"/>
      <c r="AY39" s="198"/>
      <c r="AZ39" s="199"/>
      <c r="BA39" s="199"/>
      <c r="BB39" s="199"/>
      <c r="BC39" s="199"/>
      <c r="BD39" s="199"/>
      <c r="BE39" s="199"/>
      <c r="BF39" s="199"/>
      <c r="BG39" s="199"/>
      <c r="BH39" s="199"/>
      <c r="BI39" s="199"/>
      <c r="BJ39" s="199"/>
      <c r="BK39" s="199"/>
      <c r="BL39" s="199"/>
      <c r="BM39" s="199"/>
      <c r="BN39" s="199"/>
      <c r="BO39" s="199"/>
      <c r="BP39" s="200"/>
      <c r="BQ39" s="23"/>
    </row>
    <row r="40" spans="1:69" ht="12">
      <c r="A40" s="22"/>
      <c r="B40" s="196">
        <f t="shared" si="0"/>
        <v>33</v>
      </c>
      <c r="C40" s="197"/>
      <c r="D40" s="198"/>
      <c r="E40" s="199"/>
      <c r="F40" s="199"/>
      <c r="G40" s="200"/>
      <c r="H40" s="201"/>
      <c r="I40" s="202"/>
      <c r="J40" s="202"/>
      <c r="K40" s="200"/>
      <c r="L40" s="198"/>
      <c r="M40" s="199"/>
      <c r="N40" s="200"/>
      <c r="O40" s="198"/>
      <c r="P40" s="200"/>
      <c r="Q40" s="198"/>
      <c r="R40" s="199"/>
      <c r="S40" s="199"/>
      <c r="T40" s="200"/>
      <c r="U40" s="198"/>
      <c r="V40" s="199"/>
      <c r="W40" s="199"/>
      <c r="X40" s="199"/>
      <c r="Y40" s="199"/>
      <c r="Z40" s="199"/>
      <c r="AA40" s="199"/>
      <c r="AB40" s="199"/>
      <c r="AC40" s="199"/>
      <c r="AD40" s="199"/>
      <c r="AE40" s="200"/>
      <c r="AF40" s="198"/>
      <c r="AG40" s="199"/>
      <c r="AH40" s="199"/>
      <c r="AI40" s="199"/>
      <c r="AJ40" s="199"/>
      <c r="AK40" s="199"/>
      <c r="AL40" s="199"/>
      <c r="AM40" s="199"/>
      <c r="AN40" s="199"/>
      <c r="AO40" s="199"/>
      <c r="AP40" s="199"/>
      <c r="AQ40" s="199"/>
      <c r="AR40" s="199"/>
      <c r="AS40" s="199"/>
      <c r="AT40" s="199"/>
      <c r="AU40" s="199"/>
      <c r="AV40" s="199"/>
      <c r="AW40" s="199"/>
      <c r="AX40" s="200"/>
      <c r="AY40" s="198"/>
      <c r="AZ40" s="199"/>
      <c r="BA40" s="199"/>
      <c r="BB40" s="199"/>
      <c r="BC40" s="199"/>
      <c r="BD40" s="199"/>
      <c r="BE40" s="199"/>
      <c r="BF40" s="199"/>
      <c r="BG40" s="199"/>
      <c r="BH40" s="199"/>
      <c r="BI40" s="199"/>
      <c r="BJ40" s="199"/>
      <c r="BK40" s="199"/>
      <c r="BL40" s="199"/>
      <c r="BM40" s="199"/>
      <c r="BN40" s="199"/>
      <c r="BO40" s="199"/>
      <c r="BP40" s="200"/>
      <c r="BQ40" s="23"/>
    </row>
    <row r="41" spans="1:69" ht="12">
      <c r="A41" s="22"/>
      <c r="B41" s="196">
        <f t="shared" si="0"/>
        <v>34</v>
      </c>
      <c r="C41" s="197"/>
      <c r="D41" s="198"/>
      <c r="E41" s="199"/>
      <c r="F41" s="199"/>
      <c r="G41" s="200"/>
      <c r="H41" s="201"/>
      <c r="I41" s="202"/>
      <c r="J41" s="202"/>
      <c r="K41" s="200"/>
      <c r="L41" s="198"/>
      <c r="M41" s="199"/>
      <c r="N41" s="200"/>
      <c r="O41" s="198"/>
      <c r="P41" s="200"/>
      <c r="Q41" s="198"/>
      <c r="R41" s="199"/>
      <c r="S41" s="199"/>
      <c r="T41" s="200"/>
      <c r="U41" s="198"/>
      <c r="V41" s="199"/>
      <c r="W41" s="199"/>
      <c r="X41" s="199"/>
      <c r="Y41" s="199"/>
      <c r="Z41" s="199"/>
      <c r="AA41" s="199"/>
      <c r="AB41" s="199"/>
      <c r="AC41" s="199"/>
      <c r="AD41" s="199"/>
      <c r="AE41" s="200"/>
      <c r="AF41" s="198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199"/>
      <c r="AT41" s="199"/>
      <c r="AU41" s="199"/>
      <c r="AV41" s="199"/>
      <c r="AW41" s="199"/>
      <c r="AX41" s="200"/>
      <c r="AY41" s="198"/>
      <c r="AZ41" s="199"/>
      <c r="BA41" s="199"/>
      <c r="BB41" s="199"/>
      <c r="BC41" s="199"/>
      <c r="BD41" s="199"/>
      <c r="BE41" s="199"/>
      <c r="BF41" s="199"/>
      <c r="BG41" s="199"/>
      <c r="BH41" s="199"/>
      <c r="BI41" s="199"/>
      <c r="BJ41" s="199"/>
      <c r="BK41" s="199"/>
      <c r="BL41" s="199"/>
      <c r="BM41" s="199"/>
      <c r="BN41" s="199"/>
      <c r="BO41" s="199"/>
      <c r="BP41" s="200"/>
      <c r="BQ41" s="23"/>
    </row>
    <row r="42" spans="1:69" ht="12">
      <c r="A42" s="22"/>
      <c r="B42" s="196">
        <f t="shared" si="0"/>
        <v>35</v>
      </c>
      <c r="C42" s="197"/>
      <c r="D42" s="198"/>
      <c r="E42" s="199"/>
      <c r="F42" s="199"/>
      <c r="G42" s="200"/>
      <c r="H42" s="201"/>
      <c r="I42" s="202"/>
      <c r="J42" s="202"/>
      <c r="K42" s="200"/>
      <c r="L42" s="198"/>
      <c r="M42" s="199"/>
      <c r="N42" s="200"/>
      <c r="O42" s="198"/>
      <c r="P42" s="200"/>
      <c r="Q42" s="198"/>
      <c r="R42" s="199"/>
      <c r="S42" s="199"/>
      <c r="T42" s="200"/>
      <c r="U42" s="198"/>
      <c r="V42" s="199"/>
      <c r="W42" s="199"/>
      <c r="X42" s="199"/>
      <c r="Y42" s="199"/>
      <c r="Z42" s="199"/>
      <c r="AA42" s="199"/>
      <c r="AB42" s="199"/>
      <c r="AC42" s="199"/>
      <c r="AD42" s="199"/>
      <c r="AE42" s="200"/>
      <c r="AF42" s="198"/>
      <c r="AG42" s="199"/>
      <c r="AH42" s="199"/>
      <c r="AI42" s="199"/>
      <c r="AJ42" s="199"/>
      <c r="AK42" s="199"/>
      <c r="AL42" s="199"/>
      <c r="AM42" s="199"/>
      <c r="AN42" s="199"/>
      <c r="AO42" s="199"/>
      <c r="AP42" s="199"/>
      <c r="AQ42" s="199"/>
      <c r="AR42" s="199"/>
      <c r="AS42" s="199"/>
      <c r="AT42" s="199"/>
      <c r="AU42" s="199"/>
      <c r="AV42" s="199"/>
      <c r="AW42" s="199"/>
      <c r="AX42" s="200"/>
      <c r="AY42" s="198"/>
      <c r="AZ42" s="199"/>
      <c r="BA42" s="199"/>
      <c r="BB42" s="199"/>
      <c r="BC42" s="199"/>
      <c r="BD42" s="199"/>
      <c r="BE42" s="199"/>
      <c r="BF42" s="199"/>
      <c r="BG42" s="199"/>
      <c r="BH42" s="199"/>
      <c r="BI42" s="199"/>
      <c r="BJ42" s="199"/>
      <c r="BK42" s="199"/>
      <c r="BL42" s="199"/>
      <c r="BM42" s="199"/>
      <c r="BN42" s="199"/>
      <c r="BO42" s="199"/>
      <c r="BP42" s="200"/>
      <c r="BQ42" s="23"/>
    </row>
    <row r="43" spans="1:69" ht="12">
      <c r="A43" s="22"/>
      <c r="B43" s="196">
        <f t="shared" si="0"/>
        <v>36</v>
      </c>
      <c r="C43" s="197"/>
      <c r="D43" s="198"/>
      <c r="E43" s="199"/>
      <c r="F43" s="199"/>
      <c r="G43" s="200"/>
      <c r="H43" s="201"/>
      <c r="I43" s="202"/>
      <c r="J43" s="202"/>
      <c r="K43" s="200"/>
      <c r="L43" s="198"/>
      <c r="M43" s="199"/>
      <c r="N43" s="200"/>
      <c r="O43" s="198"/>
      <c r="P43" s="200"/>
      <c r="Q43" s="198"/>
      <c r="R43" s="199"/>
      <c r="S43" s="199"/>
      <c r="T43" s="200"/>
      <c r="U43" s="198"/>
      <c r="V43" s="199"/>
      <c r="W43" s="199"/>
      <c r="X43" s="199"/>
      <c r="Y43" s="199"/>
      <c r="Z43" s="199"/>
      <c r="AA43" s="199"/>
      <c r="AB43" s="199"/>
      <c r="AC43" s="199"/>
      <c r="AD43" s="199"/>
      <c r="AE43" s="200"/>
      <c r="AF43" s="198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199"/>
      <c r="AX43" s="200"/>
      <c r="AY43" s="198"/>
      <c r="AZ43" s="199"/>
      <c r="BA43" s="199"/>
      <c r="BB43" s="199"/>
      <c r="BC43" s="199"/>
      <c r="BD43" s="199"/>
      <c r="BE43" s="199"/>
      <c r="BF43" s="199"/>
      <c r="BG43" s="199"/>
      <c r="BH43" s="199"/>
      <c r="BI43" s="199"/>
      <c r="BJ43" s="199"/>
      <c r="BK43" s="199"/>
      <c r="BL43" s="199"/>
      <c r="BM43" s="199"/>
      <c r="BN43" s="199"/>
      <c r="BO43" s="199"/>
      <c r="BP43" s="200"/>
      <c r="BQ43" s="23"/>
    </row>
    <row r="44" spans="1:69" ht="12">
      <c r="A44" s="22"/>
      <c r="B44" s="196">
        <f t="shared" si="0"/>
        <v>37</v>
      </c>
      <c r="C44" s="197"/>
      <c r="D44" s="198"/>
      <c r="E44" s="199"/>
      <c r="F44" s="199"/>
      <c r="G44" s="200"/>
      <c r="H44" s="201"/>
      <c r="I44" s="202"/>
      <c r="J44" s="202"/>
      <c r="K44" s="200"/>
      <c r="L44" s="198"/>
      <c r="M44" s="199"/>
      <c r="N44" s="200"/>
      <c r="O44" s="198"/>
      <c r="P44" s="200"/>
      <c r="Q44" s="198"/>
      <c r="R44" s="199"/>
      <c r="S44" s="199"/>
      <c r="T44" s="200"/>
      <c r="U44" s="198"/>
      <c r="V44" s="199"/>
      <c r="W44" s="199"/>
      <c r="X44" s="199"/>
      <c r="Y44" s="199"/>
      <c r="Z44" s="199"/>
      <c r="AA44" s="199"/>
      <c r="AB44" s="199"/>
      <c r="AC44" s="199"/>
      <c r="AD44" s="199"/>
      <c r="AE44" s="200"/>
      <c r="AF44" s="198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/>
      <c r="AW44" s="199"/>
      <c r="AX44" s="200"/>
      <c r="AY44" s="198"/>
      <c r="AZ44" s="199"/>
      <c r="BA44" s="199"/>
      <c r="BB44" s="199"/>
      <c r="BC44" s="199"/>
      <c r="BD44" s="199"/>
      <c r="BE44" s="199"/>
      <c r="BF44" s="199"/>
      <c r="BG44" s="199"/>
      <c r="BH44" s="199"/>
      <c r="BI44" s="199"/>
      <c r="BJ44" s="199"/>
      <c r="BK44" s="199"/>
      <c r="BL44" s="199"/>
      <c r="BM44" s="199"/>
      <c r="BN44" s="199"/>
      <c r="BO44" s="199"/>
      <c r="BP44" s="200"/>
      <c r="BQ44" s="23"/>
    </row>
    <row r="45" spans="1:69" ht="12">
      <c r="A45" s="22"/>
      <c r="B45" s="196">
        <f t="shared" si="0"/>
        <v>38</v>
      </c>
      <c r="C45" s="197"/>
      <c r="D45" s="198"/>
      <c r="E45" s="199"/>
      <c r="F45" s="199"/>
      <c r="G45" s="200"/>
      <c r="H45" s="201"/>
      <c r="I45" s="202"/>
      <c r="J45" s="202"/>
      <c r="K45" s="200"/>
      <c r="L45" s="198"/>
      <c r="M45" s="199"/>
      <c r="N45" s="200"/>
      <c r="O45" s="198"/>
      <c r="P45" s="200"/>
      <c r="Q45" s="198"/>
      <c r="R45" s="199"/>
      <c r="S45" s="199"/>
      <c r="T45" s="200"/>
      <c r="U45" s="198"/>
      <c r="V45" s="199"/>
      <c r="W45" s="199"/>
      <c r="X45" s="199"/>
      <c r="Y45" s="199"/>
      <c r="Z45" s="199"/>
      <c r="AA45" s="199"/>
      <c r="AB45" s="199"/>
      <c r="AC45" s="199"/>
      <c r="AD45" s="199"/>
      <c r="AE45" s="200"/>
      <c r="AF45" s="198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199"/>
      <c r="AX45" s="200"/>
      <c r="AY45" s="198"/>
      <c r="AZ45" s="199"/>
      <c r="BA45" s="199"/>
      <c r="BB45" s="199"/>
      <c r="BC45" s="199"/>
      <c r="BD45" s="199"/>
      <c r="BE45" s="199"/>
      <c r="BF45" s="199"/>
      <c r="BG45" s="199"/>
      <c r="BH45" s="199"/>
      <c r="BI45" s="199"/>
      <c r="BJ45" s="199"/>
      <c r="BK45" s="199"/>
      <c r="BL45" s="199"/>
      <c r="BM45" s="199"/>
      <c r="BN45" s="199"/>
      <c r="BO45" s="199"/>
      <c r="BP45" s="200"/>
      <c r="BQ45" s="23"/>
    </row>
    <row r="46" spans="1:69" ht="12">
      <c r="A46" s="22"/>
      <c r="B46" s="196">
        <f t="shared" si="0"/>
        <v>39</v>
      </c>
      <c r="C46" s="197"/>
      <c r="D46" s="198"/>
      <c r="E46" s="199"/>
      <c r="F46" s="199"/>
      <c r="G46" s="200"/>
      <c r="H46" s="201"/>
      <c r="I46" s="202"/>
      <c r="J46" s="202"/>
      <c r="K46" s="200"/>
      <c r="L46" s="198"/>
      <c r="M46" s="199"/>
      <c r="N46" s="200"/>
      <c r="O46" s="198"/>
      <c r="P46" s="200"/>
      <c r="Q46" s="198"/>
      <c r="R46" s="199"/>
      <c r="S46" s="199"/>
      <c r="T46" s="200"/>
      <c r="U46" s="198"/>
      <c r="V46" s="199"/>
      <c r="W46" s="199"/>
      <c r="X46" s="199"/>
      <c r="Y46" s="199"/>
      <c r="Z46" s="199"/>
      <c r="AA46" s="199"/>
      <c r="AB46" s="199"/>
      <c r="AC46" s="199"/>
      <c r="AD46" s="199"/>
      <c r="AE46" s="200"/>
      <c r="AF46" s="198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199"/>
      <c r="AT46" s="199"/>
      <c r="AU46" s="199"/>
      <c r="AV46" s="199"/>
      <c r="AW46" s="199"/>
      <c r="AX46" s="200"/>
      <c r="AY46" s="198"/>
      <c r="AZ46" s="199"/>
      <c r="BA46" s="199"/>
      <c r="BB46" s="199"/>
      <c r="BC46" s="199"/>
      <c r="BD46" s="199"/>
      <c r="BE46" s="199"/>
      <c r="BF46" s="199"/>
      <c r="BG46" s="199"/>
      <c r="BH46" s="199"/>
      <c r="BI46" s="199"/>
      <c r="BJ46" s="199"/>
      <c r="BK46" s="199"/>
      <c r="BL46" s="199"/>
      <c r="BM46" s="199"/>
      <c r="BN46" s="199"/>
      <c r="BO46" s="199"/>
      <c r="BP46" s="200"/>
      <c r="BQ46" s="23"/>
    </row>
    <row r="47" spans="1:69" ht="12">
      <c r="A47" s="22"/>
      <c r="B47" s="196">
        <f t="shared" si="0"/>
        <v>40</v>
      </c>
      <c r="C47" s="197"/>
      <c r="D47" s="198"/>
      <c r="E47" s="199"/>
      <c r="F47" s="199"/>
      <c r="G47" s="200"/>
      <c r="H47" s="201"/>
      <c r="I47" s="202"/>
      <c r="J47" s="202"/>
      <c r="K47" s="200"/>
      <c r="L47" s="198"/>
      <c r="M47" s="199"/>
      <c r="N47" s="200"/>
      <c r="O47" s="198"/>
      <c r="P47" s="200"/>
      <c r="Q47" s="198"/>
      <c r="R47" s="199"/>
      <c r="S47" s="199"/>
      <c r="T47" s="200"/>
      <c r="U47" s="198"/>
      <c r="V47" s="199"/>
      <c r="W47" s="199"/>
      <c r="X47" s="199"/>
      <c r="Y47" s="199"/>
      <c r="Z47" s="199"/>
      <c r="AA47" s="199"/>
      <c r="AB47" s="199"/>
      <c r="AC47" s="199"/>
      <c r="AD47" s="199"/>
      <c r="AE47" s="200"/>
      <c r="AF47" s="198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199"/>
      <c r="AX47" s="200"/>
      <c r="AY47" s="198"/>
      <c r="AZ47" s="199"/>
      <c r="BA47" s="199"/>
      <c r="BB47" s="199"/>
      <c r="BC47" s="199"/>
      <c r="BD47" s="199"/>
      <c r="BE47" s="199"/>
      <c r="BF47" s="199"/>
      <c r="BG47" s="199"/>
      <c r="BH47" s="199"/>
      <c r="BI47" s="199"/>
      <c r="BJ47" s="199"/>
      <c r="BK47" s="199"/>
      <c r="BL47" s="199"/>
      <c r="BM47" s="199"/>
      <c r="BN47" s="199"/>
      <c r="BO47" s="199"/>
      <c r="BP47" s="200"/>
      <c r="BQ47" s="23"/>
    </row>
    <row r="48" spans="1:69" ht="12">
      <c r="A48" s="22"/>
      <c r="B48" s="196">
        <f t="shared" si="0"/>
        <v>41</v>
      </c>
      <c r="C48" s="197"/>
      <c r="D48" s="198"/>
      <c r="E48" s="199"/>
      <c r="F48" s="199"/>
      <c r="G48" s="200"/>
      <c r="H48" s="201"/>
      <c r="I48" s="202"/>
      <c r="J48" s="202"/>
      <c r="K48" s="200"/>
      <c r="L48" s="198"/>
      <c r="M48" s="199"/>
      <c r="N48" s="200"/>
      <c r="O48" s="198"/>
      <c r="P48" s="200"/>
      <c r="Q48" s="198"/>
      <c r="R48" s="199"/>
      <c r="S48" s="199"/>
      <c r="T48" s="200"/>
      <c r="U48" s="198"/>
      <c r="V48" s="199"/>
      <c r="W48" s="199"/>
      <c r="X48" s="199"/>
      <c r="Y48" s="199"/>
      <c r="Z48" s="199"/>
      <c r="AA48" s="199"/>
      <c r="AB48" s="199"/>
      <c r="AC48" s="199"/>
      <c r="AD48" s="199"/>
      <c r="AE48" s="200"/>
      <c r="AF48" s="198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199"/>
      <c r="AT48" s="199"/>
      <c r="AU48" s="199"/>
      <c r="AV48" s="199"/>
      <c r="AW48" s="199"/>
      <c r="AX48" s="200"/>
      <c r="AY48" s="198"/>
      <c r="AZ48" s="199"/>
      <c r="BA48" s="199"/>
      <c r="BB48" s="199"/>
      <c r="BC48" s="199"/>
      <c r="BD48" s="199"/>
      <c r="BE48" s="199"/>
      <c r="BF48" s="199"/>
      <c r="BG48" s="199"/>
      <c r="BH48" s="199"/>
      <c r="BI48" s="199"/>
      <c r="BJ48" s="199"/>
      <c r="BK48" s="199"/>
      <c r="BL48" s="199"/>
      <c r="BM48" s="199"/>
      <c r="BN48" s="199"/>
      <c r="BO48" s="199"/>
      <c r="BP48" s="200"/>
      <c r="BQ48" s="23"/>
    </row>
    <row r="49" spans="1:69" ht="12">
      <c r="A49" s="22"/>
      <c r="B49" s="196">
        <f t="shared" si="0"/>
        <v>42</v>
      </c>
      <c r="C49" s="197"/>
      <c r="D49" s="198"/>
      <c r="E49" s="199"/>
      <c r="F49" s="199"/>
      <c r="G49" s="200"/>
      <c r="H49" s="201"/>
      <c r="I49" s="202"/>
      <c r="J49" s="202"/>
      <c r="K49" s="200"/>
      <c r="L49" s="198"/>
      <c r="M49" s="199"/>
      <c r="N49" s="200"/>
      <c r="O49" s="198"/>
      <c r="P49" s="200"/>
      <c r="Q49" s="198"/>
      <c r="R49" s="199"/>
      <c r="S49" s="199"/>
      <c r="T49" s="200"/>
      <c r="U49" s="198"/>
      <c r="V49" s="199"/>
      <c r="W49" s="199"/>
      <c r="X49" s="199"/>
      <c r="Y49" s="199"/>
      <c r="Z49" s="199"/>
      <c r="AA49" s="199"/>
      <c r="AB49" s="199"/>
      <c r="AC49" s="199"/>
      <c r="AD49" s="199"/>
      <c r="AE49" s="200"/>
      <c r="AF49" s="198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199"/>
      <c r="AX49" s="200"/>
      <c r="AY49" s="198"/>
      <c r="AZ49" s="199"/>
      <c r="BA49" s="199"/>
      <c r="BB49" s="199"/>
      <c r="BC49" s="199"/>
      <c r="BD49" s="199"/>
      <c r="BE49" s="199"/>
      <c r="BF49" s="199"/>
      <c r="BG49" s="199"/>
      <c r="BH49" s="199"/>
      <c r="BI49" s="199"/>
      <c r="BJ49" s="199"/>
      <c r="BK49" s="199"/>
      <c r="BL49" s="199"/>
      <c r="BM49" s="199"/>
      <c r="BN49" s="199"/>
      <c r="BO49" s="199"/>
      <c r="BP49" s="200"/>
      <c r="BQ49" s="23"/>
    </row>
    <row r="50" spans="1:69" ht="12">
      <c r="A50" s="22"/>
      <c r="B50" s="196">
        <f t="shared" si="0"/>
        <v>43</v>
      </c>
      <c r="C50" s="197"/>
      <c r="D50" s="198"/>
      <c r="E50" s="199"/>
      <c r="F50" s="199"/>
      <c r="G50" s="200"/>
      <c r="H50" s="201"/>
      <c r="I50" s="202"/>
      <c r="J50" s="202"/>
      <c r="K50" s="200"/>
      <c r="L50" s="198"/>
      <c r="M50" s="199"/>
      <c r="N50" s="200"/>
      <c r="O50" s="198"/>
      <c r="P50" s="200"/>
      <c r="Q50" s="198"/>
      <c r="R50" s="199"/>
      <c r="S50" s="199"/>
      <c r="T50" s="200"/>
      <c r="U50" s="198"/>
      <c r="V50" s="199"/>
      <c r="W50" s="199"/>
      <c r="X50" s="199"/>
      <c r="Y50" s="199"/>
      <c r="Z50" s="199"/>
      <c r="AA50" s="199"/>
      <c r="AB50" s="199"/>
      <c r="AC50" s="199"/>
      <c r="AD50" s="199"/>
      <c r="AE50" s="200"/>
      <c r="AF50" s="198"/>
      <c r="AG50" s="199"/>
      <c r="AH50" s="199"/>
      <c r="AI50" s="199"/>
      <c r="AJ50" s="199"/>
      <c r="AK50" s="199"/>
      <c r="AL50" s="199"/>
      <c r="AM50" s="199"/>
      <c r="AN50" s="199"/>
      <c r="AO50" s="199"/>
      <c r="AP50" s="199"/>
      <c r="AQ50" s="199"/>
      <c r="AR50" s="199"/>
      <c r="AS50" s="199"/>
      <c r="AT50" s="199"/>
      <c r="AU50" s="199"/>
      <c r="AV50" s="199"/>
      <c r="AW50" s="199"/>
      <c r="AX50" s="200"/>
      <c r="AY50" s="198"/>
      <c r="AZ50" s="199"/>
      <c r="BA50" s="199"/>
      <c r="BB50" s="199"/>
      <c r="BC50" s="199"/>
      <c r="BD50" s="199"/>
      <c r="BE50" s="199"/>
      <c r="BF50" s="199"/>
      <c r="BG50" s="199"/>
      <c r="BH50" s="199"/>
      <c r="BI50" s="199"/>
      <c r="BJ50" s="199"/>
      <c r="BK50" s="199"/>
      <c r="BL50" s="199"/>
      <c r="BM50" s="199"/>
      <c r="BN50" s="199"/>
      <c r="BO50" s="199"/>
      <c r="BP50" s="200"/>
      <c r="BQ50" s="23"/>
    </row>
    <row r="51" spans="1:69" ht="12">
      <c r="A51" s="22"/>
      <c r="B51" s="196">
        <f t="shared" si="0"/>
        <v>44</v>
      </c>
      <c r="C51" s="197"/>
      <c r="D51" s="198"/>
      <c r="E51" s="199"/>
      <c r="F51" s="199"/>
      <c r="G51" s="200"/>
      <c r="H51" s="201"/>
      <c r="I51" s="202"/>
      <c r="J51" s="202"/>
      <c r="K51" s="200"/>
      <c r="L51" s="198"/>
      <c r="M51" s="199"/>
      <c r="N51" s="200"/>
      <c r="O51" s="198"/>
      <c r="P51" s="200"/>
      <c r="Q51" s="198"/>
      <c r="R51" s="199"/>
      <c r="S51" s="199"/>
      <c r="T51" s="200"/>
      <c r="U51" s="198"/>
      <c r="V51" s="199"/>
      <c r="W51" s="199"/>
      <c r="X51" s="199"/>
      <c r="Y51" s="199"/>
      <c r="Z51" s="199"/>
      <c r="AA51" s="199"/>
      <c r="AB51" s="199"/>
      <c r="AC51" s="199"/>
      <c r="AD51" s="199"/>
      <c r="AE51" s="200"/>
      <c r="AF51" s="198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199"/>
      <c r="AX51" s="200"/>
      <c r="AY51" s="198"/>
      <c r="AZ51" s="199"/>
      <c r="BA51" s="199"/>
      <c r="BB51" s="199"/>
      <c r="BC51" s="199"/>
      <c r="BD51" s="199"/>
      <c r="BE51" s="199"/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200"/>
      <c r="BQ51" s="23"/>
    </row>
    <row r="52" spans="1:69" ht="12">
      <c r="A52" s="22"/>
      <c r="B52" s="196">
        <f t="shared" si="0"/>
        <v>45</v>
      </c>
      <c r="C52" s="197"/>
      <c r="D52" s="198"/>
      <c r="E52" s="199"/>
      <c r="F52" s="199"/>
      <c r="G52" s="200"/>
      <c r="H52" s="201"/>
      <c r="I52" s="202"/>
      <c r="J52" s="202"/>
      <c r="K52" s="200"/>
      <c r="L52" s="198"/>
      <c r="M52" s="199"/>
      <c r="N52" s="200"/>
      <c r="O52" s="198"/>
      <c r="P52" s="200"/>
      <c r="Q52" s="198"/>
      <c r="R52" s="199"/>
      <c r="S52" s="199"/>
      <c r="T52" s="200"/>
      <c r="U52" s="198"/>
      <c r="V52" s="199"/>
      <c r="W52" s="199"/>
      <c r="X52" s="199"/>
      <c r="Y52" s="199"/>
      <c r="Z52" s="199"/>
      <c r="AA52" s="199"/>
      <c r="AB52" s="199"/>
      <c r="AC52" s="199"/>
      <c r="AD52" s="199"/>
      <c r="AE52" s="200"/>
      <c r="AF52" s="198"/>
      <c r="AG52" s="199"/>
      <c r="AH52" s="199"/>
      <c r="AI52" s="199"/>
      <c r="AJ52" s="199"/>
      <c r="AK52" s="199"/>
      <c r="AL52" s="199"/>
      <c r="AM52" s="199"/>
      <c r="AN52" s="199"/>
      <c r="AO52" s="199"/>
      <c r="AP52" s="199"/>
      <c r="AQ52" s="199"/>
      <c r="AR52" s="199"/>
      <c r="AS52" s="199"/>
      <c r="AT52" s="199"/>
      <c r="AU52" s="199"/>
      <c r="AV52" s="199"/>
      <c r="AW52" s="199"/>
      <c r="AX52" s="200"/>
      <c r="AY52" s="198"/>
      <c r="AZ52" s="199"/>
      <c r="BA52" s="199"/>
      <c r="BB52" s="199"/>
      <c r="BC52" s="199"/>
      <c r="BD52" s="199"/>
      <c r="BE52" s="199"/>
      <c r="BF52" s="199"/>
      <c r="BG52" s="199"/>
      <c r="BH52" s="199"/>
      <c r="BI52" s="199"/>
      <c r="BJ52" s="199"/>
      <c r="BK52" s="199"/>
      <c r="BL52" s="199"/>
      <c r="BM52" s="199"/>
      <c r="BN52" s="199"/>
      <c r="BO52" s="199"/>
      <c r="BP52" s="200"/>
      <c r="BQ52" s="23"/>
    </row>
    <row r="53" spans="1:69" ht="13.5" customHeight="1">
      <c r="A53" s="24"/>
      <c r="B53" s="25"/>
      <c r="C53" s="25"/>
      <c r="D53" s="25"/>
      <c r="E53" s="25"/>
      <c r="F53" s="25"/>
      <c r="G53" s="25"/>
      <c r="H53" s="26"/>
      <c r="I53" s="27"/>
      <c r="J53" s="25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28"/>
    </row>
    <row r="54" spans="1:69" ht="13.5" customHeight="1">
      <c r="A54" s="50"/>
      <c r="B54" s="54"/>
      <c r="C54" s="54"/>
      <c r="D54" s="54"/>
      <c r="E54" s="54"/>
      <c r="F54" s="54"/>
      <c r="G54" s="54"/>
      <c r="H54" s="55"/>
      <c r="I54" s="56"/>
      <c r="J54" s="57"/>
      <c r="K54" s="55"/>
      <c r="L54" s="51"/>
      <c r="M54" s="51"/>
      <c r="N54" s="51"/>
      <c r="O54" s="51"/>
      <c r="P54" s="51"/>
      <c r="Q54" s="51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</row>
  </sheetData>
  <mergeCells count="430">
    <mergeCell ref="B52:C52"/>
    <mergeCell ref="D52:G52"/>
    <mergeCell ref="H52:K52"/>
    <mergeCell ref="L52:N52"/>
    <mergeCell ref="O52:P52"/>
    <mergeCell ref="Q52:T52"/>
    <mergeCell ref="U52:AE52"/>
    <mergeCell ref="AF52:AX52"/>
    <mergeCell ref="AY52:BP52"/>
    <mergeCell ref="B51:C51"/>
    <mergeCell ref="D51:G51"/>
    <mergeCell ref="H51:K51"/>
    <mergeCell ref="L51:N51"/>
    <mergeCell ref="O51:P51"/>
    <mergeCell ref="Q51:T51"/>
    <mergeCell ref="U51:AE51"/>
    <mergeCell ref="AF51:AX51"/>
    <mergeCell ref="AY51:BP51"/>
    <mergeCell ref="B50:C50"/>
    <mergeCell ref="D50:G50"/>
    <mergeCell ref="H50:K50"/>
    <mergeCell ref="L50:N50"/>
    <mergeCell ref="O50:P50"/>
    <mergeCell ref="Q50:T50"/>
    <mergeCell ref="U50:AE50"/>
    <mergeCell ref="AF50:AX50"/>
    <mergeCell ref="AY50:BP50"/>
    <mergeCell ref="B49:C49"/>
    <mergeCell ref="D49:G49"/>
    <mergeCell ref="H49:K49"/>
    <mergeCell ref="L49:N49"/>
    <mergeCell ref="O49:P49"/>
    <mergeCell ref="Q49:T49"/>
    <mergeCell ref="U49:AE49"/>
    <mergeCell ref="AF49:AX49"/>
    <mergeCell ref="AY49:BP49"/>
    <mergeCell ref="B48:C48"/>
    <mergeCell ref="D48:G48"/>
    <mergeCell ref="H48:K48"/>
    <mergeCell ref="L48:N48"/>
    <mergeCell ref="O48:P48"/>
    <mergeCell ref="Q48:T48"/>
    <mergeCell ref="U48:AE48"/>
    <mergeCell ref="AF48:AX48"/>
    <mergeCell ref="AY48:BP48"/>
    <mergeCell ref="B47:C47"/>
    <mergeCell ref="D47:G47"/>
    <mergeCell ref="H47:K47"/>
    <mergeCell ref="L47:N47"/>
    <mergeCell ref="O47:P47"/>
    <mergeCell ref="Q47:T47"/>
    <mergeCell ref="U47:AE47"/>
    <mergeCell ref="AF47:AX47"/>
    <mergeCell ref="AY47:BP47"/>
    <mergeCell ref="B46:C46"/>
    <mergeCell ref="D46:G46"/>
    <mergeCell ref="H46:K46"/>
    <mergeCell ref="L46:N46"/>
    <mergeCell ref="O46:P46"/>
    <mergeCell ref="Q46:T46"/>
    <mergeCell ref="U46:AE46"/>
    <mergeCell ref="AF46:AX46"/>
    <mergeCell ref="AY46:BP46"/>
    <mergeCell ref="B45:C45"/>
    <mergeCell ref="D45:G45"/>
    <mergeCell ref="H45:K45"/>
    <mergeCell ref="L45:N45"/>
    <mergeCell ref="O45:P45"/>
    <mergeCell ref="Q45:T45"/>
    <mergeCell ref="U45:AE45"/>
    <mergeCell ref="AF45:AX45"/>
    <mergeCell ref="AY45:BP45"/>
    <mergeCell ref="B44:C44"/>
    <mergeCell ref="D44:G44"/>
    <mergeCell ref="H44:K44"/>
    <mergeCell ref="L44:N44"/>
    <mergeCell ref="O44:P44"/>
    <mergeCell ref="Q44:T44"/>
    <mergeCell ref="U44:AE44"/>
    <mergeCell ref="AF44:AX44"/>
    <mergeCell ref="AY44:BP44"/>
    <mergeCell ref="B43:C43"/>
    <mergeCell ref="D43:G43"/>
    <mergeCell ref="H43:K43"/>
    <mergeCell ref="L43:N43"/>
    <mergeCell ref="O43:P43"/>
    <mergeCell ref="Q43:T43"/>
    <mergeCell ref="U43:AE43"/>
    <mergeCell ref="AF43:AX43"/>
    <mergeCell ref="AY43:BP43"/>
    <mergeCell ref="B42:C42"/>
    <mergeCell ref="D42:G42"/>
    <mergeCell ref="H42:K42"/>
    <mergeCell ref="L42:N42"/>
    <mergeCell ref="O42:P42"/>
    <mergeCell ref="Q42:T42"/>
    <mergeCell ref="U42:AE42"/>
    <mergeCell ref="AF42:AX42"/>
    <mergeCell ref="AY42:BP42"/>
    <mergeCell ref="B41:C41"/>
    <mergeCell ref="D41:G41"/>
    <mergeCell ref="H41:K41"/>
    <mergeCell ref="L41:N41"/>
    <mergeCell ref="O41:P41"/>
    <mergeCell ref="Q41:T41"/>
    <mergeCell ref="U41:AE41"/>
    <mergeCell ref="AF41:AX41"/>
    <mergeCell ref="AY41:BP41"/>
    <mergeCell ref="B40:C40"/>
    <mergeCell ref="D40:G40"/>
    <mergeCell ref="H40:K40"/>
    <mergeCell ref="L40:N40"/>
    <mergeCell ref="O40:P40"/>
    <mergeCell ref="Q40:T40"/>
    <mergeCell ref="U40:AE40"/>
    <mergeCell ref="AF40:AX40"/>
    <mergeCell ref="AY40:BP40"/>
    <mergeCell ref="B39:C39"/>
    <mergeCell ref="D39:G39"/>
    <mergeCell ref="H39:K39"/>
    <mergeCell ref="L39:N39"/>
    <mergeCell ref="O39:P39"/>
    <mergeCell ref="Q39:T39"/>
    <mergeCell ref="U39:AE39"/>
    <mergeCell ref="AF39:AX39"/>
    <mergeCell ref="AY39:BP39"/>
    <mergeCell ref="B38:C38"/>
    <mergeCell ref="D38:G38"/>
    <mergeCell ref="H38:K38"/>
    <mergeCell ref="L38:N38"/>
    <mergeCell ref="O38:P38"/>
    <mergeCell ref="Q38:T38"/>
    <mergeCell ref="U38:AE38"/>
    <mergeCell ref="AF38:AX38"/>
    <mergeCell ref="AY38:BP38"/>
    <mergeCell ref="B37:C37"/>
    <mergeCell ref="D37:G37"/>
    <mergeCell ref="H37:K37"/>
    <mergeCell ref="L37:N37"/>
    <mergeCell ref="O37:P37"/>
    <mergeCell ref="Q37:T37"/>
    <mergeCell ref="U37:AE37"/>
    <mergeCell ref="AF37:AX37"/>
    <mergeCell ref="AY37:BP37"/>
    <mergeCell ref="B36:C36"/>
    <mergeCell ref="D36:G36"/>
    <mergeCell ref="H36:K36"/>
    <mergeCell ref="L36:N36"/>
    <mergeCell ref="O36:P36"/>
    <mergeCell ref="Q36:T36"/>
    <mergeCell ref="U36:AE36"/>
    <mergeCell ref="AF36:AX36"/>
    <mergeCell ref="AY36:BP36"/>
    <mergeCell ref="B35:C35"/>
    <mergeCell ref="D35:G35"/>
    <mergeCell ref="H35:K35"/>
    <mergeCell ref="L35:N35"/>
    <mergeCell ref="O35:P35"/>
    <mergeCell ref="Q35:T35"/>
    <mergeCell ref="U35:AE35"/>
    <mergeCell ref="AF35:AX35"/>
    <mergeCell ref="AY35:BP35"/>
    <mergeCell ref="B34:C34"/>
    <mergeCell ref="D34:G34"/>
    <mergeCell ref="H34:K34"/>
    <mergeCell ref="L34:N34"/>
    <mergeCell ref="O34:P34"/>
    <mergeCell ref="Q34:T34"/>
    <mergeCell ref="U34:AE34"/>
    <mergeCell ref="AF34:AX34"/>
    <mergeCell ref="AY34:BP34"/>
    <mergeCell ref="B33:C33"/>
    <mergeCell ref="D33:G33"/>
    <mergeCell ref="H33:K33"/>
    <mergeCell ref="L33:N33"/>
    <mergeCell ref="O33:P33"/>
    <mergeCell ref="Q33:T33"/>
    <mergeCell ref="U33:AE33"/>
    <mergeCell ref="AF33:AX33"/>
    <mergeCell ref="AY33:BP33"/>
    <mergeCell ref="B32:C32"/>
    <mergeCell ref="D32:G32"/>
    <mergeCell ref="H32:K32"/>
    <mergeCell ref="L32:N32"/>
    <mergeCell ref="O32:P32"/>
    <mergeCell ref="Q32:T32"/>
    <mergeCell ref="U32:AE32"/>
    <mergeCell ref="AF32:AX32"/>
    <mergeCell ref="AY32:BP32"/>
    <mergeCell ref="B31:C31"/>
    <mergeCell ref="D31:G31"/>
    <mergeCell ref="H31:K31"/>
    <mergeCell ref="L31:N31"/>
    <mergeCell ref="O31:P31"/>
    <mergeCell ref="Q31:T31"/>
    <mergeCell ref="U31:AE31"/>
    <mergeCell ref="AF31:AX31"/>
    <mergeCell ref="AY31:BP31"/>
    <mergeCell ref="B30:C30"/>
    <mergeCell ref="D30:G30"/>
    <mergeCell ref="H30:K30"/>
    <mergeCell ref="L30:N30"/>
    <mergeCell ref="O30:P30"/>
    <mergeCell ref="Q30:T30"/>
    <mergeCell ref="U30:AE30"/>
    <mergeCell ref="AF30:AX30"/>
    <mergeCell ref="AY30:BP30"/>
    <mergeCell ref="B29:C29"/>
    <mergeCell ref="D29:G29"/>
    <mergeCell ref="H29:K29"/>
    <mergeCell ref="L29:N29"/>
    <mergeCell ref="O29:P29"/>
    <mergeCell ref="Q29:T29"/>
    <mergeCell ref="U29:AE29"/>
    <mergeCell ref="AF29:AX29"/>
    <mergeCell ref="AY29:BP29"/>
    <mergeCell ref="B28:C28"/>
    <mergeCell ref="D28:G28"/>
    <mergeCell ref="H28:K28"/>
    <mergeCell ref="L28:N28"/>
    <mergeCell ref="O28:P28"/>
    <mergeCell ref="Q28:T28"/>
    <mergeCell ref="U28:AE28"/>
    <mergeCell ref="AF28:AX28"/>
    <mergeCell ref="AY28:BP28"/>
    <mergeCell ref="B27:C27"/>
    <mergeCell ref="D27:G27"/>
    <mergeCell ref="H27:K27"/>
    <mergeCell ref="L27:N27"/>
    <mergeCell ref="O27:P27"/>
    <mergeCell ref="Q27:T27"/>
    <mergeCell ref="U27:AE27"/>
    <mergeCell ref="AF27:AX27"/>
    <mergeCell ref="AY27:BP27"/>
    <mergeCell ref="B26:C26"/>
    <mergeCell ref="D26:G26"/>
    <mergeCell ref="H26:K26"/>
    <mergeCell ref="L26:N26"/>
    <mergeCell ref="O26:P26"/>
    <mergeCell ref="Q26:T26"/>
    <mergeCell ref="U26:AE26"/>
    <mergeCell ref="AF26:AX26"/>
    <mergeCell ref="AY26:BP26"/>
    <mergeCell ref="B25:C25"/>
    <mergeCell ref="D25:G25"/>
    <mergeCell ref="H25:K25"/>
    <mergeCell ref="L25:N25"/>
    <mergeCell ref="O25:P25"/>
    <mergeCell ref="Q25:T25"/>
    <mergeCell ref="U25:AE25"/>
    <mergeCell ref="AF25:AX25"/>
    <mergeCell ref="AY25:BP25"/>
    <mergeCell ref="B24:C24"/>
    <mergeCell ref="D24:G24"/>
    <mergeCell ref="H24:K24"/>
    <mergeCell ref="L24:N24"/>
    <mergeCell ref="O24:P24"/>
    <mergeCell ref="Q24:T24"/>
    <mergeCell ref="U24:AE24"/>
    <mergeCell ref="AF24:AX24"/>
    <mergeCell ref="AY24:BP24"/>
    <mergeCell ref="B23:C23"/>
    <mergeCell ref="D23:G23"/>
    <mergeCell ref="H23:K23"/>
    <mergeCell ref="L23:N23"/>
    <mergeCell ref="O23:P23"/>
    <mergeCell ref="Q23:T23"/>
    <mergeCell ref="U23:AE23"/>
    <mergeCell ref="AF23:AX23"/>
    <mergeCell ref="AY23:BP23"/>
    <mergeCell ref="AY8:BP8"/>
    <mergeCell ref="A1:E4"/>
    <mergeCell ref="U7:AE7"/>
    <mergeCell ref="AF7:AX7"/>
    <mergeCell ref="AY7:BP7"/>
    <mergeCell ref="F1:S4"/>
    <mergeCell ref="T1:AG2"/>
    <mergeCell ref="T3:AG4"/>
    <mergeCell ref="AH1:AR2"/>
    <mergeCell ref="AH3:AR4"/>
    <mergeCell ref="AS1:BA2"/>
    <mergeCell ref="BB1:BE2"/>
    <mergeCell ref="BF1:BI2"/>
    <mergeCell ref="BJ1:BM2"/>
    <mergeCell ref="BN1:BQ2"/>
    <mergeCell ref="BB3:BE4"/>
    <mergeCell ref="BF3:BI4"/>
    <mergeCell ref="BJ3:BM4"/>
    <mergeCell ref="BN3:BQ4"/>
    <mergeCell ref="AS3:BA4"/>
    <mergeCell ref="B7:C7"/>
    <mergeCell ref="D7:G7"/>
    <mergeCell ref="H7:K7"/>
    <mergeCell ref="L7:N7"/>
    <mergeCell ref="Q7:T7"/>
    <mergeCell ref="B8:C8"/>
    <mergeCell ref="D8:G8"/>
    <mergeCell ref="H8:K8"/>
    <mergeCell ref="L8:N8"/>
    <mergeCell ref="O8:P8"/>
    <mergeCell ref="Q8:T8"/>
    <mergeCell ref="U8:AE8"/>
    <mergeCell ref="AF8:AX8"/>
    <mergeCell ref="O7:P7"/>
    <mergeCell ref="B16:C16"/>
    <mergeCell ref="D16:G16"/>
    <mergeCell ref="H16:K16"/>
    <mergeCell ref="L16:N16"/>
    <mergeCell ref="O16:P16"/>
    <mergeCell ref="Q16:T16"/>
    <mergeCell ref="U16:AE16"/>
    <mergeCell ref="AF16:AX16"/>
    <mergeCell ref="AY16:BP16"/>
    <mergeCell ref="B17:C17"/>
    <mergeCell ref="D17:G17"/>
    <mergeCell ref="H17:K17"/>
    <mergeCell ref="L17:N17"/>
    <mergeCell ref="O17:P17"/>
    <mergeCell ref="Q17:T17"/>
    <mergeCell ref="U17:AE17"/>
    <mergeCell ref="AF17:AX17"/>
    <mergeCell ref="AY17:BP17"/>
    <mergeCell ref="B18:C18"/>
    <mergeCell ref="D18:G18"/>
    <mergeCell ref="H18:K18"/>
    <mergeCell ref="L18:N18"/>
    <mergeCell ref="O18:P18"/>
    <mergeCell ref="Q18:T18"/>
    <mergeCell ref="U18:AE18"/>
    <mergeCell ref="AF18:AX18"/>
    <mergeCell ref="AY18:BP18"/>
    <mergeCell ref="B19:C19"/>
    <mergeCell ref="D19:G19"/>
    <mergeCell ref="H19:K19"/>
    <mergeCell ref="L19:N19"/>
    <mergeCell ref="O19:P19"/>
    <mergeCell ref="Q19:T19"/>
    <mergeCell ref="U19:AE19"/>
    <mergeCell ref="AF19:AX19"/>
    <mergeCell ref="AY19:BP19"/>
    <mergeCell ref="B20:C20"/>
    <mergeCell ref="D20:G20"/>
    <mergeCell ref="H20:K20"/>
    <mergeCell ref="L20:N20"/>
    <mergeCell ref="O20:P20"/>
    <mergeCell ref="Q20:T20"/>
    <mergeCell ref="U20:AE20"/>
    <mergeCell ref="AF20:AX20"/>
    <mergeCell ref="AY20:BP20"/>
    <mergeCell ref="B21:C21"/>
    <mergeCell ref="D21:G21"/>
    <mergeCell ref="H21:K21"/>
    <mergeCell ref="L21:N21"/>
    <mergeCell ref="O21:P21"/>
    <mergeCell ref="Q21:T21"/>
    <mergeCell ref="U21:AE21"/>
    <mergeCell ref="AF21:AX21"/>
    <mergeCell ref="AY21:BP21"/>
    <mergeCell ref="B22:C22"/>
    <mergeCell ref="D22:G22"/>
    <mergeCell ref="H22:K22"/>
    <mergeCell ref="L22:N22"/>
    <mergeCell ref="O22:P22"/>
    <mergeCell ref="Q22:T22"/>
    <mergeCell ref="U22:AE22"/>
    <mergeCell ref="AF22:AX22"/>
    <mergeCell ref="AY22:BP22"/>
    <mergeCell ref="B9:C9"/>
    <mergeCell ref="D9:G9"/>
    <mergeCell ref="H9:K9"/>
    <mergeCell ref="L9:N9"/>
    <mergeCell ref="O9:P9"/>
    <mergeCell ref="Q9:T9"/>
    <mergeCell ref="U9:AE9"/>
    <mergeCell ref="AF9:AX9"/>
    <mergeCell ref="AY9:BP9"/>
    <mergeCell ref="B10:C10"/>
    <mergeCell ref="D10:G10"/>
    <mergeCell ref="H10:K10"/>
    <mergeCell ref="L10:N10"/>
    <mergeCell ref="O10:P10"/>
    <mergeCell ref="Q10:T10"/>
    <mergeCell ref="U10:AE10"/>
    <mergeCell ref="AF10:AX10"/>
    <mergeCell ref="AY10:BP10"/>
    <mergeCell ref="B11:C11"/>
    <mergeCell ref="D11:G11"/>
    <mergeCell ref="H11:K11"/>
    <mergeCell ref="L11:N11"/>
    <mergeCell ref="O11:P11"/>
    <mergeCell ref="Q11:T11"/>
    <mergeCell ref="U11:AE11"/>
    <mergeCell ref="AF11:AX11"/>
    <mergeCell ref="AY11:BP11"/>
    <mergeCell ref="B12:C12"/>
    <mergeCell ref="D12:G12"/>
    <mergeCell ref="H12:K12"/>
    <mergeCell ref="L12:N12"/>
    <mergeCell ref="O12:P12"/>
    <mergeCell ref="Q12:T12"/>
    <mergeCell ref="U12:AE12"/>
    <mergeCell ref="AF12:AX12"/>
    <mergeCell ref="AY12:BP12"/>
    <mergeCell ref="B13:C13"/>
    <mergeCell ref="D13:G13"/>
    <mergeCell ref="H13:K13"/>
    <mergeCell ref="L13:N13"/>
    <mergeCell ref="O13:P13"/>
    <mergeCell ref="Q13:T13"/>
    <mergeCell ref="U13:AE13"/>
    <mergeCell ref="AF13:AX13"/>
    <mergeCell ref="AY13:BP13"/>
    <mergeCell ref="B14:C14"/>
    <mergeCell ref="D14:G14"/>
    <mergeCell ref="H14:K14"/>
    <mergeCell ref="L14:N14"/>
    <mergeCell ref="O14:P14"/>
    <mergeCell ref="Q14:T14"/>
    <mergeCell ref="U14:AE14"/>
    <mergeCell ref="AF14:AX14"/>
    <mergeCell ref="AY14:BP14"/>
    <mergeCell ref="B15:C15"/>
    <mergeCell ref="D15:G15"/>
    <mergeCell ref="H15:K15"/>
    <mergeCell ref="L15:N15"/>
    <mergeCell ref="O15:P15"/>
    <mergeCell ref="Q15:T15"/>
    <mergeCell ref="U15:AE15"/>
    <mergeCell ref="AF15:AX15"/>
    <mergeCell ref="AY15:BP15"/>
  </mergeCells>
  <phoneticPr fontId="3"/>
  <dataValidations count="1">
    <dataValidation type="list" allowBlank="1" showInputMessage="1" showErrorMessage="1" sqref="O8:P52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Footer>&amp;C&amp;P / &amp;N &amp;RCopyright  ©　富士通株式会社　2016</oddFooter>
  </headerFooter>
  <rowBreaks count="1" manualBreakCount="1">
    <brk id="53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D34B-9B83-443B-B0F9-7C0627F460CE}">
  <dimension ref="A1:AS80"/>
  <sheetViews>
    <sheetView view="pageBreakPreview" zoomScaleNormal="100" zoomScaleSheetLayoutView="100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5" ht="13.5" customHeight="1">
      <c r="A1" s="261" t="s">
        <v>6</v>
      </c>
      <c r="B1" s="261"/>
      <c r="C1" s="261"/>
      <c r="D1" s="261"/>
      <c r="E1" s="262" t="s">
        <v>7</v>
      </c>
      <c r="F1" s="262"/>
      <c r="G1" s="262"/>
      <c r="H1" s="262"/>
      <c r="I1" s="262"/>
      <c r="J1" s="262"/>
      <c r="K1" s="262"/>
      <c r="L1" s="262"/>
      <c r="M1" s="262"/>
      <c r="N1" s="262"/>
      <c r="O1" s="253" t="s">
        <v>8</v>
      </c>
      <c r="P1" s="253"/>
      <c r="Q1" s="253"/>
      <c r="R1" s="253"/>
      <c r="S1" s="253"/>
      <c r="T1" s="253"/>
      <c r="U1" s="253"/>
      <c r="V1" s="253"/>
      <c r="W1" s="253"/>
      <c r="X1" s="253" t="s">
        <v>9</v>
      </c>
      <c r="Y1" s="253"/>
      <c r="Z1" s="253"/>
      <c r="AA1" s="253"/>
      <c r="AB1" s="253"/>
      <c r="AC1" s="253" t="s">
        <v>10</v>
      </c>
      <c r="AD1" s="253"/>
      <c r="AE1" s="253"/>
      <c r="AF1" s="253"/>
      <c r="AG1" s="253" t="s">
        <v>11</v>
      </c>
      <c r="AH1" s="253"/>
      <c r="AI1" s="253"/>
      <c r="AJ1" s="253" t="s">
        <v>12</v>
      </c>
      <c r="AK1" s="253"/>
      <c r="AL1" s="253"/>
      <c r="AM1" s="253" t="s">
        <v>13</v>
      </c>
      <c r="AN1" s="253"/>
      <c r="AO1" s="253"/>
      <c r="AP1" s="253" t="s">
        <v>14</v>
      </c>
      <c r="AQ1" s="253"/>
      <c r="AR1" s="253"/>
    </row>
    <row r="2" spans="1:45">
      <c r="A2" s="261"/>
      <c r="B2" s="261"/>
      <c r="C2" s="261"/>
      <c r="D2" s="261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</row>
    <row r="3" spans="1:45" ht="13.5" customHeight="1">
      <c r="A3" s="261"/>
      <c r="B3" s="261"/>
      <c r="C3" s="261"/>
      <c r="D3" s="261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54" t="str">
        <f>変更履歴!T3</f>
        <v>日本触媒</v>
      </c>
      <c r="P3" s="254"/>
      <c r="Q3" s="254"/>
      <c r="R3" s="254"/>
      <c r="S3" s="254"/>
      <c r="T3" s="254"/>
      <c r="U3" s="254"/>
      <c r="V3" s="254"/>
      <c r="W3" s="254"/>
      <c r="X3" s="256" t="str">
        <f>変更履歴!AH3</f>
        <v>NSB</v>
      </c>
      <c r="Y3" s="254"/>
      <c r="Z3" s="254"/>
      <c r="AA3" s="254"/>
      <c r="AB3" s="254"/>
      <c r="AC3" s="254" t="str">
        <f>変更履歴!AS3</f>
        <v>請求確認</v>
      </c>
      <c r="AD3" s="254"/>
      <c r="AE3" s="254"/>
      <c r="AF3" s="254"/>
      <c r="AG3" s="254" t="str">
        <f>変更履歴!BB3</f>
        <v>FJ松枝</v>
      </c>
      <c r="AH3" s="254"/>
      <c r="AI3" s="254"/>
      <c r="AJ3" s="257">
        <f>変更履歴!BF3</f>
        <v>45769</v>
      </c>
      <c r="AK3" s="257"/>
      <c r="AL3" s="257"/>
      <c r="AM3" s="259"/>
      <c r="AN3" s="259"/>
      <c r="AO3" s="259"/>
      <c r="AP3" s="260"/>
      <c r="AQ3" s="260"/>
      <c r="AR3" s="260"/>
    </row>
    <row r="4" spans="1:45">
      <c r="A4" s="261"/>
      <c r="B4" s="261"/>
      <c r="C4" s="261"/>
      <c r="D4" s="261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8"/>
      <c r="AK4" s="258"/>
      <c r="AL4" s="258"/>
      <c r="AM4" s="259"/>
      <c r="AN4" s="259"/>
      <c r="AO4" s="259"/>
      <c r="AP4" s="260"/>
      <c r="AQ4" s="260"/>
      <c r="AR4" s="260"/>
    </row>
    <row r="5" spans="1:45">
      <c r="A5" s="73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74"/>
      <c r="AS5" s="73"/>
    </row>
    <row r="6" spans="1:45">
      <c r="A6" s="5"/>
      <c r="B6" s="37" t="s">
        <v>623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5">
      <c r="A7" s="5"/>
      <c r="B7" s="37"/>
      <c r="C7" s="3"/>
      <c r="D7" s="3"/>
      <c r="E7" s="3"/>
      <c r="F7" s="3"/>
      <c r="G7" s="3"/>
      <c r="H7" s="3"/>
      <c r="I7" s="3"/>
      <c r="J7" s="3"/>
      <c r="K7" s="151" t="s">
        <v>624</v>
      </c>
      <c r="L7" s="3"/>
      <c r="M7" s="3"/>
      <c r="N7" s="3"/>
      <c r="O7" s="3"/>
      <c r="P7" s="3"/>
      <c r="Q7" s="151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5">
      <c r="A8" s="5"/>
      <c r="B8" s="6"/>
      <c r="C8" s="152" t="s">
        <v>15</v>
      </c>
      <c r="D8" s="153" t="s">
        <v>625</v>
      </c>
      <c r="E8" s="153"/>
      <c r="F8" s="153"/>
      <c r="G8" s="153"/>
      <c r="H8" s="153"/>
      <c r="I8" s="153"/>
      <c r="J8" s="154"/>
      <c r="K8" s="153" t="s">
        <v>626</v>
      </c>
      <c r="L8" s="153"/>
      <c r="M8" s="153"/>
      <c r="N8" s="153"/>
      <c r="O8" s="153"/>
      <c r="P8" s="153" t="s">
        <v>627</v>
      </c>
      <c r="Q8" s="153"/>
      <c r="R8" s="153"/>
      <c r="S8" s="153"/>
      <c r="T8" s="153"/>
      <c r="U8" s="153"/>
      <c r="V8" s="15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5">
      <c r="A9" s="5"/>
      <c r="B9" s="3"/>
      <c r="C9" s="155">
        <v>1</v>
      </c>
      <c r="D9" s="263" t="s">
        <v>628</v>
      </c>
      <c r="E9" s="264"/>
      <c r="F9" s="264"/>
      <c r="G9" s="264"/>
      <c r="H9" s="264"/>
      <c r="I9" s="264"/>
      <c r="J9" s="265"/>
      <c r="K9" s="263" t="s">
        <v>1114</v>
      </c>
      <c r="L9" s="264"/>
      <c r="M9" s="264"/>
      <c r="N9" s="264"/>
      <c r="O9" s="265"/>
      <c r="P9" s="263" t="s">
        <v>629</v>
      </c>
      <c r="Q9" s="264"/>
      <c r="R9" s="264"/>
      <c r="S9" s="264"/>
      <c r="T9" s="264"/>
      <c r="U9" s="264"/>
      <c r="V9" s="265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5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5">
      <c r="A11" s="5"/>
      <c r="B11" s="37" t="s">
        <v>630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5">
      <c r="A12" s="5"/>
      <c r="B12" s="3"/>
      <c r="C12" s="3" t="s">
        <v>1115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266" t="s">
        <v>1087</v>
      </c>
      <c r="W12" s="267"/>
      <c r="X12" s="267"/>
      <c r="Y12" s="267"/>
      <c r="Z12" s="267"/>
      <c r="AA12" s="267"/>
      <c r="AB12" s="267"/>
      <c r="AC12" s="268"/>
      <c r="AD12" s="3" t="s">
        <v>1116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5">
      <c r="A13" s="5"/>
      <c r="B13" s="3"/>
      <c r="C13" s="266" t="s">
        <v>1087</v>
      </c>
      <c r="D13" s="267"/>
      <c r="E13" s="267"/>
      <c r="F13" s="267"/>
      <c r="G13" s="267"/>
      <c r="H13" s="267"/>
      <c r="I13" s="267"/>
      <c r="J13" s="268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66" t="s">
        <v>1087</v>
      </c>
      <c r="W13" s="267"/>
      <c r="X13" s="267"/>
      <c r="Y13" s="267"/>
      <c r="Z13" s="267"/>
      <c r="AA13" s="267"/>
      <c r="AB13" s="267"/>
      <c r="AC13" s="268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5">
      <c r="A14" s="5"/>
      <c r="B14" s="3"/>
      <c r="C14" s="272" t="s">
        <v>631</v>
      </c>
      <c r="D14" s="273"/>
      <c r="E14" s="273"/>
      <c r="F14" s="273"/>
      <c r="G14" s="273"/>
      <c r="H14" s="273"/>
      <c r="I14" s="273"/>
      <c r="J14" s="27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72" t="s">
        <v>631</v>
      </c>
      <c r="W14" s="273"/>
      <c r="X14" s="273"/>
      <c r="Y14" s="273"/>
      <c r="Z14" s="273"/>
      <c r="AA14" s="273"/>
      <c r="AB14" s="273"/>
      <c r="AC14" s="274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5">
      <c r="A15" s="5"/>
      <c r="B15" s="3"/>
      <c r="C15" s="272" t="s">
        <v>631</v>
      </c>
      <c r="D15" s="273"/>
      <c r="E15" s="273"/>
      <c r="F15" s="273"/>
      <c r="G15" s="273"/>
      <c r="H15" s="273"/>
      <c r="I15" s="273"/>
      <c r="J15" s="27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72" t="s">
        <v>631</v>
      </c>
      <c r="W15" s="273"/>
      <c r="X15" s="273"/>
      <c r="Y15" s="273"/>
      <c r="Z15" s="273"/>
      <c r="AA15" s="273"/>
      <c r="AB15" s="273"/>
      <c r="AC15" s="274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5">
      <c r="A16" s="5"/>
      <c r="B16" s="156"/>
      <c r="C16" s="275" t="s">
        <v>631</v>
      </c>
      <c r="D16" s="276"/>
      <c r="E16" s="276"/>
      <c r="F16" s="276"/>
      <c r="G16" s="276"/>
      <c r="H16" s="276"/>
      <c r="I16" s="276"/>
      <c r="J16" s="27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75" t="s">
        <v>631</v>
      </c>
      <c r="W16" s="276"/>
      <c r="X16" s="276"/>
      <c r="Y16" s="276"/>
      <c r="Z16" s="276"/>
      <c r="AA16" s="276"/>
      <c r="AB16" s="276"/>
      <c r="AC16" s="277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5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269" t="s">
        <v>1117</v>
      </c>
      <c r="W17" s="270"/>
      <c r="X17" s="270"/>
      <c r="Y17" s="270"/>
      <c r="Z17" s="270"/>
      <c r="AA17" s="270"/>
      <c r="AB17" s="270"/>
      <c r="AC17" s="271"/>
      <c r="AD17" s="3" t="s">
        <v>1116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5">
      <c r="A18" s="5"/>
      <c r="B18" s="15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5" s="3" customFormat="1" ht="10.8">
      <c r="A19" s="5"/>
      <c r="Q19" s="3" t="s">
        <v>626</v>
      </c>
      <c r="V19" s="3" t="s">
        <v>1118</v>
      </c>
    </row>
    <row r="20" spans="1:45">
      <c r="A20" s="5"/>
      <c r="B20" s="37" t="s">
        <v>632</v>
      </c>
      <c r="C20" s="158"/>
      <c r="D20" s="158"/>
      <c r="E20" s="158"/>
      <c r="F20" s="158"/>
      <c r="G20" s="158"/>
      <c r="H20" s="158"/>
      <c r="I20" s="158"/>
      <c r="J20" s="158"/>
      <c r="K20" s="159"/>
      <c r="L20" s="3"/>
      <c r="M20" s="3"/>
      <c r="N20" s="3"/>
      <c r="O20" s="159"/>
      <c r="P20" s="160"/>
      <c r="Q20" s="158"/>
      <c r="R20" s="159"/>
      <c r="S20" s="159"/>
      <c r="T20" s="161"/>
      <c r="U20" s="160"/>
      <c r="V20" s="159" t="s">
        <v>1119</v>
      </c>
      <c r="W20" s="159"/>
      <c r="X20" s="159"/>
      <c r="Y20" s="159"/>
      <c r="Z20" s="159"/>
      <c r="AA20" s="159"/>
      <c r="AB20" s="159"/>
      <c r="AC20" s="159"/>
      <c r="AD20" s="159"/>
      <c r="AE20" s="159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5" s="3" customFormat="1" ht="10.8">
      <c r="A21" s="5"/>
      <c r="B21" s="162"/>
      <c r="AR21" s="8"/>
      <c r="AS21" s="5"/>
    </row>
    <row r="22" spans="1:45" s="3" customFormat="1" ht="10.8">
      <c r="A22" s="5"/>
      <c r="B22" s="162"/>
      <c r="C22" s="3" t="s">
        <v>1075</v>
      </c>
      <c r="AR22" s="8"/>
      <c r="AS22" s="5"/>
    </row>
    <row r="23" spans="1:45" s="3" customFormat="1" ht="10.8">
      <c r="A23" s="5"/>
      <c r="B23" s="162"/>
      <c r="AR23" s="8"/>
      <c r="AS23" s="5"/>
    </row>
    <row r="24" spans="1:45" s="3" customFormat="1" ht="10.8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</row>
    <row r="25" spans="1:45" s="3" customFormat="1" ht="10.8">
      <c r="A25" s="67"/>
      <c r="B25" s="163" t="s">
        <v>633</v>
      </c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</row>
    <row r="26" spans="1:45" s="3" customFormat="1" ht="10.8">
      <c r="A26" s="5"/>
      <c r="B26" s="37"/>
      <c r="AR26" s="8"/>
      <c r="AS26" s="5"/>
    </row>
    <row r="27" spans="1:45" s="3" customFormat="1" ht="10.8">
      <c r="A27" s="5"/>
      <c r="C27" s="3" t="s">
        <v>1061</v>
      </c>
      <c r="AR27" s="8"/>
      <c r="AS27" s="5"/>
    </row>
    <row r="28" spans="1:45" s="3" customFormat="1" ht="10.8">
      <c r="A28" s="5"/>
      <c r="AR28" s="8"/>
      <c r="AS28" s="5"/>
    </row>
    <row r="29" spans="1:45" s="3" customFormat="1" ht="10.8">
      <c r="A29" s="5"/>
      <c r="B29" s="37" t="s">
        <v>635</v>
      </c>
      <c r="AR29" s="8"/>
      <c r="AS29" s="5"/>
    </row>
    <row r="30" spans="1:45" s="3" customFormat="1" ht="10.8">
      <c r="A30" s="5"/>
      <c r="AR30" s="8"/>
      <c r="AS30" s="5"/>
    </row>
    <row r="31" spans="1:45" s="3" customFormat="1" ht="10.8">
      <c r="A31" s="5"/>
      <c r="C31" s="3" t="s">
        <v>634</v>
      </c>
      <c r="AR31" s="8"/>
      <c r="AS31" s="5"/>
    </row>
    <row r="32" spans="1:45" s="3" customFormat="1" ht="10.8">
      <c r="A32" s="5"/>
      <c r="B32" s="162"/>
      <c r="D32" s="162"/>
      <c r="E32" s="164"/>
      <c r="AR32" s="8"/>
      <c r="AS32" s="5"/>
    </row>
    <row r="33" spans="1:45" s="3" customFormat="1" ht="10.8">
      <c r="A33" s="5"/>
      <c r="B33" s="162"/>
      <c r="D33" s="162"/>
      <c r="E33" s="164"/>
      <c r="AR33" s="8"/>
      <c r="AS33" s="5"/>
    </row>
    <row r="34" spans="1:45">
      <c r="A34" s="73"/>
      <c r="B34" s="75"/>
      <c r="D34" s="75"/>
      <c r="E34" s="78"/>
      <c r="AR34" s="74"/>
      <c r="AS34" s="73"/>
    </row>
    <row r="35" spans="1:45">
      <c r="A35" s="73"/>
      <c r="B35" s="75"/>
      <c r="D35" s="75"/>
      <c r="E35" s="78"/>
      <c r="AR35" s="74"/>
      <c r="AS35" s="73"/>
    </row>
    <row r="36" spans="1:45">
      <c r="A36" s="73"/>
      <c r="B36" s="75"/>
      <c r="D36" s="75"/>
      <c r="E36" s="78"/>
      <c r="AR36" s="74"/>
      <c r="AS36" s="73"/>
    </row>
    <row r="37" spans="1:45">
      <c r="A37" s="73"/>
      <c r="B37" s="75"/>
      <c r="D37" s="75"/>
      <c r="E37" s="78"/>
      <c r="AR37" s="74"/>
      <c r="AS37" s="73"/>
    </row>
    <row r="38" spans="1:45">
      <c r="A38" s="73"/>
      <c r="B38" s="75"/>
      <c r="D38" s="75"/>
      <c r="E38" s="78"/>
      <c r="AR38" s="74"/>
      <c r="AS38" s="73"/>
    </row>
    <row r="39" spans="1:45">
      <c r="A39" s="73"/>
      <c r="B39" s="75"/>
      <c r="D39" s="75"/>
      <c r="E39" s="78"/>
      <c r="AR39" s="74"/>
      <c r="AS39" s="73"/>
    </row>
    <row r="40" spans="1:45">
      <c r="A40" s="73"/>
      <c r="B40" s="75"/>
      <c r="D40" s="75"/>
      <c r="E40" s="78"/>
      <c r="AR40" s="74"/>
      <c r="AS40" s="73"/>
    </row>
    <row r="41" spans="1:45">
      <c r="A41" s="73"/>
      <c r="B41" s="75"/>
      <c r="D41" s="75"/>
      <c r="E41" s="78"/>
      <c r="AR41" s="74"/>
      <c r="AS41" s="73"/>
    </row>
    <row r="42" spans="1:45">
      <c r="A42" s="73"/>
      <c r="B42" s="75"/>
      <c r="D42" s="75"/>
      <c r="E42" s="78"/>
      <c r="AR42" s="74"/>
      <c r="AS42" s="73"/>
    </row>
    <row r="43" spans="1:45">
      <c r="A43" s="73"/>
      <c r="B43" s="75"/>
      <c r="D43" s="75"/>
      <c r="E43" s="78"/>
      <c r="AR43" s="74"/>
      <c r="AS43" s="73"/>
    </row>
    <row r="44" spans="1:45">
      <c r="A44" s="73"/>
      <c r="B44" s="75"/>
      <c r="D44" s="75"/>
      <c r="E44" s="78"/>
      <c r="AR44" s="74"/>
      <c r="AS44" s="73"/>
    </row>
    <row r="45" spans="1:45">
      <c r="A45" s="73"/>
      <c r="B45" s="75"/>
      <c r="D45" s="75"/>
      <c r="E45" s="78"/>
      <c r="AR45" s="74"/>
      <c r="AS45" s="73"/>
    </row>
    <row r="46" spans="1:45">
      <c r="A46" s="73"/>
      <c r="B46" s="75"/>
      <c r="D46" s="75"/>
      <c r="E46" s="78"/>
      <c r="AR46" s="74"/>
      <c r="AS46" s="73"/>
    </row>
    <row r="47" spans="1:45">
      <c r="A47" s="73"/>
      <c r="B47" s="75"/>
      <c r="D47" s="75"/>
      <c r="E47" s="78"/>
      <c r="AR47" s="74"/>
      <c r="AS47" s="73"/>
    </row>
    <row r="48" spans="1:45">
      <c r="A48" s="73"/>
      <c r="B48" s="75"/>
      <c r="D48" s="75"/>
      <c r="E48" s="78"/>
      <c r="AR48" s="74"/>
      <c r="AS48" s="73"/>
    </row>
    <row r="49" spans="1:45">
      <c r="A49" s="73"/>
      <c r="B49" s="75"/>
      <c r="D49" s="75"/>
      <c r="E49" s="78"/>
      <c r="AR49" s="74"/>
      <c r="AS49" s="73"/>
    </row>
    <row r="50" spans="1:45">
      <c r="A50" s="73"/>
      <c r="B50" s="75"/>
      <c r="D50" s="75"/>
      <c r="E50" s="78"/>
      <c r="AR50" s="74"/>
      <c r="AS50" s="73"/>
    </row>
    <row r="51" spans="1:45">
      <c r="A51" s="73"/>
      <c r="B51" s="75"/>
      <c r="D51" s="75"/>
      <c r="E51" s="78"/>
      <c r="AR51" s="74"/>
      <c r="AS51" s="73"/>
    </row>
    <row r="52" spans="1:45">
      <c r="A52" s="76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77"/>
      <c r="AS52" s="73"/>
    </row>
    <row r="54" spans="1:45">
      <c r="B54" s="79"/>
    </row>
    <row r="55" spans="1:45">
      <c r="B55" s="79"/>
    </row>
    <row r="59" spans="1:45">
      <c r="B59" s="79"/>
    </row>
    <row r="60" spans="1:45">
      <c r="B60" s="79"/>
    </row>
    <row r="61" spans="1:45">
      <c r="B61" s="79"/>
    </row>
    <row r="62" spans="1:45">
      <c r="B62" s="79"/>
    </row>
    <row r="63" spans="1:45">
      <c r="B63" s="79"/>
    </row>
    <row r="64" spans="1:45">
      <c r="B64" s="79"/>
    </row>
    <row r="65" spans="2:2">
      <c r="B65" s="79"/>
    </row>
    <row r="66" spans="2:2">
      <c r="B66" s="79"/>
    </row>
    <row r="67" spans="2:2">
      <c r="B67" s="79"/>
    </row>
    <row r="68" spans="2:2">
      <c r="B68" s="79"/>
    </row>
    <row r="69" spans="2:2">
      <c r="B69" s="79"/>
    </row>
    <row r="70" spans="2:2">
      <c r="B70" s="79"/>
    </row>
    <row r="71" spans="2:2">
      <c r="B71" s="79"/>
    </row>
    <row r="72" spans="2:2">
      <c r="B72" s="79"/>
    </row>
    <row r="73" spans="2:2">
      <c r="B73" s="79"/>
    </row>
    <row r="74" spans="2:2">
      <c r="B74" s="79"/>
    </row>
    <row r="75" spans="2:2">
      <c r="B75" s="79"/>
    </row>
    <row r="76" spans="2:2">
      <c r="B76" s="79"/>
    </row>
    <row r="77" spans="2:2">
      <c r="B77" s="80"/>
    </row>
    <row r="78" spans="2:2">
      <c r="B78" s="80"/>
    </row>
    <row r="79" spans="2:2">
      <c r="B79" s="81"/>
    </row>
    <row r="80" spans="2:2">
      <c r="B80" s="80"/>
    </row>
  </sheetData>
  <mergeCells count="29">
    <mergeCell ref="V17:AC17"/>
    <mergeCell ref="C14:J14"/>
    <mergeCell ref="V14:AC14"/>
    <mergeCell ref="C15:J15"/>
    <mergeCell ref="V15:AC15"/>
    <mergeCell ref="C16:J16"/>
    <mergeCell ref="V16:AC16"/>
    <mergeCell ref="D9:J9"/>
    <mergeCell ref="K9:O9"/>
    <mergeCell ref="P9:V9"/>
    <mergeCell ref="V12:AC12"/>
    <mergeCell ref="C13:J13"/>
    <mergeCell ref="V13:AC13"/>
    <mergeCell ref="A1:D4"/>
    <mergeCell ref="E1:N4"/>
    <mergeCell ref="O1:W2"/>
    <mergeCell ref="X1:AB2"/>
    <mergeCell ref="AC1:AF2"/>
    <mergeCell ref="AJ1:AL2"/>
    <mergeCell ref="AM1:AO2"/>
    <mergeCell ref="AP1:AR2"/>
    <mergeCell ref="O3:W4"/>
    <mergeCell ref="X3:AB4"/>
    <mergeCell ref="AC3:AF4"/>
    <mergeCell ref="AG3:AI4"/>
    <mergeCell ref="AJ3:AL4"/>
    <mergeCell ref="AM3:AO4"/>
    <mergeCell ref="AP3:AR4"/>
    <mergeCell ref="AG1:AI2"/>
  </mergeCells>
  <phoneticPr fontId="3"/>
  <pageMargins left="0.39370078740157483" right="0.39370078740157483" top="0.78740157480314965" bottom="0.78740157480314965" header="0.59055118110236227" footer="0.59055118110236227"/>
  <pageSetup paperSize="9" scale="87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21"/>
  <sheetViews>
    <sheetView showGridLines="0" view="pageBreakPreview" zoomScaleNormal="100" zoomScaleSheetLayoutView="100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4" ht="13.5" customHeight="1">
      <c r="A1" s="278" t="s">
        <v>6</v>
      </c>
      <c r="B1" s="278"/>
      <c r="C1" s="278"/>
      <c r="D1" s="278"/>
      <c r="E1" s="281" t="s">
        <v>7</v>
      </c>
      <c r="F1" s="281"/>
      <c r="G1" s="281"/>
      <c r="H1" s="281"/>
      <c r="I1" s="281"/>
      <c r="J1" s="281"/>
      <c r="K1" s="281"/>
      <c r="L1" s="281"/>
      <c r="M1" s="281"/>
      <c r="N1" s="281"/>
      <c r="O1" s="284" t="s">
        <v>8</v>
      </c>
      <c r="P1" s="284"/>
      <c r="Q1" s="284"/>
      <c r="R1" s="284"/>
      <c r="S1" s="284"/>
      <c r="T1" s="284"/>
      <c r="U1" s="284"/>
      <c r="V1" s="284"/>
      <c r="W1" s="284"/>
      <c r="X1" s="284" t="s">
        <v>9</v>
      </c>
      <c r="Y1" s="284"/>
      <c r="Z1" s="284"/>
      <c r="AA1" s="284"/>
      <c r="AB1" s="284"/>
      <c r="AC1" s="284" t="s">
        <v>10</v>
      </c>
      <c r="AD1" s="284"/>
      <c r="AE1" s="284"/>
      <c r="AF1" s="284"/>
      <c r="AG1" s="284" t="s">
        <v>11</v>
      </c>
      <c r="AH1" s="284"/>
      <c r="AI1" s="284"/>
      <c r="AJ1" s="284" t="s">
        <v>12</v>
      </c>
      <c r="AK1" s="284"/>
      <c r="AL1" s="284"/>
      <c r="AM1" s="284" t="s">
        <v>13</v>
      </c>
      <c r="AN1" s="284"/>
      <c r="AO1" s="284"/>
      <c r="AP1" s="284" t="s">
        <v>14</v>
      </c>
      <c r="AQ1" s="284"/>
      <c r="AR1" s="284"/>
    </row>
    <row r="2" spans="1:44">
      <c r="A2" s="279"/>
      <c r="B2" s="279"/>
      <c r="C2" s="279"/>
      <c r="D2" s="279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5"/>
      <c r="AN2" s="285"/>
      <c r="AO2" s="285"/>
      <c r="AP2" s="285"/>
      <c r="AQ2" s="285"/>
      <c r="AR2" s="285"/>
    </row>
    <row r="3" spans="1:44">
      <c r="A3" s="279"/>
      <c r="B3" s="279"/>
      <c r="C3" s="279"/>
      <c r="D3" s="279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54" t="str">
        <f>変更履歴!T3</f>
        <v>日本触媒</v>
      </c>
      <c r="P3" s="254"/>
      <c r="Q3" s="254"/>
      <c r="R3" s="254"/>
      <c r="S3" s="254"/>
      <c r="T3" s="254"/>
      <c r="U3" s="254"/>
      <c r="V3" s="254"/>
      <c r="W3" s="254"/>
      <c r="X3" s="254" t="str">
        <f>変更履歴!AH3</f>
        <v>NSB</v>
      </c>
      <c r="Y3" s="254"/>
      <c r="Z3" s="254"/>
      <c r="AA3" s="254"/>
      <c r="AB3" s="254"/>
      <c r="AC3" s="254" t="str">
        <f>変更履歴!AS3</f>
        <v>請求確認</v>
      </c>
      <c r="AD3" s="254"/>
      <c r="AE3" s="254"/>
      <c r="AF3" s="254"/>
      <c r="AG3" s="254" t="str">
        <f>変更履歴!BB3</f>
        <v>FJ松枝</v>
      </c>
      <c r="AH3" s="254"/>
      <c r="AI3" s="254"/>
      <c r="AJ3" s="257">
        <f>変更履歴!BF3</f>
        <v>45769</v>
      </c>
      <c r="AK3" s="257"/>
      <c r="AL3" s="257"/>
      <c r="AM3" s="286"/>
      <c r="AN3" s="286"/>
      <c r="AO3" s="286"/>
      <c r="AP3" s="257"/>
      <c r="AQ3" s="257"/>
      <c r="AR3" s="257"/>
    </row>
    <row r="4" spans="1:44">
      <c r="A4" s="280"/>
      <c r="B4" s="280"/>
      <c r="C4" s="280"/>
      <c r="D4" s="280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8"/>
      <c r="AK4" s="258"/>
      <c r="AL4" s="258"/>
      <c r="AM4" s="287"/>
      <c r="AN4" s="287"/>
      <c r="AO4" s="287"/>
      <c r="AP4" s="258"/>
      <c r="AQ4" s="258"/>
      <c r="AR4" s="258"/>
    </row>
    <row r="5" spans="1:44" s="3" customFormat="1" ht="10.8">
      <c r="A5" s="5"/>
      <c r="AR5" s="8"/>
    </row>
    <row r="6" spans="1:44" s="3" customFormat="1" ht="10.8">
      <c r="A6" s="5"/>
      <c r="B6" s="37" t="s">
        <v>26</v>
      </c>
      <c r="AR6" s="8"/>
    </row>
    <row r="7" spans="1:44" s="3" customFormat="1" ht="10.8">
      <c r="A7" s="5"/>
      <c r="B7" s="37"/>
      <c r="AR7" s="8"/>
    </row>
    <row r="8" spans="1:44" s="3" customFormat="1" ht="10.8">
      <c r="A8" s="5"/>
      <c r="B8" s="6"/>
      <c r="C8" s="3" t="s">
        <v>1110</v>
      </c>
      <c r="AR8" s="8"/>
    </row>
    <row r="9" spans="1:44" s="3" customFormat="1" ht="10.8">
      <c r="A9" s="5"/>
      <c r="AR9" s="8"/>
    </row>
    <row r="10" spans="1:44" s="3" customFormat="1" ht="10.8">
      <c r="A10" s="5"/>
      <c r="B10" s="37" t="s">
        <v>27</v>
      </c>
      <c r="AR10" s="8"/>
    </row>
    <row r="11" spans="1:44" s="3" customFormat="1" ht="10.8">
      <c r="A11" s="5"/>
      <c r="AR11" s="8"/>
    </row>
    <row r="12" spans="1:44" s="3" customFormat="1" ht="10.8">
      <c r="A12" s="5"/>
      <c r="C12" s="3" t="s">
        <v>976</v>
      </c>
      <c r="AR12" s="8"/>
    </row>
    <row r="13" spans="1:44" s="3" customFormat="1" ht="10.8">
      <c r="A13" s="5"/>
      <c r="C13" s="3" t="s">
        <v>134</v>
      </c>
      <c r="AR13" s="8"/>
    </row>
    <row r="14" spans="1:44" s="3" customFormat="1" ht="10.8">
      <c r="A14" s="5"/>
      <c r="C14" s="3" t="s">
        <v>1139</v>
      </c>
      <c r="AR14" s="8"/>
    </row>
    <row r="15" spans="1:44" s="3" customFormat="1" ht="10.8">
      <c r="A15" s="5"/>
      <c r="AR15" s="8"/>
    </row>
    <row r="16" spans="1:44" s="3" customFormat="1" ht="10.8">
      <c r="A16" s="5"/>
      <c r="AR16" s="8"/>
    </row>
    <row r="17" spans="1:44" s="3" customFormat="1" ht="10.8">
      <c r="A17" s="5"/>
      <c r="B17" s="37" t="s">
        <v>28</v>
      </c>
      <c r="AR17" s="8"/>
    </row>
    <row r="18" spans="1:44" s="3" customFormat="1" ht="10.8">
      <c r="A18" s="5"/>
      <c r="AR18" s="8"/>
    </row>
    <row r="19" spans="1:44" s="3" customFormat="1" ht="10.8">
      <c r="A19" s="5"/>
      <c r="C19" s="3" t="s">
        <v>29</v>
      </c>
      <c r="AR19" s="8"/>
    </row>
    <row r="20" spans="1:44" s="3" customFormat="1" ht="10.8">
      <c r="A20" s="5"/>
      <c r="C20" s="41" t="s">
        <v>30</v>
      </c>
      <c r="D20" s="42"/>
      <c r="E20" s="42"/>
      <c r="F20" s="42"/>
      <c r="G20" s="42"/>
      <c r="H20" s="42"/>
      <c r="I20" s="42"/>
      <c r="J20" s="42"/>
      <c r="K20" s="42"/>
      <c r="L20" s="42"/>
      <c r="M20" s="41" t="s">
        <v>31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1" t="s">
        <v>32</v>
      </c>
      <c r="AF20" s="47"/>
      <c r="AG20" s="47"/>
      <c r="AH20" s="47"/>
      <c r="AI20" s="47"/>
      <c r="AJ20" s="47"/>
      <c r="AK20" s="47"/>
      <c r="AL20" s="42"/>
      <c r="AM20" s="42"/>
      <c r="AN20" s="42"/>
      <c r="AO20" s="42"/>
      <c r="AP20" s="42"/>
      <c r="AQ20" s="48"/>
      <c r="AR20" s="8"/>
    </row>
    <row r="21" spans="1:44" s="3" customFormat="1" ht="10.8">
      <c r="A21" s="5"/>
      <c r="C21" s="44" t="s">
        <v>977</v>
      </c>
      <c r="D21" s="43"/>
      <c r="E21" s="43"/>
      <c r="F21" s="43"/>
      <c r="G21" s="43"/>
      <c r="H21" s="43"/>
      <c r="I21" s="43"/>
      <c r="J21" s="43"/>
      <c r="K21" s="43"/>
      <c r="L21" s="45"/>
      <c r="M21" s="44" t="s">
        <v>1111</v>
      </c>
      <c r="N21" s="43"/>
      <c r="O21" s="43"/>
      <c r="P21" s="43"/>
      <c r="Q21" s="43"/>
      <c r="R21" s="43"/>
      <c r="S21" s="46"/>
      <c r="T21" s="46"/>
      <c r="U21" s="46"/>
      <c r="V21" s="46"/>
      <c r="W21" s="46"/>
      <c r="X21" s="46"/>
      <c r="Y21" s="46"/>
      <c r="Z21" s="46"/>
      <c r="AA21" s="46"/>
      <c r="AB21" s="43"/>
      <c r="AC21" s="43"/>
      <c r="AD21" s="45"/>
      <c r="AE21" s="44" t="s">
        <v>135</v>
      </c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5"/>
      <c r="AR21" s="8"/>
    </row>
    <row r="22" spans="1:44" s="3" customFormat="1" ht="10.8">
      <c r="A22" s="5"/>
      <c r="C22" s="5"/>
      <c r="D22" s="67"/>
      <c r="E22" s="67"/>
      <c r="F22" s="67"/>
      <c r="G22" s="67"/>
      <c r="H22" s="67"/>
      <c r="I22" s="67"/>
      <c r="J22" s="67"/>
      <c r="K22" s="67"/>
      <c r="L22" s="8"/>
      <c r="M22" s="5"/>
      <c r="N22" s="67"/>
      <c r="O22" s="67"/>
      <c r="P22" s="67"/>
      <c r="Q22" s="67"/>
      <c r="R22" s="67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67"/>
      <c r="AD22" s="8"/>
      <c r="AE22" s="5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8"/>
      <c r="AR22" s="8"/>
    </row>
    <row r="23" spans="1:44" s="3" customFormat="1" ht="10.8">
      <c r="A23" s="5"/>
      <c r="C23" s="165" t="s">
        <v>1132</v>
      </c>
      <c r="D23" s="89"/>
      <c r="E23" s="89"/>
      <c r="F23" s="89"/>
      <c r="G23" s="89"/>
      <c r="H23" s="89"/>
      <c r="I23" s="89"/>
      <c r="J23" s="89"/>
      <c r="K23" s="89"/>
      <c r="L23" s="89"/>
      <c r="M23" s="165" t="s">
        <v>1062</v>
      </c>
      <c r="N23" s="89"/>
      <c r="O23" s="89"/>
      <c r="P23" s="89"/>
      <c r="Q23" s="89"/>
      <c r="R23" s="89"/>
      <c r="S23" s="166"/>
      <c r="T23" s="166"/>
      <c r="U23" s="166"/>
      <c r="V23" s="166"/>
      <c r="W23" s="166"/>
      <c r="X23" s="166"/>
      <c r="Y23" s="166"/>
      <c r="Z23" s="166"/>
      <c r="AA23" s="166"/>
      <c r="AB23" s="89"/>
      <c r="AC23" s="89"/>
      <c r="AD23" s="90"/>
      <c r="AE23" s="165" t="s">
        <v>1107</v>
      </c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90"/>
      <c r="AR23" s="8"/>
    </row>
    <row r="24" spans="1:44" s="3" customFormat="1" ht="10.8">
      <c r="A24" s="5"/>
      <c r="C24" s="5"/>
      <c r="D24" s="67"/>
      <c r="E24" s="67"/>
      <c r="F24" s="67"/>
      <c r="G24" s="67"/>
      <c r="H24" s="67"/>
      <c r="I24" s="67"/>
      <c r="J24" s="67"/>
      <c r="K24" s="67"/>
      <c r="L24" s="67"/>
      <c r="M24" s="5" t="s">
        <v>1124</v>
      </c>
      <c r="N24" s="67"/>
      <c r="O24" s="67"/>
      <c r="P24" s="67"/>
      <c r="Q24" s="67"/>
      <c r="R24" s="67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67"/>
      <c r="AD24" s="8"/>
      <c r="AE24" s="5" t="s">
        <v>1134</v>
      </c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8"/>
      <c r="AR24" s="8"/>
    </row>
    <row r="25" spans="1:44" s="3" customFormat="1" ht="10.8">
      <c r="A25" s="5"/>
      <c r="C25" s="5"/>
      <c r="D25" s="67"/>
      <c r="E25" s="67"/>
      <c r="F25" s="67"/>
      <c r="G25" s="67"/>
      <c r="H25" s="67"/>
      <c r="I25" s="67"/>
      <c r="J25" s="67"/>
      <c r="K25" s="67"/>
      <c r="L25" s="67"/>
      <c r="M25" s="5" t="s">
        <v>1125</v>
      </c>
      <c r="N25" s="67"/>
      <c r="O25" s="67"/>
      <c r="P25" s="67"/>
      <c r="Q25" s="67"/>
      <c r="R25" s="67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67"/>
      <c r="AD25" s="8"/>
      <c r="AE25" s="5" t="s">
        <v>1135</v>
      </c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8"/>
      <c r="AR25" s="8"/>
    </row>
    <row r="26" spans="1:44" s="3" customFormat="1" ht="10.8">
      <c r="A26" s="5"/>
      <c r="C26" s="5"/>
      <c r="D26" s="67"/>
      <c r="E26" s="67"/>
      <c r="F26" s="67"/>
      <c r="G26" s="67"/>
      <c r="H26" s="67"/>
      <c r="I26" s="67"/>
      <c r="J26" s="67"/>
      <c r="K26" s="67"/>
      <c r="L26" s="67"/>
      <c r="M26" s="5" t="s">
        <v>1122</v>
      </c>
      <c r="N26" s="67"/>
      <c r="O26" s="67"/>
      <c r="P26" s="67"/>
      <c r="Q26" s="67"/>
      <c r="R26" s="67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67"/>
      <c r="AD26" s="8"/>
      <c r="AE26" s="5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8"/>
      <c r="AR26" s="8"/>
    </row>
    <row r="27" spans="1:44" s="3" customFormat="1" ht="10.8">
      <c r="A27" s="5"/>
      <c r="C27" s="5"/>
      <c r="D27" s="67"/>
      <c r="E27" s="67"/>
      <c r="F27" s="67"/>
      <c r="G27" s="67"/>
      <c r="H27" s="67"/>
      <c r="I27" s="67"/>
      <c r="J27" s="67"/>
      <c r="K27" s="67"/>
      <c r="L27" s="67"/>
      <c r="M27" s="5" t="s">
        <v>1121</v>
      </c>
      <c r="N27" s="67"/>
      <c r="O27" s="67"/>
      <c r="P27" s="67"/>
      <c r="Q27" s="67"/>
      <c r="R27" s="67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67"/>
      <c r="AD27" s="8"/>
      <c r="AE27" s="5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8"/>
      <c r="AR27" s="8"/>
    </row>
    <row r="28" spans="1:44" s="3" customFormat="1" ht="10.8">
      <c r="A28" s="5"/>
      <c r="C28" s="5"/>
      <c r="D28" s="67"/>
      <c r="E28" s="67"/>
      <c r="F28" s="67"/>
      <c r="G28" s="67"/>
      <c r="H28" s="67"/>
      <c r="I28" s="67"/>
      <c r="J28" s="67"/>
      <c r="K28" s="67"/>
      <c r="L28" s="67"/>
      <c r="M28" s="5" t="s">
        <v>1123</v>
      </c>
      <c r="N28" s="67"/>
      <c r="O28" s="67"/>
      <c r="P28" s="67"/>
      <c r="Q28" s="67"/>
      <c r="R28" s="67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67"/>
      <c r="AD28" s="8"/>
      <c r="AE28" s="5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8"/>
      <c r="AR28" s="8"/>
    </row>
    <row r="29" spans="1:44" s="3" customFormat="1" ht="10.8">
      <c r="A29" s="5"/>
      <c r="C29" s="35"/>
      <c r="D29" s="36"/>
      <c r="E29" s="36"/>
      <c r="F29" s="36"/>
      <c r="G29" s="36"/>
      <c r="H29" s="36"/>
      <c r="I29" s="36"/>
      <c r="J29" s="36"/>
      <c r="K29" s="36"/>
      <c r="L29" s="36"/>
      <c r="M29" s="35" t="s">
        <v>1120</v>
      </c>
      <c r="N29" s="36"/>
      <c r="O29" s="36"/>
      <c r="P29" s="36"/>
      <c r="Q29" s="36"/>
      <c r="R29" s="36"/>
      <c r="S29" s="64"/>
      <c r="T29" s="64"/>
      <c r="U29" s="64"/>
      <c r="V29" s="64"/>
      <c r="W29" s="64"/>
      <c r="X29" s="64"/>
      <c r="Y29" s="64"/>
      <c r="Z29" s="64"/>
      <c r="AA29" s="64"/>
      <c r="AB29" s="36"/>
      <c r="AC29" s="36"/>
      <c r="AD29" s="9"/>
      <c r="AE29" s="35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9"/>
      <c r="AR29" s="8"/>
    </row>
    <row r="30" spans="1:44" s="3" customFormat="1" ht="10.8">
      <c r="A30" s="5"/>
      <c r="AR30" s="8"/>
    </row>
    <row r="31" spans="1:44" s="3" customFormat="1" ht="10.8">
      <c r="A31" s="5"/>
      <c r="AR31" s="8"/>
    </row>
    <row r="32" spans="1:44" s="3" customFormat="1" ht="10.8">
      <c r="A32" s="5"/>
      <c r="C32" s="3" t="s">
        <v>33</v>
      </c>
      <c r="AR32" s="8"/>
    </row>
    <row r="33" spans="1:44" s="3" customFormat="1" ht="10.8">
      <c r="A33" s="5"/>
      <c r="C33" s="150" t="s">
        <v>30</v>
      </c>
      <c r="D33" s="42"/>
      <c r="E33" s="42"/>
      <c r="F33" s="42"/>
      <c r="G33" s="42"/>
      <c r="H33" s="42"/>
      <c r="I33" s="42"/>
      <c r="J33" s="42"/>
      <c r="K33" s="42"/>
      <c r="L33" s="42"/>
      <c r="M33" s="41" t="s">
        <v>34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1" t="s">
        <v>32</v>
      </c>
      <c r="AF33" s="47"/>
      <c r="AG33" s="47"/>
      <c r="AH33" s="47"/>
      <c r="AI33" s="47"/>
      <c r="AJ33" s="47"/>
      <c r="AK33" s="47"/>
      <c r="AL33" s="42"/>
      <c r="AM33" s="42"/>
      <c r="AN33" s="42"/>
      <c r="AO33" s="42"/>
      <c r="AP33" s="42"/>
      <c r="AQ33" s="48"/>
      <c r="AR33" s="8"/>
    </row>
    <row r="34" spans="1:44" s="3" customFormat="1" ht="10.8">
      <c r="A34" s="5"/>
      <c r="C34" s="44" t="s">
        <v>137</v>
      </c>
      <c r="D34" s="43"/>
      <c r="E34" s="43"/>
      <c r="F34" s="43"/>
      <c r="G34" s="43"/>
      <c r="H34" s="43"/>
      <c r="I34" s="43"/>
      <c r="J34" s="43"/>
      <c r="K34" s="43"/>
      <c r="L34" s="45"/>
      <c r="M34" s="3" t="s">
        <v>1062</v>
      </c>
      <c r="N34" s="43"/>
      <c r="O34" s="43"/>
      <c r="P34" s="43"/>
      <c r="Q34" s="43"/>
      <c r="R34" s="43"/>
      <c r="S34" s="46"/>
      <c r="T34" s="46"/>
      <c r="U34" s="46"/>
      <c r="V34" s="46"/>
      <c r="W34" s="46"/>
      <c r="X34" s="46"/>
      <c r="Y34" s="46"/>
      <c r="Z34" s="46"/>
      <c r="AA34" s="46"/>
      <c r="AB34" s="43"/>
      <c r="AC34" s="43"/>
      <c r="AD34" s="45"/>
      <c r="AE34" s="44" t="s">
        <v>140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5"/>
      <c r="AR34" s="8"/>
    </row>
    <row r="35" spans="1:44" s="3" customFormat="1" ht="10.8">
      <c r="A35" s="5"/>
      <c r="C35" s="5"/>
      <c r="D35" s="67"/>
      <c r="E35" s="67"/>
      <c r="F35" s="67"/>
      <c r="G35" s="67"/>
      <c r="H35" s="67"/>
      <c r="I35" s="67"/>
      <c r="J35" s="67"/>
      <c r="K35" s="67"/>
      <c r="L35" s="8"/>
      <c r="M35" s="5" t="s">
        <v>1086</v>
      </c>
      <c r="N35" s="67"/>
      <c r="O35" s="67"/>
      <c r="P35" s="67"/>
      <c r="Q35" s="67"/>
      <c r="R35" s="67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67"/>
      <c r="AD35" s="8"/>
      <c r="AE35" s="5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8"/>
      <c r="AR35" s="8"/>
    </row>
    <row r="36" spans="1:44" s="3" customFormat="1" ht="10.8">
      <c r="A36" s="5"/>
      <c r="C36" s="5"/>
      <c r="D36" s="67"/>
      <c r="E36" s="67"/>
      <c r="F36" s="67"/>
      <c r="G36" s="67"/>
      <c r="H36" s="67"/>
      <c r="I36" s="67"/>
      <c r="J36" s="67"/>
      <c r="K36" s="67"/>
      <c r="L36" s="8"/>
      <c r="M36" s="5" t="s">
        <v>1090</v>
      </c>
      <c r="N36" s="67"/>
      <c r="O36" s="67"/>
      <c r="P36" s="67"/>
      <c r="Q36" s="67"/>
      <c r="R36" s="67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67"/>
      <c r="AD36" s="8"/>
      <c r="AE36" s="5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8"/>
      <c r="AR36" s="8"/>
    </row>
    <row r="37" spans="1:44" s="3" customFormat="1" ht="10.8">
      <c r="A37" s="5"/>
      <c r="C37" s="35"/>
      <c r="D37" s="36"/>
      <c r="E37" s="36"/>
      <c r="F37" s="36"/>
      <c r="G37" s="36"/>
      <c r="H37" s="36"/>
      <c r="I37" s="36"/>
      <c r="J37" s="36"/>
      <c r="K37" s="36"/>
      <c r="L37" s="9"/>
      <c r="M37" s="35" t="s">
        <v>1063</v>
      </c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9"/>
      <c r="AE37" s="35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9"/>
      <c r="AR37" s="8"/>
    </row>
    <row r="38" spans="1:44" s="3" customFormat="1" ht="10.8">
      <c r="A38" s="5"/>
      <c r="C38" s="44" t="s">
        <v>104</v>
      </c>
      <c r="D38" s="43"/>
      <c r="E38" s="43"/>
      <c r="F38" s="43"/>
      <c r="G38" s="43"/>
      <c r="H38" s="43"/>
      <c r="I38" s="43"/>
      <c r="J38" s="43"/>
      <c r="K38" s="43"/>
      <c r="L38" s="45"/>
      <c r="M38" s="3" t="s">
        <v>1066</v>
      </c>
      <c r="N38" s="43"/>
      <c r="O38" s="43"/>
      <c r="P38" s="43"/>
      <c r="Q38" s="43"/>
      <c r="R38" s="43"/>
      <c r="S38" s="46"/>
      <c r="T38" s="46"/>
      <c r="U38" s="46"/>
      <c r="V38" s="46"/>
      <c r="W38" s="46"/>
      <c r="X38" s="46"/>
      <c r="Y38" s="46"/>
      <c r="Z38" s="46"/>
      <c r="AA38" s="46"/>
      <c r="AB38" s="43"/>
      <c r="AC38" s="43"/>
      <c r="AD38" s="45"/>
      <c r="AE38" s="44" t="s">
        <v>138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5"/>
      <c r="AR38" s="8"/>
    </row>
    <row r="39" spans="1:44" s="3" customFormat="1" ht="10.8">
      <c r="A39" s="5"/>
      <c r="C39" s="5"/>
      <c r="D39" s="67"/>
      <c r="E39" s="67"/>
      <c r="F39" s="67"/>
      <c r="G39" s="67"/>
      <c r="H39" s="67"/>
      <c r="I39" s="67"/>
      <c r="J39" s="67"/>
      <c r="K39" s="67"/>
      <c r="L39" s="67"/>
      <c r="M39" s="5" t="s">
        <v>1152</v>
      </c>
      <c r="N39" s="67"/>
      <c r="O39" s="67"/>
      <c r="P39" s="67"/>
      <c r="Q39" s="67"/>
      <c r="R39" s="67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67"/>
      <c r="AD39" s="8"/>
      <c r="AE39" s="5" t="s">
        <v>1064</v>
      </c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8"/>
      <c r="AR39" s="8"/>
    </row>
    <row r="40" spans="1:44" s="3" customFormat="1" ht="10.8">
      <c r="A40" s="5"/>
      <c r="C40" s="5"/>
      <c r="D40" s="67"/>
      <c r="E40" s="67"/>
      <c r="F40" s="67"/>
      <c r="G40" s="67"/>
      <c r="H40" s="67"/>
      <c r="I40" s="67"/>
      <c r="J40" s="67"/>
      <c r="K40" s="67"/>
      <c r="L40" s="8"/>
      <c r="M40" s="35"/>
      <c r="N40" s="67"/>
      <c r="O40" s="67"/>
      <c r="P40" s="67"/>
      <c r="Q40" s="67"/>
      <c r="R40" s="67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67"/>
      <c r="AD40" s="8"/>
      <c r="AE40" s="5" t="s">
        <v>1065</v>
      </c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8"/>
      <c r="AR40" s="8"/>
    </row>
    <row r="41" spans="1:44" s="3" customFormat="1" ht="10.8">
      <c r="A41" s="5"/>
      <c r="C41" s="44" t="s">
        <v>103</v>
      </c>
      <c r="D41" s="43"/>
      <c r="E41" s="43"/>
      <c r="F41" s="43"/>
      <c r="G41" s="43"/>
      <c r="H41" s="43"/>
      <c r="I41" s="43"/>
      <c r="J41" s="43"/>
      <c r="K41" s="43"/>
      <c r="L41" s="45"/>
      <c r="M41" s="44" t="s">
        <v>1066</v>
      </c>
      <c r="N41" s="43"/>
      <c r="O41" s="43"/>
      <c r="P41" s="43"/>
      <c r="Q41" s="43"/>
      <c r="R41" s="43"/>
      <c r="S41" s="46"/>
      <c r="T41" s="46"/>
      <c r="U41" s="46"/>
      <c r="V41" s="46"/>
      <c r="W41" s="46"/>
      <c r="X41" s="46"/>
      <c r="Y41" s="46"/>
      <c r="Z41" s="46"/>
      <c r="AA41" s="46"/>
      <c r="AB41" s="43"/>
      <c r="AC41" s="43"/>
      <c r="AD41" s="45"/>
      <c r="AE41" s="44" t="s">
        <v>139</v>
      </c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5"/>
      <c r="AR41" s="8"/>
    </row>
    <row r="42" spans="1:44" s="3" customFormat="1" ht="10.8">
      <c r="A42" s="5"/>
      <c r="C42" s="35"/>
      <c r="D42" s="36"/>
      <c r="E42" s="36"/>
      <c r="F42" s="36"/>
      <c r="G42" s="36"/>
      <c r="H42" s="36"/>
      <c r="I42" s="36"/>
      <c r="J42" s="36"/>
      <c r="K42" s="36"/>
      <c r="L42" s="9"/>
      <c r="M42" s="35" t="s">
        <v>1133</v>
      </c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9"/>
      <c r="AE42" s="35" t="s">
        <v>975</v>
      </c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9"/>
      <c r="AR42" s="8"/>
    </row>
    <row r="43" spans="1:44" s="3" customFormat="1" ht="10.8">
      <c r="A43" s="5"/>
      <c r="AR43" s="8"/>
    </row>
    <row r="44" spans="1:44" s="3" customFormat="1" ht="10.8">
      <c r="A44" s="5"/>
      <c r="C44" s="3" t="s">
        <v>1083</v>
      </c>
      <c r="AR44" s="8"/>
    </row>
    <row r="45" spans="1:44" s="3" customFormat="1" ht="10.8">
      <c r="A45" s="5"/>
      <c r="D45" s="289" t="s">
        <v>1076</v>
      </c>
      <c r="E45" s="289"/>
      <c r="F45" s="289"/>
      <c r="G45" s="289"/>
      <c r="AR45" s="8"/>
    </row>
    <row r="46" spans="1:44" s="3" customFormat="1" ht="10.8">
      <c r="A46" s="5"/>
      <c r="D46" s="167">
        <v>0</v>
      </c>
      <c r="E46" s="288" t="s">
        <v>1077</v>
      </c>
      <c r="F46" s="288"/>
      <c r="G46" s="288"/>
      <c r="AR46" s="8"/>
    </row>
    <row r="47" spans="1:44" s="3" customFormat="1" ht="10.8">
      <c r="A47" s="5"/>
      <c r="D47" s="167">
        <v>1</v>
      </c>
      <c r="E47" s="288" t="s">
        <v>1078</v>
      </c>
      <c r="F47" s="288"/>
      <c r="G47" s="288"/>
      <c r="AR47" s="8"/>
    </row>
    <row r="48" spans="1:44" s="3" customFormat="1" ht="10.8">
      <c r="A48" s="5"/>
      <c r="D48" s="167">
        <v>2</v>
      </c>
      <c r="E48" s="288" t="s">
        <v>1079</v>
      </c>
      <c r="F48" s="288"/>
      <c r="G48" s="288"/>
      <c r="AR48" s="8"/>
    </row>
    <row r="49" spans="1:44" s="3" customFormat="1" ht="10.8">
      <c r="A49" s="5"/>
      <c r="D49" s="167">
        <v>3</v>
      </c>
      <c r="E49" s="288" t="s">
        <v>1080</v>
      </c>
      <c r="F49" s="288"/>
      <c r="G49" s="288"/>
      <c r="AR49" s="8"/>
    </row>
    <row r="50" spans="1:44" s="3" customFormat="1" ht="10.8">
      <c r="A50" s="5"/>
      <c r="D50" s="167">
        <v>4</v>
      </c>
      <c r="E50" s="288" t="s">
        <v>1081</v>
      </c>
      <c r="F50" s="288"/>
      <c r="G50" s="288"/>
      <c r="AR50" s="8"/>
    </row>
    <row r="51" spans="1:44" s="3" customFormat="1" ht="10.8">
      <c r="A51" s="5"/>
      <c r="D51" s="167">
        <v>5</v>
      </c>
      <c r="E51" s="288" t="s">
        <v>1082</v>
      </c>
      <c r="F51" s="288"/>
      <c r="G51" s="288"/>
      <c r="AR51" s="8"/>
    </row>
    <row r="52" spans="1:44" s="3" customFormat="1" ht="10.8">
      <c r="A52" s="5"/>
      <c r="AR52" s="8"/>
    </row>
    <row r="53" spans="1:44" s="3" customFormat="1" ht="10.8">
      <c r="A53" s="44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5"/>
    </row>
    <row r="54" spans="1:44" s="3" customFormat="1" ht="10.8">
      <c r="A54" s="5"/>
      <c r="AR54" s="8"/>
    </row>
    <row r="55" spans="1:44" s="3" customFormat="1" ht="10.8">
      <c r="A55" s="5"/>
      <c r="B55" s="37" t="s">
        <v>35</v>
      </c>
      <c r="AR55" s="8"/>
    </row>
    <row r="56" spans="1:44" s="3" customFormat="1" ht="10.8">
      <c r="A56" s="5"/>
      <c r="AR56" s="8"/>
    </row>
    <row r="57" spans="1:44" s="3" customFormat="1" ht="10.8">
      <c r="A57" s="5"/>
      <c r="C57" s="3" t="s">
        <v>978</v>
      </c>
      <c r="AR57" s="8"/>
    </row>
    <row r="58" spans="1:44" s="3" customFormat="1" ht="10.8">
      <c r="A58" s="5"/>
      <c r="AR58" s="8"/>
    </row>
    <row r="59" spans="1:44" s="3" customFormat="1" ht="10.8">
      <c r="A59" s="5"/>
      <c r="D59" s="3" t="s">
        <v>1112</v>
      </c>
      <c r="AR59" s="8"/>
    </row>
    <row r="60" spans="1:44" s="3" customFormat="1" ht="10.8">
      <c r="A60" s="5"/>
      <c r="D60" s="3" t="s">
        <v>1113</v>
      </c>
      <c r="AR60" s="8"/>
    </row>
    <row r="61" spans="1:44" s="3" customFormat="1" ht="10.8">
      <c r="A61" s="5"/>
      <c r="AR61" s="8"/>
    </row>
    <row r="62" spans="1:44" s="3" customFormat="1" ht="10.8">
      <c r="A62" s="5"/>
      <c r="AR62" s="8"/>
    </row>
    <row r="63" spans="1:44" s="3" customFormat="1" ht="10.8">
      <c r="A63" s="5"/>
      <c r="C63" s="3" t="s">
        <v>979</v>
      </c>
      <c r="AR63" s="8"/>
    </row>
    <row r="64" spans="1:44" s="3" customFormat="1" ht="10.8">
      <c r="A64" s="5"/>
      <c r="AR64" s="8"/>
    </row>
    <row r="65" spans="1:44" s="3" customFormat="1" ht="10.8">
      <c r="A65" s="5"/>
      <c r="D65" s="3" t="s">
        <v>981</v>
      </c>
      <c r="AR65" s="8"/>
    </row>
    <row r="66" spans="1:44" s="3" customFormat="1" ht="10.8">
      <c r="A66" s="5"/>
      <c r="AR66" s="8"/>
    </row>
    <row r="67" spans="1:44" s="3" customFormat="1" ht="10.8">
      <c r="A67" s="5"/>
      <c r="D67" s="3" t="s">
        <v>71</v>
      </c>
      <c r="AR67" s="8"/>
    </row>
    <row r="68" spans="1:44" s="3" customFormat="1" ht="10.8">
      <c r="A68" s="5"/>
      <c r="E68" s="3" t="s">
        <v>1088</v>
      </c>
      <c r="AR68" s="8"/>
    </row>
    <row r="69" spans="1:44" s="3" customFormat="1" ht="10.8">
      <c r="A69" s="5"/>
      <c r="E69" s="3" t="s">
        <v>1089</v>
      </c>
      <c r="AR69" s="8"/>
    </row>
    <row r="70" spans="1:44" s="148" customFormat="1" ht="10.8">
      <c r="A70" s="147"/>
      <c r="E70" s="148" t="s">
        <v>1084</v>
      </c>
      <c r="AR70" s="149"/>
    </row>
    <row r="71" spans="1:44" s="3" customFormat="1" ht="10.8">
      <c r="A71" s="5"/>
      <c r="AR71" s="8"/>
    </row>
    <row r="72" spans="1:44" s="3" customFormat="1" ht="12" customHeight="1">
      <c r="A72" s="5"/>
      <c r="D72" s="3" t="s">
        <v>141</v>
      </c>
      <c r="AR72" s="8"/>
    </row>
    <row r="73" spans="1:44" s="3" customFormat="1" ht="12" customHeight="1">
      <c r="A73" s="5"/>
      <c r="AR73" s="8"/>
    </row>
    <row r="74" spans="1:44" s="3" customFormat="1" ht="12" customHeight="1">
      <c r="A74" s="5"/>
      <c r="E74" s="139" t="s">
        <v>1045</v>
      </c>
      <c r="F74" s="3" t="s">
        <v>1046</v>
      </c>
      <c r="AR74" s="8"/>
    </row>
    <row r="75" spans="1:44" s="3" customFormat="1" ht="10.8">
      <c r="A75" s="5"/>
      <c r="F75" s="3" t="s">
        <v>1067</v>
      </c>
      <c r="AR75" s="8"/>
    </row>
    <row r="76" spans="1:44" s="3" customFormat="1" ht="10.8">
      <c r="A76" s="5"/>
      <c r="AR76" s="8"/>
    </row>
    <row r="77" spans="1:44" s="3" customFormat="1" ht="10.8">
      <c r="A77" s="5"/>
      <c r="E77" s="139" t="s">
        <v>1047</v>
      </c>
      <c r="F77" s="3" t="s">
        <v>1048</v>
      </c>
      <c r="AR77" s="8"/>
    </row>
    <row r="78" spans="1:44" s="3" customFormat="1" ht="10.8">
      <c r="A78" s="5"/>
      <c r="F78" s="3" t="s">
        <v>1068</v>
      </c>
      <c r="AR78" s="8"/>
    </row>
    <row r="79" spans="1:44" s="3" customFormat="1" ht="10.8">
      <c r="A79" s="5"/>
      <c r="AR79" s="8"/>
    </row>
    <row r="80" spans="1:44" s="3" customFormat="1" ht="10.8">
      <c r="A80" s="5"/>
      <c r="E80" s="139" t="s">
        <v>1049</v>
      </c>
      <c r="F80" s="3" t="s">
        <v>1050</v>
      </c>
      <c r="AR80" s="8"/>
    </row>
    <row r="81" spans="1:44" s="148" customFormat="1" ht="12" customHeight="1">
      <c r="A81" s="147"/>
      <c r="F81" s="148" t="s">
        <v>1085</v>
      </c>
      <c r="AR81" s="149"/>
    </row>
    <row r="82" spans="1:44" s="3" customFormat="1" ht="12" customHeight="1">
      <c r="A82" s="5"/>
      <c r="G82" s="3" t="s">
        <v>99</v>
      </c>
      <c r="AR82" s="8"/>
    </row>
    <row r="83" spans="1:44" s="3" customFormat="1" ht="12" customHeight="1">
      <c r="A83" s="5"/>
      <c r="G83" s="3" t="s">
        <v>852</v>
      </c>
      <c r="AR83" s="8"/>
    </row>
    <row r="84" spans="1:44" s="3" customFormat="1" ht="12" customHeight="1">
      <c r="A84" s="5"/>
      <c r="AR84" s="8"/>
    </row>
    <row r="85" spans="1:44" s="3" customFormat="1" ht="12" customHeight="1">
      <c r="A85" s="5"/>
      <c r="C85" s="3" t="s">
        <v>980</v>
      </c>
      <c r="AR85" s="8"/>
    </row>
    <row r="86" spans="1:44" s="3" customFormat="1" ht="12" customHeight="1">
      <c r="A86" s="5"/>
      <c r="AR86" s="8"/>
    </row>
    <row r="87" spans="1:44" s="3" customFormat="1" ht="12" customHeight="1">
      <c r="A87" s="5"/>
      <c r="D87" s="3" t="s">
        <v>1138</v>
      </c>
      <c r="AR87" s="8"/>
    </row>
    <row r="88" spans="1:44" s="3" customFormat="1" ht="12" customHeight="1">
      <c r="A88" s="5"/>
      <c r="AR88" s="8"/>
    </row>
    <row r="89" spans="1:44" s="3" customFormat="1" ht="12" customHeight="1">
      <c r="A89" s="5"/>
      <c r="E89" s="3" t="s">
        <v>1127</v>
      </c>
      <c r="AR89" s="8"/>
    </row>
    <row r="90" spans="1:44" s="3" customFormat="1" ht="12" customHeight="1">
      <c r="A90" s="5"/>
      <c r="E90" s="3" t="s">
        <v>71</v>
      </c>
      <c r="AR90" s="8"/>
    </row>
    <row r="91" spans="1:44" s="148" customFormat="1" ht="12" customHeight="1">
      <c r="A91" s="147"/>
      <c r="F91" s="148" t="s">
        <v>1140</v>
      </c>
      <c r="AR91" s="149"/>
    </row>
    <row r="92" spans="1:44" s="148" customFormat="1" ht="12" customHeight="1">
      <c r="A92" s="147"/>
      <c r="F92" s="148" t="s">
        <v>1141</v>
      </c>
      <c r="AR92" s="149"/>
    </row>
    <row r="93" spans="1:44" s="148" customFormat="1" ht="12" customHeight="1">
      <c r="A93" s="147"/>
      <c r="F93" s="148" t="s">
        <v>1142</v>
      </c>
      <c r="AR93" s="149"/>
    </row>
    <row r="94" spans="1:44" s="148" customFormat="1" ht="12" customHeight="1">
      <c r="A94" s="147"/>
      <c r="F94" s="148" t="s">
        <v>1143</v>
      </c>
      <c r="AR94" s="149"/>
    </row>
    <row r="95" spans="1:44" s="148" customFormat="1" ht="12" customHeight="1">
      <c r="A95" s="147"/>
      <c r="F95" s="148" t="s">
        <v>1144</v>
      </c>
      <c r="AR95" s="149"/>
    </row>
    <row r="96" spans="1:44" s="148" customFormat="1" ht="12" customHeight="1">
      <c r="A96" s="147"/>
      <c r="F96" s="148" t="s">
        <v>1145</v>
      </c>
      <c r="AR96" s="149"/>
    </row>
    <row r="97" spans="1:44" s="3" customFormat="1" ht="12" customHeight="1">
      <c r="A97" s="5"/>
      <c r="AR97" s="8"/>
    </row>
    <row r="98" spans="1:44" s="3" customFormat="1" ht="12" customHeight="1">
      <c r="A98" s="5"/>
      <c r="E98" s="3" t="s">
        <v>993</v>
      </c>
      <c r="AR98" s="8"/>
    </row>
    <row r="99" spans="1:44" s="3" customFormat="1" ht="12" customHeight="1">
      <c r="A99" s="5"/>
      <c r="E99" s="3" t="s">
        <v>1126</v>
      </c>
      <c r="AR99" s="8"/>
    </row>
    <row r="100" spans="1:44" s="3" customFormat="1" ht="12" customHeight="1">
      <c r="A100" s="5"/>
      <c r="AR100" s="8"/>
    </row>
    <row r="101" spans="1:44" s="3" customFormat="1" ht="12" customHeight="1">
      <c r="A101" s="5"/>
      <c r="E101" s="3" t="s">
        <v>1130</v>
      </c>
      <c r="AR101" s="8"/>
    </row>
    <row r="102" spans="1:44" s="3" customFormat="1" ht="12" customHeight="1">
      <c r="A102" s="5"/>
      <c r="E102" s="3" t="s">
        <v>71</v>
      </c>
      <c r="AR102" s="8"/>
    </row>
    <row r="103" spans="1:44" s="3" customFormat="1" ht="12" customHeight="1">
      <c r="A103" s="5"/>
      <c r="F103" s="3" t="s">
        <v>1128</v>
      </c>
      <c r="AR103" s="8"/>
    </row>
    <row r="104" spans="1:44" s="3" customFormat="1" ht="12" customHeight="1">
      <c r="A104" s="5"/>
      <c r="AR104" s="8"/>
    </row>
    <row r="105" spans="1:44" s="3" customFormat="1" ht="12" customHeight="1">
      <c r="A105" s="5"/>
      <c r="E105" s="3" t="s">
        <v>1131</v>
      </c>
      <c r="AR105" s="8"/>
    </row>
    <row r="106" spans="1:44" s="3" customFormat="1" ht="12" customHeight="1">
      <c r="A106" s="5"/>
      <c r="E106" s="3" t="s">
        <v>1129</v>
      </c>
      <c r="AR106" s="8"/>
    </row>
    <row r="107" spans="1:44" s="3" customFormat="1" ht="12" customHeight="1">
      <c r="A107" s="5"/>
      <c r="AR107" s="8"/>
    </row>
    <row r="108" spans="1:44" s="2" customFormat="1" ht="12"/>
    <row r="109" spans="1:44" s="2" customFormat="1" ht="12"/>
    <row r="110" spans="1:44" s="2" customFormat="1" ht="12"/>
    <row r="111" spans="1:44" s="2" customFormat="1" ht="12"/>
    <row r="112" spans="1:44" s="2" customFormat="1" ht="12"/>
    <row r="113" spans="1:44" s="2" customFormat="1" ht="12"/>
    <row r="114" spans="1:44" s="2" customFormat="1" ht="12"/>
    <row r="115" spans="1:44" s="2" customFormat="1" ht="12"/>
    <row r="116" spans="1:44" s="2" customFormat="1" ht="12"/>
    <row r="117" spans="1:44" s="2" customFormat="1" ht="12"/>
    <row r="118" spans="1:44" s="2" customFormat="1" ht="12"/>
    <row r="119" spans="1:44" s="2" customFormat="1" ht="12"/>
    <row r="120" spans="1:44" s="2" customFormat="1" ht="12"/>
    <row r="121" spans="1:4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</sheetData>
  <mergeCells count="23">
    <mergeCell ref="E49:G49"/>
    <mergeCell ref="E50:G50"/>
    <mergeCell ref="E51:G51"/>
    <mergeCell ref="D45:G45"/>
    <mergeCell ref="E46:G46"/>
    <mergeCell ref="E47:G47"/>
    <mergeCell ref="E48:G48"/>
    <mergeCell ref="A1:D4"/>
    <mergeCell ref="E1:N4"/>
    <mergeCell ref="AP1:AR2"/>
    <mergeCell ref="O3:W4"/>
    <mergeCell ref="X3:AB4"/>
    <mergeCell ref="AC3:AF4"/>
    <mergeCell ref="AG3:AI4"/>
    <mergeCell ref="AJ3:AL4"/>
    <mergeCell ref="AM3:AO4"/>
    <mergeCell ref="AP3:AR4"/>
    <mergeCell ref="O1:W2"/>
    <mergeCell ref="X1:AB2"/>
    <mergeCell ref="AC1:AF2"/>
    <mergeCell ref="AG1:AI2"/>
    <mergeCell ref="AJ1:AL2"/>
    <mergeCell ref="AM1:AO2"/>
  </mergeCells>
  <phoneticPr fontId="3"/>
  <pageMargins left="0.39370078740157483" right="0.39370078740157483" top="0.78740157480314965" bottom="0.78740157480314965" header="0.59055118110236227" footer="0.59055118110236227"/>
  <pageSetup paperSize="9" scale="67" orientation="landscape" r:id="rId1"/>
  <headerFooter alignWithMargins="0">
    <oddFooter>&amp;C&amp;P / &amp;N ページ&amp;RCopyright  ©　富士通株式会社　2017</oddFooter>
  </headerFooter>
  <rowBreaks count="1" manualBreakCount="1">
    <brk id="52" max="4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1705-C55C-41B6-BFDD-D0AB3910DDD4}">
  <sheetPr>
    <pageSetUpPr fitToPage="1"/>
  </sheetPr>
  <dimension ref="A1:M18"/>
  <sheetViews>
    <sheetView view="pageBreakPreview" zoomScale="85" zoomScaleNormal="100" zoomScaleSheetLayoutView="85" workbookViewId="0">
      <pane ySplit="9" topLeftCell="A10" activePane="bottomLeft" state="frozen"/>
      <selection activeCell="AB31" sqref="AB31"/>
      <selection pane="bottomLeft" activeCell="A10" sqref="A10"/>
    </sheetView>
  </sheetViews>
  <sheetFormatPr defaultColWidth="7.6640625" defaultRowHeight="13.2"/>
  <cols>
    <col min="1" max="1" width="3" style="1" customWidth="1"/>
    <col min="2" max="2" width="9.33203125" style="1" customWidth="1"/>
    <col min="3" max="3" width="20.88671875" style="1" bestFit="1" customWidth="1"/>
    <col min="4" max="4" width="24.109375" style="1" bestFit="1" customWidth="1"/>
    <col min="5" max="5" width="9.44140625" style="1" customWidth="1"/>
    <col min="6" max="7" width="6.109375" style="1" customWidth="1"/>
    <col min="8" max="8" width="6.33203125" style="1" customWidth="1"/>
    <col min="9" max="9" width="6.109375" style="1" customWidth="1"/>
    <col min="10" max="10" width="8.109375" style="1" customWidth="1"/>
    <col min="11" max="11" width="6.88671875" style="1" customWidth="1"/>
    <col min="12" max="12" width="6.109375" style="1" customWidth="1"/>
    <col min="13" max="13" width="33.33203125" style="1" customWidth="1"/>
    <col min="14" max="14" width="7.6640625" style="1" customWidth="1"/>
    <col min="15" max="16384" width="7.6640625" style="1"/>
  </cols>
  <sheetData>
    <row r="1" spans="1:13">
      <c r="A1" s="82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3">
      <c r="A2" s="31"/>
      <c r="M2" s="32"/>
    </row>
    <row r="3" spans="1:13">
      <c r="A3" s="31"/>
      <c r="M3" s="32"/>
    </row>
    <row r="4" spans="1:13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7"/>
    </row>
    <row r="5" spans="1:13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90"/>
    </row>
    <row r="6" spans="1:13">
      <c r="A6" s="11" t="s">
        <v>636</v>
      </c>
      <c r="B6" s="4" t="s">
        <v>990</v>
      </c>
      <c r="C6" s="3"/>
      <c r="D6" s="3"/>
      <c r="E6" s="290" t="s">
        <v>637</v>
      </c>
      <c r="F6" s="291"/>
      <c r="G6" s="91">
        <v>4143</v>
      </c>
      <c r="H6" s="290" t="s">
        <v>638</v>
      </c>
      <c r="I6" s="291"/>
      <c r="J6" s="91" t="s">
        <v>639</v>
      </c>
      <c r="K6" s="3"/>
      <c r="L6" s="3"/>
      <c r="M6" s="8"/>
    </row>
    <row r="7" spans="1:13">
      <c r="A7" s="5" t="s">
        <v>1074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8"/>
    </row>
    <row r="8" spans="1:13">
      <c r="A8" s="92"/>
      <c r="B8" s="92" t="s">
        <v>640</v>
      </c>
      <c r="C8" s="93"/>
      <c r="D8" s="93"/>
      <c r="E8" s="93"/>
      <c r="F8" s="93"/>
      <c r="G8" s="93"/>
      <c r="H8" s="92" t="s">
        <v>641</v>
      </c>
      <c r="I8" s="94" t="s">
        <v>642</v>
      </c>
      <c r="J8" s="94" t="s">
        <v>875</v>
      </c>
      <c r="K8" s="292" t="s">
        <v>643</v>
      </c>
      <c r="L8" s="92" t="s">
        <v>644</v>
      </c>
      <c r="M8" s="95"/>
    </row>
    <row r="9" spans="1:13">
      <c r="A9" s="96" t="s">
        <v>38</v>
      </c>
      <c r="B9" s="96" t="s">
        <v>645</v>
      </c>
      <c r="C9" s="96" t="s">
        <v>646</v>
      </c>
      <c r="D9" s="96" t="s">
        <v>647</v>
      </c>
      <c r="E9" s="96" t="s">
        <v>638</v>
      </c>
      <c r="F9" s="96" t="s">
        <v>648</v>
      </c>
      <c r="G9" s="96" t="s">
        <v>649</v>
      </c>
      <c r="H9" s="96" t="s">
        <v>649</v>
      </c>
      <c r="I9" s="97" t="s">
        <v>650</v>
      </c>
      <c r="J9" s="97" t="s">
        <v>651</v>
      </c>
      <c r="K9" s="293"/>
      <c r="L9" s="96" t="s">
        <v>652</v>
      </c>
      <c r="M9" s="96" t="s">
        <v>653</v>
      </c>
    </row>
    <row r="10" spans="1:13">
      <c r="A10" s="98">
        <f>ROW()-9</f>
        <v>1</v>
      </c>
      <c r="B10" s="91"/>
      <c r="C10" s="98" t="s">
        <v>984</v>
      </c>
      <c r="D10" s="98" t="s">
        <v>88</v>
      </c>
      <c r="E10" s="99"/>
      <c r="F10" s="91" t="s">
        <v>656</v>
      </c>
      <c r="G10" s="91">
        <v>10</v>
      </c>
      <c r="H10" s="91"/>
      <c r="I10" s="91"/>
      <c r="J10" s="91"/>
      <c r="K10" s="99"/>
      <c r="L10" s="91">
        <v>1</v>
      </c>
      <c r="M10" s="100"/>
    </row>
    <row r="11" spans="1:13">
      <c r="A11" s="98">
        <f t="shared" ref="A11:A18" si="0">ROW()-9</f>
        <v>2</v>
      </c>
      <c r="B11" s="91"/>
      <c r="C11" s="12" t="s">
        <v>989</v>
      </c>
      <c r="D11" s="12" t="s">
        <v>120</v>
      </c>
      <c r="E11" s="99"/>
      <c r="F11" s="91" t="s">
        <v>98</v>
      </c>
      <c r="G11" s="91">
        <v>1</v>
      </c>
      <c r="H11" s="91"/>
      <c r="I11" s="91"/>
      <c r="J11" s="91"/>
      <c r="K11" s="99"/>
      <c r="L11" s="91">
        <v>11</v>
      </c>
      <c r="M11" s="101"/>
    </row>
    <row r="12" spans="1:13">
      <c r="A12" s="98">
        <f t="shared" si="0"/>
        <v>3</v>
      </c>
      <c r="B12" s="91"/>
      <c r="C12" s="12" t="s">
        <v>1092</v>
      </c>
      <c r="D12" s="12" t="s">
        <v>124</v>
      </c>
      <c r="E12" s="99"/>
      <c r="F12" s="91" t="s">
        <v>656</v>
      </c>
      <c r="G12" s="91">
        <v>100</v>
      </c>
      <c r="H12" s="91"/>
      <c r="I12" s="91"/>
      <c r="J12" s="91"/>
      <c r="K12" s="99"/>
      <c r="L12" s="91">
        <v>12</v>
      </c>
      <c r="M12" s="101"/>
    </row>
    <row r="13" spans="1:13">
      <c r="A13" s="98">
        <f t="shared" si="0"/>
        <v>4</v>
      </c>
      <c r="B13" s="91"/>
      <c r="C13" s="12" t="s">
        <v>985</v>
      </c>
      <c r="D13" s="12" t="s">
        <v>986</v>
      </c>
      <c r="E13" s="99"/>
      <c r="F13" s="91" t="s">
        <v>656</v>
      </c>
      <c r="G13" s="91">
        <v>10</v>
      </c>
      <c r="H13" s="91"/>
      <c r="I13" s="91"/>
      <c r="J13" s="91"/>
      <c r="K13" s="99"/>
      <c r="L13" s="91">
        <v>112</v>
      </c>
      <c r="M13" s="101"/>
    </row>
    <row r="14" spans="1:13">
      <c r="A14" s="98">
        <f t="shared" si="0"/>
        <v>5</v>
      </c>
      <c r="B14" s="91"/>
      <c r="C14" s="12" t="s">
        <v>86</v>
      </c>
      <c r="D14" s="12" t="s">
        <v>94</v>
      </c>
      <c r="E14" s="99"/>
      <c r="F14" s="91" t="s">
        <v>98</v>
      </c>
      <c r="G14" s="91">
        <v>1</v>
      </c>
      <c r="H14" s="91"/>
      <c r="I14" s="91"/>
      <c r="J14" s="91"/>
      <c r="K14" s="99"/>
      <c r="L14" s="91">
        <v>122</v>
      </c>
      <c r="M14" s="101"/>
    </row>
    <row r="15" spans="1:13">
      <c r="A15" s="98">
        <f t="shared" si="0"/>
        <v>6</v>
      </c>
      <c r="B15" s="91"/>
      <c r="C15" s="12" t="s">
        <v>49</v>
      </c>
      <c r="D15" s="12" t="s">
        <v>50</v>
      </c>
      <c r="E15" s="99"/>
      <c r="F15" s="91" t="s">
        <v>98</v>
      </c>
      <c r="G15" s="91">
        <v>1</v>
      </c>
      <c r="H15" s="91"/>
      <c r="I15" s="91"/>
      <c r="J15" s="91"/>
      <c r="K15" s="99"/>
      <c r="L15" s="91">
        <v>123</v>
      </c>
      <c r="M15" s="101"/>
    </row>
    <row r="16" spans="1:13">
      <c r="A16" s="98">
        <f t="shared" si="0"/>
        <v>7</v>
      </c>
      <c r="B16" s="91"/>
      <c r="C16" s="12" t="s">
        <v>987</v>
      </c>
      <c r="D16" s="12" t="s">
        <v>988</v>
      </c>
      <c r="E16" s="99"/>
      <c r="F16" s="91" t="s">
        <v>656</v>
      </c>
      <c r="G16" s="91">
        <v>10</v>
      </c>
      <c r="H16" s="91"/>
      <c r="I16" s="91"/>
      <c r="J16" s="91"/>
      <c r="K16" s="99"/>
      <c r="L16" s="91">
        <v>124</v>
      </c>
      <c r="M16" s="101"/>
    </row>
    <row r="17" spans="1:13">
      <c r="A17" s="98">
        <f t="shared" si="0"/>
        <v>8</v>
      </c>
      <c r="B17" s="91"/>
      <c r="C17" s="12" t="s">
        <v>75</v>
      </c>
      <c r="D17" s="12" t="s">
        <v>78</v>
      </c>
      <c r="E17" s="99"/>
      <c r="F17" s="91" t="s">
        <v>656</v>
      </c>
      <c r="G17" s="91">
        <v>4000</v>
      </c>
      <c r="H17" s="91"/>
      <c r="I17" s="91"/>
      <c r="J17" s="91"/>
      <c r="K17" s="99"/>
      <c r="L17" s="91">
        <v>134</v>
      </c>
      <c r="M17" s="101"/>
    </row>
    <row r="18" spans="1:13">
      <c r="A18" s="98">
        <f t="shared" si="0"/>
        <v>9</v>
      </c>
      <c r="B18" s="91"/>
      <c r="C18" s="12" t="s">
        <v>991</v>
      </c>
      <c r="D18" s="12" t="s">
        <v>95</v>
      </c>
      <c r="E18" s="99"/>
      <c r="F18" s="91" t="s">
        <v>98</v>
      </c>
      <c r="G18" s="91">
        <v>10</v>
      </c>
      <c r="H18" s="91">
        <v>0</v>
      </c>
      <c r="I18" s="91"/>
      <c r="J18" s="91"/>
      <c r="K18" s="99"/>
      <c r="L18" s="91">
        <v>4134</v>
      </c>
      <c r="M18" s="101"/>
    </row>
  </sheetData>
  <mergeCells count="3">
    <mergeCell ref="E6:F6"/>
    <mergeCell ref="H6:I6"/>
    <mergeCell ref="K8:K9"/>
  </mergeCells>
  <phoneticPr fontId="3"/>
  <dataValidations count="4">
    <dataValidation type="list" allowBlank="1" showInputMessage="1" showErrorMessage="1" sqref="K10:K18 I10:I18" xr:uid="{69F9BFB0-95B0-4DFB-BE43-6F699E11777C}">
      <formula1>"有,無"</formula1>
    </dataValidation>
    <dataValidation type="list" allowBlank="1" showInputMessage="1" showErrorMessage="1" sqref="J10:J18" xr:uid="{63F166D0-078A-47EE-8370-5C084696BC38}">
      <formula1>"PAC,UNPAC"</formula1>
    </dataValidation>
    <dataValidation type="list" allowBlank="1" showInputMessage="1" showErrorMessage="1" sqref="F10:F18" xr:uid="{32FD44D1-0DCC-4872-BE42-A1BABDEF8DB5}">
      <formula1>"文字,数値"</formula1>
    </dataValidation>
    <dataValidation type="list" allowBlank="1" showInputMessage="1" showErrorMessage="1" sqref="J6 E10:E18" xr:uid="{EC59F2D6-046B-4EA7-8859-9951771DFB24}">
      <formula1>"SJIS,IBM,JIPS_E,JIS"</formula1>
    </dataValidation>
  </dataValidations>
  <pageMargins left="0.39370078740157483" right="0.39370078740157483" top="0.78740157480314965" bottom="0.78740157480314965" header="0.59055118110236227" footer="0.59055118110236227"/>
  <pageSetup paperSize="9" scale="97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FEFE-6A65-4B86-B3AE-87BC3E4BDC35}">
  <sheetPr>
    <pageSetUpPr fitToPage="1"/>
  </sheetPr>
  <dimension ref="A1:M77"/>
  <sheetViews>
    <sheetView view="pageBreakPreview" zoomScale="85" zoomScaleNormal="100" zoomScaleSheetLayoutView="85" workbookViewId="0">
      <pane ySplit="9" topLeftCell="A10" activePane="bottomLeft" state="frozen"/>
      <selection activeCell="AB31" sqref="AB31"/>
      <selection pane="bottomLeft" activeCell="A10" sqref="A10"/>
    </sheetView>
  </sheetViews>
  <sheetFormatPr defaultColWidth="7.6640625" defaultRowHeight="13.2"/>
  <cols>
    <col min="1" max="1" width="3.109375" style="1" customWidth="1"/>
    <col min="2" max="2" width="9.33203125" style="1" customWidth="1"/>
    <col min="3" max="3" width="20.88671875" style="1" bestFit="1" customWidth="1"/>
    <col min="4" max="4" width="24.109375" style="1" bestFit="1" customWidth="1"/>
    <col min="5" max="5" width="9.44140625" style="1" customWidth="1"/>
    <col min="6" max="7" width="6.109375" style="1" customWidth="1"/>
    <col min="8" max="8" width="6.33203125" style="1" customWidth="1"/>
    <col min="9" max="9" width="6.109375" style="1" customWidth="1"/>
    <col min="10" max="10" width="8.109375" style="1" customWidth="1"/>
    <col min="11" max="11" width="6.88671875" style="1" customWidth="1"/>
    <col min="12" max="12" width="6.109375" style="1" customWidth="1"/>
    <col min="13" max="13" width="33.33203125" style="1" customWidth="1"/>
    <col min="14" max="14" width="7.6640625" style="1" customWidth="1"/>
    <col min="15" max="16384" width="7.6640625" style="1"/>
  </cols>
  <sheetData>
    <row r="1" spans="1:13">
      <c r="A1" s="82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3">
      <c r="A2" s="31"/>
      <c r="M2" s="32"/>
    </row>
    <row r="3" spans="1:13">
      <c r="A3" s="31"/>
      <c r="M3" s="32"/>
    </row>
    <row r="4" spans="1:13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7"/>
    </row>
    <row r="5" spans="1:13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90"/>
    </row>
    <row r="6" spans="1:13">
      <c r="A6" s="11" t="s">
        <v>636</v>
      </c>
      <c r="B6" s="4" t="s">
        <v>853</v>
      </c>
      <c r="C6" s="3"/>
      <c r="D6" s="3"/>
      <c r="E6" s="290" t="s">
        <v>637</v>
      </c>
      <c r="F6" s="291"/>
      <c r="G6" s="91">
        <v>812</v>
      </c>
      <c r="H6" s="290" t="s">
        <v>638</v>
      </c>
      <c r="I6" s="291"/>
      <c r="J6" s="91" t="s">
        <v>639</v>
      </c>
      <c r="K6" s="3"/>
      <c r="L6" s="3"/>
      <c r="M6" s="8"/>
    </row>
    <row r="7" spans="1:13">
      <c r="A7" s="5" t="s">
        <v>1074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8"/>
    </row>
    <row r="8" spans="1:13">
      <c r="A8" s="92"/>
      <c r="B8" s="92" t="s">
        <v>640</v>
      </c>
      <c r="C8" s="93"/>
      <c r="D8" s="93"/>
      <c r="E8" s="93"/>
      <c r="F8" s="93"/>
      <c r="G8" s="93"/>
      <c r="H8" s="92" t="s">
        <v>641</v>
      </c>
      <c r="I8" s="94" t="s">
        <v>642</v>
      </c>
      <c r="J8" s="94" t="s">
        <v>875</v>
      </c>
      <c r="K8" s="292" t="s">
        <v>643</v>
      </c>
      <c r="L8" s="92" t="s">
        <v>644</v>
      </c>
      <c r="M8" s="95"/>
    </row>
    <row r="9" spans="1:13">
      <c r="A9" s="96" t="s">
        <v>38</v>
      </c>
      <c r="B9" s="96" t="s">
        <v>645</v>
      </c>
      <c r="C9" s="96" t="s">
        <v>646</v>
      </c>
      <c r="D9" s="96" t="s">
        <v>647</v>
      </c>
      <c r="E9" s="96" t="s">
        <v>638</v>
      </c>
      <c r="F9" s="96" t="s">
        <v>648</v>
      </c>
      <c r="G9" s="96" t="s">
        <v>649</v>
      </c>
      <c r="H9" s="96" t="s">
        <v>649</v>
      </c>
      <c r="I9" s="97" t="s">
        <v>650</v>
      </c>
      <c r="J9" s="97" t="s">
        <v>651</v>
      </c>
      <c r="K9" s="293"/>
      <c r="L9" s="96" t="s">
        <v>652</v>
      </c>
      <c r="M9" s="96" t="s">
        <v>653</v>
      </c>
    </row>
    <row r="10" spans="1:13">
      <c r="A10" s="98">
        <f>ROW()-9</f>
        <v>1</v>
      </c>
      <c r="B10" s="91"/>
      <c r="C10" s="98" t="s">
        <v>654</v>
      </c>
      <c r="D10" s="98" t="s">
        <v>655</v>
      </c>
      <c r="E10" s="99"/>
      <c r="F10" s="91" t="s">
        <v>656</v>
      </c>
      <c r="G10" s="91">
        <v>1</v>
      </c>
      <c r="H10" s="91"/>
      <c r="I10" s="91"/>
      <c r="J10" s="91"/>
      <c r="K10" s="99"/>
      <c r="L10" s="91">
        <v>1</v>
      </c>
      <c r="M10" s="100"/>
    </row>
    <row r="11" spans="1:13">
      <c r="A11" s="98">
        <f t="shared" ref="A11:A77" si="0">ROW()-9</f>
        <v>2</v>
      </c>
      <c r="B11" s="91"/>
      <c r="C11" s="12" t="s">
        <v>657</v>
      </c>
      <c r="D11" s="12" t="s">
        <v>657</v>
      </c>
      <c r="E11" s="99"/>
      <c r="F11" s="91" t="s">
        <v>656</v>
      </c>
      <c r="G11" s="91">
        <v>8</v>
      </c>
      <c r="H11" s="91"/>
      <c r="I11" s="91"/>
      <c r="J11" s="91"/>
      <c r="K11" s="99"/>
      <c r="L11" s="91">
        <f>L10+G10</f>
        <v>2</v>
      </c>
      <c r="M11" s="101"/>
    </row>
    <row r="12" spans="1:13">
      <c r="A12" s="98">
        <f t="shared" si="0"/>
        <v>3</v>
      </c>
      <c r="B12" s="91"/>
      <c r="C12" s="12" t="s">
        <v>658</v>
      </c>
      <c r="D12" s="12" t="s">
        <v>659</v>
      </c>
      <c r="E12" s="99"/>
      <c r="F12" s="91" t="s">
        <v>656</v>
      </c>
      <c r="G12" s="91">
        <v>1</v>
      </c>
      <c r="H12" s="91"/>
      <c r="I12" s="91"/>
      <c r="J12" s="91"/>
      <c r="K12" s="99"/>
      <c r="L12" s="91">
        <f t="shared" ref="L12:L75" si="1">L11+G11</f>
        <v>10</v>
      </c>
      <c r="M12" s="101"/>
    </row>
    <row r="13" spans="1:13">
      <c r="A13" s="98">
        <f t="shared" si="0"/>
        <v>4</v>
      </c>
      <c r="B13" s="91"/>
      <c r="C13" s="12" t="s">
        <v>660</v>
      </c>
      <c r="D13" s="12" t="s">
        <v>661</v>
      </c>
      <c r="E13" s="99"/>
      <c r="F13" s="91" t="s">
        <v>656</v>
      </c>
      <c r="G13" s="91">
        <v>4</v>
      </c>
      <c r="H13" s="91"/>
      <c r="I13" s="91"/>
      <c r="J13" s="91"/>
      <c r="K13" s="99"/>
      <c r="L13" s="91">
        <f t="shared" si="1"/>
        <v>11</v>
      </c>
      <c r="M13" s="101"/>
    </row>
    <row r="14" spans="1:13">
      <c r="A14" s="98">
        <f t="shared" si="0"/>
        <v>5</v>
      </c>
      <c r="B14" s="91"/>
      <c r="C14" s="12" t="s">
        <v>854</v>
      </c>
      <c r="D14" s="12" t="s">
        <v>662</v>
      </c>
      <c r="E14" s="99"/>
      <c r="F14" s="91" t="s">
        <v>656</v>
      </c>
      <c r="G14" s="91">
        <v>12</v>
      </c>
      <c r="H14" s="91"/>
      <c r="I14" s="91"/>
      <c r="J14" s="91"/>
      <c r="K14" s="99"/>
      <c r="L14" s="91">
        <f t="shared" si="1"/>
        <v>15</v>
      </c>
      <c r="M14" s="101"/>
    </row>
    <row r="15" spans="1:13">
      <c r="A15" s="98">
        <f t="shared" si="0"/>
        <v>6</v>
      </c>
      <c r="B15" s="91"/>
      <c r="C15" s="12" t="s">
        <v>877</v>
      </c>
      <c r="D15" s="12" t="s">
        <v>663</v>
      </c>
      <c r="E15" s="99"/>
      <c r="F15" s="91" t="s">
        <v>656</v>
      </c>
      <c r="G15" s="91">
        <v>12</v>
      </c>
      <c r="H15" s="91"/>
      <c r="I15" s="91"/>
      <c r="J15" s="91"/>
      <c r="K15" s="99"/>
      <c r="L15" s="91">
        <f t="shared" si="1"/>
        <v>27</v>
      </c>
      <c r="M15" s="101"/>
    </row>
    <row r="16" spans="1:13">
      <c r="A16" s="98">
        <f t="shared" si="0"/>
        <v>7</v>
      </c>
      <c r="B16" s="91"/>
      <c r="C16" s="12" t="s">
        <v>664</v>
      </c>
      <c r="D16" s="12" t="s">
        <v>665</v>
      </c>
      <c r="E16" s="99"/>
      <c r="F16" s="91" t="s">
        <v>656</v>
      </c>
      <c r="G16" s="91">
        <v>4</v>
      </c>
      <c r="H16" s="91"/>
      <c r="I16" s="91"/>
      <c r="J16" s="91"/>
      <c r="K16" s="99"/>
      <c r="L16" s="91">
        <f t="shared" si="1"/>
        <v>39</v>
      </c>
      <c r="M16" s="101"/>
    </row>
    <row r="17" spans="1:13">
      <c r="A17" s="98">
        <f t="shared" si="0"/>
        <v>8</v>
      </c>
      <c r="B17" s="91"/>
      <c r="C17" s="12" t="s">
        <v>666</v>
      </c>
      <c r="D17" s="12" t="s">
        <v>667</v>
      </c>
      <c r="E17" s="99"/>
      <c r="F17" s="91" t="s">
        <v>656</v>
      </c>
      <c r="G17" s="91">
        <v>1</v>
      </c>
      <c r="H17" s="91"/>
      <c r="I17" s="91"/>
      <c r="J17" s="91"/>
      <c r="K17" s="99"/>
      <c r="L17" s="91">
        <f t="shared" si="1"/>
        <v>43</v>
      </c>
      <c r="M17" s="101"/>
    </row>
    <row r="18" spans="1:13">
      <c r="A18" s="98">
        <f t="shared" si="0"/>
        <v>9</v>
      </c>
      <c r="B18" s="91"/>
      <c r="C18" s="12" t="s">
        <v>668</v>
      </c>
      <c r="D18" s="12" t="s">
        <v>669</v>
      </c>
      <c r="E18" s="99"/>
      <c r="F18" s="91" t="s">
        <v>656</v>
      </c>
      <c r="G18" s="91">
        <v>6</v>
      </c>
      <c r="H18" s="91"/>
      <c r="I18" s="91"/>
      <c r="J18" s="91"/>
      <c r="K18" s="99"/>
      <c r="L18" s="91">
        <f t="shared" si="1"/>
        <v>44</v>
      </c>
      <c r="M18" s="101"/>
    </row>
    <row r="19" spans="1:13">
      <c r="A19" s="98">
        <f t="shared" si="0"/>
        <v>10</v>
      </c>
      <c r="B19" s="91"/>
      <c r="C19" s="12" t="s">
        <v>670</v>
      </c>
      <c r="D19" s="12" t="s">
        <v>671</v>
      </c>
      <c r="E19" s="99"/>
      <c r="F19" s="91" t="s">
        <v>656</v>
      </c>
      <c r="G19" s="91">
        <v>6</v>
      </c>
      <c r="H19" s="91"/>
      <c r="I19" s="91"/>
      <c r="J19" s="91"/>
      <c r="K19" s="99"/>
      <c r="L19" s="91">
        <f t="shared" si="1"/>
        <v>50</v>
      </c>
      <c r="M19" s="101"/>
    </row>
    <row r="20" spans="1:13">
      <c r="A20" s="98">
        <f t="shared" si="0"/>
        <v>11</v>
      </c>
      <c r="B20" s="91"/>
      <c r="C20" s="12" t="s">
        <v>672</v>
      </c>
      <c r="D20" s="12" t="s">
        <v>673</v>
      </c>
      <c r="E20" s="99"/>
      <c r="F20" s="91" t="s">
        <v>656</v>
      </c>
      <c r="G20" s="91">
        <v>1</v>
      </c>
      <c r="H20" s="91"/>
      <c r="I20" s="91"/>
      <c r="J20" s="91"/>
      <c r="K20" s="99"/>
      <c r="L20" s="91">
        <f t="shared" si="1"/>
        <v>56</v>
      </c>
      <c r="M20" s="101"/>
    </row>
    <row r="21" spans="1:13">
      <c r="A21" s="98">
        <f t="shared" si="0"/>
        <v>12</v>
      </c>
      <c r="B21" s="91"/>
      <c r="C21" s="12" t="s">
        <v>855</v>
      </c>
      <c r="D21" s="12" t="s">
        <v>674</v>
      </c>
      <c r="E21" s="99"/>
      <c r="F21" s="91" t="s">
        <v>656</v>
      </c>
      <c r="G21" s="91">
        <v>6</v>
      </c>
      <c r="H21" s="91"/>
      <c r="I21" s="91"/>
      <c r="J21" s="91"/>
      <c r="K21" s="99"/>
      <c r="L21" s="91">
        <f t="shared" si="1"/>
        <v>57</v>
      </c>
      <c r="M21" s="101"/>
    </row>
    <row r="22" spans="1:13">
      <c r="A22" s="98">
        <f t="shared" si="0"/>
        <v>13</v>
      </c>
      <c r="B22" s="91"/>
      <c r="C22" s="12" t="s">
        <v>675</v>
      </c>
      <c r="D22" s="12" t="s">
        <v>676</v>
      </c>
      <c r="E22" s="99"/>
      <c r="F22" s="91" t="s">
        <v>656</v>
      </c>
      <c r="G22" s="91">
        <v>6</v>
      </c>
      <c r="H22" s="91"/>
      <c r="I22" s="91"/>
      <c r="J22" s="91"/>
      <c r="K22" s="99"/>
      <c r="L22" s="91">
        <f t="shared" si="1"/>
        <v>63</v>
      </c>
      <c r="M22" s="101"/>
    </row>
    <row r="23" spans="1:13">
      <c r="A23" s="98">
        <f t="shared" si="0"/>
        <v>14</v>
      </c>
      <c r="B23" s="91"/>
      <c r="C23" s="12" t="s">
        <v>856</v>
      </c>
      <c r="D23" s="12" t="s">
        <v>681</v>
      </c>
      <c r="E23" s="99"/>
      <c r="F23" s="91" t="s">
        <v>656</v>
      </c>
      <c r="G23" s="91">
        <v>6</v>
      </c>
      <c r="H23" s="91"/>
      <c r="I23" s="91"/>
      <c r="J23" s="91"/>
      <c r="K23" s="99"/>
      <c r="L23" s="91">
        <f t="shared" si="1"/>
        <v>69</v>
      </c>
      <c r="M23" s="101"/>
    </row>
    <row r="24" spans="1:13">
      <c r="A24" s="98">
        <f t="shared" si="0"/>
        <v>15</v>
      </c>
      <c r="B24" s="91"/>
      <c r="C24" s="12" t="s">
        <v>682</v>
      </c>
      <c r="D24" s="12" t="s">
        <v>683</v>
      </c>
      <c r="E24" s="99"/>
      <c r="F24" s="91" t="s">
        <v>656</v>
      </c>
      <c r="G24" s="91">
        <v>6</v>
      </c>
      <c r="H24" s="91"/>
      <c r="I24" s="91"/>
      <c r="J24" s="91"/>
      <c r="K24" s="99"/>
      <c r="L24" s="91">
        <f t="shared" si="1"/>
        <v>75</v>
      </c>
      <c r="M24" s="101"/>
    </row>
    <row r="25" spans="1:13">
      <c r="A25" s="98">
        <f t="shared" si="0"/>
        <v>16</v>
      </c>
      <c r="B25" s="91"/>
      <c r="C25" s="12" t="s">
        <v>684</v>
      </c>
      <c r="D25" s="12" t="s">
        <v>685</v>
      </c>
      <c r="E25" s="99"/>
      <c r="F25" s="91" t="s">
        <v>656</v>
      </c>
      <c r="G25" s="91">
        <v>6</v>
      </c>
      <c r="H25" s="91"/>
      <c r="I25" s="91"/>
      <c r="J25" s="91"/>
      <c r="K25" s="99"/>
      <c r="L25" s="91">
        <f t="shared" si="1"/>
        <v>81</v>
      </c>
      <c r="M25" s="101"/>
    </row>
    <row r="26" spans="1:13">
      <c r="A26" s="98">
        <f t="shared" si="0"/>
        <v>17</v>
      </c>
      <c r="B26" s="91"/>
      <c r="C26" s="12" t="s">
        <v>686</v>
      </c>
      <c r="D26" s="12" t="s">
        <v>687</v>
      </c>
      <c r="E26" s="99"/>
      <c r="F26" s="91" t="s">
        <v>656</v>
      </c>
      <c r="G26" s="91">
        <v>6</v>
      </c>
      <c r="H26" s="91"/>
      <c r="I26" s="91"/>
      <c r="J26" s="91"/>
      <c r="K26" s="99"/>
      <c r="L26" s="91">
        <f t="shared" si="1"/>
        <v>87</v>
      </c>
      <c r="M26" s="101"/>
    </row>
    <row r="27" spans="1:13">
      <c r="A27" s="98">
        <f t="shared" si="0"/>
        <v>18</v>
      </c>
      <c r="B27" s="91"/>
      <c r="C27" s="12" t="s">
        <v>688</v>
      </c>
      <c r="D27" s="12" t="s">
        <v>689</v>
      </c>
      <c r="E27" s="99"/>
      <c r="F27" s="91" t="s">
        <v>656</v>
      </c>
      <c r="G27" s="91">
        <v>6</v>
      </c>
      <c r="H27" s="91"/>
      <c r="I27" s="91"/>
      <c r="J27" s="91"/>
      <c r="K27" s="99"/>
      <c r="L27" s="91">
        <f t="shared" si="1"/>
        <v>93</v>
      </c>
      <c r="M27" s="101"/>
    </row>
    <row r="28" spans="1:13">
      <c r="A28" s="98">
        <f t="shared" si="0"/>
        <v>19</v>
      </c>
      <c r="B28" s="91"/>
      <c r="C28" s="12" t="s">
        <v>878</v>
      </c>
      <c r="D28" s="12" t="s">
        <v>691</v>
      </c>
      <c r="E28" s="99"/>
      <c r="F28" s="91" t="s">
        <v>656</v>
      </c>
      <c r="G28" s="91">
        <v>6</v>
      </c>
      <c r="H28" s="91"/>
      <c r="I28" s="91"/>
      <c r="J28" s="91"/>
      <c r="K28" s="99"/>
      <c r="L28" s="91">
        <f t="shared" si="1"/>
        <v>99</v>
      </c>
      <c r="M28" s="101"/>
    </row>
    <row r="29" spans="1:13">
      <c r="A29" s="98">
        <f t="shared" si="0"/>
        <v>20</v>
      </c>
      <c r="B29" s="91"/>
      <c r="C29" s="12" t="s">
        <v>692</v>
      </c>
      <c r="D29" s="12" t="s">
        <v>693</v>
      </c>
      <c r="E29" s="99"/>
      <c r="F29" s="91" t="s">
        <v>656</v>
      </c>
      <c r="G29" s="91">
        <v>10</v>
      </c>
      <c r="H29" s="91"/>
      <c r="I29" s="91"/>
      <c r="J29" s="91"/>
      <c r="K29" s="99"/>
      <c r="L29" s="91">
        <f t="shared" si="1"/>
        <v>105</v>
      </c>
      <c r="M29" s="101"/>
    </row>
    <row r="30" spans="1:13">
      <c r="A30" s="98">
        <f t="shared" si="0"/>
        <v>21</v>
      </c>
      <c r="B30" s="91"/>
      <c r="C30" s="12" t="s">
        <v>694</v>
      </c>
      <c r="D30" s="12" t="s">
        <v>695</v>
      </c>
      <c r="E30" s="99"/>
      <c r="F30" s="91" t="s">
        <v>656</v>
      </c>
      <c r="G30" s="91">
        <v>10</v>
      </c>
      <c r="H30" s="91"/>
      <c r="I30" s="91"/>
      <c r="J30" s="91"/>
      <c r="K30" s="99"/>
      <c r="L30" s="91">
        <f t="shared" si="1"/>
        <v>115</v>
      </c>
      <c r="M30" s="101"/>
    </row>
    <row r="31" spans="1:13">
      <c r="A31" s="98">
        <f t="shared" si="0"/>
        <v>22</v>
      </c>
      <c r="B31" s="91"/>
      <c r="C31" s="12" t="s">
        <v>704</v>
      </c>
      <c r="D31" s="12" t="s">
        <v>705</v>
      </c>
      <c r="E31" s="99"/>
      <c r="F31" s="91" t="s">
        <v>656</v>
      </c>
      <c r="G31" s="91">
        <v>10</v>
      </c>
      <c r="H31" s="91"/>
      <c r="I31" s="91"/>
      <c r="J31" s="91"/>
      <c r="K31" s="99"/>
      <c r="L31" s="91">
        <f t="shared" si="1"/>
        <v>125</v>
      </c>
      <c r="M31" s="101"/>
    </row>
    <row r="32" spans="1:13">
      <c r="A32" s="98">
        <f t="shared" si="0"/>
        <v>23</v>
      </c>
      <c r="B32" s="91"/>
      <c r="C32" s="12" t="s">
        <v>712</v>
      </c>
      <c r="D32" s="12" t="s">
        <v>713</v>
      </c>
      <c r="E32" s="99"/>
      <c r="F32" s="91" t="s">
        <v>656</v>
      </c>
      <c r="G32" s="91">
        <v>1</v>
      </c>
      <c r="H32" s="91"/>
      <c r="I32" s="91"/>
      <c r="J32" s="91"/>
      <c r="K32" s="99"/>
      <c r="L32" s="91">
        <f t="shared" si="1"/>
        <v>135</v>
      </c>
      <c r="M32" s="101"/>
    </row>
    <row r="33" spans="1:13">
      <c r="A33" s="98">
        <f t="shared" si="0"/>
        <v>24</v>
      </c>
      <c r="B33" s="91"/>
      <c r="C33" s="12" t="s">
        <v>857</v>
      </c>
      <c r="D33" s="12" t="s">
        <v>718</v>
      </c>
      <c r="E33" s="99"/>
      <c r="F33" s="91" t="s">
        <v>656</v>
      </c>
      <c r="G33" s="91">
        <v>70</v>
      </c>
      <c r="H33" s="91"/>
      <c r="I33" s="91"/>
      <c r="J33" s="91"/>
      <c r="K33" s="99"/>
      <c r="L33" s="91">
        <f t="shared" si="1"/>
        <v>136</v>
      </c>
      <c r="M33" s="101"/>
    </row>
    <row r="34" spans="1:13">
      <c r="A34" s="98">
        <f t="shared" si="0"/>
        <v>25</v>
      </c>
      <c r="B34" s="91"/>
      <c r="C34" s="12" t="s">
        <v>725</v>
      </c>
      <c r="D34" s="12" t="s">
        <v>726</v>
      </c>
      <c r="E34" s="99"/>
      <c r="F34" s="91" t="s">
        <v>656</v>
      </c>
      <c r="G34" s="91">
        <v>6</v>
      </c>
      <c r="H34" s="91"/>
      <c r="I34" s="91"/>
      <c r="J34" s="91"/>
      <c r="K34" s="99"/>
      <c r="L34" s="91">
        <f t="shared" si="1"/>
        <v>206</v>
      </c>
      <c r="M34" s="101"/>
    </row>
    <row r="35" spans="1:13">
      <c r="A35" s="98">
        <f t="shared" si="0"/>
        <v>26</v>
      </c>
      <c r="B35" s="91"/>
      <c r="C35" s="12" t="s">
        <v>727</v>
      </c>
      <c r="D35" s="12" t="s">
        <v>728</v>
      </c>
      <c r="E35" s="99"/>
      <c r="F35" s="91" t="s">
        <v>656</v>
      </c>
      <c r="G35" s="91">
        <v>6</v>
      </c>
      <c r="H35" s="91"/>
      <c r="I35" s="91"/>
      <c r="J35" s="91"/>
      <c r="K35" s="99"/>
      <c r="L35" s="91">
        <f t="shared" si="1"/>
        <v>212</v>
      </c>
      <c r="M35" s="101"/>
    </row>
    <row r="36" spans="1:13">
      <c r="A36" s="98">
        <f t="shared" si="0"/>
        <v>27</v>
      </c>
      <c r="B36" s="91"/>
      <c r="C36" s="12" t="s">
        <v>729</v>
      </c>
      <c r="D36" s="12" t="s">
        <v>730</v>
      </c>
      <c r="E36" s="99"/>
      <c r="F36" s="91" t="s">
        <v>656</v>
      </c>
      <c r="G36" s="91">
        <v>40</v>
      </c>
      <c r="H36" s="91"/>
      <c r="I36" s="91"/>
      <c r="J36" s="91"/>
      <c r="K36" s="99"/>
      <c r="L36" s="91">
        <f t="shared" si="1"/>
        <v>218</v>
      </c>
      <c r="M36" s="101"/>
    </row>
    <row r="37" spans="1:13">
      <c r="A37" s="98">
        <f t="shared" si="0"/>
        <v>28</v>
      </c>
      <c r="B37" s="91"/>
      <c r="C37" s="12" t="s">
        <v>733</v>
      </c>
      <c r="D37" s="12" t="s">
        <v>734</v>
      </c>
      <c r="E37" s="99"/>
      <c r="F37" s="91" t="s">
        <v>656</v>
      </c>
      <c r="G37" s="91">
        <v>10</v>
      </c>
      <c r="H37" s="91"/>
      <c r="I37" s="91"/>
      <c r="J37" s="91"/>
      <c r="K37" s="99"/>
      <c r="L37" s="91">
        <f t="shared" si="1"/>
        <v>258</v>
      </c>
      <c r="M37" s="101"/>
    </row>
    <row r="38" spans="1:13">
      <c r="A38" s="98">
        <f t="shared" si="0"/>
        <v>29</v>
      </c>
      <c r="B38" s="91"/>
      <c r="C38" s="12" t="s">
        <v>741</v>
      </c>
      <c r="D38" s="12" t="s">
        <v>742</v>
      </c>
      <c r="E38" s="99"/>
      <c r="F38" s="91" t="s">
        <v>656</v>
      </c>
      <c r="G38" s="91">
        <v>6</v>
      </c>
      <c r="H38" s="91"/>
      <c r="I38" s="91"/>
      <c r="J38" s="91"/>
      <c r="K38" s="99"/>
      <c r="L38" s="91">
        <f t="shared" si="1"/>
        <v>268</v>
      </c>
      <c r="M38" s="101"/>
    </row>
    <row r="39" spans="1:13">
      <c r="A39" s="98">
        <f t="shared" si="0"/>
        <v>30</v>
      </c>
      <c r="B39" s="91"/>
      <c r="C39" s="12" t="s">
        <v>743</v>
      </c>
      <c r="D39" s="12" t="s">
        <v>744</v>
      </c>
      <c r="E39" s="99"/>
      <c r="F39" s="91" t="s">
        <v>656</v>
      </c>
      <c r="G39" s="91">
        <v>6</v>
      </c>
      <c r="H39" s="91"/>
      <c r="I39" s="91"/>
      <c r="J39" s="91"/>
      <c r="K39" s="99"/>
      <c r="L39" s="91">
        <f t="shared" si="1"/>
        <v>274</v>
      </c>
      <c r="M39" s="101"/>
    </row>
    <row r="40" spans="1:13">
      <c r="A40" s="98">
        <f t="shared" si="0"/>
        <v>31</v>
      </c>
      <c r="B40" s="91"/>
      <c r="C40" s="12" t="s">
        <v>858</v>
      </c>
      <c r="D40" s="12" t="s">
        <v>745</v>
      </c>
      <c r="E40" s="99"/>
      <c r="F40" s="91" t="s">
        <v>656</v>
      </c>
      <c r="G40" s="91">
        <v>1</v>
      </c>
      <c r="H40" s="91"/>
      <c r="I40" s="91"/>
      <c r="J40" s="91"/>
      <c r="K40" s="99"/>
      <c r="L40" s="91">
        <f t="shared" si="1"/>
        <v>280</v>
      </c>
      <c r="M40" s="101"/>
    </row>
    <row r="41" spans="1:13">
      <c r="A41" s="98">
        <f t="shared" si="0"/>
        <v>32</v>
      </c>
      <c r="B41" s="91"/>
      <c r="C41" s="12" t="s">
        <v>746</v>
      </c>
      <c r="D41" s="12" t="s">
        <v>747</v>
      </c>
      <c r="E41" s="99"/>
      <c r="F41" s="91" t="s">
        <v>656</v>
      </c>
      <c r="G41" s="91">
        <v>6</v>
      </c>
      <c r="H41" s="91"/>
      <c r="I41" s="91"/>
      <c r="J41" s="91"/>
      <c r="K41" s="99"/>
      <c r="L41" s="91">
        <f t="shared" si="1"/>
        <v>281</v>
      </c>
      <c r="M41" s="101"/>
    </row>
    <row r="42" spans="1:13">
      <c r="A42" s="98">
        <f t="shared" si="0"/>
        <v>33</v>
      </c>
      <c r="B42" s="91"/>
      <c r="C42" s="12" t="s">
        <v>859</v>
      </c>
      <c r="D42" s="12" t="s">
        <v>869</v>
      </c>
      <c r="E42" s="99"/>
      <c r="F42" s="91" t="s">
        <v>656</v>
      </c>
      <c r="G42" s="91">
        <v>1</v>
      </c>
      <c r="H42" s="91"/>
      <c r="I42" s="91"/>
      <c r="J42" s="91"/>
      <c r="K42" s="99"/>
      <c r="L42" s="91">
        <f t="shared" si="1"/>
        <v>287</v>
      </c>
      <c r="M42" s="101"/>
    </row>
    <row r="43" spans="1:13">
      <c r="A43" s="98">
        <f t="shared" si="0"/>
        <v>34</v>
      </c>
      <c r="B43" s="91"/>
      <c r="C43" s="12" t="s">
        <v>748</v>
      </c>
      <c r="D43" s="12" t="s">
        <v>749</v>
      </c>
      <c r="E43" s="99"/>
      <c r="F43" s="91" t="s">
        <v>656</v>
      </c>
      <c r="G43" s="91">
        <v>15</v>
      </c>
      <c r="H43" s="91"/>
      <c r="I43" s="91"/>
      <c r="J43" s="91"/>
      <c r="K43" s="99"/>
      <c r="L43" s="91">
        <f t="shared" si="1"/>
        <v>288</v>
      </c>
      <c r="M43" s="101"/>
    </row>
    <row r="44" spans="1:13">
      <c r="A44" s="98">
        <f t="shared" si="0"/>
        <v>35</v>
      </c>
      <c r="B44" s="91"/>
      <c r="C44" s="12" t="s">
        <v>750</v>
      </c>
      <c r="D44" s="12" t="s">
        <v>751</v>
      </c>
      <c r="E44" s="99"/>
      <c r="F44" s="91" t="s">
        <v>656</v>
      </c>
      <c r="G44" s="91">
        <v>1</v>
      </c>
      <c r="H44" s="91"/>
      <c r="I44" s="91"/>
      <c r="J44" s="91"/>
      <c r="K44" s="99"/>
      <c r="L44" s="91">
        <f t="shared" si="1"/>
        <v>303</v>
      </c>
      <c r="M44" s="101"/>
    </row>
    <row r="45" spans="1:13">
      <c r="A45" s="98">
        <f t="shared" si="0"/>
        <v>36</v>
      </c>
      <c r="B45" s="91"/>
      <c r="C45" s="12" t="s">
        <v>860</v>
      </c>
      <c r="D45" s="12" t="s">
        <v>752</v>
      </c>
      <c r="E45" s="99"/>
      <c r="F45" s="91" t="s">
        <v>98</v>
      </c>
      <c r="G45" s="91">
        <v>15</v>
      </c>
      <c r="H45" s="91">
        <v>3</v>
      </c>
      <c r="I45" s="91" t="s">
        <v>1147</v>
      </c>
      <c r="J45" s="91" t="s">
        <v>1148</v>
      </c>
      <c r="K45" s="99"/>
      <c r="L45" s="91">
        <f t="shared" si="1"/>
        <v>304</v>
      </c>
      <c r="M45" s="101"/>
    </row>
    <row r="46" spans="1:13">
      <c r="A46" s="98">
        <f t="shared" si="0"/>
        <v>37</v>
      </c>
      <c r="B46" s="91"/>
      <c r="C46" s="12" t="s">
        <v>754</v>
      </c>
      <c r="D46" s="12" t="s">
        <v>755</v>
      </c>
      <c r="E46" s="99"/>
      <c r="F46" s="91" t="s">
        <v>656</v>
      </c>
      <c r="G46" s="91">
        <v>3</v>
      </c>
      <c r="H46" s="91"/>
      <c r="I46" s="91"/>
      <c r="J46" s="91"/>
      <c r="K46" s="99"/>
      <c r="L46" s="91">
        <f t="shared" si="1"/>
        <v>319</v>
      </c>
      <c r="M46" s="101"/>
    </row>
    <row r="47" spans="1:13">
      <c r="A47" s="98">
        <f t="shared" si="0"/>
        <v>38</v>
      </c>
      <c r="B47" s="91"/>
      <c r="C47" s="12" t="s">
        <v>756</v>
      </c>
      <c r="D47" s="12" t="s">
        <v>757</v>
      </c>
      <c r="E47" s="99"/>
      <c r="F47" s="91" t="s">
        <v>656</v>
      </c>
      <c r="G47" s="91">
        <v>1</v>
      </c>
      <c r="H47" s="91"/>
      <c r="I47" s="91"/>
      <c r="J47" s="91"/>
      <c r="K47" s="99"/>
      <c r="L47" s="91">
        <f t="shared" si="1"/>
        <v>322</v>
      </c>
      <c r="M47" s="101"/>
    </row>
    <row r="48" spans="1:13">
      <c r="A48" s="98">
        <f t="shared" si="0"/>
        <v>39</v>
      </c>
      <c r="B48" s="91"/>
      <c r="C48" s="12" t="s">
        <v>764</v>
      </c>
      <c r="D48" s="12" t="s">
        <v>765</v>
      </c>
      <c r="E48" s="99"/>
      <c r="F48" s="91" t="s">
        <v>656</v>
      </c>
      <c r="G48" s="91">
        <v>6</v>
      </c>
      <c r="H48" s="91"/>
      <c r="I48" s="91"/>
      <c r="J48" s="91"/>
      <c r="K48" s="99"/>
      <c r="L48" s="91">
        <f t="shared" si="1"/>
        <v>323</v>
      </c>
      <c r="M48" s="101"/>
    </row>
    <row r="49" spans="1:13">
      <c r="A49" s="98">
        <f t="shared" si="0"/>
        <v>40</v>
      </c>
      <c r="B49" s="91"/>
      <c r="C49" s="12" t="s">
        <v>766</v>
      </c>
      <c r="D49" s="12" t="s">
        <v>767</v>
      </c>
      <c r="E49" s="99"/>
      <c r="F49" s="91" t="s">
        <v>656</v>
      </c>
      <c r="G49" s="91">
        <v>6</v>
      </c>
      <c r="H49" s="91"/>
      <c r="I49" s="91"/>
      <c r="J49" s="91"/>
      <c r="K49" s="99"/>
      <c r="L49" s="91">
        <f t="shared" si="1"/>
        <v>329</v>
      </c>
      <c r="M49" s="101"/>
    </row>
    <row r="50" spans="1:13">
      <c r="A50" s="98">
        <f t="shared" si="0"/>
        <v>41</v>
      </c>
      <c r="B50" s="91"/>
      <c r="C50" s="12" t="s">
        <v>861</v>
      </c>
      <c r="D50" s="12" t="s">
        <v>179</v>
      </c>
      <c r="E50" s="99"/>
      <c r="F50" s="91" t="s">
        <v>656</v>
      </c>
      <c r="G50" s="91">
        <v>40</v>
      </c>
      <c r="H50" s="91"/>
      <c r="I50" s="91"/>
      <c r="J50" s="91"/>
      <c r="K50" s="99"/>
      <c r="L50" s="91">
        <f t="shared" si="1"/>
        <v>335</v>
      </c>
      <c r="M50" s="101"/>
    </row>
    <row r="51" spans="1:13">
      <c r="A51" s="98">
        <f t="shared" si="0"/>
        <v>42</v>
      </c>
      <c r="B51" s="91"/>
      <c r="C51" s="12" t="s">
        <v>862</v>
      </c>
      <c r="D51" s="12" t="s">
        <v>870</v>
      </c>
      <c r="E51" s="99"/>
      <c r="F51" s="91" t="s">
        <v>656</v>
      </c>
      <c r="G51" s="91">
        <v>6</v>
      </c>
      <c r="H51" s="91"/>
      <c r="I51" s="91"/>
      <c r="J51" s="91"/>
      <c r="K51" s="99"/>
      <c r="L51" s="91">
        <f t="shared" si="1"/>
        <v>375</v>
      </c>
      <c r="M51" s="101"/>
    </row>
    <row r="52" spans="1:13">
      <c r="A52" s="98">
        <f t="shared" si="0"/>
        <v>43</v>
      </c>
      <c r="B52" s="91"/>
      <c r="C52" s="12" t="s">
        <v>799</v>
      </c>
      <c r="D52" s="12" t="s">
        <v>800</v>
      </c>
      <c r="E52" s="99"/>
      <c r="F52" s="91" t="s">
        <v>98</v>
      </c>
      <c r="G52" s="91">
        <v>15</v>
      </c>
      <c r="H52" s="91">
        <v>3</v>
      </c>
      <c r="I52" s="91" t="s">
        <v>1147</v>
      </c>
      <c r="J52" s="91" t="s">
        <v>1148</v>
      </c>
      <c r="K52" s="99"/>
      <c r="L52" s="91">
        <f t="shared" si="1"/>
        <v>381</v>
      </c>
      <c r="M52" s="101"/>
    </row>
    <row r="53" spans="1:13">
      <c r="A53" s="98">
        <f t="shared" si="0"/>
        <v>44</v>
      </c>
      <c r="B53" s="91"/>
      <c r="C53" s="12" t="s">
        <v>801</v>
      </c>
      <c r="D53" s="12" t="s">
        <v>802</v>
      </c>
      <c r="E53" s="99"/>
      <c r="F53" s="91" t="s">
        <v>98</v>
      </c>
      <c r="G53" s="91">
        <v>15</v>
      </c>
      <c r="H53" s="91">
        <v>3</v>
      </c>
      <c r="I53" s="91" t="s">
        <v>1147</v>
      </c>
      <c r="J53" s="91" t="s">
        <v>1148</v>
      </c>
      <c r="K53" s="99"/>
      <c r="L53" s="91">
        <f t="shared" si="1"/>
        <v>396</v>
      </c>
      <c r="M53" s="101"/>
    </row>
    <row r="54" spans="1:13">
      <c r="A54" s="98">
        <f t="shared" si="0"/>
        <v>45</v>
      </c>
      <c r="B54" s="91"/>
      <c r="C54" s="12" t="s">
        <v>803</v>
      </c>
      <c r="D54" s="12" t="s">
        <v>804</v>
      </c>
      <c r="E54" s="99"/>
      <c r="F54" s="91" t="s">
        <v>656</v>
      </c>
      <c r="G54" s="91">
        <v>10</v>
      </c>
      <c r="H54" s="91"/>
      <c r="I54" s="91"/>
      <c r="J54" s="91"/>
      <c r="K54" s="99"/>
      <c r="L54" s="91">
        <f t="shared" si="1"/>
        <v>411</v>
      </c>
      <c r="M54" s="101"/>
    </row>
    <row r="55" spans="1:13">
      <c r="A55" s="98">
        <f t="shared" si="0"/>
        <v>46</v>
      </c>
      <c r="B55" s="91"/>
      <c r="C55" s="12" t="s">
        <v>805</v>
      </c>
      <c r="D55" s="12" t="s">
        <v>806</v>
      </c>
      <c r="E55" s="99"/>
      <c r="F55" s="91" t="s">
        <v>98</v>
      </c>
      <c r="G55" s="91">
        <v>15</v>
      </c>
      <c r="H55" s="91">
        <v>3</v>
      </c>
      <c r="I55" s="91" t="s">
        <v>1147</v>
      </c>
      <c r="J55" s="91" t="s">
        <v>1148</v>
      </c>
      <c r="K55" s="99"/>
      <c r="L55" s="91">
        <f t="shared" si="1"/>
        <v>421</v>
      </c>
      <c r="M55" s="101"/>
    </row>
    <row r="56" spans="1:13">
      <c r="A56" s="98">
        <f t="shared" si="0"/>
        <v>47</v>
      </c>
      <c r="B56" s="91"/>
      <c r="C56" s="12" t="s">
        <v>807</v>
      </c>
      <c r="D56" s="12" t="s">
        <v>808</v>
      </c>
      <c r="E56" s="99"/>
      <c r="F56" s="91" t="s">
        <v>98</v>
      </c>
      <c r="G56" s="91">
        <v>14</v>
      </c>
      <c r="H56" s="91">
        <v>0</v>
      </c>
      <c r="I56" s="102" t="s">
        <v>753</v>
      </c>
      <c r="J56" s="91" t="s">
        <v>1148</v>
      </c>
      <c r="K56" s="99"/>
      <c r="L56" s="91">
        <f t="shared" si="1"/>
        <v>436</v>
      </c>
      <c r="M56" s="101"/>
    </row>
    <row r="57" spans="1:13">
      <c r="A57" s="98">
        <f t="shared" si="0"/>
        <v>48</v>
      </c>
      <c r="B57" s="91"/>
      <c r="C57" s="12" t="s">
        <v>811</v>
      </c>
      <c r="D57" s="12" t="s">
        <v>812</v>
      </c>
      <c r="E57" s="99"/>
      <c r="F57" s="91" t="s">
        <v>98</v>
      </c>
      <c r="G57" s="91">
        <v>14</v>
      </c>
      <c r="H57" s="91">
        <v>0</v>
      </c>
      <c r="I57" s="102" t="s">
        <v>753</v>
      </c>
      <c r="J57" s="91" t="s">
        <v>1148</v>
      </c>
      <c r="K57" s="99"/>
      <c r="L57" s="91">
        <f t="shared" si="1"/>
        <v>450</v>
      </c>
      <c r="M57" s="101"/>
    </row>
    <row r="58" spans="1:13">
      <c r="A58" s="98">
        <f t="shared" si="0"/>
        <v>49</v>
      </c>
      <c r="B58" s="91"/>
      <c r="C58" s="12" t="s">
        <v>813</v>
      </c>
      <c r="D58" s="12" t="s">
        <v>814</v>
      </c>
      <c r="E58" s="99"/>
      <c r="F58" s="91" t="s">
        <v>98</v>
      </c>
      <c r="G58" s="91">
        <v>14</v>
      </c>
      <c r="H58" s="91">
        <v>0</v>
      </c>
      <c r="I58" s="102" t="s">
        <v>753</v>
      </c>
      <c r="J58" s="91" t="s">
        <v>1148</v>
      </c>
      <c r="K58" s="99"/>
      <c r="L58" s="91">
        <f t="shared" si="1"/>
        <v>464</v>
      </c>
      <c r="M58" s="101"/>
    </row>
    <row r="59" spans="1:13">
      <c r="A59" s="98">
        <f t="shared" si="0"/>
        <v>50</v>
      </c>
      <c r="B59" s="91"/>
      <c r="C59" s="12" t="s">
        <v>863</v>
      </c>
      <c r="D59" s="12" t="s">
        <v>815</v>
      </c>
      <c r="E59" s="99"/>
      <c r="F59" s="91" t="s">
        <v>656</v>
      </c>
      <c r="G59" s="91">
        <v>1</v>
      </c>
      <c r="H59" s="91"/>
      <c r="I59" s="91"/>
      <c r="J59" s="91"/>
      <c r="K59" s="99"/>
      <c r="L59" s="91">
        <f t="shared" si="1"/>
        <v>478</v>
      </c>
      <c r="M59" s="101"/>
    </row>
    <row r="60" spans="1:13">
      <c r="A60" s="98">
        <f t="shared" si="0"/>
        <v>51</v>
      </c>
      <c r="B60" s="91"/>
      <c r="C60" s="12" t="s">
        <v>864</v>
      </c>
      <c r="D60" s="12" t="s">
        <v>816</v>
      </c>
      <c r="E60" s="99"/>
      <c r="F60" s="91" t="s">
        <v>656</v>
      </c>
      <c r="G60" s="91">
        <v>1</v>
      </c>
      <c r="H60" s="91"/>
      <c r="I60" s="91"/>
      <c r="J60" s="91"/>
      <c r="K60" s="99"/>
      <c r="L60" s="91">
        <f t="shared" si="1"/>
        <v>479</v>
      </c>
      <c r="M60" s="101"/>
    </row>
    <row r="61" spans="1:13">
      <c r="A61" s="98">
        <f t="shared" si="0"/>
        <v>52</v>
      </c>
      <c r="B61" s="91"/>
      <c r="C61" s="12" t="s">
        <v>817</v>
      </c>
      <c r="D61" s="12" t="s">
        <v>818</v>
      </c>
      <c r="E61" s="99"/>
      <c r="F61" s="91" t="s">
        <v>656</v>
      </c>
      <c r="G61" s="91">
        <v>1</v>
      </c>
      <c r="H61" s="91"/>
      <c r="I61" s="91"/>
      <c r="J61" s="91"/>
      <c r="K61" s="99"/>
      <c r="L61" s="91">
        <f t="shared" si="1"/>
        <v>480</v>
      </c>
      <c r="M61" s="101"/>
    </row>
    <row r="62" spans="1:13">
      <c r="A62" s="98">
        <f t="shared" si="0"/>
        <v>53</v>
      </c>
      <c r="B62" s="91"/>
      <c r="C62" s="12" t="s">
        <v>865</v>
      </c>
      <c r="D62" s="12" t="s">
        <v>871</v>
      </c>
      <c r="E62" s="99"/>
      <c r="F62" s="91" t="s">
        <v>656</v>
      </c>
      <c r="G62" s="91">
        <v>1</v>
      </c>
      <c r="H62" s="91"/>
      <c r="I62" s="91"/>
      <c r="J62" s="91"/>
      <c r="K62" s="99"/>
      <c r="L62" s="91">
        <f t="shared" si="1"/>
        <v>481</v>
      </c>
      <c r="M62" s="101"/>
    </row>
    <row r="63" spans="1:13">
      <c r="A63" s="98">
        <f t="shared" si="0"/>
        <v>54</v>
      </c>
      <c r="B63" s="91"/>
      <c r="C63" s="12" t="s">
        <v>819</v>
      </c>
      <c r="D63" s="12" t="s">
        <v>820</v>
      </c>
      <c r="E63" s="99"/>
      <c r="F63" s="91" t="s">
        <v>656</v>
      </c>
      <c r="G63" s="91">
        <v>2</v>
      </c>
      <c r="H63" s="91"/>
      <c r="I63" s="91"/>
      <c r="J63" s="91"/>
      <c r="K63" s="99"/>
      <c r="L63" s="91">
        <f t="shared" si="1"/>
        <v>482</v>
      </c>
      <c r="M63" s="101"/>
    </row>
    <row r="64" spans="1:13">
      <c r="A64" s="98">
        <f t="shared" si="0"/>
        <v>55</v>
      </c>
      <c r="B64" s="91"/>
      <c r="C64" s="12" t="s">
        <v>821</v>
      </c>
      <c r="D64" s="12" t="s">
        <v>822</v>
      </c>
      <c r="E64" s="99"/>
      <c r="F64" s="91" t="s">
        <v>656</v>
      </c>
      <c r="G64" s="91">
        <v>1</v>
      </c>
      <c r="H64" s="91"/>
      <c r="I64" s="91"/>
      <c r="J64" s="91"/>
      <c r="K64" s="99"/>
      <c r="L64" s="91">
        <f t="shared" si="1"/>
        <v>484</v>
      </c>
      <c r="M64" s="101"/>
    </row>
    <row r="65" spans="1:13">
      <c r="A65" s="98">
        <f t="shared" si="0"/>
        <v>56</v>
      </c>
      <c r="B65" s="91"/>
      <c r="C65" s="12" t="s">
        <v>823</v>
      </c>
      <c r="D65" s="12" t="s">
        <v>824</v>
      </c>
      <c r="E65" s="99"/>
      <c r="F65" s="91" t="s">
        <v>656</v>
      </c>
      <c r="G65" s="91">
        <v>6</v>
      </c>
      <c r="H65" s="91"/>
      <c r="I65" s="91"/>
      <c r="J65" s="91"/>
      <c r="K65" s="99"/>
      <c r="L65" s="91">
        <f t="shared" si="1"/>
        <v>485</v>
      </c>
      <c r="M65" s="101"/>
    </row>
    <row r="66" spans="1:13">
      <c r="A66" s="98">
        <f t="shared" si="0"/>
        <v>57</v>
      </c>
      <c r="B66" s="91"/>
      <c r="C66" s="12" t="s">
        <v>116</v>
      </c>
      <c r="D66" s="12" t="s">
        <v>129</v>
      </c>
      <c r="E66" s="99"/>
      <c r="F66" s="91" t="s">
        <v>656</v>
      </c>
      <c r="G66" s="91">
        <v>25</v>
      </c>
      <c r="H66" s="91"/>
      <c r="I66" s="91"/>
      <c r="J66" s="91"/>
      <c r="K66" s="99"/>
      <c r="L66" s="91">
        <f t="shared" si="1"/>
        <v>491</v>
      </c>
      <c r="M66" s="101"/>
    </row>
    <row r="67" spans="1:13">
      <c r="A67" s="98">
        <f t="shared" si="0"/>
        <v>58</v>
      </c>
      <c r="B67" s="91"/>
      <c r="C67" s="12" t="s">
        <v>825</v>
      </c>
      <c r="D67" s="12" t="s">
        <v>826</v>
      </c>
      <c r="E67" s="99"/>
      <c r="F67" s="91" t="s">
        <v>656</v>
      </c>
      <c r="G67" s="91">
        <v>10</v>
      </c>
      <c r="H67" s="91"/>
      <c r="I67" s="91"/>
      <c r="J67" s="91"/>
      <c r="K67" s="99"/>
      <c r="L67" s="91">
        <f t="shared" si="1"/>
        <v>516</v>
      </c>
      <c r="M67" s="101"/>
    </row>
    <row r="68" spans="1:13">
      <c r="A68" s="98">
        <f t="shared" si="0"/>
        <v>59</v>
      </c>
      <c r="B68" s="91"/>
      <c r="C68" s="12" t="s">
        <v>829</v>
      </c>
      <c r="D68" s="12" t="s">
        <v>830</v>
      </c>
      <c r="E68" s="99"/>
      <c r="F68" s="91" t="s">
        <v>656</v>
      </c>
      <c r="G68" s="91">
        <v>44</v>
      </c>
      <c r="H68" s="91"/>
      <c r="I68" s="91"/>
      <c r="J68" s="91"/>
      <c r="K68" s="99"/>
      <c r="L68" s="91">
        <f t="shared" si="1"/>
        <v>526</v>
      </c>
      <c r="M68" s="101"/>
    </row>
    <row r="69" spans="1:13">
      <c r="A69" s="98">
        <f t="shared" si="0"/>
        <v>60</v>
      </c>
      <c r="B69" s="91"/>
      <c r="C69" s="12" t="s">
        <v>837</v>
      </c>
      <c r="D69" s="12" t="s">
        <v>838</v>
      </c>
      <c r="E69" s="99"/>
      <c r="F69" s="91" t="s">
        <v>656</v>
      </c>
      <c r="G69" s="91">
        <v>20</v>
      </c>
      <c r="H69" s="91"/>
      <c r="I69" s="91"/>
      <c r="J69" s="91"/>
      <c r="K69" s="99"/>
      <c r="L69" s="91">
        <f t="shared" si="1"/>
        <v>570</v>
      </c>
      <c r="M69" s="101"/>
    </row>
    <row r="70" spans="1:13">
      <c r="A70" s="98">
        <f t="shared" si="0"/>
        <v>61</v>
      </c>
      <c r="B70" s="91"/>
      <c r="C70" s="12" t="s">
        <v>839</v>
      </c>
      <c r="D70" s="12" t="s">
        <v>840</v>
      </c>
      <c r="E70" s="99"/>
      <c r="F70" s="91" t="s">
        <v>656</v>
      </c>
      <c r="G70" s="91">
        <v>20</v>
      </c>
      <c r="H70" s="91"/>
      <c r="I70" s="91"/>
      <c r="J70" s="91"/>
      <c r="K70" s="99"/>
      <c r="L70" s="91">
        <f t="shared" si="1"/>
        <v>590</v>
      </c>
      <c r="M70" s="101"/>
    </row>
    <row r="71" spans="1:13">
      <c r="A71" s="98">
        <f t="shared" si="0"/>
        <v>62</v>
      </c>
      <c r="B71" s="91"/>
      <c r="C71" s="12" t="s">
        <v>841</v>
      </c>
      <c r="D71" s="12" t="s">
        <v>842</v>
      </c>
      <c r="E71" s="99"/>
      <c r="F71" s="91" t="s">
        <v>656</v>
      </c>
      <c r="G71" s="91">
        <v>1</v>
      </c>
      <c r="H71" s="91"/>
      <c r="I71" s="91"/>
      <c r="J71" s="91"/>
      <c r="K71" s="99"/>
      <c r="L71" s="91">
        <f t="shared" si="1"/>
        <v>610</v>
      </c>
      <c r="M71" s="101"/>
    </row>
    <row r="72" spans="1:13">
      <c r="A72" s="98">
        <f t="shared" si="0"/>
        <v>63</v>
      </c>
      <c r="B72" s="91"/>
      <c r="C72" s="12" t="s">
        <v>843</v>
      </c>
      <c r="D72" s="12" t="s">
        <v>844</v>
      </c>
      <c r="E72" s="99"/>
      <c r="F72" s="91" t="s">
        <v>656</v>
      </c>
      <c r="G72" s="91">
        <v>10</v>
      </c>
      <c r="H72" s="91"/>
      <c r="I72" s="102"/>
      <c r="J72" s="91"/>
      <c r="K72" s="99"/>
      <c r="L72" s="91">
        <f t="shared" si="1"/>
        <v>611</v>
      </c>
      <c r="M72" s="101"/>
    </row>
    <row r="73" spans="1:13">
      <c r="A73" s="98">
        <f t="shared" si="0"/>
        <v>64</v>
      </c>
      <c r="B73" s="91"/>
      <c r="C73" s="12" t="s">
        <v>868</v>
      </c>
      <c r="D73" s="12" t="s">
        <v>873</v>
      </c>
      <c r="E73" s="99"/>
      <c r="F73" s="91" t="s">
        <v>656</v>
      </c>
      <c r="G73" s="91">
        <v>44</v>
      </c>
      <c r="H73" s="91"/>
      <c r="I73" s="91"/>
      <c r="J73" s="91"/>
      <c r="K73" s="99"/>
      <c r="L73" s="91">
        <f t="shared" si="1"/>
        <v>621</v>
      </c>
      <c r="M73" s="101"/>
    </row>
    <row r="74" spans="1:13">
      <c r="A74" s="98">
        <f t="shared" si="0"/>
        <v>65</v>
      </c>
      <c r="B74" s="91"/>
      <c r="C74" s="12" t="s">
        <v>847</v>
      </c>
      <c r="D74" s="12" t="s">
        <v>848</v>
      </c>
      <c r="E74" s="99"/>
      <c r="F74" s="91" t="s">
        <v>656</v>
      </c>
      <c r="G74" s="91">
        <v>1</v>
      </c>
      <c r="H74" s="91"/>
      <c r="I74" s="91"/>
      <c r="J74" s="91"/>
      <c r="K74" s="99"/>
      <c r="L74" s="91">
        <f t="shared" si="1"/>
        <v>665</v>
      </c>
      <c r="M74" s="101"/>
    </row>
    <row r="75" spans="1:13">
      <c r="A75" s="98">
        <f t="shared" si="0"/>
        <v>66</v>
      </c>
      <c r="B75" s="91"/>
      <c r="C75" s="12" t="s">
        <v>849</v>
      </c>
      <c r="D75" s="12" t="s">
        <v>850</v>
      </c>
      <c r="E75" s="99"/>
      <c r="F75" s="91" t="s">
        <v>656</v>
      </c>
      <c r="G75" s="91">
        <v>30</v>
      </c>
      <c r="H75" s="91"/>
      <c r="I75" s="91"/>
      <c r="J75" s="91"/>
      <c r="K75" s="99"/>
      <c r="L75" s="91">
        <f t="shared" si="1"/>
        <v>666</v>
      </c>
      <c r="M75" s="101"/>
    </row>
    <row r="76" spans="1:13">
      <c r="A76" s="98">
        <f t="shared" si="0"/>
        <v>67</v>
      </c>
      <c r="B76" s="91"/>
      <c r="C76" s="12" t="s">
        <v>809</v>
      </c>
      <c r="D76" s="12" t="s">
        <v>810</v>
      </c>
      <c r="E76" s="99"/>
      <c r="F76" s="91" t="s">
        <v>98</v>
      </c>
      <c r="G76" s="91">
        <v>14</v>
      </c>
      <c r="H76" s="91">
        <v>0</v>
      </c>
      <c r="I76" s="102" t="s">
        <v>753</v>
      </c>
      <c r="J76" s="91" t="s">
        <v>1148</v>
      </c>
      <c r="K76" s="99"/>
      <c r="L76" s="91">
        <f t="shared" ref="L76:L77" si="2">L75+G75</f>
        <v>696</v>
      </c>
      <c r="M76" s="101"/>
    </row>
    <row r="77" spans="1:13">
      <c r="A77" s="98">
        <f t="shared" si="0"/>
        <v>68</v>
      </c>
      <c r="B77" s="91"/>
      <c r="C77" s="12" t="s">
        <v>879</v>
      </c>
      <c r="D77" s="12" t="s">
        <v>983</v>
      </c>
      <c r="E77" s="99"/>
      <c r="F77" s="91" t="s">
        <v>656</v>
      </c>
      <c r="G77" s="91">
        <v>103</v>
      </c>
      <c r="H77" s="91"/>
      <c r="I77" s="91"/>
      <c r="J77" s="91"/>
      <c r="K77" s="99"/>
      <c r="L77" s="91">
        <f t="shared" si="2"/>
        <v>710</v>
      </c>
      <c r="M77" s="101"/>
    </row>
  </sheetData>
  <mergeCells count="3">
    <mergeCell ref="E6:F6"/>
    <mergeCell ref="H6:I6"/>
    <mergeCell ref="K8:K9"/>
  </mergeCells>
  <phoneticPr fontId="3"/>
  <dataValidations count="4">
    <dataValidation type="list" allowBlank="1" showInputMessage="1" showErrorMessage="1" sqref="J6 E10:E77" xr:uid="{5A5D9113-FBA0-4719-B8D7-92A5C7767560}">
      <formula1>"SJIS,IBM,JIPS_E,JIS"</formula1>
    </dataValidation>
    <dataValidation type="list" allowBlank="1" showInputMessage="1" showErrorMessage="1" sqref="F10:F77" xr:uid="{26BB8A8B-995A-4F3E-B280-0118D9DC4BE8}">
      <formula1>"文字,数値"</formula1>
    </dataValidation>
    <dataValidation type="list" allowBlank="1" showInputMessage="1" showErrorMessage="1" sqref="J10:J77" xr:uid="{FE1E438E-7370-49AB-9A07-057CEC48245D}">
      <formula1>"PAC,UNPAC"</formula1>
    </dataValidation>
    <dataValidation type="list" allowBlank="1" showInputMessage="1" showErrorMessage="1" sqref="K10:K77 I10:I77" xr:uid="{72E9F68E-2457-4D94-A03B-4B086F8873DE}">
      <formula1>"有,無"</formula1>
    </dataValidation>
  </dataValidations>
  <pageMargins left="0.39370078740157483" right="0.39370078740157483" top="0.78740157480314965" bottom="0.78740157480314965" header="0.59055118110236227" footer="0.59055118110236227"/>
  <pageSetup paperSize="9" scale="97" fitToHeight="0" orientation="landscape" r:id="rId1"/>
  <headerFooter alignWithMargins="0">
    <oddFooter>&amp;C&amp;P / &amp;N ページ&amp;RCopyright  ©　富士通株式会社　2016</oddFooter>
  </headerFooter>
  <rowBreaks count="1" manualBreakCount="1">
    <brk id="71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3"/>
  <sheetViews>
    <sheetView view="pageBreakPreview" zoomScale="85" zoomScaleNormal="100" zoomScaleSheetLayoutView="85" workbookViewId="0">
      <pane ySplit="8" topLeftCell="A9" activePane="bottomLeft" state="frozen"/>
      <selection sqref="A1:D4"/>
      <selection pane="bottomLeft" activeCell="A9" sqref="A9"/>
    </sheetView>
  </sheetViews>
  <sheetFormatPr defaultColWidth="7.6640625" defaultRowHeight="13.2"/>
  <cols>
    <col min="1" max="1" width="4" style="1" bestFit="1" customWidth="1"/>
    <col min="2" max="2" width="10.33203125" style="1" bestFit="1" customWidth="1"/>
    <col min="3" max="3" width="26.88671875" style="1" customWidth="1"/>
    <col min="4" max="4" width="24.88671875" style="1" bestFit="1" customWidth="1"/>
    <col min="5" max="5" width="12.1093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59"/>
      <c r="B1" s="60"/>
      <c r="C1" s="60"/>
      <c r="D1" s="60"/>
      <c r="E1" s="60"/>
      <c r="F1" s="60"/>
      <c r="G1" s="60"/>
      <c r="H1" s="60"/>
      <c r="I1" s="61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4"/>
      <c r="B5" s="43"/>
      <c r="C5" s="43"/>
      <c r="D5" s="43"/>
      <c r="E5" s="43"/>
      <c r="F5" s="43"/>
      <c r="G5" s="43"/>
      <c r="H5" s="43"/>
      <c r="I5" s="45"/>
    </row>
    <row r="6" spans="1:9">
      <c r="A6" s="11" t="s">
        <v>36</v>
      </c>
      <c r="B6" s="4" t="s">
        <v>105</v>
      </c>
      <c r="C6" s="4"/>
      <c r="D6" s="4"/>
      <c r="E6" s="3"/>
      <c r="F6" s="3"/>
      <c r="G6" s="3"/>
      <c r="H6" s="3"/>
      <c r="I6" s="8"/>
    </row>
    <row r="7" spans="1:9">
      <c r="A7" s="13" t="s">
        <v>106</v>
      </c>
      <c r="B7" s="62"/>
      <c r="C7" s="62"/>
      <c r="D7" s="62"/>
      <c r="E7" s="62"/>
      <c r="F7" s="62"/>
      <c r="G7" s="62"/>
      <c r="H7" s="294" t="s">
        <v>37</v>
      </c>
      <c r="I7" s="295"/>
    </row>
    <row r="8" spans="1:9" ht="13.5" customHeight="1">
      <c r="A8" s="40" t="s">
        <v>38</v>
      </c>
      <c r="B8" s="39" t="s">
        <v>39</v>
      </c>
      <c r="C8" s="63" t="s">
        <v>40</v>
      </c>
      <c r="D8" s="63" t="s">
        <v>41</v>
      </c>
      <c r="E8" s="63" t="s">
        <v>42</v>
      </c>
      <c r="F8" s="63" t="s">
        <v>43</v>
      </c>
      <c r="G8" s="63" t="s">
        <v>44</v>
      </c>
      <c r="H8" s="34" t="s">
        <v>45</v>
      </c>
      <c r="I8" s="34" t="s">
        <v>46</v>
      </c>
    </row>
    <row r="9" spans="1:9" ht="13.5" customHeight="1">
      <c r="A9" s="12">
        <f>ROW()-8</f>
        <v>1</v>
      </c>
      <c r="B9" s="10"/>
      <c r="C9" s="10" t="s">
        <v>136</v>
      </c>
      <c r="D9" s="10" t="s">
        <v>88</v>
      </c>
      <c r="E9" s="38" t="s">
        <v>79</v>
      </c>
      <c r="F9" s="38">
        <v>10</v>
      </c>
      <c r="G9" s="38"/>
      <c r="H9" s="10"/>
      <c r="I9" s="12"/>
    </row>
    <row r="10" spans="1:9" ht="13.5" customHeight="1">
      <c r="A10" s="12">
        <f t="shared" ref="A10:A38" si="0">ROW()-8</f>
        <v>2</v>
      </c>
      <c r="B10" s="10"/>
      <c r="C10" s="10" t="s">
        <v>107</v>
      </c>
      <c r="D10" s="10" t="s">
        <v>120</v>
      </c>
      <c r="E10" s="38" t="s">
        <v>47</v>
      </c>
      <c r="F10" s="38">
        <v>1</v>
      </c>
      <c r="G10" s="38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108</v>
      </c>
      <c r="D11" s="10" t="s">
        <v>121</v>
      </c>
      <c r="E11" s="38" t="s">
        <v>79</v>
      </c>
      <c r="F11" s="38">
        <v>1</v>
      </c>
      <c r="G11" s="38"/>
      <c r="H11" s="33"/>
      <c r="I11" s="12"/>
    </row>
    <row r="12" spans="1:9" s="2" customFormat="1" ht="13.5" customHeight="1">
      <c r="A12" s="12">
        <f t="shared" si="0"/>
        <v>4</v>
      </c>
      <c r="B12" s="10"/>
      <c r="C12" s="10" t="s">
        <v>109</v>
      </c>
      <c r="D12" s="10" t="s">
        <v>122</v>
      </c>
      <c r="E12" s="38" t="s">
        <v>79</v>
      </c>
      <c r="F12" s="38">
        <v>1</v>
      </c>
      <c r="G12" s="38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110</v>
      </c>
      <c r="D13" s="10" t="s">
        <v>123</v>
      </c>
      <c r="E13" s="38" t="s">
        <v>79</v>
      </c>
      <c r="F13" s="38">
        <v>10</v>
      </c>
      <c r="G13" s="38"/>
      <c r="H13" s="33"/>
      <c r="I13" s="12"/>
    </row>
    <row r="14" spans="1:9" s="2" customFormat="1" ht="13.5" customHeight="1">
      <c r="A14" s="12">
        <f t="shared" si="0"/>
        <v>6</v>
      </c>
      <c r="B14" s="10"/>
      <c r="C14" s="33" t="s">
        <v>73</v>
      </c>
      <c r="D14" s="33" t="s">
        <v>76</v>
      </c>
      <c r="E14" s="38" t="s">
        <v>79</v>
      </c>
      <c r="F14" s="38">
        <v>6</v>
      </c>
      <c r="G14" s="38"/>
      <c r="H14" s="10"/>
      <c r="I14" s="12"/>
    </row>
    <row r="15" spans="1:9" s="2" customFormat="1" ht="13.5" customHeight="1">
      <c r="A15" s="12">
        <f t="shared" si="0"/>
        <v>7</v>
      </c>
      <c r="B15" s="10"/>
      <c r="C15" s="10" t="s">
        <v>72</v>
      </c>
      <c r="D15" s="10" t="s">
        <v>89</v>
      </c>
      <c r="E15" s="38" t="s">
        <v>79</v>
      </c>
      <c r="F15" s="38">
        <v>4</v>
      </c>
      <c r="G15" s="38"/>
      <c r="H15" s="33"/>
      <c r="I15" s="12"/>
    </row>
    <row r="16" spans="1:9" s="2" customFormat="1" ht="13.5" customHeight="1">
      <c r="A16" s="12">
        <f t="shared" si="0"/>
        <v>8</v>
      </c>
      <c r="B16" s="10"/>
      <c r="C16" s="33" t="s">
        <v>111</v>
      </c>
      <c r="D16" s="33" t="s">
        <v>124</v>
      </c>
      <c r="E16" s="38" t="s">
        <v>48</v>
      </c>
      <c r="F16" s="38">
        <v>100</v>
      </c>
      <c r="G16" s="38"/>
      <c r="H16" s="33"/>
      <c r="I16" s="12"/>
    </row>
    <row r="17" spans="1:9" s="2" customFormat="1" ht="13.5" customHeight="1">
      <c r="A17" s="12">
        <f t="shared" si="0"/>
        <v>9</v>
      </c>
      <c r="B17" s="10"/>
      <c r="C17" s="33" t="s">
        <v>112</v>
      </c>
      <c r="D17" s="33" t="s">
        <v>125</v>
      </c>
      <c r="E17" s="38" t="s">
        <v>96</v>
      </c>
      <c r="F17" s="38">
        <v>5</v>
      </c>
      <c r="G17" s="38"/>
      <c r="H17" s="10"/>
      <c r="I17" s="12"/>
    </row>
    <row r="18" spans="1:9" s="2" customFormat="1" ht="13.5" customHeight="1">
      <c r="A18" s="12">
        <f t="shared" si="0"/>
        <v>10</v>
      </c>
      <c r="B18" s="10"/>
      <c r="C18" s="10" t="s">
        <v>113</v>
      </c>
      <c r="D18" s="10" t="s">
        <v>126</v>
      </c>
      <c r="E18" s="38" t="s">
        <v>79</v>
      </c>
      <c r="F18" s="38">
        <v>5</v>
      </c>
      <c r="G18" s="38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83</v>
      </c>
      <c r="D19" s="10" t="s">
        <v>91</v>
      </c>
      <c r="E19" s="38" t="s">
        <v>80</v>
      </c>
      <c r="F19" s="38">
        <v>8</v>
      </c>
      <c r="G19" s="38"/>
      <c r="H19" s="10"/>
      <c r="I19" s="12"/>
    </row>
    <row r="20" spans="1:9" s="2" customFormat="1" ht="13.35" customHeight="1">
      <c r="A20" s="12">
        <f t="shared" si="0"/>
        <v>12</v>
      </c>
      <c r="B20" s="10"/>
      <c r="C20" s="10" t="s">
        <v>114</v>
      </c>
      <c r="D20" s="10" t="s">
        <v>127</v>
      </c>
      <c r="E20" s="38" t="s">
        <v>80</v>
      </c>
      <c r="F20" s="38">
        <v>8</v>
      </c>
      <c r="G20" s="38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74</v>
      </c>
      <c r="D21" s="33" t="s">
        <v>77</v>
      </c>
      <c r="E21" s="38" t="s">
        <v>47</v>
      </c>
      <c r="F21" s="38">
        <v>10</v>
      </c>
      <c r="G21" s="38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115</v>
      </c>
      <c r="D22" s="10" t="s">
        <v>128</v>
      </c>
      <c r="E22" s="38" t="s">
        <v>79</v>
      </c>
      <c r="F22" s="38">
        <v>10</v>
      </c>
      <c r="G22" s="38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84</v>
      </c>
      <c r="D23" s="10" t="s">
        <v>92</v>
      </c>
      <c r="E23" s="38" t="s">
        <v>79</v>
      </c>
      <c r="F23" s="38">
        <v>1</v>
      </c>
      <c r="G23" s="38"/>
      <c r="H23" s="33"/>
      <c r="I23" s="12" t="s">
        <v>1069</v>
      </c>
    </row>
    <row r="24" spans="1:9" s="2" customFormat="1" ht="13.5" customHeight="1">
      <c r="A24" s="12">
        <f t="shared" si="0"/>
        <v>16</v>
      </c>
      <c r="B24" s="10"/>
      <c r="C24" s="10" t="s">
        <v>85</v>
      </c>
      <c r="D24" s="10" t="s">
        <v>93</v>
      </c>
      <c r="E24" s="38" t="s">
        <v>48</v>
      </c>
      <c r="F24" s="38">
        <v>19</v>
      </c>
      <c r="G24" s="38"/>
      <c r="H24" s="33"/>
      <c r="I24" s="12"/>
    </row>
    <row r="25" spans="1:9" s="2" customFormat="1" ht="13.5" customHeight="1">
      <c r="A25" s="12">
        <f t="shared" si="0"/>
        <v>17</v>
      </c>
      <c r="B25" s="10"/>
      <c r="C25" s="33" t="s">
        <v>86</v>
      </c>
      <c r="D25" s="33" t="s">
        <v>94</v>
      </c>
      <c r="E25" s="38" t="s">
        <v>47</v>
      </c>
      <c r="F25" s="38">
        <v>1</v>
      </c>
      <c r="G25" s="38"/>
      <c r="H25" s="10"/>
      <c r="I25" s="12"/>
    </row>
    <row r="26" spans="1:9" s="2" customFormat="1" ht="13.5" customHeight="1">
      <c r="A26" s="12">
        <f t="shared" si="0"/>
        <v>18</v>
      </c>
      <c r="B26" s="10"/>
      <c r="C26" s="33" t="s">
        <v>116</v>
      </c>
      <c r="D26" s="33" t="s">
        <v>129</v>
      </c>
      <c r="E26" s="38" t="s">
        <v>81</v>
      </c>
      <c r="F26" s="38">
        <v>25</v>
      </c>
      <c r="G26" s="38"/>
      <c r="H26" s="10"/>
      <c r="I26" s="12"/>
    </row>
    <row r="27" spans="1:9" s="2" customFormat="1" ht="13.5" customHeight="1">
      <c r="A27" s="12">
        <f t="shared" si="0"/>
        <v>19</v>
      </c>
      <c r="B27" s="10"/>
      <c r="C27" s="10" t="s">
        <v>82</v>
      </c>
      <c r="D27" s="10" t="s">
        <v>90</v>
      </c>
      <c r="E27" s="38" t="s">
        <v>47</v>
      </c>
      <c r="F27" s="38">
        <v>10</v>
      </c>
      <c r="G27" s="38"/>
      <c r="H27" s="33"/>
      <c r="I27" s="12"/>
    </row>
    <row r="28" spans="1:9" s="2" customFormat="1" ht="13.5" customHeight="1">
      <c r="A28" s="12">
        <f t="shared" si="0"/>
        <v>20</v>
      </c>
      <c r="B28" s="10"/>
      <c r="C28" s="33" t="s">
        <v>117</v>
      </c>
      <c r="D28" s="33" t="s">
        <v>130</v>
      </c>
      <c r="E28" s="38" t="s">
        <v>81</v>
      </c>
      <c r="F28" s="38">
        <v>30</v>
      </c>
      <c r="G28" s="38"/>
      <c r="H28" s="10"/>
      <c r="I28" s="12"/>
    </row>
    <row r="29" spans="1:9" s="2" customFormat="1" ht="13.5" customHeight="1">
      <c r="A29" s="12">
        <f t="shared" si="0"/>
        <v>21</v>
      </c>
      <c r="B29" s="10"/>
      <c r="C29" s="10" t="s">
        <v>118</v>
      </c>
      <c r="D29" s="10" t="s">
        <v>131</v>
      </c>
      <c r="E29" s="38" t="s">
        <v>81</v>
      </c>
      <c r="F29" s="38">
        <v>23</v>
      </c>
      <c r="G29" s="38"/>
      <c r="H29" s="33"/>
      <c r="I29" s="12"/>
    </row>
    <row r="30" spans="1:9" s="2" customFormat="1" ht="13.5" customHeight="1">
      <c r="A30" s="12">
        <f t="shared" si="0"/>
        <v>22</v>
      </c>
      <c r="B30" s="10"/>
      <c r="C30" s="10" t="s">
        <v>87</v>
      </c>
      <c r="D30" s="10" t="s">
        <v>95</v>
      </c>
      <c r="E30" s="38" t="s">
        <v>67</v>
      </c>
      <c r="F30" s="38">
        <v>10</v>
      </c>
      <c r="G30" s="38">
        <v>0</v>
      </c>
      <c r="H30" s="33" t="s">
        <v>992</v>
      </c>
      <c r="I30" s="12"/>
    </row>
    <row r="31" spans="1:9" s="2" customFormat="1" ht="13.5" customHeight="1">
      <c r="A31" s="12">
        <f t="shared" si="0"/>
        <v>23</v>
      </c>
      <c r="B31" s="10"/>
      <c r="C31" s="10" t="s">
        <v>49</v>
      </c>
      <c r="D31" s="10" t="s">
        <v>50</v>
      </c>
      <c r="E31" s="38" t="s">
        <v>47</v>
      </c>
      <c r="F31" s="38">
        <v>1</v>
      </c>
      <c r="G31" s="38"/>
      <c r="H31" s="33"/>
      <c r="I31" s="12"/>
    </row>
    <row r="32" spans="1:9" s="2" customFormat="1" ht="13.5" customHeight="1">
      <c r="A32" s="12">
        <f t="shared" si="0"/>
        <v>24</v>
      </c>
      <c r="B32" s="10"/>
      <c r="C32" s="10" t="s">
        <v>51</v>
      </c>
      <c r="D32" s="10" t="s">
        <v>52</v>
      </c>
      <c r="E32" s="38" t="s">
        <v>48</v>
      </c>
      <c r="F32" s="38">
        <v>19</v>
      </c>
      <c r="G32" s="38"/>
      <c r="H32" s="33"/>
      <c r="I32" s="12"/>
    </row>
    <row r="33" spans="1:9" s="2" customFormat="1" ht="13.5" customHeight="1">
      <c r="A33" s="12">
        <f t="shared" si="0"/>
        <v>25</v>
      </c>
      <c r="B33" s="10"/>
      <c r="C33" s="33" t="s">
        <v>53</v>
      </c>
      <c r="D33" s="33" t="s">
        <v>54</v>
      </c>
      <c r="E33" s="38" t="s">
        <v>68</v>
      </c>
      <c r="F33" s="38">
        <v>20</v>
      </c>
      <c r="G33" s="38"/>
      <c r="H33" s="10"/>
      <c r="I33" s="12"/>
    </row>
    <row r="34" spans="1:9" s="2" customFormat="1" ht="13.5" customHeight="1">
      <c r="A34" s="12">
        <f t="shared" si="0"/>
        <v>26</v>
      </c>
      <c r="B34" s="10"/>
      <c r="C34" s="33" t="s">
        <v>56</v>
      </c>
      <c r="D34" s="33" t="s">
        <v>57</v>
      </c>
      <c r="E34" s="38" t="s">
        <v>48</v>
      </c>
      <c r="F34" s="38">
        <v>64</v>
      </c>
      <c r="G34" s="38"/>
      <c r="H34" s="10"/>
      <c r="I34" s="12"/>
    </row>
    <row r="35" spans="1:9" s="2" customFormat="1" ht="13.5" customHeight="1">
      <c r="A35" s="12">
        <f t="shared" si="0"/>
        <v>27</v>
      </c>
      <c r="B35" s="10"/>
      <c r="C35" s="10" t="s">
        <v>58</v>
      </c>
      <c r="D35" s="10" t="s">
        <v>59</v>
      </c>
      <c r="E35" s="38" t="s">
        <v>48</v>
      </c>
      <c r="F35" s="38">
        <v>19</v>
      </c>
      <c r="G35" s="38"/>
      <c r="H35" s="33"/>
      <c r="I35" s="12" t="s">
        <v>69</v>
      </c>
    </row>
    <row r="36" spans="1:9" s="2" customFormat="1" ht="13.5" customHeight="1">
      <c r="A36" s="12">
        <f t="shared" si="0"/>
        <v>28</v>
      </c>
      <c r="B36" s="10"/>
      <c r="C36" s="10" t="s">
        <v>60</v>
      </c>
      <c r="D36" s="10" t="s">
        <v>61</v>
      </c>
      <c r="E36" s="38" t="s">
        <v>68</v>
      </c>
      <c r="F36" s="38">
        <v>20</v>
      </c>
      <c r="G36" s="38"/>
      <c r="H36" s="33"/>
      <c r="I36" s="12" t="s">
        <v>55</v>
      </c>
    </row>
    <row r="37" spans="1:9" s="2" customFormat="1" ht="13.5" customHeight="1">
      <c r="A37" s="12">
        <f t="shared" si="0"/>
        <v>29</v>
      </c>
      <c r="B37" s="10"/>
      <c r="C37" s="10" t="s">
        <v>119</v>
      </c>
      <c r="D37" s="10" t="s">
        <v>63</v>
      </c>
      <c r="E37" s="38" t="s">
        <v>48</v>
      </c>
      <c r="F37" s="38">
        <v>64</v>
      </c>
      <c r="G37" s="38"/>
      <c r="H37" s="33"/>
      <c r="I37" s="12" t="s">
        <v>994</v>
      </c>
    </row>
    <row r="38" spans="1:9" s="2" customFormat="1" ht="13.5" customHeight="1">
      <c r="A38" s="12">
        <f t="shared" si="0"/>
        <v>30</v>
      </c>
      <c r="B38" s="10"/>
      <c r="C38" s="10" t="s">
        <v>64</v>
      </c>
      <c r="D38" s="10" t="s">
        <v>65</v>
      </c>
      <c r="E38" s="38" t="s">
        <v>67</v>
      </c>
      <c r="F38" s="38">
        <v>9</v>
      </c>
      <c r="G38" s="38">
        <v>0</v>
      </c>
      <c r="H38" s="33"/>
      <c r="I38" s="12" t="s">
        <v>97</v>
      </c>
    </row>
    <row r="39" spans="1:9" s="2" customFormat="1" ht="12"/>
    <row r="40" spans="1:9" s="2" customFormat="1" ht="12"/>
    <row r="41" spans="1:9" s="2" customFormat="1" ht="12"/>
    <row r="42" spans="1:9" s="2" customFormat="1" ht="12"/>
    <row r="43" spans="1:9" s="2" customFormat="1" ht="12"/>
    <row r="44" spans="1:9" s="2" customFormat="1" ht="12"/>
    <row r="45" spans="1:9" s="2" customFormat="1" ht="12"/>
    <row r="46" spans="1:9" s="2" customFormat="1" ht="12"/>
    <row r="47" spans="1:9" s="2" customFormat="1" ht="12"/>
    <row r="48" spans="1:9" s="2" customFormat="1" ht="12"/>
    <row r="49" s="2" customFormat="1" ht="12"/>
    <row r="50" s="2" customFormat="1" ht="12"/>
    <row r="51" s="2" customFormat="1" ht="12"/>
    <row r="52" s="2" customFormat="1" ht="12"/>
    <row r="53" s="2" customFormat="1" ht="12"/>
  </sheetData>
  <mergeCells count="1">
    <mergeCell ref="H7:I7"/>
  </mergeCells>
  <phoneticPr fontId="3"/>
  <dataValidations count="1">
    <dataValidation type="list" allowBlank="1" showInputMessage="1" showErrorMessage="1" sqref="E9:E38" xr:uid="{00000000-0002-0000-0300-000000000000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24C2-05D7-428A-BD60-971B8A015EA1}">
  <sheetPr>
    <pageSetUpPr fitToPage="1"/>
  </sheetPr>
  <dimension ref="A1:I283"/>
  <sheetViews>
    <sheetView view="pageBreakPreview" zoomScale="85" zoomScaleNormal="100" zoomScaleSheetLayoutView="85" workbookViewId="0">
      <pane ySplit="8" topLeftCell="A9" activePane="bottomLeft" state="frozen"/>
      <selection sqref="A1:D4"/>
      <selection pane="bottomLeft" activeCell="A9" sqref="A9"/>
    </sheetView>
  </sheetViews>
  <sheetFormatPr defaultColWidth="7.6640625" defaultRowHeight="13.2"/>
  <cols>
    <col min="1" max="1" width="3.109375" style="1" customWidth="1"/>
    <col min="2" max="2" width="10.33203125" style="1" bestFit="1" customWidth="1"/>
    <col min="3" max="3" width="25.33203125" style="1" bestFit="1" customWidth="1"/>
    <col min="4" max="4" width="24.88671875" style="1" bestFit="1" customWidth="1"/>
    <col min="5" max="5" width="12.1093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59"/>
      <c r="B1" s="60"/>
      <c r="C1" s="60"/>
      <c r="D1" s="60"/>
      <c r="E1" s="60"/>
      <c r="F1" s="60"/>
      <c r="G1" s="60"/>
      <c r="H1" s="60"/>
      <c r="I1" s="61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4"/>
      <c r="B5" s="43"/>
      <c r="C5" s="43"/>
      <c r="D5" s="43"/>
      <c r="E5" s="43"/>
      <c r="F5" s="43"/>
      <c r="G5" s="43"/>
      <c r="H5" s="43"/>
      <c r="I5" s="45"/>
    </row>
    <row r="6" spans="1:9">
      <c r="A6" s="11" t="s">
        <v>36</v>
      </c>
      <c r="B6" s="4" t="s">
        <v>1149</v>
      </c>
      <c r="C6" s="4"/>
      <c r="D6" s="4"/>
      <c r="E6" s="3"/>
      <c r="F6" s="3"/>
      <c r="G6" s="3"/>
      <c r="H6" s="3"/>
      <c r="I6" s="8"/>
    </row>
    <row r="7" spans="1:9">
      <c r="A7" s="13" t="s">
        <v>132</v>
      </c>
      <c r="B7" s="62"/>
      <c r="C7" s="62"/>
      <c r="D7" s="62"/>
      <c r="E7" s="62"/>
      <c r="F7" s="62"/>
      <c r="G7" s="62"/>
      <c r="H7" s="294" t="s">
        <v>37</v>
      </c>
      <c r="I7" s="295"/>
    </row>
    <row r="8" spans="1:9" ht="13.5" customHeight="1">
      <c r="A8" s="40" t="s">
        <v>38</v>
      </c>
      <c r="B8" s="39" t="s">
        <v>39</v>
      </c>
      <c r="C8" s="63" t="s">
        <v>40</v>
      </c>
      <c r="D8" s="63" t="s">
        <v>41</v>
      </c>
      <c r="E8" s="63" t="s">
        <v>42</v>
      </c>
      <c r="F8" s="63" t="s">
        <v>43</v>
      </c>
      <c r="G8" s="63" t="s">
        <v>44</v>
      </c>
      <c r="H8" s="34" t="s">
        <v>45</v>
      </c>
      <c r="I8" s="34" t="s">
        <v>46</v>
      </c>
    </row>
    <row r="9" spans="1:9" ht="13.5" customHeight="1">
      <c r="A9" s="12">
        <f>ROW()-8</f>
        <v>1</v>
      </c>
      <c r="B9" s="10"/>
      <c r="C9" s="10" t="s">
        <v>115</v>
      </c>
      <c r="D9" s="10" t="s">
        <v>128</v>
      </c>
      <c r="E9" s="38" t="s">
        <v>79</v>
      </c>
      <c r="F9" s="38">
        <v>10</v>
      </c>
      <c r="G9" s="38"/>
      <c r="H9" s="10"/>
      <c r="I9" s="12"/>
    </row>
    <row r="10" spans="1:9" ht="13.5" customHeight="1">
      <c r="A10" s="12">
        <f t="shared" ref="A10:A28" si="0">ROW()-8</f>
        <v>2</v>
      </c>
      <c r="B10" s="10"/>
      <c r="C10" s="10" t="s">
        <v>73</v>
      </c>
      <c r="D10" s="10" t="s">
        <v>76</v>
      </c>
      <c r="E10" s="38" t="s">
        <v>79</v>
      </c>
      <c r="F10" s="38">
        <v>6</v>
      </c>
      <c r="G10" s="38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72</v>
      </c>
      <c r="D11" s="10" t="s">
        <v>89</v>
      </c>
      <c r="E11" s="38" t="s">
        <v>79</v>
      </c>
      <c r="F11" s="38">
        <v>4</v>
      </c>
      <c r="G11" s="38"/>
      <c r="H11" s="10"/>
      <c r="I11" s="12"/>
    </row>
    <row r="12" spans="1:9" s="2" customFormat="1" ht="13.5" customHeight="1">
      <c r="A12" s="12">
        <f t="shared" si="0"/>
        <v>4</v>
      </c>
      <c r="B12" s="10"/>
      <c r="C12" s="10" t="s">
        <v>142</v>
      </c>
      <c r="D12" s="10" t="s">
        <v>143</v>
      </c>
      <c r="E12" s="38" t="s">
        <v>47</v>
      </c>
      <c r="F12" s="38">
        <v>1</v>
      </c>
      <c r="G12" s="38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144</v>
      </c>
      <c r="D13" s="10" t="s">
        <v>145</v>
      </c>
      <c r="E13" s="38" t="s">
        <v>47</v>
      </c>
      <c r="F13" s="38">
        <v>10</v>
      </c>
      <c r="G13" s="38"/>
      <c r="H13" s="33"/>
      <c r="I13" s="12"/>
    </row>
    <row r="14" spans="1:9" s="2" customFormat="1" ht="13.5" customHeight="1">
      <c r="A14" s="12">
        <f t="shared" si="0"/>
        <v>6</v>
      </c>
      <c r="B14" s="10"/>
      <c r="C14" s="10" t="s">
        <v>146</v>
      </c>
      <c r="D14" s="10" t="s">
        <v>147</v>
      </c>
      <c r="E14" s="38" t="s">
        <v>47</v>
      </c>
      <c r="F14" s="38">
        <v>10</v>
      </c>
      <c r="G14" s="38"/>
      <c r="H14" s="33"/>
      <c r="I14" s="12"/>
    </row>
    <row r="15" spans="1:9" s="2" customFormat="1" ht="13.5" customHeight="1">
      <c r="A15" s="12">
        <f t="shared" si="0"/>
        <v>7</v>
      </c>
      <c r="B15" s="10"/>
      <c r="C15" s="33" t="s">
        <v>148</v>
      </c>
      <c r="D15" s="33" t="s">
        <v>149</v>
      </c>
      <c r="E15" s="38" t="s">
        <v>96</v>
      </c>
      <c r="F15" s="38">
        <v>5</v>
      </c>
      <c r="G15" s="38"/>
      <c r="H15" s="33"/>
      <c r="I15" s="12"/>
    </row>
    <row r="16" spans="1:9" s="2" customFormat="1" ht="13.5" customHeight="1">
      <c r="A16" s="12">
        <f t="shared" si="0"/>
        <v>8</v>
      </c>
      <c r="B16" s="10"/>
      <c r="C16" s="10" t="s">
        <v>150</v>
      </c>
      <c r="D16" s="10" t="s">
        <v>151</v>
      </c>
      <c r="E16" s="38" t="s">
        <v>96</v>
      </c>
      <c r="F16" s="38">
        <v>5</v>
      </c>
      <c r="G16" s="38"/>
      <c r="H16" s="10"/>
      <c r="I16" s="12"/>
    </row>
    <row r="17" spans="1:9" s="2" customFormat="1" ht="13.5" customHeight="1">
      <c r="A17" s="12">
        <f t="shared" si="0"/>
        <v>9</v>
      </c>
      <c r="B17" s="10"/>
      <c r="C17" s="33" t="s">
        <v>152</v>
      </c>
      <c r="D17" s="33" t="s">
        <v>153</v>
      </c>
      <c r="E17" s="38" t="s">
        <v>96</v>
      </c>
      <c r="F17" s="38">
        <v>5</v>
      </c>
      <c r="G17" s="38"/>
      <c r="H17" s="33"/>
      <c r="I17" s="12"/>
    </row>
    <row r="18" spans="1:9" s="2" customFormat="1" ht="13.5" customHeight="1">
      <c r="A18" s="12">
        <f t="shared" si="0"/>
        <v>10</v>
      </c>
      <c r="B18" s="10"/>
      <c r="C18" s="33" t="s">
        <v>154</v>
      </c>
      <c r="D18" s="33" t="s">
        <v>155</v>
      </c>
      <c r="E18" s="38" t="s">
        <v>96</v>
      </c>
      <c r="F18" s="38">
        <v>5</v>
      </c>
      <c r="G18" s="38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156</v>
      </c>
      <c r="D19" s="10" t="s">
        <v>157</v>
      </c>
      <c r="E19" s="38" t="s">
        <v>47</v>
      </c>
      <c r="F19" s="38">
        <v>1</v>
      </c>
      <c r="G19" s="38"/>
      <c r="H19" s="10"/>
      <c r="I19" s="12"/>
    </row>
    <row r="20" spans="1:9" s="2" customFormat="1" ht="13.5" customHeight="1">
      <c r="A20" s="12">
        <f t="shared" si="0"/>
        <v>12</v>
      </c>
      <c r="B20" s="10"/>
      <c r="C20" s="10" t="s">
        <v>74</v>
      </c>
      <c r="D20" s="10" t="s">
        <v>77</v>
      </c>
      <c r="E20" s="38" t="s">
        <v>47</v>
      </c>
      <c r="F20" s="38">
        <v>10</v>
      </c>
      <c r="G20" s="38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158</v>
      </c>
      <c r="D21" s="33" t="s">
        <v>159</v>
      </c>
      <c r="E21" s="38" t="s">
        <v>47</v>
      </c>
      <c r="F21" s="38">
        <v>10</v>
      </c>
      <c r="G21" s="38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160</v>
      </c>
      <c r="D22" s="10" t="s">
        <v>161</v>
      </c>
      <c r="E22" s="38" t="s">
        <v>47</v>
      </c>
      <c r="F22" s="38">
        <v>1</v>
      </c>
      <c r="G22" s="38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82</v>
      </c>
      <c r="D23" s="10" t="s">
        <v>90</v>
      </c>
      <c r="E23" s="38" t="s">
        <v>47</v>
      </c>
      <c r="F23" s="38">
        <v>10</v>
      </c>
      <c r="G23" s="38"/>
      <c r="H23" s="33"/>
      <c r="I23" s="12"/>
    </row>
    <row r="24" spans="1:9" s="2" customFormat="1" ht="13.5" customHeight="1">
      <c r="A24" s="12">
        <f t="shared" si="0"/>
        <v>16</v>
      </c>
      <c r="B24" s="10"/>
      <c r="C24" s="10" t="s">
        <v>162</v>
      </c>
      <c r="D24" s="10" t="s">
        <v>163</v>
      </c>
      <c r="E24" s="38" t="s">
        <v>47</v>
      </c>
      <c r="F24" s="38">
        <v>10</v>
      </c>
      <c r="G24" s="38"/>
      <c r="H24" s="33"/>
      <c r="I24" s="12"/>
    </row>
    <row r="25" spans="1:9" s="2" customFormat="1" ht="13.5" customHeight="1">
      <c r="A25" s="12">
        <f t="shared" si="0"/>
        <v>17</v>
      </c>
      <c r="B25" s="10"/>
      <c r="C25" s="10" t="s">
        <v>164</v>
      </c>
      <c r="D25" s="10" t="s">
        <v>165</v>
      </c>
      <c r="E25" s="38" t="s">
        <v>47</v>
      </c>
      <c r="F25" s="38">
        <v>2</v>
      </c>
      <c r="G25" s="38"/>
      <c r="H25" s="33"/>
      <c r="I25" s="12"/>
    </row>
    <row r="26" spans="1:9" s="2" customFormat="1" ht="13.5" customHeight="1">
      <c r="A26" s="12">
        <f t="shared" si="0"/>
        <v>18</v>
      </c>
      <c r="B26" s="10"/>
      <c r="C26" s="33" t="s">
        <v>166</v>
      </c>
      <c r="D26" s="33" t="s">
        <v>167</v>
      </c>
      <c r="E26" s="38" t="s">
        <v>47</v>
      </c>
      <c r="F26" s="38">
        <v>1</v>
      </c>
      <c r="G26" s="38"/>
      <c r="H26" s="10"/>
      <c r="I26" s="12"/>
    </row>
    <row r="27" spans="1:9" s="2" customFormat="1" ht="13.5" customHeight="1">
      <c r="A27" s="12">
        <f t="shared" si="0"/>
        <v>19</v>
      </c>
      <c r="B27" s="10"/>
      <c r="C27" s="33" t="s">
        <v>168</v>
      </c>
      <c r="D27" s="33" t="s">
        <v>169</v>
      </c>
      <c r="E27" s="38" t="s">
        <v>47</v>
      </c>
      <c r="F27" s="38">
        <v>4</v>
      </c>
      <c r="G27" s="38"/>
      <c r="H27" s="10"/>
      <c r="I27" s="12"/>
    </row>
    <row r="28" spans="1:9" s="2" customFormat="1" ht="13.5" customHeight="1">
      <c r="A28" s="12">
        <f t="shared" si="0"/>
        <v>20</v>
      </c>
      <c r="B28" s="10"/>
      <c r="C28" s="10" t="s">
        <v>170</v>
      </c>
      <c r="D28" s="10" t="s">
        <v>171</v>
      </c>
      <c r="E28" s="38" t="s">
        <v>47</v>
      </c>
      <c r="F28" s="38">
        <v>4</v>
      </c>
      <c r="G28" s="38"/>
      <c r="H28" s="33"/>
      <c r="I28" s="12"/>
    </row>
    <row r="29" spans="1:9" ht="13.5" customHeight="1">
      <c r="A29" s="12">
        <f>ROW()-8</f>
        <v>21</v>
      </c>
      <c r="B29" s="10"/>
      <c r="C29" s="10" t="s">
        <v>172</v>
      </c>
      <c r="D29" s="10" t="s">
        <v>173</v>
      </c>
      <c r="E29" s="38" t="s">
        <v>47</v>
      </c>
      <c r="F29" s="38">
        <v>2</v>
      </c>
      <c r="G29" s="38"/>
      <c r="H29" s="10"/>
      <c r="I29" s="12"/>
    </row>
    <row r="30" spans="1:9" ht="13.5" customHeight="1">
      <c r="A30" s="12">
        <f t="shared" ref="A30:A48" si="1">ROW()-8</f>
        <v>22</v>
      </c>
      <c r="B30" s="10"/>
      <c r="C30" s="10" t="s">
        <v>174</v>
      </c>
      <c r="D30" s="10" t="s">
        <v>175</v>
      </c>
      <c r="E30" s="38" t="s">
        <v>47</v>
      </c>
      <c r="F30" s="38">
        <v>3</v>
      </c>
      <c r="G30" s="38"/>
      <c r="H30" s="10"/>
      <c r="I30" s="12"/>
    </row>
    <row r="31" spans="1:9" s="2" customFormat="1" ht="13.5" customHeight="1">
      <c r="A31" s="12">
        <f t="shared" si="1"/>
        <v>23</v>
      </c>
      <c r="B31" s="10"/>
      <c r="C31" s="10" t="s">
        <v>176</v>
      </c>
      <c r="D31" s="10" t="s">
        <v>177</v>
      </c>
      <c r="E31" s="38" t="s">
        <v>47</v>
      </c>
      <c r="F31" s="38">
        <v>3</v>
      </c>
      <c r="G31" s="38"/>
      <c r="H31" s="10"/>
      <c r="I31" s="12"/>
    </row>
    <row r="32" spans="1:9" s="2" customFormat="1" ht="13.5" customHeight="1">
      <c r="A32" s="12">
        <f t="shared" si="1"/>
        <v>24</v>
      </c>
      <c r="B32" s="10"/>
      <c r="C32" s="10" t="s">
        <v>178</v>
      </c>
      <c r="D32" s="10" t="s">
        <v>179</v>
      </c>
      <c r="E32" s="38" t="s">
        <v>48</v>
      </c>
      <c r="F32" s="38">
        <v>50</v>
      </c>
      <c r="G32" s="38"/>
      <c r="H32" s="33"/>
      <c r="I32" s="12"/>
    </row>
    <row r="33" spans="1:9" s="2" customFormat="1" ht="13.5" customHeight="1">
      <c r="A33" s="12">
        <f t="shared" si="1"/>
        <v>25</v>
      </c>
      <c r="B33" s="10"/>
      <c r="C33" s="10" t="s">
        <v>180</v>
      </c>
      <c r="D33" s="10" t="s">
        <v>181</v>
      </c>
      <c r="E33" s="38" t="s">
        <v>48</v>
      </c>
      <c r="F33" s="38">
        <v>50</v>
      </c>
      <c r="G33" s="38"/>
      <c r="H33" s="33"/>
      <c r="I33" s="12"/>
    </row>
    <row r="34" spans="1:9" s="2" customFormat="1" ht="13.5" customHeight="1">
      <c r="A34" s="12">
        <f t="shared" si="1"/>
        <v>26</v>
      </c>
      <c r="B34" s="10"/>
      <c r="C34" s="10" t="s">
        <v>182</v>
      </c>
      <c r="D34" s="10" t="s">
        <v>183</v>
      </c>
      <c r="E34" s="38" t="s">
        <v>68</v>
      </c>
      <c r="F34" s="38">
        <v>5</v>
      </c>
      <c r="G34" s="38"/>
      <c r="H34" s="33"/>
      <c r="I34" s="12"/>
    </row>
    <row r="35" spans="1:9" s="2" customFormat="1" ht="13.5" customHeight="1">
      <c r="A35" s="12">
        <f t="shared" si="1"/>
        <v>27</v>
      </c>
      <c r="B35" s="10"/>
      <c r="C35" s="33" t="s">
        <v>184</v>
      </c>
      <c r="D35" s="33" t="s">
        <v>185</v>
      </c>
      <c r="E35" s="38" t="s">
        <v>81</v>
      </c>
      <c r="F35" s="38">
        <v>30</v>
      </c>
      <c r="G35" s="38"/>
      <c r="H35" s="33"/>
      <c r="I35" s="12"/>
    </row>
    <row r="36" spans="1:9" s="2" customFormat="1" ht="13.5" customHeight="1">
      <c r="A36" s="12">
        <f t="shared" si="1"/>
        <v>28</v>
      </c>
      <c r="B36" s="10"/>
      <c r="C36" s="10" t="s">
        <v>186</v>
      </c>
      <c r="D36" s="10" t="s">
        <v>187</v>
      </c>
      <c r="E36" s="38" t="s">
        <v>81</v>
      </c>
      <c r="F36" s="38">
        <v>30</v>
      </c>
      <c r="G36" s="38"/>
      <c r="H36" s="10"/>
      <c r="I36" s="12"/>
    </row>
    <row r="37" spans="1:9" s="2" customFormat="1" ht="13.5" customHeight="1">
      <c r="A37" s="12">
        <f t="shared" si="1"/>
        <v>29</v>
      </c>
      <c r="B37" s="10"/>
      <c r="C37" s="33" t="s">
        <v>188</v>
      </c>
      <c r="D37" s="33" t="s">
        <v>189</v>
      </c>
      <c r="E37" s="38" t="s">
        <v>81</v>
      </c>
      <c r="F37" s="38">
        <v>15</v>
      </c>
      <c r="G37" s="38"/>
      <c r="H37" s="33"/>
      <c r="I37" s="12"/>
    </row>
    <row r="38" spans="1:9" s="2" customFormat="1" ht="13.5" customHeight="1">
      <c r="A38" s="12">
        <f t="shared" si="1"/>
        <v>30</v>
      </c>
      <c r="B38" s="10"/>
      <c r="C38" s="33" t="s">
        <v>117</v>
      </c>
      <c r="D38" s="33" t="s">
        <v>130</v>
      </c>
      <c r="E38" s="38" t="s">
        <v>81</v>
      </c>
      <c r="F38" s="38">
        <v>30</v>
      </c>
      <c r="G38" s="38"/>
      <c r="H38" s="33"/>
      <c r="I38" s="12"/>
    </row>
    <row r="39" spans="1:9" s="2" customFormat="1" ht="13.5" customHeight="1">
      <c r="A39" s="12">
        <f t="shared" si="1"/>
        <v>31</v>
      </c>
      <c r="B39" s="10"/>
      <c r="C39" s="10" t="s">
        <v>87</v>
      </c>
      <c r="D39" s="10" t="s">
        <v>95</v>
      </c>
      <c r="E39" s="38" t="s">
        <v>67</v>
      </c>
      <c r="F39" s="38">
        <v>10</v>
      </c>
      <c r="G39" s="38">
        <v>0</v>
      </c>
      <c r="H39" s="10"/>
      <c r="I39" s="12"/>
    </row>
    <row r="40" spans="1:9" s="2" customFormat="1" ht="13.5" customHeight="1">
      <c r="A40" s="12">
        <f t="shared" si="1"/>
        <v>32</v>
      </c>
      <c r="B40" s="10"/>
      <c r="C40" s="10" t="s">
        <v>190</v>
      </c>
      <c r="D40" s="10" t="s">
        <v>191</v>
      </c>
      <c r="E40" s="38" t="s">
        <v>80</v>
      </c>
      <c r="F40" s="38">
        <v>8</v>
      </c>
      <c r="G40" s="38"/>
      <c r="H40" s="33"/>
      <c r="I40" s="12"/>
    </row>
    <row r="41" spans="1:9" s="2" customFormat="1" ht="13.5" customHeight="1">
      <c r="A41" s="12">
        <f t="shared" si="1"/>
        <v>33</v>
      </c>
      <c r="B41" s="10"/>
      <c r="C41" s="33" t="s">
        <v>192</v>
      </c>
      <c r="D41" s="33" t="s">
        <v>193</v>
      </c>
      <c r="E41" s="38" t="s">
        <v>47</v>
      </c>
      <c r="F41" s="38">
        <v>6</v>
      </c>
      <c r="G41" s="38"/>
      <c r="H41" s="10"/>
      <c r="I41" s="12"/>
    </row>
    <row r="42" spans="1:9" s="2" customFormat="1" ht="13.5" customHeight="1">
      <c r="A42" s="12">
        <f t="shared" si="1"/>
        <v>34</v>
      </c>
      <c r="B42" s="10"/>
      <c r="C42" s="10" t="s">
        <v>194</v>
      </c>
      <c r="D42" s="10" t="s">
        <v>195</v>
      </c>
      <c r="E42" s="38" t="s">
        <v>48</v>
      </c>
      <c r="F42" s="38">
        <v>120</v>
      </c>
      <c r="G42" s="38"/>
      <c r="H42" s="33"/>
      <c r="I42" s="12"/>
    </row>
    <row r="43" spans="1:9" s="2" customFormat="1" ht="13.5" customHeight="1">
      <c r="A43" s="12">
        <f t="shared" si="1"/>
        <v>35</v>
      </c>
      <c r="B43" s="10"/>
      <c r="C43" s="10" t="s">
        <v>111</v>
      </c>
      <c r="D43" s="10" t="s">
        <v>124</v>
      </c>
      <c r="E43" s="38" t="s">
        <v>48</v>
      </c>
      <c r="F43" s="38">
        <v>100</v>
      </c>
      <c r="G43" s="38"/>
      <c r="H43" s="33"/>
      <c r="I43" s="12"/>
    </row>
    <row r="44" spans="1:9" s="2" customFormat="1" ht="13.5" customHeight="1">
      <c r="A44" s="12">
        <f t="shared" si="1"/>
        <v>36</v>
      </c>
      <c r="B44" s="10"/>
      <c r="C44" s="10" t="s">
        <v>196</v>
      </c>
      <c r="D44" s="10" t="s">
        <v>197</v>
      </c>
      <c r="E44" s="38" t="s">
        <v>48</v>
      </c>
      <c r="F44" s="38">
        <v>200</v>
      </c>
      <c r="G44" s="38"/>
      <c r="H44" s="33"/>
      <c r="I44" s="12"/>
    </row>
    <row r="45" spans="1:9" s="2" customFormat="1" ht="13.5" customHeight="1">
      <c r="A45" s="12">
        <f t="shared" si="1"/>
        <v>37</v>
      </c>
      <c r="B45" s="10"/>
      <c r="C45" s="10" t="s">
        <v>198</v>
      </c>
      <c r="D45" s="10" t="s">
        <v>199</v>
      </c>
      <c r="E45" s="38" t="s">
        <v>48</v>
      </c>
      <c r="F45" s="38">
        <v>200</v>
      </c>
      <c r="G45" s="38"/>
      <c r="H45" s="33"/>
      <c r="I45" s="12"/>
    </row>
    <row r="46" spans="1:9" s="2" customFormat="1" ht="13.5" customHeight="1">
      <c r="A46" s="12">
        <f t="shared" si="1"/>
        <v>38</v>
      </c>
      <c r="B46" s="10"/>
      <c r="C46" s="33" t="s">
        <v>200</v>
      </c>
      <c r="D46" s="33" t="s">
        <v>201</v>
      </c>
      <c r="E46" s="38" t="s">
        <v>48</v>
      </c>
      <c r="F46" s="38">
        <v>200</v>
      </c>
      <c r="G46" s="38"/>
      <c r="H46" s="10"/>
      <c r="I46" s="12"/>
    </row>
    <row r="47" spans="1:9" s="2" customFormat="1" ht="13.5" customHeight="1">
      <c r="A47" s="12">
        <f t="shared" si="1"/>
        <v>39</v>
      </c>
      <c r="B47" s="10"/>
      <c r="C47" s="33" t="s">
        <v>202</v>
      </c>
      <c r="D47" s="33" t="s">
        <v>203</v>
      </c>
      <c r="E47" s="38" t="s">
        <v>48</v>
      </c>
      <c r="F47" s="38">
        <v>200</v>
      </c>
      <c r="G47" s="38"/>
      <c r="H47" s="10"/>
      <c r="I47" s="12"/>
    </row>
    <row r="48" spans="1:9" s="2" customFormat="1" ht="13.5" customHeight="1">
      <c r="A48" s="12">
        <f t="shared" si="1"/>
        <v>40</v>
      </c>
      <c r="B48" s="10"/>
      <c r="C48" s="10" t="s">
        <v>204</v>
      </c>
      <c r="D48" s="10" t="s">
        <v>205</v>
      </c>
      <c r="E48" s="38" t="s">
        <v>48</v>
      </c>
      <c r="F48" s="38">
        <v>200</v>
      </c>
      <c r="G48" s="38"/>
      <c r="H48" s="33"/>
      <c r="I48" s="12"/>
    </row>
    <row r="49" spans="1:9" ht="13.5" customHeight="1">
      <c r="A49" s="12">
        <f>ROW()-8</f>
        <v>41</v>
      </c>
      <c r="B49" s="10"/>
      <c r="C49" s="10" t="s">
        <v>206</v>
      </c>
      <c r="D49" s="10" t="s">
        <v>207</v>
      </c>
      <c r="E49" s="38" t="s">
        <v>48</v>
      </c>
      <c r="F49" s="38">
        <v>200</v>
      </c>
      <c r="G49" s="38"/>
      <c r="H49" s="10"/>
      <c r="I49" s="12"/>
    </row>
    <row r="50" spans="1:9" ht="13.5" customHeight="1">
      <c r="A50" s="12">
        <f t="shared" ref="A50:A68" si="2">ROW()-8</f>
        <v>42</v>
      </c>
      <c r="B50" s="10"/>
      <c r="C50" s="10" t="s">
        <v>208</v>
      </c>
      <c r="D50" s="10" t="s">
        <v>209</v>
      </c>
      <c r="E50" s="38" t="s">
        <v>48</v>
      </c>
      <c r="F50" s="38">
        <v>200</v>
      </c>
      <c r="G50" s="38"/>
      <c r="H50" s="10"/>
      <c r="I50" s="12"/>
    </row>
    <row r="51" spans="1:9" s="2" customFormat="1" ht="13.5" customHeight="1">
      <c r="A51" s="12">
        <f t="shared" si="2"/>
        <v>43</v>
      </c>
      <c r="B51" s="10"/>
      <c r="C51" s="10" t="s">
        <v>210</v>
      </c>
      <c r="D51" s="10" t="s">
        <v>211</v>
      </c>
      <c r="E51" s="38" t="s">
        <v>48</v>
      </c>
      <c r="F51" s="38">
        <v>200</v>
      </c>
      <c r="G51" s="38"/>
      <c r="H51" s="10"/>
      <c r="I51" s="12"/>
    </row>
    <row r="52" spans="1:9" s="2" customFormat="1" ht="13.5" customHeight="1">
      <c r="A52" s="12">
        <f t="shared" si="2"/>
        <v>44</v>
      </c>
      <c r="B52" s="10"/>
      <c r="C52" s="10" t="s">
        <v>212</v>
      </c>
      <c r="D52" s="10" t="s">
        <v>213</v>
      </c>
      <c r="E52" s="38" t="s">
        <v>48</v>
      </c>
      <c r="F52" s="38">
        <v>200</v>
      </c>
      <c r="G52" s="38"/>
      <c r="H52" s="33"/>
      <c r="I52" s="12"/>
    </row>
    <row r="53" spans="1:9" s="2" customFormat="1" ht="13.5" customHeight="1">
      <c r="A53" s="12">
        <f t="shared" si="2"/>
        <v>45</v>
      </c>
      <c r="B53" s="10"/>
      <c r="C53" s="10" t="s">
        <v>214</v>
      </c>
      <c r="D53" s="10" t="s">
        <v>215</v>
      </c>
      <c r="E53" s="38" t="s">
        <v>48</v>
      </c>
      <c r="F53" s="38">
        <v>200</v>
      </c>
      <c r="G53" s="38"/>
      <c r="H53" s="33"/>
      <c r="I53" s="12"/>
    </row>
    <row r="54" spans="1:9" s="2" customFormat="1" ht="13.5" customHeight="1">
      <c r="A54" s="12">
        <f t="shared" si="2"/>
        <v>46</v>
      </c>
      <c r="B54" s="10"/>
      <c r="C54" s="10" t="s">
        <v>216</v>
      </c>
      <c r="D54" s="10" t="s">
        <v>217</v>
      </c>
      <c r="E54" s="38" t="s">
        <v>48</v>
      </c>
      <c r="F54" s="38">
        <v>100</v>
      </c>
      <c r="G54" s="38"/>
      <c r="H54" s="33"/>
      <c r="I54" s="12"/>
    </row>
    <row r="55" spans="1:9" s="2" customFormat="1" ht="13.5" customHeight="1">
      <c r="A55" s="12">
        <f t="shared" si="2"/>
        <v>47</v>
      </c>
      <c r="B55" s="10"/>
      <c r="C55" s="33" t="s">
        <v>218</v>
      </c>
      <c r="D55" s="33" t="s">
        <v>219</v>
      </c>
      <c r="E55" s="38" t="s">
        <v>67</v>
      </c>
      <c r="F55" s="38">
        <v>17</v>
      </c>
      <c r="G55" s="38">
        <v>4</v>
      </c>
      <c r="H55" s="33"/>
      <c r="I55" s="12"/>
    </row>
    <row r="56" spans="1:9" s="2" customFormat="1" ht="13.5" customHeight="1">
      <c r="A56" s="12">
        <f t="shared" si="2"/>
        <v>48</v>
      </c>
      <c r="B56" s="10"/>
      <c r="C56" s="10" t="s">
        <v>220</v>
      </c>
      <c r="D56" s="10" t="s">
        <v>221</v>
      </c>
      <c r="E56" s="38" t="s">
        <v>67</v>
      </c>
      <c r="F56" s="38">
        <v>13</v>
      </c>
      <c r="G56" s="38">
        <v>0</v>
      </c>
      <c r="H56" s="10"/>
      <c r="I56" s="12"/>
    </row>
    <row r="57" spans="1:9" s="2" customFormat="1" ht="13.5" customHeight="1">
      <c r="A57" s="12">
        <f t="shared" si="2"/>
        <v>49</v>
      </c>
      <c r="B57" s="10"/>
      <c r="C57" s="33" t="s">
        <v>222</v>
      </c>
      <c r="D57" s="33" t="s">
        <v>223</v>
      </c>
      <c r="E57" s="38" t="s">
        <v>67</v>
      </c>
      <c r="F57" s="38">
        <v>13</v>
      </c>
      <c r="G57" s="38">
        <v>0</v>
      </c>
      <c r="H57" s="33"/>
      <c r="I57" s="12"/>
    </row>
    <row r="58" spans="1:9" s="2" customFormat="1" ht="13.5" customHeight="1">
      <c r="A58" s="12">
        <f t="shared" si="2"/>
        <v>50</v>
      </c>
      <c r="B58" s="10"/>
      <c r="C58" s="33" t="s">
        <v>224</v>
      </c>
      <c r="D58" s="33" t="s">
        <v>225</v>
      </c>
      <c r="E58" s="38" t="s">
        <v>67</v>
      </c>
      <c r="F58" s="38">
        <v>10</v>
      </c>
      <c r="G58" s="38">
        <v>0</v>
      </c>
      <c r="H58" s="33"/>
      <c r="I58" s="12"/>
    </row>
    <row r="59" spans="1:9" s="2" customFormat="1" ht="13.5" customHeight="1">
      <c r="A59" s="12">
        <f t="shared" si="2"/>
        <v>51</v>
      </c>
      <c r="B59" s="10"/>
      <c r="C59" s="10" t="s">
        <v>226</v>
      </c>
      <c r="D59" s="10" t="s">
        <v>227</v>
      </c>
      <c r="E59" s="38" t="s">
        <v>67</v>
      </c>
      <c r="F59" s="38">
        <v>13</v>
      </c>
      <c r="G59" s="38">
        <v>0</v>
      </c>
      <c r="H59" s="10"/>
      <c r="I59" s="12"/>
    </row>
    <row r="60" spans="1:9" s="2" customFormat="1" ht="13.5" customHeight="1">
      <c r="A60" s="12">
        <f t="shared" si="2"/>
        <v>52</v>
      </c>
      <c r="B60" s="10"/>
      <c r="C60" s="10" t="s">
        <v>228</v>
      </c>
      <c r="D60" s="10" t="s">
        <v>229</v>
      </c>
      <c r="E60" s="38" t="s">
        <v>80</v>
      </c>
      <c r="F60" s="38">
        <v>8</v>
      </c>
      <c r="G60" s="38"/>
      <c r="H60" s="33"/>
      <c r="I60" s="12"/>
    </row>
    <row r="61" spans="1:9" s="2" customFormat="1" ht="13.5" customHeight="1">
      <c r="A61" s="12">
        <f t="shared" si="2"/>
        <v>53</v>
      </c>
      <c r="B61" s="10"/>
      <c r="C61" s="33" t="s">
        <v>114</v>
      </c>
      <c r="D61" s="33" t="s">
        <v>127</v>
      </c>
      <c r="E61" s="38" t="s">
        <v>80</v>
      </c>
      <c r="F61" s="38">
        <v>8</v>
      </c>
      <c r="G61" s="38"/>
      <c r="H61" s="10"/>
      <c r="I61" s="12"/>
    </row>
    <row r="62" spans="1:9" s="2" customFormat="1" ht="13.5" customHeight="1">
      <c r="A62" s="12">
        <f t="shared" si="2"/>
        <v>54</v>
      </c>
      <c r="B62" s="10"/>
      <c r="C62" s="10" t="s">
        <v>230</v>
      </c>
      <c r="D62" s="10" t="s">
        <v>231</v>
      </c>
      <c r="E62" s="38" t="s">
        <v>81</v>
      </c>
      <c r="F62" s="38">
        <v>10</v>
      </c>
      <c r="G62" s="38"/>
      <c r="H62" s="33"/>
      <c r="I62" s="12"/>
    </row>
    <row r="63" spans="1:9" s="2" customFormat="1" ht="13.5" customHeight="1">
      <c r="A63" s="12">
        <f t="shared" si="2"/>
        <v>55</v>
      </c>
      <c r="B63" s="10"/>
      <c r="C63" s="10" t="s">
        <v>232</v>
      </c>
      <c r="D63" s="10" t="s">
        <v>233</v>
      </c>
      <c r="E63" s="38" t="s">
        <v>67</v>
      </c>
      <c r="F63" s="38">
        <v>12</v>
      </c>
      <c r="G63" s="38">
        <v>4</v>
      </c>
      <c r="H63" s="33"/>
      <c r="I63" s="12"/>
    </row>
    <row r="64" spans="1:9" s="2" customFormat="1" ht="13.5" customHeight="1">
      <c r="A64" s="12">
        <f t="shared" si="2"/>
        <v>56</v>
      </c>
      <c r="B64" s="10"/>
      <c r="C64" s="10" t="s">
        <v>234</v>
      </c>
      <c r="D64" s="10" t="s">
        <v>235</v>
      </c>
      <c r="E64" s="38" t="s">
        <v>79</v>
      </c>
      <c r="F64" s="38">
        <v>3</v>
      </c>
      <c r="G64" s="38"/>
      <c r="H64" s="33"/>
      <c r="I64" s="12"/>
    </row>
    <row r="65" spans="1:9" s="2" customFormat="1" ht="13.5" customHeight="1">
      <c r="A65" s="12">
        <f t="shared" si="2"/>
        <v>57</v>
      </c>
      <c r="B65" s="10"/>
      <c r="C65" s="10" t="s">
        <v>236</v>
      </c>
      <c r="D65" s="10" t="s">
        <v>237</v>
      </c>
      <c r="E65" s="38" t="s">
        <v>48</v>
      </c>
      <c r="F65" s="38">
        <v>20</v>
      </c>
      <c r="G65" s="38"/>
      <c r="H65" s="33"/>
      <c r="I65" s="12"/>
    </row>
    <row r="66" spans="1:9" s="2" customFormat="1" ht="13.5" customHeight="1">
      <c r="A66" s="12">
        <f t="shared" si="2"/>
        <v>58</v>
      </c>
      <c r="B66" s="10"/>
      <c r="C66" s="33" t="s">
        <v>238</v>
      </c>
      <c r="D66" s="33" t="s">
        <v>239</v>
      </c>
      <c r="E66" s="38" t="s">
        <v>81</v>
      </c>
      <c r="F66" s="38">
        <v>30</v>
      </c>
      <c r="G66" s="38"/>
      <c r="H66" s="10"/>
      <c r="I66" s="12"/>
    </row>
    <row r="67" spans="1:9" s="2" customFormat="1" ht="13.5" customHeight="1">
      <c r="A67" s="12">
        <f t="shared" si="2"/>
        <v>59</v>
      </c>
      <c r="B67" s="10"/>
      <c r="C67" s="33" t="s">
        <v>240</v>
      </c>
      <c r="D67" s="33" t="s">
        <v>241</v>
      </c>
      <c r="E67" s="38" t="s">
        <v>81</v>
      </c>
      <c r="F67" s="38">
        <v>7</v>
      </c>
      <c r="G67" s="38"/>
      <c r="H67" s="10"/>
      <c r="I67" s="12"/>
    </row>
    <row r="68" spans="1:9" s="2" customFormat="1" ht="13.5" customHeight="1">
      <c r="A68" s="12">
        <f t="shared" si="2"/>
        <v>60</v>
      </c>
      <c r="B68" s="10"/>
      <c r="C68" s="10" t="s">
        <v>242</v>
      </c>
      <c r="D68" s="10" t="s">
        <v>243</v>
      </c>
      <c r="E68" s="38" t="s">
        <v>81</v>
      </c>
      <c r="F68" s="38">
        <v>50</v>
      </c>
      <c r="G68" s="38"/>
      <c r="H68" s="33"/>
      <c r="I68" s="12"/>
    </row>
    <row r="69" spans="1:9" ht="13.5" customHeight="1">
      <c r="A69" s="12">
        <f>ROW()-8</f>
        <v>61</v>
      </c>
      <c r="B69" s="10"/>
      <c r="C69" s="10" t="s">
        <v>244</v>
      </c>
      <c r="D69" s="10" t="s">
        <v>245</v>
      </c>
      <c r="E69" s="38" t="s">
        <v>621</v>
      </c>
      <c r="F69" s="38">
        <v>20</v>
      </c>
      <c r="G69" s="38"/>
      <c r="H69" s="10"/>
      <c r="I69" s="12"/>
    </row>
    <row r="70" spans="1:9" ht="13.5" customHeight="1">
      <c r="A70" s="12">
        <f t="shared" ref="A70:A88" si="3">ROW()-8</f>
        <v>62</v>
      </c>
      <c r="B70" s="10"/>
      <c r="C70" s="10" t="s">
        <v>246</v>
      </c>
      <c r="D70" s="10" t="s">
        <v>247</v>
      </c>
      <c r="E70" s="38" t="s">
        <v>621</v>
      </c>
      <c r="F70" s="38">
        <v>20</v>
      </c>
      <c r="G70" s="38"/>
      <c r="H70" s="10"/>
      <c r="I70" s="12"/>
    </row>
    <row r="71" spans="1:9" s="2" customFormat="1" ht="13.5" customHeight="1">
      <c r="A71" s="12">
        <f t="shared" si="3"/>
        <v>63</v>
      </c>
      <c r="B71" s="10"/>
      <c r="C71" s="10" t="s">
        <v>248</v>
      </c>
      <c r="D71" s="10" t="s">
        <v>249</v>
      </c>
      <c r="E71" s="38" t="s">
        <v>48</v>
      </c>
      <c r="F71" s="38">
        <v>20</v>
      </c>
      <c r="G71" s="38"/>
      <c r="H71" s="10"/>
      <c r="I71" s="12"/>
    </row>
    <row r="72" spans="1:9" s="2" customFormat="1" ht="13.5" customHeight="1">
      <c r="A72" s="12">
        <f t="shared" si="3"/>
        <v>64</v>
      </c>
      <c r="B72" s="10"/>
      <c r="C72" s="10" t="s">
        <v>250</v>
      </c>
      <c r="D72" s="10" t="s">
        <v>251</v>
      </c>
      <c r="E72" s="38" t="s">
        <v>48</v>
      </c>
      <c r="F72" s="38">
        <v>50</v>
      </c>
      <c r="G72" s="38"/>
      <c r="H72" s="33"/>
      <c r="I72" s="12"/>
    </row>
    <row r="73" spans="1:9" s="2" customFormat="1" ht="13.5" customHeight="1">
      <c r="A73" s="12">
        <f t="shared" si="3"/>
        <v>65</v>
      </c>
      <c r="B73" s="10"/>
      <c r="C73" s="10" t="s">
        <v>252</v>
      </c>
      <c r="D73" s="10" t="s">
        <v>253</v>
      </c>
      <c r="E73" s="38" t="s">
        <v>79</v>
      </c>
      <c r="F73" s="38">
        <v>2</v>
      </c>
      <c r="G73" s="38"/>
      <c r="H73" s="33"/>
      <c r="I73" s="12"/>
    </row>
    <row r="74" spans="1:9" s="2" customFormat="1" ht="13.5" customHeight="1">
      <c r="A74" s="12">
        <f t="shared" si="3"/>
        <v>66</v>
      </c>
      <c r="B74" s="10"/>
      <c r="C74" s="10" t="s">
        <v>254</v>
      </c>
      <c r="D74" s="10" t="s">
        <v>255</v>
      </c>
      <c r="E74" s="38" t="s">
        <v>79</v>
      </c>
      <c r="F74" s="38">
        <v>4</v>
      </c>
      <c r="G74" s="38"/>
      <c r="H74" s="33"/>
      <c r="I74" s="12"/>
    </row>
    <row r="75" spans="1:9" s="2" customFormat="1" ht="13.5" customHeight="1">
      <c r="A75" s="12">
        <f t="shared" si="3"/>
        <v>67</v>
      </c>
      <c r="B75" s="10"/>
      <c r="C75" s="33" t="s">
        <v>256</v>
      </c>
      <c r="D75" s="33" t="s">
        <v>257</v>
      </c>
      <c r="E75" s="38" t="s">
        <v>79</v>
      </c>
      <c r="F75" s="38">
        <v>1</v>
      </c>
      <c r="G75" s="38"/>
      <c r="H75" s="33"/>
      <c r="I75" s="12"/>
    </row>
    <row r="76" spans="1:9" s="2" customFormat="1" ht="13.5" customHeight="1">
      <c r="A76" s="12">
        <f t="shared" si="3"/>
        <v>68</v>
      </c>
      <c r="B76" s="10"/>
      <c r="C76" s="10" t="s">
        <v>258</v>
      </c>
      <c r="D76" s="10" t="s">
        <v>259</v>
      </c>
      <c r="E76" s="38" t="s">
        <v>48</v>
      </c>
      <c r="F76" s="38">
        <v>50</v>
      </c>
      <c r="G76" s="38"/>
      <c r="H76" s="10"/>
      <c r="I76" s="12"/>
    </row>
    <row r="77" spans="1:9" s="2" customFormat="1" ht="13.5" customHeight="1">
      <c r="A77" s="12">
        <f t="shared" si="3"/>
        <v>69</v>
      </c>
      <c r="B77" s="10"/>
      <c r="C77" s="33" t="s">
        <v>260</v>
      </c>
      <c r="D77" s="33" t="s">
        <v>261</v>
      </c>
      <c r="E77" s="38" t="s">
        <v>81</v>
      </c>
      <c r="F77" s="38">
        <v>20</v>
      </c>
      <c r="G77" s="38"/>
      <c r="H77" s="33"/>
      <c r="I77" s="12"/>
    </row>
    <row r="78" spans="1:9" s="2" customFormat="1" ht="13.5" customHeight="1">
      <c r="A78" s="12">
        <f t="shared" si="3"/>
        <v>70</v>
      </c>
      <c r="B78" s="10"/>
      <c r="C78" s="33" t="s">
        <v>262</v>
      </c>
      <c r="D78" s="33" t="s">
        <v>263</v>
      </c>
      <c r="E78" s="38" t="s">
        <v>67</v>
      </c>
      <c r="F78" s="38">
        <v>9</v>
      </c>
      <c r="G78" s="38">
        <v>1</v>
      </c>
      <c r="H78" s="33"/>
      <c r="I78" s="12"/>
    </row>
    <row r="79" spans="1:9" s="2" customFormat="1" ht="13.5" customHeight="1">
      <c r="A79" s="12">
        <f t="shared" si="3"/>
        <v>71</v>
      </c>
      <c r="B79" s="10"/>
      <c r="C79" s="10" t="s">
        <v>264</v>
      </c>
      <c r="D79" s="10" t="s">
        <v>265</v>
      </c>
      <c r="E79" s="38" t="s">
        <v>67</v>
      </c>
      <c r="F79" s="38">
        <v>9</v>
      </c>
      <c r="G79" s="38">
        <v>1</v>
      </c>
      <c r="H79" s="10"/>
      <c r="I79" s="12"/>
    </row>
    <row r="80" spans="1:9" s="2" customFormat="1" ht="13.5" customHeight="1">
      <c r="A80" s="12">
        <f t="shared" si="3"/>
        <v>72</v>
      </c>
      <c r="B80" s="10"/>
      <c r="C80" s="10" t="s">
        <v>266</v>
      </c>
      <c r="D80" s="10" t="s">
        <v>267</v>
      </c>
      <c r="E80" s="38" t="s">
        <v>67</v>
      </c>
      <c r="F80" s="38">
        <v>8</v>
      </c>
      <c r="G80" s="38">
        <v>0</v>
      </c>
      <c r="H80" s="33"/>
      <c r="I80" s="12"/>
    </row>
    <row r="81" spans="1:9" s="2" customFormat="1" ht="13.5" customHeight="1">
      <c r="A81" s="12">
        <f t="shared" si="3"/>
        <v>73</v>
      </c>
      <c r="B81" s="10"/>
      <c r="C81" s="33" t="s">
        <v>268</v>
      </c>
      <c r="D81" s="33" t="s">
        <v>269</v>
      </c>
      <c r="E81" s="38" t="s">
        <v>67</v>
      </c>
      <c r="F81" s="38">
        <v>8</v>
      </c>
      <c r="G81" s="38">
        <v>0</v>
      </c>
      <c r="H81" s="10"/>
      <c r="I81" s="12"/>
    </row>
    <row r="82" spans="1:9" s="2" customFormat="1" ht="13.5" customHeight="1">
      <c r="A82" s="12">
        <f t="shared" si="3"/>
        <v>74</v>
      </c>
      <c r="B82" s="10"/>
      <c r="C82" s="10" t="s">
        <v>270</v>
      </c>
      <c r="D82" s="10" t="s">
        <v>271</v>
      </c>
      <c r="E82" s="38" t="s">
        <v>81</v>
      </c>
      <c r="F82" s="38">
        <v>20</v>
      </c>
      <c r="G82" s="38"/>
      <c r="H82" s="33"/>
      <c r="I82" s="12"/>
    </row>
    <row r="83" spans="1:9" s="2" customFormat="1" ht="13.5" customHeight="1">
      <c r="A83" s="12">
        <f t="shared" si="3"/>
        <v>75</v>
      </c>
      <c r="B83" s="10"/>
      <c r="C83" s="10" t="s">
        <v>272</v>
      </c>
      <c r="D83" s="10" t="s">
        <v>273</v>
      </c>
      <c r="E83" s="38" t="s">
        <v>48</v>
      </c>
      <c r="F83" s="38">
        <v>100</v>
      </c>
      <c r="G83" s="38"/>
      <c r="H83" s="33"/>
      <c r="I83" s="12"/>
    </row>
    <row r="84" spans="1:9" s="2" customFormat="1" ht="13.5" customHeight="1">
      <c r="A84" s="12">
        <f t="shared" si="3"/>
        <v>76</v>
      </c>
      <c r="B84" s="10"/>
      <c r="C84" s="10" t="s">
        <v>110</v>
      </c>
      <c r="D84" s="10" t="s">
        <v>123</v>
      </c>
      <c r="E84" s="38" t="s">
        <v>79</v>
      </c>
      <c r="F84" s="38">
        <v>10</v>
      </c>
      <c r="G84" s="38"/>
      <c r="H84" s="33"/>
      <c r="I84" s="12"/>
    </row>
    <row r="85" spans="1:9" s="2" customFormat="1" ht="13.5" customHeight="1">
      <c r="A85" s="12">
        <f t="shared" si="3"/>
        <v>77</v>
      </c>
      <c r="B85" s="10"/>
      <c r="C85" s="10" t="s">
        <v>274</v>
      </c>
      <c r="D85" s="10" t="s">
        <v>275</v>
      </c>
      <c r="E85" s="38" t="s">
        <v>79</v>
      </c>
      <c r="F85" s="38">
        <v>10</v>
      </c>
      <c r="G85" s="38"/>
      <c r="H85" s="33"/>
      <c r="I85" s="12"/>
    </row>
    <row r="86" spans="1:9" s="2" customFormat="1" ht="13.5" customHeight="1">
      <c r="A86" s="12">
        <f t="shared" si="3"/>
        <v>78</v>
      </c>
      <c r="B86" s="10"/>
      <c r="C86" s="33" t="s">
        <v>276</v>
      </c>
      <c r="D86" s="33" t="s">
        <v>277</v>
      </c>
      <c r="E86" s="38" t="s">
        <v>79</v>
      </c>
      <c r="F86" s="38">
        <v>10</v>
      </c>
      <c r="G86" s="38"/>
      <c r="H86" s="10"/>
      <c r="I86" s="12"/>
    </row>
    <row r="87" spans="1:9" s="2" customFormat="1" ht="13.5" customHeight="1">
      <c r="A87" s="12">
        <f t="shared" si="3"/>
        <v>79</v>
      </c>
      <c r="B87" s="10"/>
      <c r="C87" s="33" t="s">
        <v>278</v>
      </c>
      <c r="D87" s="33" t="s">
        <v>279</v>
      </c>
      <c r="E87" s="38" t="s">
        <v>80</v>
      </c>
      <c r="F87" s="38">
        <v>8</v>
      </c>
      <c r="G87" s="38"/>
      <c r="H87" s="10"/>
      <c r="I87" s="12"/>
    </row>
    <row r="88" spans="1:9" s="2" customFormat="1" ht="13.5" customHeight="1">
      <c r="A88" s="12">
        <f t="shared" si="3"/>
        <v>80</v>
      </c>
      <c r="B88" s="10"/>
      <c r="C88" s="10" t="s">
        <v>280</v>
      </c>
      <c r="D88" s="10" t="s">
        <v>281</v>
      </c>
      <c r="E88" s="38" t="s">
        <v>80</v>
      </c>
      <c r="F88" s="38">
        <v>8</v>
      </c>
      <c r="G88" s="38"/>
      <c r="H88" s="33"/>
      <c r="I88" s="12"/>
    </row>
    <row r="89" spans="1:9" ht="13.5" customHeight="1">
      <c r="A89" s="12">
        <f>ROW()-8</f>
        <v>81</v>
      </c>
      <c r="B89" s="10"/>
      <c r="C89" s="10" t="s">
        <v>282</v>
      </c>
      <c r="D89" s="10" t="s">
        <v>283</v>
      </c>
      <c r="E89" s="38" t="s">
        <v>79</v>
      </c>
      <c r="F89" s="38">
        <v>10</v>
      </c>
      <c r="G89" s="38"/>
      <c r="H89" s="10"/>
      <c r="I89" s="12"/>
    </row>
    <row r="90" spans="1:9" ht="13.5" customHeight="1">
      <c r="A90" s="12">
        <f t="shared" ref="A90:A108" si="4">ROW()-8</f>
        <v>82</v>
      </c>
      <c r="B90" s="10"/>
      <c r="C90" s="10" t="s">
        <v>284</v>
      </c>
      <c r="D90" s="10" t="s">
        <v>285</v>
      </c>
      <c r="E90" s="38" t="s">
        <v>79</v>
      </c>
      <c r="F90" s="38">
        <v>10</v>
      </c>
      <c r="G90" s="38"/>
      <c r="H90" s="10"/>
      <c r="I90" s="12"/>
    </row>
    <row r="91" spans="1:9" s="2" customFormat="1" ht="13.5" customHeight="1">
      <c r="A91" s="12">
        <f t="shared" si="4"/>
        <v>83</v>
      </c>
      <c r="B91" s="10"/>
      <c r="C91" s="10" t="s">
        <v>286</v>
      </c>
      <c r="D91" s="10" t="s">
        <v>287</v>
      </c>
      <c r="E91" s="38" t="s">
        <v>47</v>
      </c>
      <c r="F91" s="38">
        <v>1</v>
      </c>
      <c r="G91" s="38"/>
      <c r="H91" s="10"/>
      <c r="I91" s="12"/>
    </row>
    <row r="92" spans="1:9" s="2" customFormat="1" ht="13.5" customHeight="1">
      <c r="A92" s="12">
        <f t="shared" si="4"/>
        <v>84</v>
      </c>
      <c r="B92" s="10"/>
      <c r="C92" s="10" t="s">
        <v>288</v>
      </c>
      <c r="D92" s="10" t="s">
        <v>289</v>
      </c>
      <c r="E92" s="38" t="s">
        <v>47</v>
      </c>
      <c r="F92" s="38">
        <v>1</v>
      </c>
      <c r="G92" s="38"/>
      <c r="H92" s="33"/>
      <c r="I92" s="12"/>
    </row>
    <row r="93" spans="1:9" s="2" customFormat="1" ht="13.5" customHeight="1">
      <c r="A93" s="12">
        <f t="shared" si="4"/>
        <v>85</v>
      </c>
      <c r="B93" s="10"/>
      <c r="C93" s="10" t="s">
        <v>290</v>
      </c>
      <c r="D93" s="10" t="s">
        <v>291</v>
      </c>
      <c r="E93" s="38" t="s">
        <v>47</v>
      </c>
      <c r="F93" s="38">
        <v>1</v>
      </c>
      <c r="G93" s="38"/>
      <c r="H93" s="33"/>
      <c r="I93" s="12"/>
    </row>
    <row r="94" spans="1:9" s="2" customFormat="1" ht="13.5" customHeight="1">
      <c r="A94" s="12">
        <f t="shared" si="4"/>
        <v>86</v>
      </c>
      <c r="B94" s="10"/>
      <c r="C94" s="10" t="s">
        <v>292</v>
      </c>
      <c r="D94" s="10" t="s">
        <v>293</v>
      </c>
      <c r="E94" s="38" t="s">
        <v>47</v>
      </c>
      <c r="F94" s="38">
        <v>1</v>
      </c>
      <c r="G94" s="38"/>
      <c r="H94" s="33"/>
      <c r="I94" s="12"/>
    </row>
    <row r="95" spans="1:9" s="2" customFormat="1" ht="13.5" customHeight="1">
      <c r="A95" s="12">
        <f t="shared" si="4"/>
        <v>87</v>
      </c>
      <c r="B95" s="10"/>
      <c r="C95" s="33" t="s">
        <v>294</v>
      </c>
      <c r="D95" s="33" t="s">
        <v>295</v>
      </c>
      <c r="E95" s="38" t="s">
        <v>47</v>
      </c>
      <c r="F95" s="38">
        <v>1</v>
      </c>
      <c r="G95" s="38"/>
      <c r="H95" s="33"/>
      <c r="I95" s="12"/>
    </row>
    <row r="96" spans="1:9" s="2" customFormat="1" ht="13.5" customHeight="1">
      <c r="A96" s="12">
        <f t="shared" si="4"/>
        <v>88</v>
      </c>
      <c r="B96" s="10"/>
      <c r="C96" s="10" t="s">
        <v>296</v>
      </c>
      <c r="D96" s="10" t="s">
        <v>297</v>
      </c>
      <c r="E96" s="38" t="s">
        <v>47</v>
      </c>
      <c r="F96" s="38">
        <v>1</v>
      </c>
      <c r="G96" s="38"/>
      <c r="H96" s="10"/>
      <c r="I96" s="12"/>
    </row>
    <row r="97" spans="1:9" s="2" customFormat="1" ht="13.5" customHeight="1">
      <c r="A97" s="12">
        <f t="shared" si="4"/>
        <v>89</v>
      </c>
      <c r="B97" s="10"/>
      <c r="C97" s="33" t="s">
        <v>298</v>
      </c>
      <c r="D97" s="33" t="s">
        <v>299</v>
      </c>
      <c r="E97" s="38" t="s">
        <v>47</v>
      </c>
      <c r="F97" s="38">
        <v>1</v>
      </c>
      <c r="G97" s="38"/>
      <c r="H97" s="33"/>
      <c r="I97" s="12"/>
    </row>
    <row r="98" spans="1:9" s="2" customFormat="1" ht="13.5" customHeight="1">
      <c r="A98" s="12">
        <f t="shared" si="4"/>
        <v>90</v>
      </c>
      <c r="B98" s="10"/>
      <c r="C98" s="33" t="s">
        <v>300</v>
      </c>
      <c r="D98" s="33" t="s">
        <v>301</v>
      </c>
      <c r="E98" s="38" t="s">
        <v>47</v>
      </c>
      <c r="F98" s="38">
        <v>1</v>
      </c>
      <c r="G98" s="38"/>
      <c r="H98" s="33"/>
      <c r="I98" s="12"/>
    </row>
    <row r="99" spans="1:9" s="2" customFormat="1" ht="13.5" customHeight="1">
      <c r="A99" s="12">
        <f t="shared" si="4"/>
        <v>91</v>
      </c>
      <c r="B99" s="10"/>
      <c r="C99" s="10" t="s">
        <v>302</v>
      </c>
      <c r="D99" s="10" t="s">
        <v>303</v>
      </c>
      <c r="E99" s="38" t="s">
        <v>79</v>
      </c>
      <c r="F99" s="38">
        <v>1</v>
      </c>
      <c r="G99" s="38"/>
      <c r="H99" s="10"/>
      <c r="I99" s="12"/>
    </row>
    <row r="100" spans="1:9" s="2" customFormat="1" ht="13.5" customHeight="1">
      <c r="A100" s="12">
        <f t="shared" si="4"/>
        <v>92</v>
      </c>
      <c r="B100" s="10"/>
      <c r="C100" s="10" t="s">
        <v>304</v>
      </c>
      <c r="D100" s="10" t="s">
        <v>305</v>
      </c>
      <c r="E100" s="38" t="s">
        <v>81</v>
      </c>
      <c r="F100" s="38">
        <v>20</v>
      </c>
      <c r="G100" s="38"/>
      <c r="H100" s="33"/>
      <c r="I100" s="12"/>
    </row>
    <row r="101" spans="1:9" s="2" customFormat="1" ht="13.5" customHeight="1">
      <c r="A101" s="12">
        <f t="shared" si="4"/>
        <v>93</v>
      </c>
      <c r="B101" s="10"/>
      <c r="C101" s="33" t="s">
        <v>306</v>
      </c>
      <c r="D101" s="33" t="s">
        <v>307</v>
      </c>
      <c r="E101" s="38" t="s">
        <v>47</v>
      </c>
      <c r="F101" s="38">
        <v>1</v>
      </c>
      <c r="G101" s="38"/>
      <c r="H101" s="10"/>
      <c r="I101" s="12"/>
    </row>
    <row r="102" spans="1:9" s="2" customFormat="1" ht="13.5" customHeight="1">
      <c r="A102" s="12">
        <f t="shared" si="4"/>
        <v>94</v>
      </c>
      <c r="B102" s="10"/>
      <c r="C102" s="10" t="s">
        <v>308</v>
      </c>
      <c r="D102" s="10" t="s">
        <v>309</v>
      </c>
      <c r="E102" s="38" t="s">
        <v>47</v>
      </c>
      <c r="F102" s="38">
        <v>1</v>
      </c>
      <c r="G102" s="38"/>
      <c r="H102" s="33"/>
      <c r="I102" s="12"/>
    </row>
    <row r="103" spans="1:9" s="2" customFormat="1" ht="13.5" customHeight="1">
      <c r="A103" s="12">
        <f t="shared" si="4"/>
        <v>95</v>
      </c>
      <c r="B103" s="10"/>
      <c r="C103" s="10" t="s">
        <v>310</v>
      </c>
      <c r="D103" s="10" t="s">
        <v>311</v>
      </c>
      <c r="E103" s="38" t="s">
        <v>47</v>
      </c>
      <c r="F103" s="38">
        <v>1</v>
      </c>
      <c r="G103" s="38"/>
      <c r="H103" s="33"/>
      <c r="I103" s="12"/>
    </row>
    <row r="104" spans="1:9" s="2" customFormat="1" ht="13.5" customHeight="1">
      <c r="A104" s="12">
        <f t="shared" si="4"/>
        <v>96</v>
      </c>
      <c r="B104" s="10"/>
      <c r="C104" s="10" t="s">
        <v>312</v>
      </c>
      <c r="D104" s="10" t="s">
        <v>313</v>
      </c>
      <c r="E104" s="38" t="s">
        <v>47</v>
      </c>
      <c r="F104" s="38">
        <v>1</v>
      </c>
      <c r="G104" s="38"/>
      <c r="H104" s="33"/>
      <c r="I104" s="12"/>
    </row>
    <row r="105" spans="1:9" s="2" customFormat="1" ht="13.5" customHeight="1">
      <c r="A105" s="12">
        <f t="shared" si="4"/>
        <v>97</v>
      </c>
      <c r="B105" s="10"/>
      <c r="C105" s="10" t="s">
        <v>314</v>
      </c>
      <c r="D105" s="10" t="s">
        <v>315</v>
      </c>
      <c r="E105" s="38" t="s">
        <v>47</v>
      </c>
      <c r="F105" s="38">
        <v>1</v>
      </c>
      <c r="G105" s="38"/>
      <c r="H105" s="33"/>
      <c r="I105" s="12"/>
    </row>
    <row r="106" spans="1:9" s="2" customFormat="1" ht="13.5" customHeight="1">
      <c r="A106" s="12">
        <f t="shared" si="4"/>
        <v>98</v>
      </c>
      <c r="B106" s="10"/>
      <c r="C106" s="33" t="s">
        <v>316</v>
      </c>
      <c r="D106" s="33" t="s">
        <v>317</v>
      </c>
      <c r="E106" s="38" t="s">
        <v>47</v>
      </c>
      <c r="F106" s="38">
        <v>1</v>
      </c>
      <c r="G106" s="38"/>
      <c r="H106" s="10"/>
      <c r="I106" s="12"/>
    </row>
    <row r="107" spans="1:9" s="2" customFormat="1" ht="13.5" customHeight="1">
      <c r="A107" s="12">
        <f t="shared" si="4"/>
        <v>99</v>
      </c>
      <c r="B107" s="10"/>
      <c r="C107" s="33" t="s">
        <v>318</v>
      </c>
      <c r="D107" s="33" t="s">
        <v>319</v>
      </c>
      <c r="E107" s="38" t="s">
        <v>47</v>
      </c>
      <c r="F107" s="38">
        <v>1</v>
      </c>
      <c r="G107" s="38"/>
      <c r="H107" s="10"/>
      <c r="I107" s="12"/>
    </row>
    <row r="108" spans="1:9" s="2" customFormat="1" ht="13.5" customHeight="1">
      <c r="A108" s="12">
        <f t="shared" si="4"/>
        <v>100</v>
      </c>
      <c r="B108" s="10"/>
      <c r="C108" s="10" t="s">
        <v>320</v>
      </c>
      <c r="D108" s="10" t="s">
        <v>321</v>
      </c>
      <c r="E108" s="38" t="s">
        <v>47</v>
      </c>
      <c r="F108" s="38">
        <v>1</v>
      </c>
      <c r="G108" s="38"/>
      <c r="H108" s="33"/>
      <c r="I108" s="12"/>
    </row>
    <row r="109" spans="1:9" ht="13.5" customHeight="1">
      <c r="A109" s="12">
        <f>ROW()-8</f>
        <v>101</v>
      </c>
      <c r="B109" s="10"/>
      <c r="C109" s="10" t="s">
        <v>322</v>
      </c>
      <c r="D109" s="10" t="s">
        <v>323</v>
      </c>
      <c r="E109" s="38" t="s">
        <v>79</v>
      </c>
      <c r="F109" s="38">
        <v>4</v>
      </c>
      <c r="G109" s="38"/>
      <c r="H109" s="10"/>
      <c r="I109" s="12"/>
    </row>
    <row r="110" spans="1:9" ht="13.5" customHeight="1">
      <c r="A110" s="12">
        <f t="shared" ref="A110:A128" si="5">ROW()-8</f>
        <v>102</v>
      </c>
      <c r="B110" s="10"/>
      <c r="C110" s="10" t="s">
        <v>324</v>
      </c>
      <c r="D110" s="10" t="s">
        <v>325</v>
      </c>
      <c r="E110" s="38" t="s">
        <v>79</v>
      </c>
      <c r="F110" s="38">
        <v>4</v>
      </c>
      <c r="G110" s="38"/>
      <c r="H110" s="10"/>
      <c r="I110" s="12"/>
    </row>
    <row r="111" spans="1:9" s="2" customFormat="1" ht="13.5" customHeight="1">
      <c r="A111" s="12">
        <f t="shared" si="5"/>
        <v>103</v>
      </c>
      <c r="B111" s="10"/>
      <c r="C111" s="10" t="s">
        <v>326</v>
      </c>
      <c r="D111" s="10" t="s">
        <v>327</v>
      </c>
      <c r="E111" s="38" t="s">
        <v>79</v>
      </c>
      <c r="F111" s="38">
        <v>4</v>
      </c>
      <c r="G111" s="38"/>
      <c r="H111" s="10"/>
      <c r="I111" s="12"/>
    </row>
    <row r="112" spans="1:9" s="2" customFormat="1" ht="13.5" customHeight="1">
      <c r="A112" s="12">
        <f t="shared" si="5"/>
        <v>104</v>
      </c>
      <c r="B112" s="10"/>
      <c r="C112" s="10" t="s">
        <v>328</v>
      </c>
      <c r="D112" s="10" t="s">
        <v>329</v>
      </c>
      <c r="E112" s="38" t="s">
        <v>79</v>
      </c>
      <c r="F112" s="38">
        <v>4</v>
      </c>
      <c r="G112" s="38"/>
      <c r="H112" s="33"/>
      <c r="I112" s="12"/>
    </row>
    <row r="113" spans="1:9" s="2" customFormat="1" ht="13.5" customHeight="1">
      <c r="A113" s="12">
        <f t="shared" si="5"/>
        <v>105</v>
      </c>
      <c r="B113" s="10"/>
      <c r="C113" s="10" t="s">
        <v>330</v>
      </c>
      <c r="D113" s="10" t="s">
        <v>331</v>
      </c>
      <c r="E113" s="38" t="s">
        <v>47</v>
      </c>
      <c r="F113" s="38">
        <v>5</v>
      </c>
      <c r="G113" s="38"/>
      <c r="H113" s="33"/>
      <c r="I113" s="12"/>
    </row>
    <row r="114" spans="1:9" s="2" customFormat="1" ht="13.5" customHeight="1">
      <c r="A114" s="12">
        <f t="shared" si="5"/>
        <v>106</v>
      </c>
      <c r="B114" s="10"/>
      <c r="C114" s="10" t="s">
        <v>332</v>
      </c>
      <c r="D114" s="10" t="s">
        <v>333</v>
      </c>
      <c r="E114" s="38" t="s">
        <v>47</v>
      </c>
      <c r="F114" s="38">
        <v>5</v>
      </c>
      <c r="G114" s="38"/>
      <c r="H114" s="33"/>
      <c r="I114" s="12"/>
    </row>
    <row r="115" spans="1:9" s="2" customFormat="1" ht="13.5" customHeight="1">
      <c r="A115" s="12">
        <f t="shared" si="5"/>
        <v>107</v>
      </c>
      <c r="B115" s="10"/>
      <c r="C115" s="33" t="s">
        <v>334</v>
      </c>
      <c r="D115" s="33" t="s">
        <v>335</v>
      </c>
      <c r="E115" s="38" t="s">
        <v>47</v>
      </c>
      <c r="F115" s="38">
        <v>1</v>
      </c>
      <c r="G115" s="38"/>
      <c r="H115" s="33"/>
      <c r="I115" s="12"/>
    </row>
    <row r="116" spans="1:9" s="2" customFormat="1" ht="13.5" customHeight="1">
      <c r="A116" s="12">
        <f t="shared" si="5"/>
        <v>108</v>
      </c>
      <c r="B116" s="10"/>
      <c r="C116" s="10" t="s">
        <v>108</v>
      </c>
      <c r="D116" s="10" t="s">
        <v>121</v>
      </c>
      <c r="E116" s="38" t="s">
        <v>79</v>
      </c>
      <c r="F116" s="38">
        <v>1</v>
      </c>
      <c r="G116" s="38"/>
      <c r="H116" s="10"/>
      <c r="I116" s="12"/>
    </row>
    <row r="117" spans="1:9" s="2" customFormat="1" ht="13.5" customHeight="1">
      <c r="A117" s="12">
        <f t="shared" si="5"/>
        <v>109</v>
      </c>
      <c r="B117" s="10"/>
      <c r="C117" s="33" t="s">
        <v>336</v>
      </c>
      <c r="D117" s="33" t="s">
        <v>337</v>
      </c>
      <c r="E117" s="38" t="s">
        <v>79</v>
      </c>
      <c r="F117" s="38">
        <v>1</v>
      </c>
      <c r="G117" s="38"/>
      <c r="H117" s="33"/>
      <c r="I117" s="12"/>
    </row>
    <row r="118" spans="1:9" s="2" customFormat="1" ht="13.5" customHeight="1">
      <c r="A118" s="12">
        <f t="shared" si="5"/>
        <v>110</v>
      </c>
      <c r="B118" s="10"/>
      <c r="C118" s="33" t="s">
        <v>338</v>
      </c>
      <c r="D118" s="33" t="s">
        <v>339</v>
      </c>
      <c r="E118" s="38" t="s">
        <v>79</v>
      </c>
      <c r="F118" s="38">
        <v>1</v>
      </c>
      <c r="G118" s="38"/>
      <c r="H118" s="33"/>
      <c r="I118" s="12"/>
    </row>
    <row r="119" spans="1:9" s="2" customFormat="1" ht="13.5" customHeight="1">
      <c r="A119" s="12">
        <f t="shared" si="5"/>
        <v>111</v>
      </c>
      <c r="B119" s="10"/>
      <c r="C119" s="10" t="s">
        <v>340</v>
      </c>
      <c r="D119" s="10" t="s">
        <v>341</v>
      </c>
      <c r="E119" s="38" t="s">
        <v>47</v>
      </c>
      <c r="F119" s="38">
        <v>1</v>
      </c>
      <c r="G119" s="38"/>
      <c r="H119" s="10"/>
      <c r="I119" s="12" t="s">
        <v>1070</v>
      </c>
    </row>
    <row r="120" spans="1:9" s="2" customFormat="1" ht="13.5" customHeight="1">
      <c r="A120" s="12">
        <f t="shared" si="5"/>
        <v>112</v>
      </c>
      <c r="B120" s="10"/>
      <c r="C120" s="10" t="s">
        <v>342</v>
      </c>
      <c r="D120" s="10" t="s">
        <v>343</v>
      </c>
      <c r="E120" s="38" t="s">
        <v>79</v>
      </c>
      <c r="F120" s="38">
        <v>1</v>
      </c>
      <c r="G120" s="38"/>
      <c r="H120" s="33"/>
      <c r="I120" s="12"/>
    </row>
    <row r="121" spans="1:9" s="2" customFormat="1" ht="13.5" customHeight="1">
      <c r="A121" s="12">
        <f t="shared" si="5"/>
        <v>113</v>
      </c>
      <c r="B121" s="10"/>
      <c r="C121" s="33" t="s">
        <v>344</v>
      </c>
      <c r="D121" s="33" t="s">
        <v>345</v>
      </c>
      <c r="E121" s="38" t="s">
        <v>79</v>
      </c>
      <c r="F121" s="38">
        <v>2</v>
      </c>
      <c r="G121" s="38"/>
      <c r="H121" s="10"/>
      <c r="I121" s="12"/>
    </row>
    <row r="122" spans="1:9" s="2" customFormat="1" ht="13.5" customHeight="1">
      <c r="A122" s="12">
        <f t="shared" si="5"/>
        <v>114</v>
      </c>
      <c r="B122" s="10"/>
      <c r="C122" s="10" t="s">
        <v>346</v>
      </c>
      <c r="D122" s="10" t="s">
        <v>347</v>
      </c>
      <c r="E122" s="38" t="s">
        <v>79</v>
      </c>
      <c r="F122" s="38">
        <v>2</v>
      </c>
      <c r="G122" s="38"/>
      <c r="H122" s="33"/>
      <c r="I122" s="12"/>
    </row>
    <row r="123" spans="1:9" s="2" customFormat="1" ht="13.5" customHeight="1">
      <c r="A123" s="12">
        <f t="shared" si="5"/>
        <v>115</v>
      </c>
      <c r="B123" s="10"/>
      <c r="C123" s="10" t="s">
        <v>107</v>
      </c>
      <c r="D123" s="10" t="s">
        <v>120</v>
      </c>
      <c r="E123" s="38" t="s">
        <v>47</v>
      </c>
      <c r="F123" s="38">
        <v>1</v>
      </c>
      <c r="G123" s="38"/>
      <c r="H123" s="33"/>
      <c r="I123" s="12"/>
    </row>
    <row r="124" spans="1:9" s="2" customFormat="1" ht="13.5" customHeight="1">
      <c r="A124" s="12">
        <f t="shared" si="5"/>
        <v>116</v>
      </c>
      <c r="B124" s="10"/>
      <c r="C124" s="10" t="s">
        <v>348</v>
      </c>
      <c r="D124" s="10" t="s">
        <v>349</v>
      </c>
      <c r="E124" s="38" t="s">
        <v>47</v>
      </c>
      <c r="F124" s="38">
        <v>1</v>
      </c>
      <c r="G124" s="38"/>
      <c r="H124" s="33"/>
      <c r="I124" s="12"/>
    </row>
    <row r="125" spans="1:9" s="2" customFormat="1" ht="13.5" customHeight="1">
      <c r="A125" s="12">
        <f t="shared" si="5"/>
        <v>117</v>
      </c>
      <c r="B125" s="10"/>
      <c r="C125" s="10" t="s">
        <v>350</v>
      </c>
      <c r="D125" s="10" t="s">
        <v>351</v>
      </c>
      <c r="E125" s="38" t="s">
        <v>79</v>
      </c>
      <c r="F125" s="38">
        <v>12</v>
      </c>
      <c r="G125" s="38"/>
      <c r="H125" s="33"/>
      <c r="I125" s="12"/>
    </row>
    <row r="126" spans="1:9" s="2" customFormat="1" ht="13.5" customHeight="1">
      <c r="A126" s="12">
        <f t="shared" si="5"/>
        <v>118</v>
      </c>
      <c r="B126" s="10"/>
      <c r="C126" s="33" t="s">
        <v>352</v>
      </c>
      <c r="D126" s="33" t="s">
        <v>353</v>
      </c>
      <c r="E126" s="38" t="s">
        <v>47</v>
      </c>
      <c r="F126" s="38">
        <v>1</v>
      </c>
      <c r="G126" s="38"/>
      <c r="H126" s="10"/>
      <c r="I126" s="12"/>
    </row>
    <row r="127" spans="1:9" s="2" customFormat="1" ht="13.5" customHeight="1">
      <c r="A127" s="12">
        <f t="shared" si="5"/>
        <v>119</v>
      </c>
      <c r="B127" s="10"/>
      <c r="C127" s="33" t="s">
        <v>354</v>
      </c>
      <c r="D127" s="33" t="s">
        <v>355</v>
      </c>
      <c r="E127" s="38" t="s">
        <v>79</v>
      </c>
      <c r="F127" s="38">
        <v>1</v>
      </c>
      <c r="G127" s="38"/>
      <c r="H127" s="10"/>
      <c r="I127" s="12"/>
    </row>
    <row r="128" spans="1:9" s="2" customFormat="1" ht="13.5" customHeight="1">
      <c r="A128" s="12">
        <f t="shared" si="5"/>
        <v>120</v>
      </c>
      <c r="B128" s="10"/>
      <c r="C128" s="10" t="s">
        <v>356</v>
      </c>
      <c r="D128" s="10" t="s">
        <v>356</v>
      </c>
      <c r="E128" s="38" t="s">
        <v>79</v>
      </c>
      <c r="F128" s="38">
        <v>8</v>
      </c>
      <c r="G128" s="38"/>
      <c r="H128" s="33"/>
      <c r="I128" s="12"/>
    </row>
    <row r="129" spans="1:9" ht="13.5" customHeight="1">
      <c r="A129" s="12">
        <f>ROW()-8</f>
        <v>121</v>
      </c>
      <c r="B129" s="10"/>
      <c r="C129" s="10" t="s">
        <v>357</v>
      </c>
      <c r="D129" s="10" t="s">
        <v>358</v>
      </c>
      <c r="E129" s="38" t="s">
        <v>79</v>
      </c>
      <c r="F129" s="38">
        <v>1</v>
      </c>
      <c r="G129" s="38"/>
      <c r="H129" s="10"/>
      <c r="I129" s="12"/>
    </row>
    <row r="130" spans="1:9" ht="13.5" customHeight="1">
      <c r="A130" s="12">
        <f t="shared" ref="A130:A148" si="6">ROW()-8</f>
        <v>122</v>
      </c>
      <c r="B130" s="10"/>
      <c r="C130" s="10" t="s">
        <v>359</v>
      </c>
      <c r="D130" s="10" t="s">
        <v>360</v>
      </c>
      <c r="E130" s="38" t="s">
        <v>79</v>
      </c>
      <c r="F130" s="38">
        <v>4</v>
      </c>
      <c r="G130" s="38"/>
      <c r="H130" s="10"/>
      <c r="I130" s="12"/>
    </row>
    <row r="131" spans="1:9" s="2" customFormat="1" ht="13.5" customHeight="1">
      <c r="A131" s="12">
        <f t="shared" si="6"/>
        <v>123</v>
      </c>
      <c r="B131" s="10"/>
      <c r="C131" s="10" t="s">
        <v>361</v>
      </c>
      <c r="D131" s="10" t="s">
        <v>362</v>
      </c>
      <c r="E131" s="38" t="s">
        <v>81</v>
      </c>
      <c r="F131" s="38">
        <v>12</v>
      </c>
      <c r="G131" s="38"/>
      <c r="H131" s="10"/>
      <c r="I131" s="12"/>
    </row>
    <row r="132" spans="1:9" s="2" customFormat="1" ht="13.5" customHeight="1">
      <c r="A132" s="12">
        <f t="shared" si="6"/>
        <v>124</v>
      </c>
      <c r="B132" s="10"/>
      <c r="C132" s="10" t="s">
        <v>363</v>
      </c>
      <c r="D132" s="10" t="s">
        <v>364</v>
      </c>
      <c r="E132" s="38" t="s">
        <v>81</v>
      </c>
      <c r="F132" s="38">
        <v>12</v>
      </c>
      <c r="G132" s="38"/>
      <c r="H132" s="33"/>
      <c r="I132" s="12"/>
    </row>
    <row r="133" spans="1:9" s="2" customFormat="1" ht="13.5" customHeight="1">
      <c r="A133" s="12">
        <f t="shared" si="6"/>
        <v>125</v>
      </c>
      <c r="B133" s="10"/>
      <c r="C133" s="10" t="s">
        <v>365</v>
      </c>
      <c r="D133" s="10" t="s">
        <v>366</v>
      </c>
      <c r="E133" s="38" t="s">
        <v>79</v>
      </c>
      <c r="F133" s="38">
        <v>4</v>
      </c>
      <c r="G133" s="38"/>
      <c r="H133" s="33"/>
      <c r="I133" s="12"/>
    </row>
    <row r="134" spans="1:9" s="2" customFormat="1" ht="13.5" customHeight="1">
      <c r="A134" s="12">
        <f t="shared" si="6"/>
        <v>126</v>
      </c>
      <c r="B134" s="10"/>
      <c r="C134" s="10" t="s">
        <v>367</v>
      </c>
      <c r="D134" s="10" t="s">
        <v>368</v>
      </c>
      <c r="E134" s="38" t="s">
        <v>79</v>
      </c>
      <c r="F134" s="38">
        <v>1</v>
      </c>
      <c r="G134" s="38"/>
      <c r="H134" s="33"/>
      <c r="I134" s="12"/>
    </row>
    <row r="135" spans="1:9" s="2" customFormat="1" ht="13.5" customHeight="1">
      <c r="A135" s="12">
        <f t="shared" si="6"/>
        <v>127</v>
      </c>
      <c r="B135" s="10"/>
      <c r="C135" s="33" t="s">
        <v>369</v>
      </c>
      <c r="D135" s="33" t="s">
        <v>370</v>
      </c>
      <c r="E135" s="38" t="s">
        <v>80</v>
      </c>
      <c r="F135" s="38">
        <v>8</v>
      </c>
      <c r="G135" s="38"/>
      <c r="H135" s="33"/>
      <c r="I135" s="12"/>
    </row>
    <row r="136" spans="1:9" s="2" customFormat="1" ht="13.5" customHeight="1">
      <c r="A136" s="12">
        <f t="shared" si="6"/>
        <v>128</v>
      </c>
      <c r="B136" s="10"/>
      <c r="C136" s="10" t="s">
        <v>371</v>
      </c>
      <c r="D136" s="10" t="s">
        <v>372</v>
      </c>
      <c r="E136" s="38" t="s">
        <v>79</v>
      </c>
      <c r="F136" s="38">
        <v>6</v>
      </c>
      <c r="G136" s="38"/>
      <c r="H136" s="10"/>
      <c r="I136" s="12"/>
    </row>
    <row r="137" spans="1:9" s="2" customFormat="1" ht="13.5" customHeight="1">
      <c r="A137" s="12">
        <f t="shared" si="6"/>
        <v>129</v>
      </c>
      <c r="B137" s="10"/>
      <c r="C137" s="33" t="s">
        <v>373</v>
      </c>
      <c r="D137" s="33" t="s">
        <v>374</v>
      </c>
      <c r="E137" s="38" t="s">
        <v>79</v>
      </c>
      <c r="F137" s="38">
        <v>1</v>
      </c>
      <c r="G137" s="38"/>
      <c r="H137" s="33"/>
      <c r="I137" s="12"/>
    </row>
    <row r="138" spans="1:9" s="2" customFormat="1" ht="13.5" customHeight="1">
      <c r="A138" s="12">
        <f t="shared" si="6"/>
        <v>130</v>
      </c>
      <c r="B138" s="10"/>
      <c r="C138" s="33" t="s">
        <v>375</v>
      </c>
      <c r="D138" s="33" t="s">
        <v>376</v>
      </c>
      <c r="E138" s="38" t="s">
        <v>81</v>
      </c>
      <c r="F138" s="38">
        <v>6</v>
      </c>
      <c r="G138" s="38"/>
      <c r="H138" s="33"/>
      <c r="I138" s="12"/>
    </row>
    <row r="139" spans="1:9" s="2" customFormat="1" ht="13.5" customHeight="1">
      <c r="A139" s="12">
        <f t="shared" si="6"/>
        <v>131</v>
      </c>
      <c r="B139" s="10"/>
      <c r="C139" s="10" t="s">
        <v>377</v>
      </c>
      <c r="D139" s="10" t="s">
        <v>378</v>
      </c>
      <c r="E139" s="38" t="s">
        <v>81</v>
      </c>
      <c r="F139" s="38">
        <v>6</v>
      </c>
      <c r="G139" s="38"/>
      <c r="H139" s="10"/>
      <c r="I139" s="12"/>
    </row>
    <row r="140" spans="1:9" s="2" customFormat="1" ht="13.5" customHeight="1">
      <c r="A140" s="12">
        <f t="shared" si="6"/>
        <v>132</v>
      </c>
      <c r="B140" s="10"/>
      <c r="C140" s="10" t="s">
        <v>379</v>
      </c>
      <c r="D140" s="10" t="s">
        <v>380</v>
      </c>
      <c r="E140" s="38" t="s">
        <v>81</v>
      </c>
      <c r="F140" s="38">
        <v>6</v>
      </c>
      <c r="G140" s="38"/>
      <c r="H140" s="33"/>
      <c r="I140" s="12"/>
    </row>
    <row r="141" spans="1:9" s="2" customFormat="1" ht="13.5" customHeight="1">
      <c r="A141" s="12">
        <f t="shared" si="6"/>
        <v>133</v>
      </c>
      <c r="B141" s="10"/>
      <c r="C141" s="33" t="s">
        <v>381</v>
      </c>
      <c r="D141" s="33" t="s">
        <v>382</v>
      </c>
      <c r="E141" s="38" t="s">
        <v>81</v>
      </c>
      <c r="F141" s="38">
        <v>6</v>
      </c>
      <c r="G141" s="38"/>
      <c r="H141" s="10"/>
      <c r="I141" s="12"/>
    </row>
    <row r="142" spans="1:9" s="2" customFormat="1" ht="13.5" customHeight="1">
      <c r="A142" s="12">
        <f t="shared" si="6"/>
        <v>134</v>
      </c>
      <c r="B142" s="10"/>
      <c r="C142" s="10" t="s">
        <v>383</v>
      </c>
      <c r="D142" s="10" t="s">
        <v>384</v>
      </c>
      <c r="E142" s="38" t="s">
        <v>81</v>
      </c>
      <c r="F142" s="38">
        <v>6</v>
      </c>
      <c r="G142" s="38"/>
      <c r="H142" s="33"/>
      <c r="I142" s="12"/>
    </row>
    <row r="143" spans="1:9" s="2" customFormat="1" ht="13.5" customHeight="1">
      <c r="A143" s="12">
        <f t="shared" si="6"/>
        <v>135</v>
      </c>
      <c r="B143" s="10"/>
      <c r="C143" s="10" t="s">
        <v>385</v>
      </c>
      <c r="D143" s="10" t="s">
        <v>386</v>
      </c>
      <c r="E143" s="38" t="s">
        <v>81</v>
      </c>
      <c r="F143" s="38">
        <v>6</v>
      </c>
      <c r="G143" s="38"/>
      <c r="H143" s="33"/>
      <c r="I143" s="12"/>
    </row>
    <row r="144" spans="1:9" s="2" customFormat="1" ht="13.5" customHeight="1">
      <c r="A144" s="12">
        <f t="shared" si="6"/>
        <v>136</v>
      </c>
      <c r="B144" s="10"/>
      <c r="C144" s="10" t="s">
        <v>387</v>
      </c>
      <c r="D144" s="10" t="s">
        <v>388</v>
      </c>
      <c r="E144" s="38" t="s">
        <v>81</v>
      </c>
      <c r="F144" s="38">
        <v>6</v>
      </c>
      <c r="G144" s="38"/>
      <c r="H144" s="33"/>
      <c r="I144" s="12"/>
    </row>
    <row r="145" spans="1:9" s="2" customFormat="1" ht="13.5" customHeight="1">
      <c r="A145" s="12">
        <f t="shared" si="6"/>
        <v>137</v>
      </c>
      <c r="B145" s="10"/>
      <c r="C145" s="10" t="s">
        <v>389</v>
      </c>
      <c r="D145" s="10" t="s">
        <v>390</v>
      </c>
      <c r="E145" s="38" t="s">
        <v>81</v>
      </c>
      <c r="F145" s="38">
        <v>6</v>
      </c>
      <c r="G145" s="38"/>
      <c r="H145" s="33"/>
      <c r="I145" s="12"/>
    </row>
    <row r="146" spans="1:9" s="2" customFormat="1" ht="13.5" customHeight="1">
      <c r="A146" s="12">
        <f t="shared" si="6"/>
        <v>138</v>
      </c>
      <c r="B146" s="10"/>
      <c r="C146" s="33" t="s">
        <v>391</v>
      </c>
      <c r="D146" s="33" t="s">
        <v>392</v>
      </c>
      <c r="E146" s="38" t="s">
        <v>81</v>
      </c>
      <c r="F146" s="38">
        <v>6</v>
      </c>
      <c r="G146" s="38"/>
      <c r="H146" s="10"/>
      <c r="I146" s="12"/>
    </row>
    <row r="147" spans="1:9" s="2" customFormat="1" ht="13.5" customHeight="1">
      <c r="A147" s="12">
        <f t="shared" si="6"/>
        <v>139</v>
      </c>
      <c r="B147" s="10"/>
      <c r="C147" s="33" t="s">
        <v>393</v>
      </c>
      <c r="D147" s="33" t="s">
        <v>394</v>
      </c>
      <c r="E147" s="38" t="s">
        <v>81</v>
      </c>
      <c r="F147" s="38">
        <v>6</v>
      </c>
      <c r="G147" s="38"/>
      <c r="H147" s="10"/>
      <c r="I147" s="12"/>
    </row>
    <row r="148" spans="1:9" s="2" customFormat="1" ht="13.5" customHeight="1">
      <c r="A148" s="12">
        <f t="shared" si="6"/>
        <v>140</v>
      </c>
      <c r="B148" s="10"/>
      <c r="C148" s="10" t="s">
        <v>395</v>
      </c>
      <c r="D148" s="10" t="s">
        <v>396</v>
      </c>
      <c r="E148" s="38" t="s">
        <v>81</v>
      </c>
      <c r="F148" s="38">
        <v>10</v>
      </c>
      <c r="G148" s="38"/>
      <c r="H148" s="33"/>
      <c r="I148" s="12"/>
    </row>
    <row r="149" spans="1:9" ht="13.5" customHeight="1">
      <c r="A149" s="12">
        <f>ROW()-8</f>
        <v>141</v>
      </c>
      <c r="B149" s="10"/>
      <c r="C149" s="10" t="s">
        <v>397</v>
      </c>
      <c r="D149" s="10" t="s">
        <v>398</v>
      </c>
      <c r="E149" s="38" t="s">
        <v>80</v>
      </c>
      <c r="F149" s="38">
        <v>8</v>
      </c>
      <c r="G149" s="38"/>
      <c r="H149" s="10"/>
      <c r="I149" s="12"/>
    </row>
    <row r="150" spans="1:9" ht="13.5" customHeight="1">
      <c r="A150" s="12">
        <f t="shared" ref="A150:A168" si="7">ROW()-8</f>
        <v>142</v>
      </c>
      <c r="B150" s="10"/>
      <c r="C150" s="10" t="s">
        <v>399</v>
      </c>
      <c r="D150" s="10" t="s">
        <v>400</v>
      </c>
      <c r="E150" s="38" t="s">
        <v>81</v>
      </c>
      <c r="F150" s="38">
        <v>20</v>
      </c>
      <c r="G150" s="38"/>
      <c r="H150" s="10"/>
      <c r="I150" s="12"/>
    </row>
    <row r="151" spans="1:9" s="2" customFormat="1" ht="13.5" customHeight="1">
      <c r="A151" s="12">
        <f t="shared" si="7"/>
        <v>143</v>
      </c>
      <c r="B151" s="10"/>
      <c r="C151" s="10" t="s">
        <v>401</v>
      </c>
      <c r="D151" s="10" t="s">
        <v>402</v>
      </c>
      <c r="E151" s="38" t="s">
        <v>79</v>
      </c>
      <c r="F151" s="38">
        <v>8</v>
      </c>
      <c r="G151" s="38"/>
      <c r="H151" s="10"/>
      <c r="I151" s="12"/>
    </row>
    <row r="152" spans="1:9" s="2" customFormat="1" ht="13.5" customHeight="1">
      <c r="A152" s="12">
        <f t="shared" si="7"/>
        <v>144</v>
      </c>
      <c r="B152" s="10"/>
      <c r="C152" s="10" t="s">
        <v>403</v>
      </c>
      <c r="D152" s="10" t="s">
        <v>404</v>
      </c>
      <c r="E152" s="38" t="s">
        <v>79</v>
      </c>
      <c r="F152" s="38">
        <v>4</v>
      </c>
      <c r="G152" s="38"/>
      <c r="H152" s="33"/>
      <c r="I152" s="12"/>
    </row>
    <row r="153" spans="1:9" s="2" customFormat="1" ht="13.5" customHeight="1">
      <c r="A153" s="12">
        <f t="shared" si="7"/>
        <v>145</v>
      </c>
      <c r="B153" s="10"/>
      <c r="C153" s="10" t="s">
        <v>405</v>
      </c>
      <c r="D153" s="10" t="s">
        <v>406</v>
      </c>
      <c r="E153" s="38" t="s">
        <v>79</v>
      </c>
      <c r="F153" s="38">
        <v>1</v>
      </c>
      <c r="G153" s="38"/>
      <c r="H153" s="33"/>
      <c r="I153" s="12"/>
    </row>
    <row r="154" spans="1:9" s="2" customFormat="1" ht="13.5" customHeight="1">
      <c r="A154" s="12">
        <f t="shared" si="7"/>
        <v>146</v>
      </c>
      <c r="B154" s="10"/>
      <c r="C154" s="10" t="s">
        <v>407</v>
      </c>
      <c r="D154" s="10" t="s">
        <v>408</v>
      </c>
      <c r="E154" s="38" t="s">
        <v>79</v>
      </c>
      <c r="F154" s="38">
        <v>1</v>
      </c>
      <c r="G154" s="38"/>
      <c r="H154" s="33"/>
      <c r="I154" s="12"/>
    </row>
    <row r="155" spans="1:9" s="2" customFormat="1" ht="13.5" customHeight="1">
      <c r="A155" s="12">
        <f t="shared" si="7"/>
        <v>147</v>
      </c>
      <c r="B155" s="10"/>
      <c r="C155" s="33" t="s">
        <v>409</v>
      </c>
      <c r="D155" s="33" t="s">
        <v>410</v>
      </c>
      <c r="E155" s="38" t="s">
        <v>79</v>
      </c>
      <c r="F155" s="38">
        <v>1</v>
      </c>
      <c r="G155" s="38"/>
      <c r="H155" s="33"/>
      <c r="I155" s="12"/>
    </row>
    <row r="156" spans="1:9" s="2" customFormat="1" ht="13.5" customHeight="1">
      <c r="A156" s="12">
        <f t="shared" si="7"/>
        <v>148</v>
      </c>
      <c r="B156" s="10"/>
      <c r="C156" s="10" t="s">
        <v>411</v>
      </c>
      <c r="D156" s="10" t="s">
        <v>412</v>
      </c>
      <c r="E156" s="38" t="s">
        <v>81</v>
      </c>
      <c r="F156" s="38">
        <v>44</v>
      </c>
      <c r="G156" s="38"/>
      <c r="H156" s="10"/>
      <c r="I156" s="12"/>
    </row>
    <row r="157" spans="1:9" s="2" customFormat="1" ht="13.5" customHeight="1">
      <c r="A157" s="12">
        <f t="shared" si="7"/>
        <v>149</v>
      </c>
      <c r="B157" s="10"/>
      <c r="C157" s="33" t="s">
        <v>413</v>
      </c>
      <c r="D157" s="33" t="s">
        <v>414</v>
      </c>
      <c r="E157" s="38" t="s">
        <v>621</v>
      </c>
      <c r="F157" s="38">
        <v>44</v>
      </c>
      <c r="G157" s="38"/>
      <c r="H157" s="33"/>
      <c r="I157" s="12"/>
    </row>
    <row r="158" spans="1:9" s="2" customFormat="1" ht="13.5" customHeight="1">
      <c r="A158" s="12">
        <f t="shared" si="7"/>
        <v>150</v>
      </c>
      <c r="B158" s="10"/>
      <c r="C158" s="33" t="s">
        <v>415</v>
      </c>
      <c r="D158" s="33" t="s">
        <v>416</v>
      </c>
      <c r="E158" s="38" t="s">
        <v>81</v>
      </c>
      <c r="F158" s="38">
        <v>20</v>
      </c>
      <c r="G158" s="38"/>
      <c r="H158" s="33"/>
      <c r="I158" s="12"/>
    </row>
    <row r="159" spans="1:9" s="2" customFormat="1" ht="13.5" customHeight="1">
      <c r="A159" s="12">
        <f t="shared" si="7"/>
        <v>151</v>
      </c>
      <c r="B159" s="10"/>
      <c r="C159" s="10" t="s">
        <v>417</v>
      </c>
      <c r="D159" s="10" t="s">
        <v>418</v>
      </c>
      <c r="E159" s="38" t="s">
        <v>79</v>
      </c>
      <c r="F159" s="38">
        <v>8</v>
      </c>
      <c r="G159" s="38"/>
      <c r="H159" s="10"/>
      <c r="I159" s="12"/>
    </row>
    <row r="160" spans="1:9" s="2" customFormat="1" ht="13.5" customHeight="1">
      <c r="A160" s="12">
        <f t="shared" si="7"/>
        <v>152</v>
      </c>
      <c r="B160" s="10"/>
      <c r="C160" s="10" t="s">
        <v>419</v>
      </c>
      <c r="D160" s="10" t="s">
        <v>420</v>
      </c>
      <c r="E160" s="38" t="s">
        <v>79</v>
      </c>
      <c r="F160" s="38">
        <v>4</v>
      </c>
      <c r="G160" s="38"/>
      <c r="H160" s="33"/>
      <c r="I160" s="12"/>
    </row>
    <row r="161" spans="1:9" s="2" customFormat="1" ht="13.5" customHeight="1">
      <c r="A161" s="12">
        <f t="shared" si="7"/>
        <v>153</v>
      </c>
      <c r="B161" s="10"/>
      <c r="C161" s="33" t="s">
        <v>421</v>
      </c>
      <c r="D161" s="33" t="s">
        <v>422</v>
      </c>
      <c r="E161" s="38" t="s">
        <v>79</v>
      </c>
      <c r="F161" s="38">
        <v>8</v>
      </c>
      <c r="G161" s="38"/>
      <c r="H161" s="10"/>
      <c r="I161" s="12"/>
    </row>
    <row r="162" spans="1:9" s="2" customFormat="1" ht="13.5" customHeight="1">
      <c r="A162" s="12">
        <f t="shared" si="7"/>
        <v>154</v>
      </c>
      <c r="B162" s="10"/>
      <c r="C162" s="10" t="s">
        <v>423</v>
      </c>
      <c r="D162" s="10" t="s">
        <v>424</v>
      </c>
      <c r="E162" s="38" t="s">
        <v>79</v>
      </c>
      <c r="F162" s="38">
        <v>1</v>
      </c>
      <c r="G162" s="38"/>
      <c r="H162" s="33"/>
      <c r="I162" s="12"/>
    </row>
    <row r="163" spans="1:9" s="2" customFormat="1" ht="13.5" customHeight="1">
      <c r="A163" s="12">
        <f t="shared" si="7"/>
        <v>155</v>
      </c>
      <c r="B163" s="10"/>
      <c r="C163" s="10" t="s">
        <v>425</v>
      </c>
      <c r="D163" s="10" t="s">
        <v>426</v>
      </c>
      <c r="E163" s="38" t="s">
        <v>79</v>
      </c>
      <c r="F163" s="38">
        <v>1</v>
      </c>
      <c r="G163" s="38"/>
      <c r="H163" s="33"/>
      <c r="I163" s="12"/>
    </row>
    <row r="164" spans="1:9" s="2" customFormat="1" ht="13.5" customHeight="1">
      <c r="A164" s="12">
        <f t="shared" si="7"/>
        <v>156</v>
      </c>
      <c r="B164" s="10"/>
      <c r="C164" s="10" t="s">
        <v>427</v>
      </c>
      <c r="D164" s="10" t="s">
        <v>428</v>
      </c>
      <c r="E164" s="38" t="s">
        <v>81</v>
      </c>
      <c r="F164" s="38">
        <v>5</v>
      </c>
      <c r="G164" s="38"/>
      <c r="H164" s="33"/>
      <c r="I164" s="12"/>
    </row>
    <row r="165" spans="1:9" s="2" customFormat="1" ht="13.5" customHeight="1">
      <c r="A165" s="12">
        <f t="shared" si="7"/>
        <v>157</v>
      </c>
      <c r="B165" s="10"/>
      <c r="C165" s="10" t="s">
        <v>429</v>
      </c>
      <c r="D165" s="10" t="s">
        <v>430</v>
      </c>
      <c r="E165" s="38" t="s">
        <v>81</v>
      </c>
      <c r="F165" s="38">
        <v>70</v>
      </c>
      <c r="G165" s="38"/>
      <c r="H165" s="33"/>
      <c r="I165" s="12"/>
    </row>
    <row r="166" spans="1:9" s="2" customFormat="1" ht="13.5" customHeight="1">
      <c r="A166" s="12">
        <f t="shared" si="7"/>
        <v>158</v>
      </c>
      <c r="B166" s="10"/>
      <c r="C166" s="33" t="s">
        <v>431</v>
      </c>
      <c r="D166" s="33" t="s">
        <v>432</v>
      </c>
      <c r="E166" s="38" t="s">
        <v>621</v>
      </c>
      <c r="F166" s="38">
        <v>70</v>
      </c>
      <c r="G166" s="38"/>
      <c r="H166" s="10"/>
      <c r="I166" s="12"/>
    </row>
    <row r="167" spans="1:9" s="2" customFormat="1" ht="13.5" customHeight="1">
      <c r="A167" s="12">
        <f t="shared" si="7"/>
        <v>159</v>
      </c>
      <c r="B167" s="10"/>
      <c r="C167" s="33" t="s">
        <v>433</v>
      </c>
      <c r="D167" s="33" t="s">
        <v>434</v>
      </c>
      <c r="E167" s="38" t="s">
        <v>79</v>
      </c>
      <c r="F167" s="38">
        <v>1</v>
      </c>
      <c r="G167" s="38"/>
      <c r="H167" s="10"/>
      <c r="I167" s="12"/>
    </row>
    <row r="168" spans="1:9" s="2" customFormat="1" ht="13.5" customHeight="1">
      <c r="A168" s="12">
        <f t="shared" si="7"/>
        <v>160</v>
      </c>
      <c r="B168" s="10"/>
      <c r="C168" s="10" t="s">
        <v>435</v>
      </c>
      <c r="D168" s="10" t="s">
        <v>436</v>
      </c>
      <c r="E168" s="38" t="s">
        <v>81</v>
      </c>
      <c r="F168" s="38">
        <v>15</v>
      </c>
      <c r="G168" s="38"/>
      <c r="H168" s="33"/>
      <c r="I168" s="12"/>
    </row>
    <row r="169" spans="1:9" ht="13.5" customHeight="1">
      <c r="A169" s="12">
        <f>ROW()-8</f>
        <v>161</v>
      </c>
      <c r="B169" s="10"/>
      <c r="C169" s="10" t="s">
        <v>437</v>
      </c>
      <c r="D169" s="10" t="s">
        <v>438</v>
      </c>
      <c r="E169" s="38" t="s">
        <v>81</v>
      </c>
      <c r="F169" s="38">
        <v>6</v>
      </c>
      <c r="G169" s="38"/>
      <c r="H169" s="10"/>
      <c r="I169" s="12"/>
    </row>
    <row r="170" spans="1:9" ht="13.5" customHeight="1">
      <c r="A170" s="12">
        <f t="shared" ref="A170:A188" si="8">ROW()-8</f>
        <v>162</v>
      </c>
      <c r="B170" s="10"/>
      <c r="C170" s="10" t="s">
        <v>439</v>
      </c>
      <c r="D170" s="10" t="s">
        <v>440</v>
      </c>
      <c r="E170" s="38" t="s">
        <v>81</v>
      </c>
      <c r="F170" s="38">
        <v>6</v>
      </c>
      <c r="G170" s="38"/>
      <c r="H170" s="10"/>
      <c r="I170" s="12"/>
    </row>
    <row r="171" spans="1:9" s="2" customFormat="1" ht="13.5" customHeight="1">
      <c r="A171" s="12">
        <f t="shared" si="8"/>
        <v>163</v>
      </c>
      <c r="B171" s="10"/>
      <c r="C171" s="10" t="s">
        <v>441</v>
      </c>
      <c r="D171" s="10" t="s">
        <v>442</v>
      </c>
      <c r="E171" s="38" t="s">
        <v>81</v>
      </c>
      <c r="F171" s="38">
        <v>40</v>
      </c>
      <c r="G171" s="38"/>
      <c r="H171" s="10"/>
      <c r="I171" s="12"/>
    </row>
    <row r="172" spans="1:9" s="2" customFormat="1" ht="13.5" customHeight="1">
      <c r="A172" s="12">
        <f t="shared" si="8"/>
        <v>164</v>
      </c>
      <c r="B172" s="10"/>
      <c r="C172" s="10" t="s">
        <v>443</v>
      </c>
      <c r="D172" s="10" t="s">
        <v>444</v>
      </c>
      <c r="E172" s="38" t="s">
        <v>621</v>
      </c>
      <c r="F172" s="38">
        <v>40</v>
      </c>
      <c r="G172" s="38"/>
      <c r="H172" s="33"/>
      <c r="I172" s="12"/>
    </row>
    <row r="173" spans="1:9" s="2" customFormat="1" ht="13.5" customHeight="1">
      <c r="A173" s="12">
        <f t="shared" si="8"/>
        <v>165</v>
      </c>
      <c r="B173" s="10"/>
      <c r="C173" s="10" t="s">
        <v>445</v>
      </c>
      <c r="D173" s="10" t="s">
        <v>446</v>
      </c>
      <c r="E173" s="38" t="s">
        <v>81</v>
      </c>
      <c r="F173" s="38">
        <v>20</v>
      </c>
      <c r="G173" s="38"/>
      <c r="H173" s="33"/>
      <c r="I173" s="12"/>
    </row>
    <row r="174" spans="1:9" s="2" customFormat="1" ht="13.5" customHeight="1">
      <c r="A174" s="12">
        <f t="shared" si="8"/>
        <v>166</v>
      </c>
      <c r="B174" s="10"/>
      <c r="C174" s="10" t="s">
        <v>447</v>
      </c>
      <c r="D174" s="10" t="s">
        <v>448</v>
      </c>
      <c r="E174" s="38" t="s">
        <v>81</v>
      </c>
      <c r="F174" s="38">
        <v>6</v>
      </c>
      <c r="G174" s="38"/>
      <c r="H174" s="33"/>
      <c r="I174" s="12"/>
    </row>
    <row r="175" spans="1:9" s="2" customFormat="1" ht="13.5" customHeight="1">
      <c r="A175" s="12">
        <f t="shared" si="8"/>
        <v>167</v>
      </c>
      <c r="B175" s="10"/>
      <c r="C175" s="33" t="s">
        <v>449</v>
      </c>
      <c r="D175" s="33" t="s">
        <v>450</v>
      </c>
      <c r="E175" s="38" t="s">
        <v>81</v>
      </c>
      <c r="F175" s="38">
        <v>6</v>
      </c>
      <c r="G175" s="38"/>
      <c r="H175" s="33"/>
      <c r="I175" s="12"/>
    </row>
    <row r="176" spans="1:9" s="2" customFormat="1" ht="13.5" customHeight="1">
      <c r="A176" s="12">
        <f t="shared" si="8"/>
        <v>168</v>
      </c>
      <c r="B176" s="10"/>
      <c r="C176" s="10" t="s">
        <v>451</v>
      </c>
      <c r="D176" s="10" t="s">
        <v>452</v>
      </c>
      <c r="E176" s="38" t="s">
        <v>81</v>
      </c>
      <c r="F176" s="38">
        <v>40</v>
      </c>
      <c r="G176" s="38"/>
      <c r="H176" s="10"/>
      <c r="I176" s="12"/>
    </row>
    <row r="177" spans="1:9" s="2" customFormat="1" ht="13.5" customHeight="1">
      <c r="A177" s="12">
        <f t="shared" si="8"/>
        <v>169</v>
      </c>
      <c r="B177" s="10"/>
      <c r="C177" s="33" t="s">
        <v>453</v>
      </c>
      <c r="D177" s="33" t="s">
        <v>454</v>
      </c>
      <c r="E177" s="38" t="s">
        <v>621</v>
      </c>
      <c r="F177" s="38">
        <v>50</v>
      </c>
      <c r="G177" s="38"/>
      <c r="H177" s="33"/>
      <c r="I177" s="12"/>
    </row>
    <row r="178" spans="1:9" s="2" customFormat="1" ht="13.5" customHeight="1">
      <c r="A178" s="12">
        <f t="shared" si="8"/>
        <v>170</v>
      </c>
      <c r="B178" s="10"/>
      <c r="C178" s="33" t="s">
        <v>455</v>
      </c>
      <c r="D178" s="33" t="s">
        <v>456</v>
      </c>
      <c r="E178" s="38" t="s">
        <v>81</v>
      </c>
      <c r="F178" s="38">
        <v>6</v>
      </c>
      <c r="G178" s="38"/>
      <c r="H178" s="33"/>
      <c r="I178" s="12"/>
    </row>
    <row r="179" spans="1:9" s="2" customFormat="1" ht="13.5" customHeight="1">
      <c r="A179" s="12">
        <f t="shared" si="8"/>
        <v>171</v>
      </c>
      <c r="B179" s="10"/>
      <c r="C179" s="10" t="s">
        <v>457</v>
      </c>
      <c r="D179" s="10" t="s">
        <v>458</v>
      </c>
      <c r="E179" s="38" t="s">
        <v>81</v>
      </c>
      <c r="F179" s="38">
        <v>6</v>
      </c>
      <c r="G179" s="38"/>
      <c r="H179" s="10"/>
      <c r="I179" s="12"/>
    </row>
    <row r="180" spans="1:9" s="2" customFormat="1" ht="13.5" customHeight="1">
      <c r="A180" s="12">
        <f t="shared" si="8"/>
        <v>172</v>
      </c>
      <c r="B180" s="10"/>
      <c r="C180" s="10" t="s">
        <v>459</v>
      </c>
      <c r="D180" s="10" t="s">
        <v>460</v>
      </c>
      <c r="E180" s="38" t="s">
        <v>81</v>
      </c>
      <c r="F180" s="38">
        <v>40</v>
      </c>
      <c r="G180" s="38"/>
      <c r="H180" s="33"/>
      <c r="I180" s="12"/>
    </row>
    <row r="181" spans="1:9" s="2" customFormat="1" ht="13.5" customHeight="1">
      <c r="A181" s="12">
        <f t="shared" si="8"/>
        <v>173</v>
      </c>
      <c r="B181" s="10"/>
      <c r="C181" s="33" t="s">
        <v>461</v>
      </c>
      <c r="D181" s="33" t="s">
        <v>462</v>
      </c>
      <c r="E181" s="38" t="s">
        <v>621</v>
      </c>
      <c r="F181" s="38">
        <v>50</v>
      </c>
      <c r="G181" s="38"/>
      <c r="H181" s="10"/>
      <c r="I181" s="12"/>
    </row>
    <row r="182" spans="1:9" s="2" customFormat="1" ht="13.5" customHeight="1">
      <c r="A182" s="12">
        <f t="shared" si="8"/>
        <v>174</v>
      </c>
      <c r="B182" s="10"/>
      <c r="C182" s="10" t="s">
        <v>463</v>
      </c>
      <c r="D182" s="10" t="s">
        <v>464</v>
      </c>
      <c r="E182" s="38" t="s">
        <v>79</v>
      </c>
      <c r="F182" s="38">
        <v>8</v>
      </c>
      <c r="G182" s="38"/>
      <c r="H182" s="33"/>
      <c r="I182" s="12"/>
    </row>
    <row r="183" spans="1:9" s="2" customFormat="1" ht="13.5" customHeight="1">
      <c r="A183" s="12">
        <f t="shared" si="8"/>
        <v>175</v>
      </c>
      <c r="B183" s="10"/>
      <c r="C183" s="10" t="s">
        <v>465</v>
      </c>
      <c r="D183" s="10" t="s">
        <v>466</v>
      </c>
      <c r="E183" s="38" t="s">
        <v>79</v>
      </c>
      <c r="F183" s="38">
        <v>8</v>
      </c>
      <c r="G183" s="38"/>
      <c r="H183" s="33"/>
      <c r="I183" s="12"/>
    </row>
    <row r="184" spans="1:9" s="2" customFormat="1" ht="13.5" customHeight="1">
      <c r="A184" s="12">
        <f t="shared" si="8"/>
        <v>176</v>
      </c>
      <c r="B184" s="10"/>
      <c r="C184" s="10" t="s">
        <v>467</v>
      </c>
      <c r="D184" s="10" t="s">
        <v>468</v>
      </c>
      <c r="E184" s="38" t="s">
        <v>79</v>
      </c>
      <c r="F184" s="38">
        <v>1</v>
      </c>
      <c r="G184" s="38"/>
      <c r="H184" s="33"/>
      <c r="I184" s="12"/>
    </row>
    <row r="185" spans="1:9" s="2" customFormat="1" ht="13.5" customHeight="1">
      <c r="A185" s="12">
        <f t="shared" si="8"/>
        <v>177</v>
      </c>
      <c r="B185" s="10"/>
      <c r="C185" s="10" t="s">
        <v>469</v>
      </c>
      <c r="D185" s="10" t="s">
        <v>470</v>
      </c>
      <c r="E185" s="38" t="s">
        <v>79</v>
      </c>
      <c r="F185" s="38">
        <v>8</v>
      </c>
      <c r="G185" s="38"/>
      <c r="H185" s="33"/>
      <c r="I185" s="12"/>
    </row>
    <row r="186" spans="1:9" s="2" customFormat="1" ht="13.5" customHeight="1">
      <c r="A186" s="12">
        <f t="shared" si="8"/>
        <v>178</v>
      </c>
      <c r="B186" s="10"/>
      <c r="C186" s="33" t="s">
        <v>471</v>
      </c>
      <c r="D186" s="33" t="s">
        <v>472</v>
      </c>
      <c r="E186" s="38" t="s">
        <v>79</v>
      </c>
      <c r="F186" s="38">
        <v>1</v>
      </c>
      <c r="G186" s="38"/>
      <c r="H186" s="10"/>
      <c r="I186" s="12"/>
    </row>
    <row r="187" spans="1:9" s="2" customFormat="1" ht="13.5" customHeight="1">
      <c r="A187" s="12">
        <f t="shared" si="8"/>
        <v>179</v>
      </c>
      <c r="B187" s="10"/>
      <c r="C187" s="33" t="s">
        <v>473</v>
      </c>
      <c r="D187" s="33" t="s">
        <v>474</v>
      </c>
      <c r="E187" s="38" t="s">
        <v>81</v>
      </c>
      <c r="F187" s="38">
        <v>15</v>
      </c>
      <c r="G187" s="38"/>
      <c r="H187" s="10"/>
      <c r="I187" s="12"/>
    </row>
    <row r="188" spans="1:9" s="2" customFormat="1" ht="13.5" customHeight="1">
      <c r="A188" s="12">
        <f t="shared" si="8"/>
        <v>180</v>
      </c>
      <c r="B188" s="10"/>
      <c r="C188" s="10" t="s">
        <v>475</v>
      </c>
      <c r="D188" s="10" t="s">
        <v>476</v>
      </c>
      <c r="E188" s="38" t="s">
        <v>79</v>
      </c>
      <c r="F188" s="38">
        <v>1</v>
      </c>
      <c r="G188" s="38"/>
      <c r="H188" s="33"/>
      <c r="I188" s="12"/>
    </row>
    <row r="189" spans="1:9" ht="13.5" customHeight="1">
      <c r="A189" s="12">
        <f>ROW()-8</f>
        <v>181</v>
      </c>
      <c r="B189" s="10"/>
      <c r="C189" s="10" t="s">
        <v>477</v>
      </c>
      <c r="D189" s="10" t="s">
        <v>478</v>
      </c>
      <c r="E189" s="38" t="s">
        <v>67</v>
      </c>
      <c r="F189" s="38">
        <v>13</v>
      </c>
      <c r="G189" s="38">
        <v>3</v>
      </c>
      <c r="H189" s="10"/>
      <c r="I189" s="12"/>
    </row>
    <row r="190" spans="1:9" ht="13.5" customHeight="1">
      <c r="A190" s="12">
        <f t="shared" ref="A190:A208" si="9">ROW()-8</f>
        <v>182</v>
      </c>
      <c r="B190" s="10"/>
      <c r="C190" s="10" t="s">
        <v>479</v>
      </c>
      <c r="D190" s="10" t="s">
        <v>480</v>
      </c>
      <c r="E190" s="38" t="s">
        <v>81</v>
      </c>
      <c r="F190" s="38">
        <v>3</v>
      </c>
      <c r="G190" s="38"/>
      <c r="H190" s="10"/>
      <c r="I190" s="12"/>
    </row>
    <row r="191" spans="1:9" s="2" customFormat="1" ht="13.5" customHeight="1">
      <c r="A191" s="12">
        <f t="shared" si="9"/>
        <v>183</v>
      </c>
      <c r="B191" s="10"/>
      <c r="C191" s="10" t="s">
        <v>481</v>
      </c>
      <c r="D191" s="10" t="s">
        <v>482</v>
      </c>
      <c r="E191" s="38" t="s">
        <v>79</v>
      </c>
      <c r="F191" s="38">
        <v>1</v>
      </c>
      <c r="G191" s="38"/>
      <c r="H191" s="10"/>
      <c r="I191" s="12"/>
    </row>
    <row r="192" spans="1:9" s="2" customFormat="1" ht="13.5" customHeight="1">
      <c r="A192" s="12">
        <f t="shared" si="9"/>
        <v>184</v>
      </c>
      <c r="B192" s="10"/>
      <c r="C192" s="10" t="s">
        <v>483</v>
      </c>
      <c r="D192" s="10" t="s">
        <v>484</v>
      </c>
      <c r="E192" s="38" t="s">
        <v>79</v>
      </c>
      <c r="F192" s="38">
        <v>1</v>
      </c>
      <c r="G192" s="38"/>
      <c r="H192" s="33"/>
      <c r="I192" s="12"/>
    </row>
    <row r="193" spans="1:9" s="2" customFormat="1" ht="13.5" customHeight="1">
      <c r="A193" s="12">
        <f t="shared" si="9"/>
        <v>185</v>
      </c>
      <c r="B193" s="10"/>
      <c r="C193" s="10" t="s">
        <v>485</v>
      </c>
      <c r="D193" s="10" t="s">
        <v>486</v>
      </c>
      <c r="E193" s="38" t="s">
        <v>67</v>
      </c>
      <c r="F193" s="38">
        <v>13</v>
      </c>
      <c r="G193" s="38">
        <v>3</v>
      </c>
      <c r="H193" s="33"/>
      <c r="I193" s="12"/>
    </row>
    <row r="194" spans="1:9" s="2" customFormat="1" ht="13.5" customHeight="1">
      <c r="A194" s="12">
        <f t="shared" si="9"/>
        <v>186</v>
      </c>
      <c r="B194" s="10"/>
      <c r="C194" s="10" t="s">
        <v>487</v>
      </c>
      <c r="D194" s="10" t="s">
        <v>488</v>
      </c>
      <c r="E194" s="38" t="s">
        <v>67</v>
      </c>
      <c r="F194" s="38">
        <v>16</v>
      </c>
      <c r="G194" s="38">
        <v>0</v>
      </c>
      <c r="H194" s="33"/>
      <c r="I194" s="12"/>
    </row>
    <row r="195" spans="1:9" s="2" customFormat="1" ht="13.5" customHeight="1">
      <c r="A195" s="12">
        <f t="shared" si="9"/>
        <v>187</v>
      </c>
      <c r="B195" s="10"/>
      <c r="C195" s="33" t="s">
        <v>489</v>
      </c>
      <c r="D195" s="33" t="s">
        <v>490</v>
      </c>
      <c r="E195" s="38" t="s">
        <v>79</v>
      </c>
      <c r="F195" s="38">
        <v>1</v>
      </c>
      <c r="G195" s="38"/>
      <c r="H195" s="33"/>
      <c r="I195" s="12"/>
    </row>
    <row r="196" spans="1:9" s="2" customFormat="1" ht="13.5" customHeight="1">
      <c r="A196" s="12">
        <f t="shared" si="9"/>
        <v>188</v>
      </c>
      <c r="B196" s="10"/>
      <c r="C196" s="10" t="s">
        <v>491</v>
      </c>
      <c r="D196" s="10" t="s">
        <v>492</v>
      </c>
      <c r="E196" s="38" t="s">
        <v>67</v>
      </c>
      <c r="F196" s="38">
        <v>13</v>
      </c>
      <c r="G196" s="38">
        <v>3</v>
      </c>
      <c r="H196" s="10"/>
      <c r="I196" s="12"/>
    </row>
    <row r="197" spans="1:9" s="2" customFormat="1" ht="13.5" customHeight="1">
      <c r="A197" s="12">
        <f t="shared" si="9"/>
        <v>189</v>
      </c>
      <c r="B197" s="10"/>
      <c r="C197" s="33" t="s">
        <v>493</v>
      </c>
      <c r="D197" s="33" t="s">
        <v>494</v>
      </c>
      <c r="E197" s="38" t="s">
        <v>67</v>
      </c>
      <c r="F197" s="38">
        <v>16</v>
      </c>
      <c r="G197" s="38">
        <v>0</v>
      </c>
      <c r="H197" s="33"/>
      <c r="I197" s="12"/>
    </row>
    <row r="198" spans="1:9" s="2" customFormat="1" ht="13.5" customHeight="1">
      <c r="A198" s="12">
        <f t="shared" si="9"/>
        <v>190</v>
      </c>
      <c r="B198" s="10"/>
      <c r="C198" s="33" t="s">
        <v>495</v>
      </c>
      <c r="D198" s="33" t="s">
        <v>496</v>
      </c>
      <c r="E198" s="38" t="s">
        <v>81</v>
      </c>
      <c r="F198" s="38">
        <v>6</v>
      </c>
      <c r="G198" s="38"/>
      <c r="H198" s="33"/>
      <c r="I198" s="12"/>
    </row>
    <row r="199" spans="1:9" s="2" customFormat="1" ht="13.5" customHeight="1">
      <c r="A199" s="12">
        <f t="shared" si="9"/>
        <v>191</v>
      </c>
      <c r="B199" s="10"/>
      <c r="C199" s="10" t="s">
        <v>497</v>
      </c>
      <c r="D199" s="10" t="s">
        <v>498</v>
      </c>
      <c r="E199" s="38" t="s">
        <v>81</v>
      </c>
      <c r="F199" s="38">
        <v>6</v>
      </c>
      <c r="G199" s="38"/>
      <c r="H199" s="10"/>
      <c r="I199" s="12"/>
    </row>
    <row r="200" spans="1:9" s="2" customFormat="1" ht="13.5" customHeight="1">
      <c r="A200" s="12">
        <f t="shared" si="9"/>
        <v>192</v>
      </c>
      <c r="B200" s="10"/>
      <c r="C200" s="10" t="s">
        <v>499</v>
      </c>
      <c r="D200" s="10" t="s">
        <v>500</v>
      </c>
      <c r="E200" s="38" t="s">
        <v>81</v>
      </c>
      <c r="F200" s="38">
        <v>40</v>
      </c>
      <c r="G200" s="38"/>
      <c r="H200" s="33"/>
      <c r="I200" s="12"/>
    </row>
    <row r="201" spans="1:9" s="2" customFormat="1" ht="13.5" customHeight="1">
      <c r="A201" s="12">
        <f t="shared" si="9"/>
        <v>193</v>
      </c>
      <c r="B201" s="10"/>
      <c r="C201" s="33" t="s">
        <v>501</v>
      </c>
      <c r="D201" s="33" t="s">
        <v>502</v>
      </c>
      <c r="E201" s="38" t="s">
        <v>621</v>
      </c>
      <c r="F201" s="38">
        <v>50</v>
      </c>
      <c r="G201" s="38"/>
      <c r="H201" s="10"/>
      <c r="I201" s="12"/>
    </row>
    <row r="202" spans="1:9" s="2" customFormat="1" ht="13.5" customHeight="1">
      <c r="A202" s="12">
        <f t="shared" si="9"/>
        <v>194</v>
      </c>
      <c r="B202" s="10"/>
      <c r="C202" s="10" t="s">
        <v>503</v>
      </c>
      <c r="D202" s="10" t="s">
        <v>504</v>
      </c>
      <c r="E202" s="38" t="s">
        <v>81</v>
      </c>
      <c r="F202" s="38">
        <v>2</v>
      </c>
      <c r="G202" s="38"/>
      <c r="H202" s="33"/>
      <c r="I202" s="12"/>
    </row>
    <row r="203" spans="1:9" s="2" customFormat="1" ht="13.5" customHeight="1">
      <c r="A203" s="12">
        <f t="shared" si="9"/>
        <v>195</v>
      </c>
      <c r="B203" s="10"/>
      <c r="C203" s="10" t="s">
        <v>505</v>
      </c>
      <c r="D203" s="10" t="s">
        <v>506</v>
      </c>
      <c r="E203" s="38" t="s">
        <v>81</v>
      </c>
      <c r="F203" s="38">
        <v>74</v>
      </c>
      <c r="G203" s="38"/>
      <c r="H203" s="33"/>
      <c r="I203" s="12"/>
    </row>
    <row r="204" spans="1:9" s="2" customFormat="1" ht="13.5" customHeight="1">
      <c r="A204" s="12">
        <f t="shared" si="9"/>
        <v>196</v>
      </c>
      <c r="B204" s="10"/>
      <c r="C204" s="10" t="s">
        <v>507</v>
      </c>
      <c r="D204" s="10" t="s">
        <v>508</v>
      </c>
      <c r="E204" s="38" t="s">
        <v>621</v>
      </c>
      <c r="F204" s="38">
        <v>80</v>
      </c>
      <c r="G204" s="38"/>
      <c r="H204" s="33"/>
      <c r="I204" s="12"/>
    </row>
    <row r="205" spans="1:9" s="2" customFormat="1" ht="13.5" customHeight="1">
      <c r="A205" s="12">
        <f t="shared" si="9"/>
        <v>197</v>
      </c>
      <c r="B205" s="10"/>
      <c r="C205" s="10" t="s">
        <v>509</v>
      </c>
      <c r="D205" s="10" t="s">
        <v>510</v>
      </c>
      <c r="E205" s="38" t="s">
        <v>81</v>
      </c>
      <c r="F205" s="38">
        <v>11</v>
      </c>
      <c r="G205" s="38"/>
      <c r="H205" s="33"/>
      <c r="I205" s="12"/>
    </row>
    <row r="206" spans="1:9" s="2" customFormat="1" ht="13.5" customHeight="1">
      <c r="A206" s="12">
        <f t="shared" si="9"/>
        <v>198</v>
      </c>
      <c r="B206" s="10"/>
      <c r="C206" s="33" t="s">
        <v>511</v>
      </c>
      <c r="D206" s="33" t="s">
        <v>512</v>
      </c>
      <c r="E206" s="38" t="s">
        <v>79</v>
      </c>
      <c r="F206" s="38">
        <v>7</v>
      </c>
      <c r="G206" s="38"/>
      <c r="H206" s="10"/>
      <c r="I206" s="12"/>
    </row>
    <row r="207" spans="1:9" s="2" customFormat="1" ht="13.5" customHeight="1">
      <c r="A207" s="12">
        <f t="shared" si="9"/>
        <v>199</v>
      </c>
      <c r="B207" s="10"/>
      <c r="C207" s="33" t="s">
        <v>513</v>
      </c>
      <c r="D207" s="33" t="s">
        <v>514</v>
      </c>
      <c r="E207" s="38" t="s">
        <v>81</v>
      </c>
      <c r="F207" s="38">
        <v>12</v>
      </c>
      <c r="G207" s="38"/>
      <c r="H207" s="10"/>
      <c r="I207" s="12"/>
    </row>
    <row r="208" spans="1:9" s="2" customFormat="1" ht="13.5" customHeight="1">
      <c r="A208" s="12">
        <f t="shared" si="9"/>
        <v>200</v>
      </c>
      <c r="B208" s="10"/>
      <c r="C208" s="10" t="s">
        <v>515</v>
      </c>
      <c r="D208" s="10" t="s">
        <v>516</v>
      </c>
      <c r="E208" s="38" t="s">
        <v>81</v>
      </c>
      <c r="F208" s="38">
        <v>12</v>
      </c>
      <c r="G208" s="38"/>
      <c r="H208" s="33"/>
      <c r="I208" s="12"/>
    </row>
    <row r="209" spans="1:9" ht="13.5" customHeight="1">
      <c r="A209" s="12">
        <f>ROW()-8</f>
        <v>201</v>
      </c>
      <c r="B209" s="10"/>
      <c r="C209" s="10" t="s">
        <v>517</v>
      </c>
      <c r="D209" s="10" t="s">
        <v>518</v>
      </c>
      <c r="E209" s="38" t="s">
        <v>80</v>
      </c>
      <c r="F209" s="38">
        <v>8</v>
      </c>
      <c r="G209" s="38"/>
      <c r="H209" s="10"/>
      <c r="I209" s="12"/>
    </row>
    <row r="210" spans="1:9" ht="13.5" customHeight="1">
      <c r="A210" s="12">
        <f t="shared" ref="A210:A228" si="10">ROW()-8</f>
        <v>202</v>
      </c>
      <c r="B210" s="10"/>
      <c r="C210" s="10" t="s">
        <v>519</v>
      </c>
      <c r="D210" s="10" t="s">
        <v>520</v>
      </c>
      <c r="E210" s="38" t="s">
        <v>79</v>
      </c>
      <c r="F210" s="38">
        <v>4</v>
      </c>
      <c r="G210" s="38"/>
      <c r="H210" s="10"/>
      <c r="I210" s="12"/>
    </row>
    <row r="211" spans="1:9" s="2" customFormat="1" ht="13.5" customHeight="1">
      <c r="A211" s="12">
        <f t="shared" si="10"/>
        <v>203</v>
      </c>
      <c r="B211" s="10"/>
      <c r="C211" s="10" t="s">
        <v>521</v>
      </c>
      <c r="D211" s="10" t="s">
        <v>522</v>
      </c>
      <c r="E211" s="38" t="s">
        <v>48</v>
      </c>
      <c r="F211" s="38">
        <v>10</v>
      </c>
      <c r="G211" s="38"/>
      <c r="H211" s="10"/>
      <c r="I211" s="12"/>
    </row>
    <row r="212" spans="1:9" s="2" customFormat="1" ht="13.5" customHeight="1">
      <c r="A212" s="12">
        <f t="shared" si="10"/>
        <v>204</v>
      </c>
      <c r="B212" s="10"/>
      <c r="C212" s="10" t="s">
        <v>523</v>
      </c>
      <c r="D212" s="10" t="s">
        <v>524</v>
      </c>
      <c r="E212" s="38" t="s">
        <v>80</v>
      </c>
      <c r="F212" s="38">
        <v>8</v>
      </c>
      <c r="G212" s="38"/>
      <c r="H212" s="33"/>
      <c r="I212" s="12"/>
    </row>
    <row r="213" spans="1:9" s="2" customFormat="1" ht="13.5" customHeight="1">
      <c r="A213" s="12">
        <f t="shared" si="10"/>
        <v>205</v>
      </c>
      <c r="B213" s="10"/>
      <c r="C213" s="10" t="s">
        <v>525</v>
      </c>
      <c r="D213" s="10" t="s">
        <v>526</v>
      </c>
      <c r="E213" s="38" t="s">
        <v>81</v>
      </c>
      <c r="F213" s="38">
        <v>44</v>
      </c>
      <c r="G213" s="38"/>
      <c r="H213" s="33"/>
      <c r="I213" s="12"/>
    </row>
    <row r="214" spans="1:9" s="2" customFormat="1" ht="13.5" customHeight="1">
      <c r="A214" s="12">
        <f t="shared" si="10"/>
        <v>206</v>
      </c>
      <c r="B214" s="10"/>
      <c r="C214" s="10" t="s">
        <v>527</v>
      </c>
      <c r="D214" s="10" t="s">
        <v>528</v>
      </c>
      <c r="E214" s="38" t="s">
        <v>621</v>
      </c>
      <c r="F214" s="38">
        <v>44</v>
      </c>
      <c r="G214" s="38"/>
      <c r="H214" s="33"/>
      <c r="I214" s="12"/>
    </row>
    <row r="215" spans="1:9" s="2" customFormat="1" ht="13.5" customHeight="1">
      <c r="A215" s="12">
        <f t="shared" si="10"/>
        <v>207</v>
      </c>
      <c r="B215" s="10"/>
      <c r="C215" s="33" t="s">
        <v>529</v>
      </c>
      <c r="D215" s="33" t="s">
        <v>530</v>
      </c>
      <c r="E215" s="38" t="s">
        <v>67</v>
      </c>
      <c r="F215" s="38">
        <v>13</v>
      </c>
      <c r="G215" s="38">
        <v>0</v>
      </c>
      <c r="H215" s="33"/>
      <c r="I215" s="12"/>
    </row>
    <row r="216" spans="1:9" s="2" customFormat="1" ht="13.5" customHeight="1">
      <c r="A216" s="12">
        <f t="shared" si="10"/>
        <v>208</v>
      </c>
      <c r="B216" s="10"/>
      <c r="C216" s="10" t="s">
        <v>531</v>
      </c>
      <c r="D216" s="10" t="s">
        <v>532</v>
      </c>
      <c r="E216" s="38" t="s">
        <v>79</v>
      </c>
      <c r="F216" s="38">
        <v>12</v>
      </c>
      <c r="G216" s="38"/>
      <c r="H216" s="10"/>
      <c r="I216" s="12"/>
    </row>
    <row r="217" spans="1:9" s="2" customFormat="1" ht="13.5" customHeight="1">
      <c r="A217" s="12">
        <f t="shared" si="10"/>
        <v>209</v>
      </c>
      <c r="B217" s="10"/>
      <c r="C217" s="33" t="s">
        <v>533</v>
      </c>
      <c r="D217" s="33" t="s">
        <v>534</v>
      </c>
      <c r="E217" s="38" t="s">
        <v>79</v>
      </c>
      <c r="F217" s="38">
        <v>12</v>
      </c>
      <c r="G217" s="38"/>
      <c r="H217" s="33"/>
      <c r="I217" s="12"/>
    </row>
    <row r="218" spans="1:9" s="2" customFormat="1" ht="13.5" customHeight="1">
      <c r="A218" s="12">
        <f t="shared" si="10"/>
        <v>210</v>
      </c>
      <c r="B218" s="10"/>
      <c r="C218" s="33" t="s">
        <v>535</v>
      </c>
      <c r="D218" s="33" t="s">
        <v>536</v>
      </c>
      <c r="E218" s="38" t="s">
        <v>79</v>
      </c>
      <c r="F218" s="38">
        <v>7</v>
      </c>
      <c r="G218" s="38"/>
      <c r="H218" s="33"/>
      <c r="I218" s="12"/>
    </row>
    <row r="219" spans="1:9" s="2" customFormat="1" ht="13.5" customHeight="1">
      <c r="A219" s="12">
        <f t="shared" si="10"/>
        <v>211</v>
      </c>
      <c r="B219" s="10"/>
      <c r="C219" s="10" t="s">
        <v>537</v>
      </c>
      <c r="D219" s="10" t="s">
        <v>538</v>
      </c>
      <c r="E219" s="38" t="s">
        <v>48</v>
      </c>
      <c r="F219" s="38">
        <v>30</v>
      </c>
      <c r="G219" s="38"/>
      <c r="H219" s="10"/>
      <c r="I219" s="12"/>
    </row>
    <row r="220" spans="1:9" s="2" customFormat="1" ht="13.5" customHeight="1">
      <c r="A220" s="12">
        <f t="shared" si="10"/>
        <v>212</v>
      </c>
      <c r="B220" s="10"/>
      <c r="C220" s="10" t="s">
        <v>539</v>
      </c>
      <c r="D220" s="10" t="s">
        <v>540</v>
      </c>
      <c r="E220" s="38" t="s">
        <v>79</v>
      </c>
      <c r="F220" s="38">
        <v>7</v>
      </c>
      <c r="G220" s="38"/>
      <c r="H220" s="33"/>
      <c r="I220" s="12"/>
    </row>
    <row r="221" spans="1:9" s="2" customFormat="1" ht="13.5" customHeight="1">
      <c r="A221" s="12">
        <f t="shared" si="10"/>
        <v>213</v>
      </c>
      <c r="B221" s="10"/>
      <c r="C221" s="33" t="s">
        <v>541</v>
      </c>
      <c r="D221" s="33" t="s">
        <v>542</v>
      </c>
      <c r="E221" s="38" t="s">
        <v>48</v>
      </c>
      <c r="F221" s="38">
        <v>30</v>
      </c>
      <c r="G221" s="38"/>
      <c r="H221" s="10"/>
      <c r="I221" s="12"/>
    </row>
    <row r="222" spans="1:9" s="2" customFormat="1" ht="13.5" customHeight="1">
      <c r="A222" s="12">
        <f t="shared" si="10"/>
        <v>214</v>
      </c>
      <c r="B222" s="10"/>
      <c r="C222" s="10" t="s">
        <v>543</v>
      </c>
      <c r="D222" s="10" t="s">
        <v>544</v>
      </c>
      <c r="E222" s="38" t="s">
        <v>79</v>
      </c>
      <c r="F222" s="38">
        <v>7</v>
      </c>
      <c r="G222" s="38"/>
      <c r="H222" s="33"/>
      <c r="I222" s="12"/>
    </row>
    <row r="223" spans="1:9" s="2" customFormat="1" ht="13.5" customHeight="1">
      <c r="A223" s="12">
        <f t="shared" si="10"/>
        <v>215</v>
      </c>
      <c r="B223" s="10"/>
      <c r="C223" s="10" t="s">
        <v>545</v>
      </c>
      <c r="D223" s="10" t="s">
        <v>546</v>
      </c>
      <c r="E223" s="38" t="s">
        <v>81</v>
      </c>
      <c r="F223" s="38">
        <v>10</v>
      </c>
      <c r="G223" s="38"/>
      <c r="H223" s="33"/>
      <c r="I223" s="12"/>
    </row>
    <row r="224" spans="1:9" s="2" customFormat="1" ht="13.5" customHeight="1">
      <c r="A224" s="12">
        <f t="shared" si="10"/>
        <v>216</v>
      </c>
      <c r="B224" s="10"/>
      <c r="C224" s="10" t="s">
        <v>547</v>
      </c>
      <c r="D224" s="10" t="s">
        <v>548</v>
      </c>
      <c r="E224" s="38" t="s">
        <v>67</v>
      </c>
      <c r="F224" s="38">
        <v>14</v>
      </c>
      <c r="G224" s="38">
        <v>4</v>
      </c>
      <c r="H224" s="33"/>
      <c r="I224" s="12"/>
    </row>
    <row r="225" spans="1:9" s="2" customFormat="1" ht="13.5" customHeight="1">
      <c r="A225" s="12">
        <f t="shared" si="10"/>
        <v>217</v>
      </c>
      <c r="B225" s="10"/>
      <c r="C225" s="10" t="s">
        <v>549</v>
      </c>
      <c r="D225" s="10" t="s">
        <v>550</v>
      </c>
      <c r="E225" s="38" t="s">
        <v>67</v>
      </c>
      <c r="F225" s="38">
        <v>19</v>
      </c>
      <c r="G225" s="38">
        <v>6</v>
      </c>
      <c r="H225" s="33"/>
      <c r="I225" s="12"/>
    </row>
    <row r="226" spans="1:9" s="2" customFormat="1" ht="13.5" customHeight="1">
      <c r="A226" s="12">
        <f t="shared" si="10"/>
        <v>218</v>
      </c>
      <c r="B226" s="10"/>
      <c r="C226" s="33" t="s">
        <v>551</v>
      </c>
      <c r="D226" s="33" t="s">
        <v>552</v>
      </c>
      <c r="E226" s="38" t="s">
        <v>79</v>
      </c>
      <c r="F226" s="38">
        <v>3</v>
      </c>
      <c r="G226" s="38"/>
      <c r="H226" s="10"/>
      <c r="I226" s="12"/>
    </row>
    <row r="227" spans="1:9" s="2" customFormat="1" ht="13.5" customHeight="1">
      <c r="A227" s="12">
        <f t="shared" si="10"/>
        <v>219</v>
      </c>
      <c r="B227" s="10"/>
      <c r="C227" s="33" t="s">
        <v>553</v>
      </c>
      <c r="D227" s="33" t="s">
        <v>554</v>
      </c>
      <c r="E227" s="38" t="s">
        <v>67</v>
      </c>
      <c r="F227" s="38">
        <v>14</v>
      </c>
      <c r="G227" s="38">
        <v>4</v>
      </c>
      <c r="H227" s="10"/>
      <c r="I227" s="12"/>
    </row>
    <row r="228" spans="1:9" s="2" customFormat="1" ht="13.5" customHeight="1">
      <c r="A228" s="12">
        <f t="shared" si="10"/>
        <v>220</v>
      </c>
      <c r="B228" s="10"/>
      <c r="C228" s="10" t="s">
        <v>555</v>
      </c>
      <c r="D228" s="10" t="s">
        <v>556</v>
      </c>
      <c r="E228" s="38" t="s">
        <v>67</v>
      </c>
      <c r="F228" s="38">
        <v>14</v>
      </c>
      <c r="G228" s="38">
        <v>4</v>
      </c>
      <c r="H228" s="33"/>
      <c r="I228" s="12"/>
    </row>
    <row r="229" spans="1:9" ht="13.5" customHeight="1">
      <c r="A229" s="12">
        <f>ROW()-8</f>
        <v>221</v>
      </c>
      <c r="B229" s="10"/>
      <c r="C229" s="10" t="s">
        <v>557</v>
      </c>
      <c r="D229" s="10" t="s">
        <v>558</v>
      </c>
      <c r="E229" s="38" t="s">
        <v>81</v>
      </c>
      <c r="F229" s="38">
        <v>10</v>
      </c>
      <c r="G229" s="38"/>
      <c r="H229" s="10"/>
      <c r="I229" s="12"/>
    </row>
    <row r="230" spans="1:9" ht="13.5" customHeight="1">
      <c r="A230" s="12">
        <f t="shared" ref="A230:A248" si="11">ROW()-8</f>
        <v>222</v>
      </c>
      <c r="B230" s="10"/>
      <c r="C230" s="10" t="s">
        <v>559</v>
      </c>
      <c r="D230" s="10" t="s">
        <v>560</v>
      </c>
      <c r="E230" s="38" t="s">
        <v>67</v>
      </c>
      <c r="F230" s="38">
        <v>11</v>
      </c>
      <c r="G230" s="38">
        <v>3</v>
      </c>
      <c r="H230" s="10"/>
      <c r="I230" s="12"/>
    </row>
    <row r="231" spans="1:9" s="2" customFormat="1" ht="13.5" customHeight="1">
      <c r="A231" s="12">
        <f t="shared" si="11"/>
        <v>223</v>
      </c>
      <c r="B231" s="10"/>
      <c r="C231" s="10" t="s">
        <v>561</v>
      </c>
      <c r="D231" s="10" t="s">
        <v>562</v>
      </c>
      <c r="E231" s="38" t="s">
        <v>67</v>
      </c>
      <c r="F231" s="38">
        <v>13</v>
      </c>
      <c r="G231" s="38">
        <v>0</v>
      </c>
      <c r="H231" s="10"/>
      <c r="I231" s="12"/>
    </row>
    <row r="232" spans="1:9" s="2" customFormat="1" ht="13.5" customHeight="1">
      <c r="A232" s="12">
        <f t="shared" si="11"/>
        <v>224</v>
      </c>
      <c r="B232" s="10"/>
      <c r="C232" s="10" t="s">
        <v>563</v>
      </c>
      <c r="D232" s="10" t="s">
        <v>564</v>
      </c>
      <c r="E232" s="38" t="s">
        <v>67</v>
      </c>
      <c r="F232" s="38">
        <v>13</v>
      </c>
      <c r="G232" s="38">
        <v>0</v>
      </c>
      <c r="H232" s="33"/>
      <c r="I232" s="12"/>
    </row>
    <row r="233" spans="1:9" s="2" customFormat="1" ht="13.5" customHeight="1">
      <c r="A233" s="12">
        <f t="shared" si="11"/>
        <v>225</v>
      </c>
      <c r="B233" s="10"/>
      <c r="C233" s="10" t="s">
        <v>565</v>
      </c>
      <c r="D233" s="10" t="s">
        <v>566</v>
      </c>
      <c r="E233" s="38" t="s">
        <v>67</v>
      </c>
      <c r="F233" s="38">
        <v>10</v>
      </c>
      <c r="G233" s="38">
        <v>0</v>
      </c>
      <c r="H233" s="33"/>
      <c r="I233" s="12"/>
    </row>
    <row r="234" spans="1:9" s="2" customFormat="1" ht="13.5" customHeight="1">
      <c r="A234" s="12">
        <f t="shared" si="11"/>
        <v>226</v>
      </c>
      <c r="B234" s="10"/>
      <c r="C234" s="10" t="s">
        <v>567</v>
      </c>
      <c r="D234" s="10" t="s">
        <v>568</v>
      </c>
      <c r="E234" s="38" t="s">
        <v>67</v>
      </c>
      <c r="F234" s="38">
        <v>13</v>
      </c>
      <c r="G234" s="38">
        <v>0</v>
      </c>
      <c r="H234" s="33"/>
      <c r="I234" s="12"/>
    </row>
    <row r="235" spans="1:9" s="2" customFormat="1" ht="13.5" customHeight="1">
      <c r="A235" s="12">
        <f t="shared" si="11"/>
        <v>227</v>
      </c>
      <c r="B235" s="10"/>
      <c r="C235" s="33" t="s">
        <v>569</v>
      </c>
      <c r="D235" s="33" t="s">
        <v>570</v>
      </c>
      <c r="E235" s="38" t="s">
        <v>79</v>
      </c>
      <c r="F235" s="38">
        <v>1</v>
      </c>
      <c r="G235" s="38"/>
      <c r="H235" s="33"/>
      <c r="I235" s="12"/>
    </row>
    <row r="236" spans="1:9" s="2" customFormat="1" ht="13.5" customHeight="1">
      <c r="A236" s="12">
        <f t="shared" si="11"/>
        <v>228</v>
      </c>
      <c r="B236" s="10"/>
      <c r="C236" s="10" t="s">
        <v>571</v>
      </c>
      <c r="D236" s="10" t="s">
        <v>572</v>
      </c>
      <c r="E236" s="38" t="s">
        <v>79</v>
      </c>
      <c r="F236" s="38">
        <v>3</v>
      </c>
      <c r="G236" s="38"/>
      <c r="H236" s="10"/>
      <c r="I236" s="12"/>
    </row>
    <row r="237" spans="1:9" s="2" customFormat="1" ht="13.5" customHeight="1">
      <c r="A237" s="12">
        <f t="shared" si="11"/>
        <v>229</v>
      </c>
      <c r="B237" s="10"/>
      <c r="C237" s="33" t="s">
        <v>573</v>
      </c>
      <c r="D237" s="33" t="s">
        <v>574</v>
      </c>
      <c r="E237" s="38" t="s">
        <v>79</v>
      </c>
      <c r="F237" s="38">
        <v>1</v>
      </c>
      <c r="G237" s="38"/>
      <c r="H237" s="33"/>
      <c r="I237" s="12"/>
    </row>
    <row r="238" spans="1:9" s="2" customFormat="1" ht="13.5" customHeight="1">
      <c r="A238" s="12">
        <f t="shared" si="11"/>
        <v>230</v>
      </c>
      <c r="B238" s="10"/>
      <c r="C238" s="33" t="s">
        <v>575</v>
      </c>
      <c r="D238" s="33" t="s">
        <v>576</v>
      </c>
      <c r="E238" s="38" t="s">
        <v>79</v>
      </c>
      <c r="F238" s="38">
        <v>1</v>
      </c>
      <c r="G238" s="38"/>
      <c r="H238" s="33"/>
      <c r="I238" s="12"/>
    </row>
    <row r="239" spans="1:9" s="2" customFormat="1" ht="13.5" customHeight="1">
      <c r="A239" s="12">
        <f t="shared" si="11"/>
        <v>231</v>
      </c>
      <c r="B239" s="10"/>
      <c r="C239" s="10" t="s">
        <v>577</v>
      </c>
      <c r="D239" s="10" t="s">
        <v>578</v>
      </c>
      <c r="E239" s="38" t="s">
        <v>79</v>
      </c>
      <c r="F239" s="38">
        <v>2</v>
      </c>
      <c r="G239" s="38"/>
      <c r="H239" s="10"/>
      <c r="I239" s="12"/>
    </row>
    <row r="240" spans="1:9" s="2" customFormat="1" ht="13.5" customHeight="1">
      <c r="A240" s="12">
        <f t="shared" si="11"/>
        <v>232</v>
      </c>
      <c r="B240" s="10"/>
      <c r="C240" s="10" t="s">
        <v>579</v>
      </c>
      <c r="D240" s="10" t="s">
        <v>580</v>
      </c>
      <c r="E240" s="38" t="s">
        <v>79</v>
      </c>
      <c r="F240" s="38">
        <v>1</v>
      </c>
      <c r="G240" s="38"/>
      <c r="H240" s="33"/>
      <c r="I240" s="12"/>
    </row>
    <row r="241" spans="1:9" s="2" customFormat="1" ht="13.5" customHeight="1">
      <c r="A241" s="12">
        <f t="shared" si="11"/>
        <v>233</v>
      </c>
      <c r="B241" s="10"/>
      <c r="C241" s="33" t="s">
        <v>581</v>
      </c>
      <c r="D241" s="33" t="s">
        <v>582</v>
      </c>
      <c r="E241" s="38" t="s">
        <v>79</v>
      </c>
      <c r="F241" s="38">
        <v>6</v>
      </c>
      <c r="G241" s="38"/>
      <c r="H241" s="10"/>
      <c r="I241" s="12"/>
    </row>
    <row r="242" spans="1:9" s="2" customFormat="1" ht="13.5" customHeight="1">
      <c r="A242" s="12">
        <f t="shared" si="11"/>
        <v>234</v>
      </c>
      <c r="B242" s="10"/>
      <c r="C242" s="10" t="s">
        <v>583</v>
      </c>
      <c r="D242" s="10" t="s">
        <v>584</v>
      </c>
      <c r="E242" s="38" t="s">
        <v>79</v>
      </c>
      <c r="F242" s="38">
        <v>1</v>
      </c>
      <c r="G242" s="38"/>
      <c r="H242" s="33"/>
      <c r="I242" s="12"/>
    </row>
    <row r="243" spans="1:9" s="2" customFormat="1" ht="13.5" customHeight="1">
      <c r="A243" s="12">
        <f t="shared" si="11"/>
        <v>235</v>
      </c>
      <c r="B243" s="10"/>
      <c r="C243" s="10" t="s">
        <v>585</v>
      </c>
      <c r="D243" s="10" t="s">
        <v>586</v>
      </c>
      <c r="E243" s="38" t="s">
        <v>79</v>
      </c>
      <c r="F243" s="38">
        <v>1</v>
      </c>
      <c r="G243" s="38"/>
      <c r="H243" s="33"/>
      <c r="I243" s="12"/>
    </row>
    <row r="244" spans="1:9" s="2" customFormat="1" ht="13.5" customHeight="1">
      <c r="A244" s="12">
        <f t="shared" si="11"/>
        <v>236</v>
      </c>
      <c r="B244" s="10"/>
      <c r="C244" s="10" t="s">
        <v>587</v>
      </c>
      <c r="D244" s="10" t="s">
        <v>588</v>
      </c>
      <c r="E244" s="38" t="s">
        <v>80</v>
      </c>
      <c r="F244" s="38">
        <v>8</v>
      </c>
      <c r="G244" s="38"/>
      <c r="H244" s="33"/>
      <c r="I244" s="12"/>
    </row>
    <row r="245" spans="1:9" s="2" customFormat="1" ht="13.5" customHeight="1">
      <c r="A245" s="12">
        <f t="shared" si="11"/>
        <v>237</v>
      </c>
      <c r="B245" s="10"/>
      <c r="C245" s="10" t="s">
        <v>589</v>
      </c>
      <c r="D245" s="10" t="s">
        <v>590</v>
      </c>
      <c r="E245" s="38" t="s">
        <v>81</v>
      </c>
      <c r="F245" s="38">
        <v>25</v>
      </c>
      <c r="G245" s="38"/>
      <c r="H245" s="33"/>
      <c r="I245" s="12"/>
    </row>
    <row r="246" spans="1:9" s="2" customFormat="1" ht="13.5" customHeight="1">
      <c r="A246" s="12">
        <f t="shared" si="11"/>
        <v>238</v>
      </c>
      <c r="B246" s="10"/>
      <c r="C246" s="33" t="s">
        <v>591</v>
      </c>
      <c r="D246" s="33" t="s">
        <v>592</v>
      </c>
      <c r="E246" s="38" t="s">
        <v>81</v>
      </c>
      <c r="F246" s="38">
        <v>10</v>
      </c>
      <c r="G246" s="38"/>
      <c r="H246" s="10"/>
      <c r="I246" s="12"/>
    </row>
    <row r="247" spans="1:9" s="2" customFormat="1" ht="13.5" customHeight="1">
      <c r="A247" s="12">
        <f t="shared" si="11"/>
        <v>239</v>
      </c>
      <c r="B247" s="10"/>
      <c r="C247" s="33" t="s">
        <v>593</v>
      </c>
      <c r="D247" s="33" t="s">
        <v>594</v>
      </c>
      <c r="E247" s="38" t="s">
        <v>81</v>
      </c>
      <c r="F247" s="38">
        <v>5</v>
      </c>
      <c r="G247" s="38"/>
      <c r="H247" s="10"/>
      <c r="I247" s="12"/>
    </row>
    <row r="248" spans="1:9" s="2" customFormat="1" ht="13.5" customHeight="1">
      <c r="A248" s="12">
        <f t="shared" si="11"/>
        <v>240</v>
      </c>
      <c r="B248" s="10"/>
      <c r="C248" s="10" t="s">
        <v>595</v>
      </c>
      <c r="D248" s="10" t="s">
        <v>596</v>
      </c>
      <c r="E248" s="38" t="s">
        <v>81</v>
      </c>
      <c r="F248" s="38">
        <v>44</v>
      </c>
      <c r="G248" s="38"/>
      <c r="H248" s="33"/>
      <c r="I248" s="12"/>
    </row>
    <row r="249" spans="1:9" ht="13.5" customHeight="1">
      <c r="A249" s="12">
        <f>ROW()-8</f>
        <v>241</v>
      </c>
      <c r="B249" s="10"/>
      <c r="C249" s="10" t="s">
        <v>597</v>
      </c>
      <c r="D249" s="10" t="s">
        <v>598</v>
      </c>
      <c r="E249" s="38" t="s">
        <v>621</v>
      </c>
      <c r="F249" s="38">
        <v>44</v>
      </c>
      <c r="G249" s="38"/>
      <c r="H249" s="10"/>
      <c r="I249" s="12"/>
    </row>
    <row r="250" spans="1:9" ht="13.5" customHeight="1">
      <c r="A250" s="12">
        <f t="shared" ref="A250:A268" si="12">ROW()-8</f>
        <v>242</v>
      </c>
      <c r="B250" s="10"/>
      <c r="C250" s="10" t="s">
        <v>599</v>
      </c>
      <c r="D250" s="10" t="s">
        <v>600</v>
      </c>
      <c r="E250" s="38" t="s">
        <v>81</v>
      </c>
      <c r="F250" s="38">
        <v>2</v>
      </c>
      <c r="G250" s="38"/>
      <c r="H250" s="10"/>
      <c r="I250" s="12"/>
    </row>
    <row r="251" spans="1:9" s="2" customFormat="1" ht="13.5" customHeight="1">
      <c r="A251" s="12">
        <f t="shared" si="12"/>
        <v>243</v>
      </c>
      <c r="B251" s="10"/>
      <c r="C251" s="10" t="s">
        <v>601</v>
      </c>
      <c r="D251" s="10" t="s">
        <v>602</v>
      </c>
      <c r="E251" s="38" t="s">
        <v>81</v>
      </c>
      <c r="F251" s="38">
        <v>10</v>
      </c>
      <c r="G251" s="38"/>
      <c r="H251" s="10"/>
      <c r="I251" s="12"/>
    </row>
    <row r="252" spans="1:9" s="2" customFormat="1" ht="13.5" customHeight="1">
      <c r="A252" s="12">
        <f t="shared" si="12"/>
        <v>244</v>
      </c>
      <c r="B252" s="10"/>
      <c r="C252" s="10" t="s">
        <v>603</v>
      </c>
      <c r="D252" s="10" t="s">
        <v>604</v>
      </c>
      <c r="E252" s="38" t="s">
        <v>48</v>
      </c>
      <c r="F252" s="38">
        <v>20</v>
      </c>
      <c r="G252" s="38"/>
      <c r="H252" s="33"/>
      <c r="I252" s="12"/>
    </row>
    <row r="253" spans="1:9" s="2" customFormat="1" ht="13.5" customHeight="1">
      <c r="A253" s="12">
        <f t="shared" si="12"/>
        <v>245</v>
      </c>
      <c r="B253" s="10"/>
      <c r="C253" s="10" t="s">
        <v>605</v>
      </c>
      <c r="D253" s="10" t="s">
        <v>606</v>
      </c>
      <c r="E253" s="38" t="s">
        <v>48</v>
      </c>
      <c r="F253" s="38">
        <v>20</v>
      </c>
      <c r="G253" s="38"/>
      <c r="H253" s="33"/>
      <c r="I253" s="12"/>
    </row>
    <row r="254" spans="1:9" s="2" customFormat="1" ht="13.5" customHeight="1">
      <c r="A254" s="12">
        <f t="shared" si="12"/>
        <v>246</v>
      </c>
      <c r="B254" s="10"/>
      <c r="C254" s="10" t="s">
        <v>607</v>
      </c>
      <c r="D254" s="10" t="s">
        <v>608</v>
      </c>
      <c r="E254" s="38" t="s">
        <v>79</v>
      </c>
      <c r="F254" s="38">
        <v>1</v>
      </c>
      <c r="G254" s="38"/>
      <c r="H254" s="33"/>
      <c r="I254" s="12"/>
    </row>
    <row r="255" spans="1:9" s="2" customFormat="1" ht="13.5" customHeight="1">
      <c r="A255" s="12">
        <f t="shared" si="12"/>
        <v>247</v>
      </c>
      <c r="B255" s="10"/>
      <c r="C255" s="33" t="s">
        <v>609</v>
      </c>
      <c r="D255" s="33" t="s">
        <v>610</v>
      </c>
      <c r="E255" s="38" t="s">
        <v>48</v>
      </c>
      <c r="F255" s="38">
        <v>10</v>
      </c>
      <c r="G255" s="38"/>
      <c r="H255" s="33"/>
      <c r="I255" s="12"/>
    </row>
    <row r="256" spans="1:9" s="2" customFormat="1" ht="13.5" customHeight="1">
      <c r="A256" s="12">
        <f t="shared" si="12"/>
        <v>248</v>
      </c>
      <c r="B256" s="10"/>
      <c r="C256" s="10" t="s">
        <v>611</v>
      </c>
      <c r="D256" s="10" t="s">
        <v>612</v>
      </c>
      <c r="E256" s="38" t="s">
        <v>81</v>
      </c>
      <c r="F256" s="38">
        <v>44</v>
      </c>
      <c r="G256" s="38"/>
      <c r="H256" s="10"/>
      <c r="I256" s="12"/>
    </row>
    <row r="257" spans="1:9" s="2" customFormat="1" ht="13.5" customHeight="1">
      <c r="A257" s="12">
        <f t="shared" si="12"/>
        <v>249</v>
      </c>
      <c r="B257" s="10"/>
      <c r="C257" s="33" t="s">
        <v>613</v>
      </c>
      <c r="D257" s="33" t="s">
        <v>614</v>
      </c>
      <c r="E257" s="38" t="s">
        <v>621</v>
      </c>
      <c r="F257" s="38">
        <v>44</v>
      </c>
      <c r="G257" s="38"/>
      <c r="H257" s="33"/>
      <c r="I257" s="12"/>
    </row>
    <row r="258" spans="1:9" s="2" customFormat="1" ht="13.5" customHeight="1">
      <c r="A258" s="12">
        <f t="shared" si="12"/>
        <v>250</v>
      </c>
      <c r="B258" s="10"/>
      <c r="C258" s="33" t="s">
        <v>615</v>
      </c>
      <c r="D258" s="33" t="s">
        <v>616</v>
      </c>
      <c r="E258" s="38" t="s">
        <v>79</v>
      </c>
      <c r="F258" s="38">
        <v>1</v>
      </c>
      <c r="G258" s="38"/>
      <c r="H258" s="33"/>
      <c r="I258" s="12"/>
    </row>
    <row r="259" spans="1:9" s="2" customFormat="1" ht="13.5" customHeight="1">
      <c r="A259" s="12">
        <f t="shared" si="12"/>
        <v>251</v>
      </c>
      <c r="B259" s="10"/>
      <c r="C259" s="10" t="s">
        <v>617</v>
      </c>
      <c r="D259" s="10" t="s">
        <v>618</v>
      </c>
      <c r="E259" s="38" t="s">
        <v>81</v>
      </c>
      <c r="F259" s="38">
        <v>30</v>
      </c>
      <c r="G259" s="38"/>
      <c r="H259" s="10"/>
      <c r="I259" s="12"/>
    </row>
    <row r="260" spans="1:9" s="2" customFormat="1" ht="13.5" customHeight="1">
      <c r="A260" s="12">
        <f t="shared" si="12"/>
        <v>252</v>
      </c>
      <c r="B260" s="10"/>
      <c r="C260" s="10" t="s">
        <v>619</v>
      </c>
      <c r="D260" s="10" t="s">
        <v>620</v>
      </c>
      <c r="E260" s="38" t="s">
        <v>621</v>
      </c>
      <c r="F260" s="38">
        <v>30</v>
      </c>
      <c r="G260" s="38"/>
      <c r="H260" s="33"/>
      <c r="I260" s="12"/>
    </row>
    <row r="261" spans="1:9" s="2" customFormat="1" ht="13.5" customHeight="1">
      <c r="A261" s="12">
        <f t="shared" si="12"/>
        <v>253</v>
      </c>
      <c r="B261" s="10"/>
      <c r="C261" s="33" t="s">
        <v>75</v>
      </c>
      <c r="D261" s="33" t="s">
        <v>78</v>
      </c>
      <c r="E261" s="38" t="s">
        <v>48</v>
      </c>
      <c r="F261" s="38">
        <v>4000</v>
      </c>
      <c r="G261" s="38"/>
      <c r="H261" s="10"/>
      <c r="I261" s="12"/>
    </row>
    <row r="262" spans="1:9" s="2" customFormat="1" ht="13.5" customHeight="1">
      <c r="A262" s="12">
        <f t="shared" si="12"/>
        <v>254</v>
      </c>
      <c r="B262" s="10"/>
      <c r="C262" s="10" t="s">
        <v>49</v>
      </c>
      <c r="D262" s="10" t="s">
        <v>50</v>
      </c>
      <c r="E262" s="38" t="s">
        <v>47</v>
      </c>
      <c r="F262" s="38">
        <v>1</v>
      </c>
      <c r="G262" s="38"/>
      <c r="H262" s="33"/>
      <c r="I262" s="12"/>
    </row>
    <row r="263" spans="1:9" s="2" customFormat="1" ht="13.5" customHeight="1">
      <c r="A263" s="12">
        <f t="shared" si="12"/>
        <v>255</v>
      </c>
      <c r="B263" s="10"/>
      <c r="C263" s="10" t="s">
        <v>51</v>
      </c>
      <c r="D263" s="10" t="s">
        <v>52</v>
      </c>
      <c r="E263" s="38" t="s">
        <v>48</v>
      </c>
      <c r="F263" s="38">
        <v>19</v>
      </c>
      <c r="G263" s="38"/>
      <c r="H263" s="33"/>
      <c r="I263" s="12"/>
    </row>
    <row r="264" spans="1:9" s="2" customFormat="1" ht="13.5" customHeight="1">
      <c r="A264" s="12">
        <f t="shared" si="12"/>
        <v>256</v>
      </c>
      <c r="B264" s="10"/>
      <c r="C264" s="10" t="s">
        <v>53</v>
      </c>
      <c r="D264" s="10" t="s">
        <v>54</v>
      </c>
      <c r="E264" s="38" t="s">
        <v>68</v>
      </c>
      <c r="F264" s="38">
        <v>20</v>
      </c>
      <c r="G264" s="38"/>
      <c r="H264" s="33"/>
      <c r="I264" s="12"/>
    </row>
    <row r="265" spans="1:9" s="2" customFormat="1" ht="13.5" customHeight="1">
      <c r="A265" s="12">
        <f t="shared" si="12"/>
        <v>257</v>
      </c>
      <c r="B265" s="10"/>
      <c r="C265" s="10" t="s">
        <v>56</v>
      </c>
      <c r="D265" s="10" t="s">
        <v>57</v>
      </c>
      <c r="E265" s="38" t="s">
        <v>48</v>
      </c>
      <c r="F265" s="38">
        <v>64</v>
      </c>
      <c r="G265" s="38"/>
      <c r="H265" s="33"/>
      <c r="I265" s="12"/>
    </row>
    <row r="266" spans="1:9" s="2" customFormat="1" ht="13.5" customHeight="1">
      <c r="A266" s="12">
        <f t="shared" si="12"/>
        <v>258</v>
      </c>
      <c r="B266" s="10"/>
      <c r="C266" s="33" t="s">
        <v>58</v>
      </c>
      <c r="D266" s="33" t="s">
        <v>59</v>
      </c>
      <c r="E266" s="38" t="s">
        <v>48</v>
      </c>
      <c r="F266" s="38">
        <v>19</v>
      </c>
      <c r="G266" s="38"/>
      <c r="H266" s="10"/>
      <c r="I266" s="12" t="s">
        <v>69</v>
      </c>
    </row>
    <row r="267" spans="1:9" s="2" customFormat="1" ht="13.5" customHeight="1">
      <c r="A267" s="12">
        <f t="shared" si="12"/>
        <v>259</v>
      </c>
      <c r="B267" s="10"/>
      <c r="C267" s="33" t="s">
        <v>60</v>
      </c>
      <c r="D267" s="33" t="s">
        <v>61</v>
      </c>
      <c r="E267" s="38" t="s">
        <v>68</v>
      </c>
      <c r="F267" s="38">
        <v>20</v>
      </c>
      <c r="G267" s="38"/>
      <c r="H267" s="10"/>
      <c r="I267" s="12" t="s">
        <v>55</v>
      </c>
    </row>
    <row r="268" spans="1:9" s="2" customFormat="1" ht="13.5" customHeight="1">
      <c r="A268" s="12">
        <f t="shared" si="12"/>
        <v>260</v>
      </c>
      <c r="B268" s="10"/>
      <c r="C268" s="10" t="s">
        <v>62</v>
      </c>
      <c r="D268" s="10" t="s">
        <v>63</v>
      </c>
      <c r="E268" s="38" t="s">
        <v>48</v>
      </c>
      <c r="F268" s="38">
        <v>64</v>
      </c>
      <c r="G268" s="38"/>
      <c r="H268" s="33"/>
      <c r="I268" s="12" t="s">
        <v>995</v>
      </c>
    </row>
    <row r="269" spans="1:9" ht="13.5" customHeight="1">
      <c r="A269" s="12">
        <f>ROW()-8</f>
        <v>261</v>
      </c>
      <c r="B269" s="10"/>
      <c r="C269" s="10" t="s">
        <v>64</v>
      </c>
      <c r="D269" s="10" t="s">
        <v>65</v>
      </c>
      <c r="E269" s="38" t="s">
        <v>67</v>
      </c>
      <c r="F269" s="38">
        <v>9</v>
      </c>
      <c r="G269" s="38">
        <v>0</v>
      </c>
      <c r="H269" s="10"/>
      <c r="I269" s="12" t="s">
        <v>97</v>
      </c>
    </row>
    <row r="270" spans="1:9" s="2" customFormat="1" ht="12"/>
    <row r="271" spans="1:9" s="2" customFormat="1" ht="12"/>
    <row r="272" spans="1:9" s="2" customFormat="1" ht="12"/>
    <row r="273" s="2" customFormat="1" ht="12"/>
    <row r="274" s="2" customFormat="1" ht="12"/>
    <row r="275" s="2" customFormat="1" ht="12"/>
    <row r="276" s="2" customFormat="1" ht="12"/>
    <row r="277" s="2" customFormat="1" ht="12"/>
    <row r="278" s="2" customFormat="1" ht="12"/>
    <row r="279" s="2" customFormat="1" ht="12"/>
    <row r="280" s="2" customFormat="1" ht="12"/>
    <row r="281" s="2" customFormat="1" ht="12"/>
    <row r="282" s="2" customFormat="1" ht="12"/>
    <row r="283" s="2" customFormat="1" ht="12"/>
  </sheetData>
  <mergeCells count="1">
    <mergeCell ref="H7:I7"/>
  </mergeCells>
  <phoneticPr fontId="3"/>
  <dataValidations count="1">
    <dataValidation type="list" allowBlank="1" showInputMessage="1" showErrorMessage="1" sqref="E9:E269" xr:uid="{9D1C69AA-1E72-4EF6-ADF3-2B3C55BF1851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7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AC82-1D23-4D7D-A68F-8F735BF21468}">
  <sheetPr>
    <pageSetUpPr fitToPage="1"/>
  </sheetPr>
  <dimension ref="A1:K141"/>
  <sheetViews>
    <sheetView view="pageBreakPreview" zoomScale="85" zoomScaleNormal="100" zoomScaleSheetLayoutView="85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7.6640625" defaultRowHeight="13.2"/>
  <cols>
    <col min="1" max="1" width="3.109375" style="1" customWidth="1"/>
    <col min="2" max="2" width="5.109375" style="1" customWidth="1"/>
    <col min="3" max="3" width="9.33203125" style="1" customWidth="1"/>
    <col min="4" max="4" width="20.88671875" style="1" bestFit="1" customWidth="1"/>
    <col min="5" max="5" width="24.109375" style="1" bestFit="1" customWidth="1"/>
    <col min="6" max="7" width="6.109375" style="1" customWidth="1"/>
    <col min="8" max="8" width="6.33203125" style="1" customWidth="1"/>
    <col min="9" max="10" width="6.109375" style="1" customWidth="1"/>
    <col min="11" max="11" width="39.33203125" style="1" customWidth="1"/>
    <col min="12" max="12" width="2.44140625" style="1" customWidth="1"/>
    <col min="13" max="16384" width="7.6640625" style="1"/>
  </cols>
  <sheetData>
    <row r="1" spans="1:11">
      <c r="A1" s="82"/>
      <c r="B1" s="83"/>
      <c r="C1" s="83"/>
      <c r="D1" s="83"/>
      <c r="E1" s="83"/>
      <c r="F1" s="83"/>
      <c r="G1" s="83"/>
      <c r="H1" s="83"/>
      <c r="I1" s="83"/>
      <c r="J1" s="83"/>
      <c r="K1" s="84"/>
    </row>
    <row r="2" spans="1:11">
      <c r="A2" s="31"/>
      <c r="K2" s="32"/>
    </row>
    <row r="3" spans="1:11">
      <c r="A3" s="31"/>
      <c r="K3" s="32"/>
    </row>
    <row r="4" spans="1:11">
      <c r="A4" s="85"/>
      <c r="B4" s="86"/>
      <c r="C4" s="86"/>
      <c r="D4" s="86"/>
      <c r="E4" s="86"/>
      <c r="F4" s="86"/>
      <c r="G4" s="86"/>
      <c r="H4" s="86"/>
      <c r="I4" s="86"/>
      <c r="J4" s="86"/>
      <c r="K4" s="87"/>
    </row>
    <row r="5" spans="1:11">
      <c r="A5" s="88"/>
      <c r="B5" s="89"/>
      <c r="C5" s="89"/>
      <c r="D5" s="89"/>
      <c r="E5" s="89"/>
      <c r="F5" s="89"/>
      <c r="G5" s="89"/>
      <c r="H5" s="89"/>
      <c r="I5" s="89"/>
      <c r="J5" s="89"/>
      <c r="K5" s="90"/>
    </row>
    <row r="6" spans="1:11">
      <c r="A6" s="5"/>
      <c r="B6" s="3"/>
      <c r="C6" s="3"/>
      <c r="D6" s="3"/>
      <c r="E6" s="91" t="s">
        <v>880</v>
      </c>
      <c r="F6" s="91">
        <f>SUM(G10:G141)</f>
        <v>4000</v>
      </c>
      <c r="G6" s="3"/>
      <c r="H6" s="3"/>
      <c r="I6" s="3"/>
      <c r="J6" s="3"/>
      <c r="K6" s="8"/>
    </row>
    <row r="7" spans="1:11">
      <c r="A7" s="5" t="s">
        <v>636</v>
      </c>
      <c r="B7" s="4" t="s">
        <v>881</v>
      </c>
      <c r="C7" s="3"/>
      <c r="D7" s="3"/>
      <c r="E7" s="3"/>
      <c r="F7" s="3"/>
      <c r="G7" s="3"/>
      <c r="H7" s="3"/>
      <c r="I7" s="3"/>
      <c r="J7" s="3"/>
      <c r="K7" s="8"/>
    </row>
    <row r="8" spans="1:11" ht="13.5" customHeight="1">
      <c r="A8" s="109"/>
      <c r="B8" s="109" t="s">
        <v>882</v>
      </c>
      <c r="C8" s="109" t="s">
        <v>640</v>
      </c>
      <c r="D8" s="110"/>
      <c r="E8" s="110"/>
      <c r="F8" s="110"/>
      <c r="G8" s="110"/>
      <c r="H8" s="109" t="s">
        <v>641</v>
      </c>
      <c r="I8" s="111" t="s">
        <v>642</v>
      </c>
      <c r="J8" s="109" t="s">
        <v>644</v>
      </c>
      <c r="K8" s="112"/>
    </row>
    <row r="9" spans="1:11">
      <c r="A9" s="96" t="s">
        <v>38</v>
      </c>
      <c r="B9" s="96" t="s">
        <v>883</v>
      </c>
      <c r="C9" s="96" t="s">
        <v>645</v>
      </c>
      <c r="D9" s="96" t="s">
        <v>646</v>
      </c>
      <c r="E9" s="96" t="s">
        <v>647</v>
      </c>
      <c r="F9" s="96" t="s">
        <v>648</v>
      </c>
      <c r="G9" s="96" t="s">
        <v>649</v>
      </c>
      <c r="H9" s="96" t="s">
        <v>649</v>
      </c>
      <c r="I9" s="97" t="s">
        <v>650</v>
      </c>
      <c r="J9" s="96" t="s">
        <v>652</v>
      </c>
      <c r="K9" s="96" t="s">
        <v>653</v>
      </c>
    </row>
    <row r="10" spans="1:11">
      <c r="A10" s="98">
        <f>ROW()-9</f>
        <v>1</v>
      </c>
      <c r="B10" s="113"/>
      <c r="C10" s="91"/>
      <c r="D10" s="98" t="s">
        <v>654</v>
      </c>
      <c r="E10" s="98" t="s">
        <v>655</v>
      </c>
      <c r="F10" s="91" t="s">
        <v>656</v>
      </c>
      <c r="G10" s="91">
        <v>1</v>
      </c>
      <c r="H10" s="91"/>
      <c r="I10" s="91"/>
      <c r="J10" s="91">
        <v>1</v>
      </c>
      <c r="K10" s="114"/>
    </row>
    <row r="11" spans="1:11">
      <c r="A11" s="98">
        <f t="shared" ref="A11:A74" si="0">ROW()-9</f>
        <v>2</v>
      </c>
      <c r="B11" s="113"/>
      <c r="C11" s="91"/>
      <c r="D11" s="12" t="s">
        <v>657</v>
      </c>
      <c r="E11" s="12" t="s">
        <v>657</v>
      </c>
      <c r="F11" s="91" t="s">
        <v>656</v>
      </c>
      <c r="G11" s="91">
        <v>8</v>
      </c>
      <c r="H11" s="91"/>
      <c r="I11" s="91"/>
      <c r="J11" s="91">
        <f>J10+G10</f>
        <v>2</v>
      </c>
      <c r="K11" s="115"/>
    </row>
    <row r="12" spans="1:11">
      <c r="A12" s="98">
        <f t="shared" si="0"/>
        <v>3</v>
      </c>
      <c r="B12" s="113"/>
      <c r="C12" s="91"/>
      <c r="D12" s="12" t="s">
        <v>658</v>
      </c>
      <c r="E12" s="12" t="s">
        <v>659</v>
      </c>
      <c r="F12" s="91" t="s">
        <v>656</v>
      </c>
      <c r="G12" s="91">
        <v>1</v>
      </c>
      <c r="H12" s="91"/>
      <c r="I12" s="91"/>
      <c r="J12" s="91">
        <f t="shared" ref="J12:J75" si="1">J11+G11</f>
        <v>10</v>
      </c>
      <c r="K12" s="115"/>
    </row>
    <row r="13" spans="1:11">
      <c r="A13" s="98">
        <f t="shared" si="0"/>
        <v>4</v>
      </c>
      <c r="B13" s="113"/>
      <c r="C13" s="91"/>
      <c r="D13" s="12" t="s">
        <v>660</v>
      </c>
      <c r="E13" s="12" t="s">
        <v>661</v>
      </c>
      <c r="F13" s="91" t="s">
        <v>656</v>
      </c>
      <c r="G13" s="91">
        <v>4</v>
      </c>
      <c r="H13" s="91"/>
      <c r="I13" s="91"/>
      <c r="J13" s="91">
        <f t="shared" si="1"/>
        <v>11</v>
      </c>
      <c r="K13" s="115"/>
    </row>
    <row r="14" spans="1:11">
      <c r="A14" s="98">
        <f t="shared" si="0"/>
        <v>5</v>
      </c>
      <c r="B14" s="113"/>
      <c r="C14" s="91"/>
      <c r="D14" s="12" t="s">
        <v>854</v>
      </c>
      <c r="E14" s="12" t="s">
        <v>662</v>
      </c>
      <c r="F14" s="91" t="s">
        <v>656</v>
      </c>
      <c r="G14" s="91">
        <v>12</v>
      </c>
      <c r="H14" s="91"/>
      <c r="I14" s="91"/>
      <c r="J14" s="91">
        <f t="shared" si="1"/>
        <v>15</v>
      </c>
      <c r="K14" s="115"/>
    </row>
    <row r="15" spans="1:11">
      <c r="A15" s="98">
        <f t="shared" si="0"/>
        <v>6</v>
      </c>
      <c r="B15" s="113"/>
      <c r="C15" s="91"/>
      <c r="D15" s="12" t="s">
        <v>887</v>
      </c>
      <c r="E15" s="12" t="s">
        <v>888</v>
      </c>
      <c r="F15" s="91" t="s">
        <v>656</v>
      </c>
      <c r="G15" s="91">
        <v>6</v>
      </c>
      <c r="H15" s="91"/>
      <c r="I15" s="91"/>
      <c r="J15" s="91">
        <f t="shared" si="1"/>
        <v>27</v>
      </c>
      <c r="K15" s="115"/>
    </row>
    <row r="16" spans="1:11">
      <c r="A16" s="98">
        <f t="shared" si="0"/>
        <v>7</v>
      </c>
      <c r="B16" s="113"/>
      <c r="C16" s="91"/>
      <c r="D16" s="12" t="s">
        <v>889</v>
      </c>
      <c r="E16" s="12" t="s">
        <v>890</v>
      </c>
      <c r="F16" s="91" t="s">
        <v>656</v>
      </c>
      <c r="G16" s="91">
        <v>6</v>
      </c>
      <c r="H16" s="91"/>
      <c r="I16" s="91"/>
      <c r="J16" s="91">
        <f t="shared" si="1"/>
        <v>33</v>
      </c>
      <c r="K16" s="115"/>
    </row>
    <row r="17" spans="1:11">
      <c r="A17" s="98">
        <f t="shared" si="0"/>
        <v>8</v>
      </c>
      <c r="B17" s="113"/>
      <c r="C17" s="91"/>
      <c r="D17" s="12" t="s">
        <v>664</v>
      </c>
      <c r="E17" s="12" t="s">
        <v>665</v>
      </c>
      <c r="F17" s="91" t="s">
        <v>656</v>
      </c>
      <c r="G17" s="91">
        <v>4</v>
      </c>
      <c r="H17" s="91"/>
      <c r="I17" s="91"/>
      <c r="J17" s="91">
        <f t="shared" si="1"/>
        <v>39</v>
      </c>
      <c r="K17" s="115"/>
    </row>
    <row r="18" spans="1:11">
      <c r="A18" s="98">
        <f t="shared" si="0"/>
        <v>9</v>
      </c>
      <c r="B18" s="113"/>
      <c r="C18" s="91"/>
      <c r="D18" s="12" t="s">
        <v>666</v>
      </c>
      <c r="E18" s="12" t="s">
        <v>667</v>
      </c>
      <c r="F18" s="91" t="s">
        <v>656</v>
      </c>
      <c r="G18" s="91">
        <v>1</v>
      </c>
      <c r="H18" s="91"/>
      <c r="I18" s="91"/>
      <c r="J18" s="91">
        <f t="shared" si="1"/>
        <v>43</v>
      </c>
      <c r="K18" s="115"/>
    </row>
    <row r="19" spans="1:11">
      <c r="A19" s="98">
        <f t="shared" si="0"/>
        <v>10</v>
      </c>
      <c r="B19" s="113"/>
      <c r="C19" s="91"/>
      <c r="D19" s="12" t="s">
        <v>668</v>
      </c>
      <c r="E19" s="12" t="s">
        <v>669</v>
      </c>
      <c r="F19" s="91" t="s">
        <v>656</v>
      </c>
      <c r="G19" s="91">
        <v>6</v>
      </c>
      <c r="H19" s="91"/>
      <c r="I19" s="91"/>
      <c r="J19" s="91">
        <f t="shared" si="1"/>
        <v>44</v>
      </c>
      <c r="K19" s="115"/>
    </row>
    <row r="20" spans="1:11">
      <c r="A20" s="98">
        <f t="shared" si="0"/>
        <v>11</v>
      </c>
      <c r="B20" s="113"/>
      <c r="C20" s="91"/>
      <c r="D20" s="12" t="s">
        <v>670</v>
      </c>
      <c r="E20" s="12" t="s">
        <v>671</v>
      </c>
      <c r="F20" s="91" t="s">
        <v>656</v>
      </c>
      <c r="G20" s="91">
        <v>6</v>
      </c>
      <c r="H20" s="91"/>
      <c r="I20" s="91"/>
      <c r="J20" s="91">
        <f t="shared" si="1"/>
        <v>50</v>
      </c>
      <c r="K20" s="115"/>
    </row>
    <row r="21" spans="1:11">
      <c r="A21" s="98">
        <f t="shared" si="0"/>
        <v>12</v>
      </c>
      <c r="B21" s="113"/>
      <c r="C21" s="91"/>
      <c r="D21" s="12" t="s">
        <v>672</v>
      </c>
      <c r="E21" s="12" t="s">
        <v>673</v>
      </c>
      <c r="F21" s="91" t="s">
        <v>656</v>
      </c>
      <c r="G21" s="91">
        <v>1</v>
      </c>
      <c r="H21" s="91"/>
      <c r="I21" s="91"/>
      <c r="J21" s="91">
        <f t="shared" si="1"/>
        <v>56</v>
      </c>
      <c r="K21" s="115"/>
    </row>
    <row r="22" spans="1:11">
      <c r="A22" s="98">
        <f t="shared" si="0"/>
        <v>13</v>
      </c>
      <c r="B22" s="113"/>
      <c r="C22" s="91"/>
      <c r="D22" s="12" t="s">
        <v>855</v>
      </c>
      <c r="E22" s="12" t="s">
        <v>674</v>
      </c>
      <c r="F22" s="91" t="s">
        <v>656</v>
      </c>
      <c r="G22" s="91">
        <v>6</v>
      </c>
      <c r="H22" s="91"/>
      <c r="I22" s="91"/>
      <c r="J22" s="91">
        <f t="shared" si="1"/>
        <v>57</v>
      </c>
      <c r="K22" s="115"/>
    </row>
    <row r="23" spans="1:11">
      <c r="A23" s="98">
        <f t="shared" si="0"/>
        <v>14</v>
      </c>
      <c r="B23" s="113"/>
      <c r="C23" s="91"/>
      <c r="D23" s="12" t="s">
        <v>675</v>
      </c>
      <c r="E23" s="12" t="s">
        <v>676</v>
      </c>
      <c r="F23" s="91" t="s">
        <v>656</v>
      </c>
      <c r="G23" s="91">
        <v>6</v>
      </c>
      <c r="H23" s="91"/>
      <c r="I23" s="91"/>
      <c r="J23" s="91">
        <f t="shared" si="1"/>
        <v>63</v>
      </c>
      <c r="K23" s="115"/>
    </row>
    <row r="24" spans="1:11">
      <c r="A24" s="98">
        <f t="shared" si="0"/>
        <v>15</v>
      </c>
      <c r="B24" s="113"/>
      <c r="C24" s="91"/>
      <c r="D24" s="12" t="s">
        <v>677</v>
      </c>
      <c r="E24" s="12" t="s">
        <v>678</v>
      </c>
      <c r="F24" s="91" t="s">
        <v>656</v>
      </c>
      <c r="G24" s="91">
        <v>6</v>
      </c>
      <c r="H24" s="91"/>
      <c r="I24" s="91"/>
      <c r="J24" s="91">
        <f t="shared" si="1"/>
        <v>69</v>
      </c>
      <c r="K24" s="115"/>
    </row>
    <row r="25" spans="1:11">
      <c r="A25" s="98">
        <f t="shared" si="0"/>
        <v>16</v>
      </c>
      <c r="B25" s="113"/>
      <c r="C25" s="91"/>
      <c r="D25" s="12" t="s">
        <v>679</v>
      </c>
      <c r="E25" s="12" t="s">
        <v>680</v>
      </c>
      <c r="F25" s="91" t="s">
        <v>656</v>
      </c>
      <c r="G25" s="91">
        <v>6</v>
      </c>
      <c r="H25" s="91"/>
      <c r="I25" s="91"/>
      <c r="J25" s="91">
        <f t="shared" si="1"/>
        <v>75</v>
      </c>
      <c r="K25" s="115"/>
    </row>
    <row r="26" spans="1:11">
      <c r="A26" s="98">
        <f t="shared" si="0"/>
        <v>17</v>
      </c>
      <c r="B26" s="113"/>
      <c r="C26" s="91"/>
      <c r="D26" s="12" t="s">
        <v>856</v>
      </c>
      <c r="E26" s="12" t="s">
        <v>681</v>
      </c>
      <c r="F26" s="91" t="s">
        <v>656</v>
      </c>
      <c r="G26" s="91">
        <v>6</v>
      </c>
      <c r="H26" s="91"/>
      <c r="I26" s="91"/>
      <c r="J26" s="91">
        <f t="shared" si="1"/>
        <v>81</v>
      </c>
      <c r="K26" s="115"/>
    </row>
    <row r="27" spans="1:11">
      <c r="A27" s="98">
        <f t="shared" si="0"/>
        <v>18</v>
      </c>
      <c r="B27" s="113"/>
      <c r="C27" s="91"/>
      <c r="D27" s="12" t="s">
        <v>682</v>
      </c>
      <c r="E27" s="12" t="s">
        <v>683</v>
      </c>
      <c r="F27" s="91" t="s">
        <v>656</v>
      </c>
      <c r="G27" s="91">
        <v>6</v>
      </c>
      <c r="H27" s="91"/>
      <c r="I27" s="91"/>
      <c r="J27" s="91">
        <f t="shared" si="1"/>
        <v>87</v>
      </c>
      <c r="K27" s="115"/>
    </row>
    <row r="28" spans="1:11">
      <c r="A28" s="98">
        <f t="shared" si="0"/>
        <v>19</v>
      </c>
      <c r="B28" s="113"/>
      <c r="C28" s="91"/>
      <c r="D28" s="12" t="s">
        <v>684</v>
      </c>
      <c r="E28" s="12" t="s">
        <v>685</v>
      </c>
      <c r="F28" s="91" t="s">
        <v>656</v>
      </c>
      <c r="G28" s="91">
        <v>6</v>
      </c>
      <c r="H28" s="91"/>
      <c r="I28" s="91"/>
      <c r="J28" s="91">
        <f t="shared" si="1"/>
        <v>93</v>
      </c>
      <c r="K28" s="115"/>
    </row>
    <row r="29" spans="1:11">
      <c r="A29" s="98">
        <f t="shared" si="0"/>
        <v>20</v>
      </c>
      <c r="B29" s="113"/>
      <c r="C29" s="91"/>
      <c r="D29" s="12" t="s">
        <v>686</v>
      </c>
      <c r="E29" s="12" t="s">
        <v>687</v>
      </c>
      <c r="F29" s="91" t="s">
        <v>656</v>
      </c>
      <c r="G29" s="91">
        <v>6</v>
      </c>
      <c r="H29" s="91"/>
      <c r="I29" s="91"/>
      <c r="J29" s="91">
        <f t="shared" si="1"/>
        <v>99</v>
      </c>
      <c r="K29" s="115"/>
    </row>
    <row r="30" spans="1:11">
      <c r="A30" s="98">
        <f t="shared" si="0"/>
        <v>21</v>
      </c>
      <c r="B30" s="113"/>
      <c r="C30" s="91"/>
      <c r="D30" s="12" t="s">
        <v>688</v>
      </c>
      <c r="E30" s="12" t="s">
        <v>689</v>
      </c>
      <c r="F30" s="91" t="s">
        <v>656</v>
      </c>
      <c r="G30" s="91">
        <v>6</v>
      </c>
      <c r="H30" s="91"/>
      <c r="I30" s="91"/>
      <c r="J30" s="91">
        <f t="shared" si="1"/>
        <v>105</v>
      </c>
      <c r="K30" s="115"/>
    </row>
    <row r="31" spans="1:11">
      <c r="A31" s="98">
        <f t="shared" si="0"/>
        <v>22</v>
      </c>
      <c r="B31" s="113"/>
      <c r="C31" s="91"/>
      <c r="D31" s="12" t="s">
        <v>690</v>
      </c>
      <c r="E31" s="12" t="s">
        <v>691</v>
      </c>
      <c r="F31" s="91" t="s">
        <v>656</v>
      </c>
      <c r="G31" s="91">
        <v>6</v>
      </c>
      <c r="H31" s="91"/>
      <c r="I31" s="91"/>
      <c r="J31" s="91">
        <f t="shared" si="1"/>
        <v>111</v>
      </c>
      <c r="K31" s="115"/>
    </row>
    <row r="32" spans="1:11">
      <c r="A32" s="98">
        <f t="shared" si="0"/>
        <v>23</v>
      </c>
      <c r="B32" s="113"/>
      <c r="C32" s="91"/>
      <c r="D32" s="12" t="s">
        <v>692</v>
      </c>
      <c r="E32" s="12" t="s">
        <v>693</v>
      </c>
      <c r="F32" s="91" t="s">
        <v>656</v>
      </c>
      <c r="G32" s="91">
        <v>10</v>
      </c>
      <c r="H32" s="91"/>
      <c r="I32" s="91"/>
      <c r="J32" s="91">
        <f t="shared" si="1"/>
        <v>117</v>
      </c>
      <c r="K32" s="115"/>
    </row>
    <row r="33" spans="1:11">
      <c r="A33" s="98">
        <f t="shared" si="0"/>
        <v>24</v>
      </c>
      <c r="B33" s="113"/>
      <c r="C33" s="91"/>
      <c r="D33" s="12" t="s">
        <v>891</v>
      </c>
      <c r="E33" s="12" t="s">
        <v>892</v>
      </c>
      <c r="F33" s="91" t="s">
        <v>656</v>
      </c>
      <c r="G33" s="91">
        <v>6</v>
      </c>
      <c r="H33" s="91"/>
      <c r="I33" s="91"/>
      <c r="J33" s="91">
        <f t="shared" si="1"/>
        <v>127</v>
      </c>
      <c r="K33" s="115"/>
    </row>
    <row r="34" spans="1:11">
      <c r="A34" s="98">
        <f t="shared" si="0"/>
        <v>25</v>
      </c>
      <c r="B34" s="113"/>
      <c r="C34" s="91"/>
      <c r="D34" s="12" t="s">
        <v>694</v>
      </c>
      <c r="E34" s="12" t="s">
        <v>695</v>
      </c>
      <c r="F34" s="91" t="s">
        <v>656</v>
      </c>
      <c r="G34" s="91">
        <v>10</v>
      </c>
      <c r="H34" s="91"/>
      <c r="I34" s="91"/>
      <c r="J34" s="91">
        <f t="shared" si="1"/>
        <v>133</v>
      </c>
      <c r="K34" s="115"/>
    </row>
    <row r="35" spans="1:11">
      <c r="A35" s="98">
        <f t="shared" si="0"/>
        <v>26</v>
      </c>
      <c r="B35" s="113"/>
      <c r="C35" s="91"/>
      <c r="D35" s="12" t="s">
        <v>893</v>
      </c>
      <c r="E35" s="12" t="s">
        <v>696</v>
      </c>
      <c r="F35" s="91" t="s">
        <v>656</v>
      </c>
      <c r="G35" s="91">
        <v>6</v>
      </c>
      <c r="H35" s="91"/>
      <c r="I35" s="91"/>
      <c r="J35" s="91">
        <f t="shared" si="1"/>
        <v>143</v>
      </c>
      <c r="K35" s="115"/>
    </row>
    <row r="36" spans="1:11">
      <c r="A36" s="98">
        <f t="shared" si="0"/>
        <v>27</v>
      </c>
      <c r="B36" s="113"/>
      <c r="C36" s="91"/>
      <c r="D36" s="12" t="s">
        <v>894</v>
      </c>
      <c r="E36" s="12" t="s">
        <v>697</v>
      </c>
      <c r="F36" s="91" t="s">
        <v>656</v>
      </c>
      <c r="G36" s="91">
        <v>4</v>
      </c>
      <c r="H36" s="91"/>
      <c r="I36" s="91"/>
      <c r="J36" s="91">
        <f t="shared" si="1"/>
        <v>149</v>
      </c>
      <c r="K36" s="115"/>
    </row>
    <row r="37" spans="1:11">
      <c r="A37" s="98">
        <f t="shared" si="0"/>
        <v>28</v>
      </c>
      <c r="B37" s="113"/>
      <c r="C37" s="91"/>
      <c r="D37" s="12" t="s">
        <v>698</v>
      </c>
      <c r="E37" s="12" t="s">
        <v>699</v>
      </c>
      <c r="F37" s="91" t="s">
        <v>656</v>
      </c>
      <c r="G37" s="91">
        <v>1</v>
      </c>
      <c r="H37" s="91"/>
      <c r="I37" s="91"/>
      <c r="J37" s="91">
        <f t="shared" si="1"/>
        <v>153</v>
      </c>
      <c r="K37" s="115"/>
    </row>
    <row r="38" spans="1:11">
      <c r="A38" s="98">
        <f t="shared" si="0"/>
        <v>29</v>
      </c>
      <c r="B38" s="113"/>
      <c r="C38" s="91"/>
      <c r="D38" s="12" t="s">
        <v>700</v>
      </c>
      <c r="E38" s="12" t="s">
        <v>701</v>
      </c>
      <c r="F38" s="91" t="s">
        <v>656</v>
      </c>
      <c r="G38" s="91">
        <v>1</v>
      </c>
      <c r="H38" s="91"/>
      <c r="I38" s="91"/>
      <c r="J38" s="91">
        <f t="shared" si="1"/>
        <v>154</v>
      </c>
      <c r="K38" s="115"/>
    </row>
    <row r="39" spans="1:11">
      <c r="A39" s="98">
        <f t="shared" si="0"/>
        <v>30</v>
      </c>
      <c r="B39" s="113"/>
      <c r="C39" s="91"/>
      <c r="D39" s="12" t="s">
        <v>702</v>
      </c>
      <c r="E39" s="12" t="s">
        <v>703</v>
      </c>
      <c r="F39" s="91" t="s">
        <v>656</v>
      </c>
      <c r="G39" s="91">
        <v>1</v>
      </c>
      <c r="H39" s="91"/>
      <c r="I39" s="91"/>
      <c r="J39" s="91">
        <f t="shared" si="1"/>
        <v>155</v>
      </c>
      <c r="K39" s="115"/>
    </row>
    <row r="40" spans="1:11">
      <c r="A40" s="98">
        <f t="shared" si="0"/>
        <v>31</v>
      </c>
      <c r="B40" s="113"/>
      <c r="C40" s="91"/>
      <c r="D40" s="12" t="s">
        <v>895</v>
      </c>
      <c r="E40" s="12" t="s">
        <v>896</v>
      </c>
      <c r="F40" s="91" t="s">
        <v>656</v>
      </c>
      <c r="G40" s="91">
        <v>44</v>
      </c>
      <c r="H40" s="91"/>
      <c r="I40" s="91"/>
      <c r="J40" s="91">
        <f t="shared" si="1"/>
        <v>156</v>
      </c>
      <c r="K40" s="115"/>
    </row>
    <row r="41" spans="1:11">
      <c r="A41" s="98">
        <f t="shared" si="0"/>
        <v>32</v>
      </c>
      <c r="B41" s="113"/>
      <c r="C41" s="91"/>
      <c r="D41" s="12" t="s">
        <v>897</v>
      </c>
      <c r="E41" s="12" t="s">
        <v>898</v>
      </c>
      <c r="F41" s="91" t="s">
        <v>656</v>
      </c>
      <c r="G41" s="91">
        <v>44</v>
      </c>
      <c r="H41" s="91"/>
      <c r="I41" s="91"/>
      <c r="J41" s="91">
        <f t="shared" si="1"/>
        <v>200</v>
      </c>
      <c r="K41" s="115"/>
    </row>
    <row r="42" spans="1:11">
      <c r="A42" s="98">
        <f t="shared" si="0"/>
        <v>33</v>
      </c>
      <c r="B42" s="113"/>
      <c r="C42" s="91"/>
      <c r="D42" s="12" t="s">
        <v>704</v>
      </c>
      <c r="E42" s="12" t="s">
        <v>705</v>
      </c>
      <c r="F42" s="91" t="s">
        <v>656</v>
      </c>
      <c r="G42" s="91">
        <v>10</v>
      </c>
      <c r="H42" s="91"/>
      <c r="I42" s="91"/>
      <c r="J42" s="91">
        <f t="shared" si="1"/>
        <v>244</v>
      </c>
      <c r="K42" s="115"/>
    </row>
    <row r="43" spans="1:11">
      <c r="A43" s="98">
        <f t="shared" si="0"/>
        <v>34</v>
      </c>
      <c r="B43" s="113"/>
      <c r="C43" s="91"/>
      <c r="D43" s="12" t="s">
        <v>706</v>
      </c>
      <c r="E43" s="12" t="s">
        <v>707</v>
      </c>
      <c r="F43" s="91" t="s">
        <v>656</v>
      </c>
      <c r="G43" s="91">
        <v>6</v>
      </c>
      <c r="H43" s="91"/>
      <c r="I43" s="91"/>
      <c r="J43" s="91">
        <f t="shared" si="1"/>
        <v>254</v>
      </c>
      <c r="K43" s="115"/>
    </row>
    <row r="44" spans="1:11">
      <c r="A44" s="98">
        <f t="shared" si="0"/>
        <v>35</v>
      </c>
      <c r="B44" s="113"/>
      <c r="C44" s="91"/>
      <c r="D44" s="12" t="s">
        <v>708</v>
      </c>
      <c r="E44" s="12" t="s">
        <v>709</v>
      </c>
      <c r="F44" s="91" t="s">
        <v>656</v>
      </c>
      <c r="G44" s="91">
        <v>4</v>
      </c>
      <c r="H44" s="91"/>
      <c r="I44" s="91"/>
      <c r="J44" s="91">
        <f t="shared" si="1"/>
        <v>260</v>
      </c>
      <c r="K44" s="115"/>
    </row>
    <row r="45" spans="1:11">
      <c r="A45" s="98">
        <f t="shared" si="0"/>
        <v>36</v>
      </c>
      <c r="B45" s="113"/>
      <c r="C45" s="91"/>
      <c r="D45" s="12" t="s">
        <v>710</v>
      </c>
      <c r="E45" s="12" t="s">
        <v>711</v>
      </c>
      <c r="F45" s="91" t="s">
        <v>656</v>
      </c>
      <c r="G45" s="91">
        <v>6</v>
      </c>
      <c r="H45" s="91"/>
      <c r="I45" s="91"/>
      <c r="J45" s="91">
        <f t="shared" si="1"/>
        <v>264</v>
      </c>
      <c r="K45" s="115"/>
    </row>
    <row r="46" spans="1:11">
      <c r="A46" s="98">
        <f t="shared" si="0"/>
        <v>37</v>
      </c>
      <c r="B46" s="113"/>
      <c r="C46" s="91"/>
      <c r="D46" s="12" t="s">
        <v>712</v>
      </c>
      <c r="E46" s="12" t="s">
        <v>713</v>
      </c>
      <c r="F46" s="91" t="s">
        <v>656</v>
      </c>
      <c r="G46" s="91">
        <v>1</v>
      </c>
      <c r="H46" s="91"/>
      <c r="I46" s="91"/>
      <c r="J46" s="91">
        <f t="shared" si="1"/>
        <v>270</v>
      </c>
      <c r="K46" s="115"/>
    </row>
    <row r="47" spans="1:11">
      <c r="A47" s="98">
        <f t="shared" si="0"/>
        <v>38</v>
      </c>
      <c r="B47" s="113"/>
      <c r="C47" s="91"/>
      <c r="D47" s="12" t="s">
        <v>714</v>
      </c>
      <c r="E47" s="12" t="s">
        <v>715</v>
      </c>
      <c r="F47" s="91" t="s">
        <v>656</v>
      </c>
      <c r="G47" s="91">
        <v>1</v>
      </c>
      <c r="H47" s="91"/>
      <c r="I47" s="91"/>
      <c r="J47" s="91">
        <f t="shared" si="1"/>
        <v>271</v>
      </c>
      <c r="K47" s="115"/>
    </row>
    <row r="48" spans="1:11">
      <c r="A48" s="98">
        <f t="shared" si="0"/>
        <v>39</v>
      </c>
      <c r="B48" s="113"/>
      <c r="C48" s="91"/>
      <c r="D48" s="12" t="s">
        <v>716</v>
      </c>
      <c r="E48" s="12" t="s">
        <v>717</v>
      </c>
      <c r="F48" s="91" t="s">
        <v>656</v>
      </c>
      <c r="G48" s="91">
        <v>5</v>
      </c>
      <c r="H48" s="91"/>
      <c r="I48" s="91"/>
      <c r="J48" s="91">
        <f t="shared" si="1"/>
        <v>272</v>
      </c>
      <c r="K48" s="115"/>
    </row>
    <row r="49" spans="1:11">
      <c r="A49" s="98">
        <f t="shared" si="0"/>
        <v>40</v>
      </c>
      <c r="B49" s="113"/>
      <c r="C49" s="91"/>
      <c r="D49" s="12" t="s">
        <v>857</v>
      </c>
      <c r="E49" s="12" t="s">
        <v>718</v>
      </c>
      <c r="F49" s="91" t="s">
        <v>656</v>
      </c>
      <c r="G49" s="91">
        <v>70</v>
      </c>
      <c r="H49" s="91"/>
      <c r="I49" s="91"/>
      <c r="J49" s="91">
        <f t="shared" si="1"/>
        <v>277</v>
      </c>
      <c r="K49" s="115"/>
    </row>
    <row r="50" spans="1:11">
      <c r="A50" s="98">
        <f t="shared" si="0"/>
        <v>41</v>
      </c>
      <c r="B50" s="113"/>
      <c r="C50" s="91"/>
      <c r="D50" s="12" t="s">
        <v>719</v>
      </c>
      <c r="E50" s="12" t="s">
        <v>720</v>
      </c>
      <c r="F50" s="91" t="s">
        <v>656</v>
      </c>
      <c r="G50" s="91">
        <v>70</v>
      </c>
      <c r="H50" s="91"/>
      <c r="I50" s="91"/>
      <c r="J50" s="91">
        <f t="shared" si="1"/>
        <v>347</v>
      </c>
      <c r="K50" s="115"/>
    </row>
    <row r="51" spans="1:11">
      <c r="A51" s="98">
        <f t="shared" si="0"/>
        <v>42</v>
      </c>
      <c r="B51" s="113"/>
      <c r="C51" s="91"/>
      <c r="D51" s="12" t="s">
        <v>721</v>
      </c>
      <c r="E51" s="12" t="s">
        <v>722</v>
      </c>
      <c r="F51" s="91" t="s">
        <v>656</v>
      </c>
      <c r="G51" s="91">
        <v>1</v>
      </c>
      <c r="H51" s="91"/>
      <c r="I51" s="91"/>
      <c r="J51" s="91">
        <f t="shared" si="1"/>
        <v>417</v>
      </c>
      <c r="K51" s="115"/>
    </row>
    <row r="52" spans="1:11">
      <c r="A52" s="98">
        <f t="shared" si="0"/>
        <v>43</v>
      </c>
      <c r="B52" s="113"/>
      <c r="C52" s="91"/>
      <c r="D52" s="12" t="s">
        <v>723</v>
      </c>
      <c r="E52" s="12" t="s">
        <v>724</v>
      </c>
      <c r="F52" s="91" t="s">
        <v>656</v>
      </c>
      <c r="G52" s="91">
        <v>10</v>
      </c>
      <c r="H52" s="91"/>
      <c r="I52" s="91"/>
      <c r="J52" s="91">
        <f t="shared" si="1"/>
        <v>418</v>
      </c>
      <c r="K52" s="115"/>
    </row>
    <row r="53" spans="1:11">
      <c r="A53" s="98">
        <f t="shared" si="0"/>
        <v>44</v>
      </c>
      <c r="B53" s="113"/>
      <c r="C53" s="91"/>
      <c r="D53" s="12" t="s">
        <v>725</v>
      </c>
      <c r="E53" s="12" t="s">
        <v>726</v>
      </c>
      <c r="F53" s="91" t="s">
        <v>656</v>
      </c>
      <c r="G53" s="91">
        <v>6</v>
      </c>
      <c r="H53" s="91"/>
      <c r="I53" s="91"/>
      <c r="J53" s="91">
        <f t="shared" si="1"/>
        <v>428</v>
      </c>
      <c r="K53" s="115"/>
    </row>
    <row r="54" spans="1:11">
      <c r="A54" s="98">
        <f t="shared" si="0"/>
        <v>45</v>
      </c>
      <c r="B54" s="113"/>
      <c r="C54" s="91"/>
      <c r="D54" s="12" t="s">
        <v>727</v>
      </c>
      <c r="E54" s="12" t="s">
        <v>728</v>
      </c>
      <c r="F54" s="91" t="s">
        <v>656</v>
      </c>
      <c r="G54" s="91">
        <v>6</v>
      </c>
      <c r="H54" s="91"/>
      <c r="I54" s="91"/>
      <c r="J54" s="91">
        <f t="shared" si="1"/>
        <v>434</v>
      </c>
      <c r="K54" s="115"/>
    </row>
    <row r="55" spans="1:11">
      <c r="A55" s="98">
        <f t="shared" si="0"/>
        <v>46</v>
      </c>
      <c r="B55" s="113"/>
      <c r="C55" s="91"/>
      <c r="D55" s="12" t="s">
        <v>729</v>
      </c>
      <c r="E55" s="12" t="s">
        <v>730</v>
      </c>
      <c r="F55" s="91" t="s">
        <v>656</v>
      </c>
      <c r="G55" s="91">
        <v>40</v>
      </c>
      <c r="H55" s="91"/>
      <c r="I55" s="91"/>
      <c r="J55" s="91">
        <f t="shared" si="1"/>
        <v>440</v>
      </c>
      <c r="K55" s="115"/>
    </row>
    <row r="56" spans="1:11">
      <c r="A56" s="98">
        <f t="shared" si="0"/>
        <v>47</v>
      </c>
      <c r="B56" s="113"/>
      <c r="C56" s="91"/>
      <c r="D56" s="12" t="s">
        <v>731</v>
      </c>
      <c r="E56" s="12" t="s">
        <v>732</v>
      </c>
      <c r="F56" s="91" t="s">
        <v>656</v>
      </c>
      <c r="G56" s="91">
        <v>40</v>
      </c>
      <c r="H56" s="91"/>
      <c r="I56" s="91"/>
      <c r="J56" s="91">
        <f t="shared" si="1"/>
        <v>480</v>
      </c>
      <c r="K56" s="115"/>
    </row>
    <row r="57" spans="1:11">
      <c r="A57" s="98">
        <f t="shared" si="0"/>
        <v>48</v>
      </c>
      <c r="B57" s="113"/>
      <c r="C57" s="91"/>
      <c r="D57" s="12" t="s">
        <v>733</v>
      </c>
      <c r="E57" s="12" t="s">
        <v>734</v>
      </c>
      <c r="F57" s="91" t="s">
        <v>656</v>
      </c>
      <c r="G57" s="91">
        <v>10</v>
      </c>
      <c r="H57" s="91"/>
      <c r="I57" s="91"/>
      <c r="J57" s="91">
        <f t="shared" si="1"/>
        <v>520</v>
      </c>
      <c r="K57" s="115"/>
    </row>
    <row r="58" spans="1:11">
      <c r="A58" s="98">
        <f t="shared" si="0"/>
        <v>49</v>
      </c>
      <c r="B58" s="113"/>
      <c r="C58" s="91"/>
      <c r="D58" s="12" t="s">
        <v>899</v>
      </c>
      <c r="E58" s="12" t="s">
        <v>900</v>
      </c>
      <c r="F58" s="91" t="s">
        <v>656</v>
      </c>
      <c r="G58" s="91">
        <v>12</v>
      </c>
      <c r="H58" s="91"/>
      <c r="I58" s="91"/>
      <c r="J58" s="91">
        <f t="shared" si="1"/>
        <v>530</v>
      </c>
      <c r="K58" s="115"/>
    </row>
    <row r="59" spans="1:11">
      <c r="A59" s="98">
        <f t="shared" si="0"/>
        <v>50</v>
      </c>
      <c r="B59" s="113"/>
      <c r="C59" s="91"/>
      <c r="D59" s="12" t="s">
        <v>901</v>
      </c>
      <c r="E59" s="12" t="s">
        <v>735</v>
      </c>
      <c r="F59" s="91" t="s">
        <v>656</v>
      </c>
      <c r="G59" s="91">
        <v>40</v>
      </c>
      <c r="H59" s="91"/>
      <c r="I59" s="91"/>
      <c r="J59" s="91">
        <f t="shared" si="1"/>
        <v>542</v>
      </c>
      <c r="K59" s="115"/>
    </row>
    <row r="60" spans="1:11">
      <c r="A60" s="98">
        <f t="shared" si="0"/>
        <v>51</v>
      </c>
      <c r="B60" s="113"/>
      <c r="C60" s="91"/>
      <c r="D60" s="12" t="s">
        <v>902</v>
      </c>
      <c r="E60" s="12" t="s">
        <v>736</v>
      </c>
      <c r="F60" s="91" t="s">
        <v>656</v>
      </c>
      <c r="G60" s="91">
        <v>40</v>
      </c>
      <c r="H60" s="91"/>
      <c r="I60" s="91"/>
      <c r="J60" s="91">
        <f t="shared" si="1"/>
        <v>582</v>
      </c>
      <c r="K60" s="115"/>
    </row>
    <row r="61" spans="1:11">
      <c r="A61" s="98">
        <f t="shared" si="0"/>
        <v>52</v>
      </c>
      <c r="B61" s="113"/>
      <c r="C61" s="91"/>
      <c r="D61" s="12" t="s">
        <v>903</v>
      </c>
      <c r="E61" s="12" t="s">
        <v>737</v>
      </c>
      <c r="F61" s="91" t="s">
        <v>656</v>
      </c>
      <c r="G61" s="91">
        <v>6</v>
      </c>
      <c r="H61" s="91"/>
      <c r="I61" s="91"/>
      <c r="J61" s="91">
        <f t="shared" si="1"/>
        <v>622</v>
      </c>
      <c r="K61" s="115"/>
    </row>
    <row r="62" spans="1:11">
      <c r="A62" s="98">
        <f t="shared" si="0"/>
        <v>53</v>
      </c>
      <c r="B62" s="113"/>
      <c r="C62" s="91"/>
      <c r="D62" s="12" t="s">
        <v>904</v>
      </c>
      <c r="E62" s="12" t="s">
        <v>738</v>
      </c>
      <c r="F62" s="91" t="s">
        <v>656</v>
      </c>
      <c r="G62" s="91">
        <v>6</v>
      </c>
      <c r="H62" s="91"/>
      <c r="I62" s="91"/>
      <c r="J62" s="91">
        <f t="shared" si="1"/>
        <v>628</v>
      </c>
      <c r="K62" s="115"/>
    </row>
    <row r="63" spans="1:11">
      <c r="A63" s="98">
        <f t="shared" si="0"/>
        <v>54</v>
      </c>
      <c r="B63" s="113"/>
      <c r="C63" s="91"/>
      <c r="D63" s="12" t="s">
        <v>905</v>
      </c>
      <c r="E63" s="12" t="s">
        <v>739</v>
      </c>
      <c r="F63" s="91" t="s">
        <v>656</v>
      </c>
      <c r="G63" s="91">
        <v>40</v>
      </c>
      <c r="H63" s="91"/>
      <c r="I63" s="91"/>
      <c r="J63" s="91">
        <f t="shared" si="1"/>
        <v>634</v>
      </c>
      <c r="K63" s="115"/>
    </row>
    <row r="64" spans="1:11">
      <c r="A64" s="98">
        <f t="shared" si="0"/>
        <v>55</v>
      </c>
      <c r="B64" s="113"/>
      <c r="C64" s="91"/>
      <c r="D64" s="12" t="s">
        <v>906</v>
      </c>
      <c r="E64" s="12" t="s">
        <v>740</v>
      </c>
      <c r="F64" s="91" t="s">
        <v>656</v>
      </c>
      <c r="G64" s="91">
        <v>40</v>
      </c>
      <c r="H64" s="91"/>
      <c r="I64" s="91"/>
      <c r="J64" s="91">
        <f t="shared" si="1"/>
        <v>674</v>
      </c>
      <c r="K64" s="115"/>
    </row>
    <row r="65" spans="1:11">
      <c r="A65" s="98">
        <f t="shared" si="0"/>
        <v>56</v>
      </c>
      <c r="B65" s="113"/>
      <c r="C65" s="91"/>
      <c r="D65" s="12" t="s">
        <v>741</v>
      </c>
      <c r="E65" s="12" t="s">
        <v>742</v>
      </c>
      <c r="F65" s="91" t="s">
        <v>656</v>
      </c>
      <c r="G65" s="91">
        <v>6</v>
      </c>
      <c r="H65" s="91"/>
      <c r="I65" s="91"/>
      <c r="J65" s="91">
        <f t="shared" si="1"/>
        <v>714</v>
      </c>
      <c r="K65" s="115"/>
    </row>
    <row r="66" spans="1:11">
      <c r="A66" s="98">
        <f t="shared" si="0"/>
        <v>57</v>
      </c>
      <c r="B66" s="113"/>
      <c r="C66" s="91"/>
      <c r="D66" s="12" t="s">
        <v>743</v>
      </c>
      <c r="E66" s="12" t="s">
        <v>744</v>
      </c>
      <c r="F66" s="91" t="s">
        <v>656</v>
      </c>
      <c r="G66" s="91">
        <v>6</v>
      </c>
      <c r="H66" s="91"/>
      <c r="I66" s="91"/>
      <c r="J66" s="91">
        <f t="shared" si="1"/>
        <v>720</v>
      </c>
      <c r="K66" s="115"/>
    </row>
    <row r="67" spans="1:11">
      <c r="A67" s="98">
        <f t="shared" si="0"/>
        <v>58</v>
      </c>
      <c r="B67" s="113"/>
      <c r="C67" s="91"/>
      <c r="D67" s="12" t="s">
        <v>858</v>
      </c>
      <c r="E67" s="12" t="s">
        <v>745</v>
      </c>
      <c r="F67" s="91" t="s">
        <v>656</v>
      </c>
      <c r="G67" s="91">
        <v>1</v>
      </c>
      <c r="H67" s="91"/>
      <c r="I67" s="91"/>
      <c r="J67" s="91">
        <f t="shared" si="1"/>
        <v>726</v>
      </c>
      <c r="K67" s="115"/>
    </row>
    <row r="68" spans="1:11">
      <c r="A68" s="98">
        <f t="shared" si="0"/>
        <v>59</v>
      </c>
      <c r="B68" s="113"/>
      <c r="C68" s="91"/>
      <c r="D68" s="12" t="s">
        <v>746</v>
      </c>
      <c r="E68" s="12" t="s">
        <v>747</v>
      </c>
      <c r="F68" s="91" t="s">
        <v>656</v>
      </c>
      <c r="G68" s="91">
        <v>6</v>
      </c>
      <c r="H68" s="91"/>
      <c r="I68" s="91"/>
      <c r="J68" s="91">
        <f t="shared" si="1"/>
        <v>727</v>
      </c>
      <c r="K68" s="115"/>
    </row>
    <row r="69" spans="1:11">
      <c r="A69" s="98">
        <f t="shared" si="0"/>
        <v>60</v>
      </c>
      <c r="B69" s="113"/>
      <c r="C69" s="91"/>
      <c r="D69" s="12" t="s">
        <v>859</v>
      </c>
      <c r="E69" s="12" t="s">
        <v>869</v>
      </c>
      <c r="F69" s="91" t="s">
        <v>656</v>
      </c>
      <c r="G69" s="91">
        <v>1</v>
      </c>
      <c r="H69" s="91"/>
      <c r="I69" s="91"/>
      <c r="J69" s="91">
        <f t="shared" si="1"/>
        <v>733</v>
      </c>
      <c r="K69" s="115"/>
    </row>
    <row r="70" spans="1:11">
      <c r="A70" s="98">
        <f t="shared" si="0"/>
        <v>61</v>
      </c>
      <c r="B70" s="113"/>
      <c r="C70" s="91"/>
      <c r="D70" s="12" t="s">
        <v>748</v>
      </c>
      <c r="E70" s="12" t="s">
        <v>749</v>
      </c>
      <c r="F70" s="91" t="s">
        <v>656</v>
      </c>
      <c r="G70" s="91">
        <v>15</v>
      </c>
      <c r="H70" s="91"/>
      <c r="I70" s="91"/>
      <c r="J70" s="91">
        <f t="shared" si="1"/>
        <v>734</v>
      </c>
      <c r="K70" s="115"/>
    </row>
    <row r="71" spans="1:11">
      <c r="A71" s="98">
        <f t="shared" si="0"/>
        <v>62</v>
      </c>
      <c r="B71" s="113"/>
      <c r="C71" s="91"/>
      <c r="D71" s="12" t="s">
        <v>750</v>
      </c>
      <c r="E71" s="12" t="s">
        <v>751</v>
      </c>
      <c r="F71" s="91" t="s">
        <v>656</v>
      </c>
      <c r="G71" s="91">
        <v>1</v>
      </c>
      <c r="H71" s="91"/>
      <c r="I71" s="91"/>
      <c r="J71" s="91">
        <f t="shared" si="1"/>
        <v>749</v>
      </c>
      <c r="K71" s="115"/>
    </row>
    <row r="72" spans="1:11">
      <c r="A72" s="98">
        <f t="shared" si="0"/>
        <v>63</v>
      </c>
      <c r="B72" s="113" t="s">
        <v>885</v>
      </c>
      <c r="C72" s="91"/>
      <c r="D72" s="12" t="s">
        <v>860</v>
      </c>
      <c r="E72" s="12" t="s">
        <v>752</v>
      </c>
      <c r="F72" s="91" t="s">
        <v>98</v>
      </c>
      <c r="G72" s="91">
        <v>13</v>
      </c>
      <c r="H72" s="91">
        <v>3</v>
      </c>
      <c r="I72" s="102" t="s">
        <v>753</v>
      </c>
      <c r="J72" s="91">
        <f t="shared" si="1"/>
        <v>750</v>
      </c>
      <c r="K72" s="115" t="s">
        <v>1106</v>
      </c>
    </row>
    <row r="73" spans="1:11">
      <c r="A73" s="98">
        <f t="shared" si="0"/>
        <v>64</v>
      </c>
      <c r="B73" s="113"/>
      <c r="C73" s="91"/>
      <c r="D73" s="12" t="s">
        <v>754</v>
      </c>
      <c r="E73" s="12" t="s">
        <v>755</v>
      </c>
      <c r="F73" s="91" t="s">
        <v>656</v>
      </c>
      <c r="G73" s="91">
        <v>3</v>
      </c>
      <c r="H73" s="91"/>
      <c r="I73" s="91"/>
      <c r="J73" s="91">
        <f t="shared" si="1"/>
        <v>763</v>
      </c>
      <c r="K73" s="115"/>
    </row>
    <row r="74" spans="1:11">
      <c r="A74" s="98">
        <f t="shared" si="0"/>
        <v>65</v>
      </c>
      <c r="B74" s="113"/>
      <c r="C74" s="91"/>
      <c r="D74" s="12" t="s">
        <v>756</v>
      </c>
      <c r="E74" s="12" t="s">
        <v>757</v>
      </c>
      <c r="F74" s="91" t="s">
        <v>656</v>
      </c>
      <c r="G74" s="91">
        <v>1</v>
      </c>
      <c r="H74" s="91"/>
      <c r="I74" s="91"/>
      <c r="J74" s="91">
        <f t="shared" si="1"/>
        <v>766</v>
      </c>
      <c r="K74" s="115"/>
    </row>
    <row r="75" spans="1:11">
      <c r="A75" s="98">
        <f t="shared" ref="A75:A141" si="2">ROW()-9</f>
        <v>66</v>
      </c>
      <c r="B75" s="113"/>
      <c r="C75" s="91"/>
      <c r="D75" s="12" t="s">
        <v>758</v>
      </c>
      <c r="E75" s="12" t="s">
        <v>759</v>
      </c>
      <c r="F75" s="91" t="s">
        <v>656</v>
      </c>
      <c r="G75" s="91">
        <v>1</v>
      </c>
      <c r="H75" s="91"/>
      <c r="I75" s="91"/>
      <c r="J75" s="91">
        <f t="shared" si="1"/>
        <v>767</v>
      </c>
      <c r="K75" s="115"/>
    </row>
    <row r="76" spans="1:11">
      <c r="A76" s="98">
        <f t="shared" si="2"/>
        <v>67</v>
      </c>
      <c r="B76" s="113" t="s">
        <v>885</v>
      </c>
      <c r="C76" s="91"/>
      <c r="D76" s="12" t="s">
        <v>760</v>
      </c>
      <c r="E76" s="12" t="s">
        <v>761</v>
      </c>
      <c r="F76" s="91" t="s">
        <v>98</v>
      </c>
      <c r="G76" s="91">
        <v>13</v>
      </c>
      <c r="H76" s="91">
        <v>3</v>
      </c>
      <c r="I76" s="102" t="s">
        <v>753</v>
      </c>
      <c r="J76" s="91">
        <f t="shared" ref="J76:J139" si="3">J75+G75</f>
        <v>768</v>
      </c>
      <c r="K76" s="115" t="s">
        <v>1106</v>
      </c>
    </row>
    <row r="77" spans="1:11">
      <c r="A77" s="98">
        <f t="shared" si="2"/>
        <v>68</v>
      </c>
      <c r="B77" s="113" t="s">
        <v>885</v>
      </c>
      <c r="C77" s="91"/>
      <c r="D77" s="12" t="s">
        <v>907</v>
      </c>
      <c r="E77" s="12" t="s">
        <v>908</v>
      </c>
      <c r="F77" s="91" t="s">
        <v>98</v>
      </c>
      <c r="G77" s="91">
        <v>13</v>
      </c>
      <c r="H77" s="91">
        <v>0</v>
      </c>
      <c r="I77" s="91"/>
      <c r="J77" s="91">
        <f t="shared" si="3"/>
        <v>781</v>
      </c>
      <c r="K77" s="115" t="s">
        <v>1106</v>
      </c>
    </row>
    <row r="78" spans="1:11">
      <c r="A78" s="98">
        <f t="shared" si="2"/>
        <v>69</v>
      </c>
      <c r="B78" s="113"/>
      <c r="C78" s="91"/>
      <c r="D78" s="12" t="s">
        <v>909</v>
      </c>
      <c r="E78" s="12" t="s">
        <v>762</v>
      </c>
      <c r="F78" s="91" t="s">
        <v>656</v>
      </c>
      <c r="G78" s="91">
        <v>1</v>
      </c>
      <c r="H78" s="91"/>
      <c r="I78" s="91"/>
      <c r="J78" s="91">
        <f t="shared" si="3"/>
        <v>794</v>
      </c>
      <c r="K78" s="115"/>
    </row>
    <row r="79" spans="1:11">
      <c r="A79" s="98">
        <f t="shared" si="2"/>
        <v>70</v>
      </c>
      <c r="B79" s="113" t="s">
        <v>885</v>
      </c>
      <c r="C79" s="91"/>
      <c r="D79" s="12" t="s">
        <v>910</v>
      </c>
      <c r="E79" s="12" t="s">
        <v>763</v>
      </c>
      <c r="F79" s="91" t="s">
        <v>98</v>
      </c>
      <c r="G79" s="91">
        <v>13</v>
      </c>
      <c r="H79" s="91">
        <v>3</v>
      </c>
      <c r="I79" s="102" t="s">
        <v>753</v>
      </c>
      <c r="J79" s="91">
        <f t="shared" si="3"/>
        <v>795</v>
      </c>
      <c r="K79" s="115" t="s">
        <v>1106</v>
      </c>
    </row>
    <row r="80" spans="1:11">
      <c r="A80" s="98">
        <f t="shared" si="2"/>
        <v>71</v>
      </c>
      <c r="B80" s="113" t="s">
        <v>885</v>
      </c>
      <c r="C80" s="91"/>
      <c r="D80" s="12" t="s">
        <v>911</v>
      </c>
      <c r="E80" s="12" t="s">
        <v>912</v>
      </c>
      <c r="F80" s="91" t="s">
        <v>98</v>
      </c>
      <c r="G80" s="91">
        <v>13</v>
      </c>
      <c r="H80" s="91">
        <v>0</v>
      </c>
      <c r="I80" s="91"/>
      <c r="J80" s="91">
        <f t="shared" si="3"/>
        <v>808</v>
      </c>
      <c r="K80" s="115" t="s">
        <v>1106</v>
      </c>
    </row>
    <row r="81" spans="1:11">
      <c r="A81" s="98">
        <f t="shared" si="2"/>
        <v>72</v>
      </c>
      <c r="B81" s="113"/>
      <c r="C81" s="91"/>
      <c r="D81" s="12" t="s">
        <v>764</v>
      </c>
      <c r="E81" s="12" t="s">
        <v>765</v>
      </c>
      <c r="F81" s="91" t="s">
        <v>656</v>
      </c>
      <c r="G81" s="91">
        <v>6</v>
      </c>
      <c r="H81" s="91"/>
      <c r="I81" s="91"/>
      <c r="J81" s="91">
        <f t="shared" si="3"/>
        <v>821</v>
      </c>
      <c r="K81" s="115"/>
    </row>
    <row r="82" spans="1:11">
      <c r="A82" s="98">
        <f t="shared" si="2"/>
        <v>73</v>
      </c>
      <c r="B82" s="113"/>
      <c r="C82" s="91"/>
      <c r="D82" s="12" t="s">
        <v>766</v>
      </c>
      <c r="E82" s="12" t="s">
        <v>767</v>
      </c>
      <c r="F82" s="91" t="s">
        <v>656</v>
      </c>
      <c r="G82" s="91">
        <v>6</v>
      </c>
      <c r="H82" s="91"/>
      <c r="I82" s="91"/>
      <c r="J82" s="91">
        <f t="shared" si="3"/>
        <v>827</v>
      </c>
      <c r="K82" s="115"/>
    </row>
    <row r="83" spans="1:11">
      <c r="A83" s="98">
        <f t="shared" si="2"/>
        <v>74</v>
      </c>
      <c r="B83" s="113"/>
      <c r="C83" s="91"/>
      <c r="D83" s="12" t="s">
        <v>768</v>
      </c>
      <c r="E83" s="12" t="s">
        <v>769</v>
      </c>
      <c r="F83" s="91" t="s">
        <v>656</v>
      </c>
      <c r="G83" s="91">
        <v>40</v>
      </c>
      <c r="H83" s="91"/>
      <c r="I83" s="91"/>
      <c r="J83" s="91">
        <f t="shared" si="3"/>
        <v>833</v>
      </c>
      <c r="K83" s="115"/>
    </row>
    <row r="84" spans="1:11">
      <c r="A84" s="98">
        <f t="shared" si="2"/>
        <v>75</v>
      </c>
      <c r="B84" s="113"/>
      <c r="C84" s="91"/>
      <c r="D84" s="12" t="s">
        <v>770</v>
      </c>
      <c r="E84" s="12" t="s">
        <v>771</v>
      </c>
      <c r="F84" s="91" t="s">
        <v>656</v>
      </c>
      <c r="G84" s="91">
        <v>40</v>
      </c>
      <c r="H84" s="91"/>
      <c r="I84" s="91"/>
      <c r="J84" s="91">
        <f t="shared" si="3"/>
        <v>873</v>
      </c>
      <c r="K84" s="115"/>
    </row>
    <row r="85" spans="1:11">
      <c r="A85" s="98">
        <f t="shared" si="2"/>
        <v>76</v>
      </c>
      <c r="B85" s="113"/>
      <c r="C85" s="91"/>
      <c r="D85" s="12" t="s">
        <v>772</v>
      </c>
      <c r="E85" s="12" t="s">
        <v>773</v>
      </c>
      <c r="F85" s="91" t="s">
        <v>656</v>
      </c>
      <c r="G85" s="91">
        <v>2</v>
      </c>
      <c r="H85" s="91"/>
      <c r="I85" s="91"/>
      <c r="J85" s="91">
        <f t="shared" si="3"/>
        <v>913</v>
      </c>
      <c r="K85" s="115"/>
    </row>
    <row r="86" spans="1:11">
      <c r="A86" s="98">
        <f t="shared" si="2"/>
        <v>77</v>
      </c>
      <c r="B86" s="113"/>
      <c r="C86" s="91"/>
      <c r="D86" s="12" t="s">
        <v>774</v>
      </c>
      <c r="E86" s="12" t="s">
        <v>775</v>
      </c>
      <c r="F86" s="91" t="s">
        <v>656</v>
      </c>
      <c r="G86" s="91">
        <v>74</v>
      </c>
      <c r="H86" s="91"/>
      <c r="I86" s="91"/>
      <c r="J86" s="91">
        <f t="shared" si="3"/>
        <v>915</v>
      </c>
      <c r="K86" s="115"/>
    </row>
    <row r="87" spans="1:11">
      <c r="A87" s="98">
        <f t="shared" si="2"/>
        <v>78</v>
      </c>
      <c r="B87" s="113"/>
      <c r="C87" s="91"/>
      <c r="D87" s="12" t="s">
        <v>776</v>
      </c>
      <c r="E87" s="12" t="s">
        <v>777</v>
      </c>
      <c r="F87" s="91" t="s">
        <v>656</v>
      </c>
      <c r="G87" s="91">
        <v>74</v>
      </c>
      <c r="H87" s="91"/>
      <c r="I87" s="91"/>
      <c r="J87" s="91">
        <f t="shared" si="3"/>
        <v>989</v>
      </c>
      <c r="K87" s="115"/>
    </row>
    <row r="88" spans="1:11">
      <c r="A88" s="98">
        <f t="shared" si="2"/>
        <v>79</v>
      </c>
      <c r="B88" s="113"/>
      <c r="C88" s="91"/>
      <c r="D88" s="12" t="s">
        <v>778</v>
      </c>
      <c r="E88" s="12" t="s">
        <v>779</v>
      </c>
      <c r="F88" s="91" t="s">
        <v>656</v>
      </c>
      <c r="G88" s="91">
        <v>11</v>
      </c>
      <c r="H88" s="91"/>
      <c r="I88" s="91"/>
      <c r="J88" s="91">
        <f t="shared" si="3"/>
        <v>1063</v>
      </c>
      <c r="K88" s="115"/>
    </row>
    <row r="89" spans="1:11">
      <c r="A89" s="98">
        <f t="shared" si="2"/>
        <v>80</v>
      </c>
      <c r="B89" s="113"/>
      <c r="C89" s="91"/>
      <c r="D89" s="12" t="s">
        <v>780</v>
      </c>
      <c r="E89" s="12" t="s">
        <v>781</v>
      </c>
      <c r="F89" s="91" t="s">
        <v>656</v>
      </c>
      <c r="G89" s="91">
        <v>7</v>
      </c>
      <c r="H89" s="91"/>
      <c r="I89" s="91"/>
      <c r="J89" s="91">
        <f t="shared" si="3"/>
        <v>1074</v>
      </c>
      <c r="K89" s="115"/>
    </row>
    <row r="90" spans="1:11">
      <c r="A90" s="98">
        <f t="shared" si="2"/>
        <v>81</v>
      </c>
      <c r="B90" s="113"/>
      <c r="C90" s="91"/>
      <c r="D90" s="12" t="s">
        <v>782</v>
      </c>
      <c r="E90" s="12" t="s">
        <v>783</v>
      </c>
      <c r="F90" s="91" t="s">
        <v>656</v>
      </c>
      <c r="G90" s="91">
        <v>12</v>
      </c>
      <c r="H90" s="91"/>
      <c r="I90" s="91"/>
      <c r="J90" s="91">
        <f t="shared" si="3"/>
        <v>1081</v>
      </c>
      <c r="K90" s="115"/>
    </row>
    <row r="91" spans="1:11">
      <c r="A91" s="98">
        <f t="shared" si="2"/>
        <v>82</v>
      </c>
      <c r="B91" s="113"/>
      <c r="C91" s="91"/>
      <c r="D91" s="12" t="s">
        <v>913</v>
      </c>
      <c r="E91" s="12" t="s">
        <v>914</v>
      </c>
      <c r="F91" s="91" t="s">
        <v>656</v>
      </c>
      <c r="G91" s="91">
        <v>12</v>
      </c>
      <c r="H91" s="91"/>
      <c r="I91" s="91"/>
      <c r="J91" s="91">
        <f t="shared" si="3"/>
        <v>1093</v>
      </c>
      <c r="K91" s="115"/>
    </row>
    <row r="92" spans="1:11">
      <c r="A92" s="98">
        <f t="shared" si="2"/>
        <v>83</v>
      </c>
      <c r="B92" s="113"/>
      <c r="C92" s="91"/>
      <c r="D92" s="12" t="s">
        <v>915</v>
      </c>
      <c r="E92" s="12" t="s">
        <v>916</v>
      </c>
      <c r="F92" s="91" t="s">
        <v>656</v>
      </c>
      <c r="G92" s="91">
        <v>6</v>
      </c>
      <c r="H92" s="91"/>
      <c r="I92" s="91"/>
      <c r="J92" s="91">
        <f t="shared" si="3"/>
        <v>1105</v>
      </c>
      <c r="K92" s="115"/>
    </row>
    <row r="93" spans="1:11">
      <c r="A93" s="98">
        <f t="shared" si="2"/>
        <v>84</v>
      </c>
      <c r="B93" s="113"/>
      <c r="C93" s="91"/>
      <c r="D93" s="12" t="s">
        <v>784</v>
      </c>
      <c r="E93" s="12" t="s">
        <v>785</v>
      </c>
      <c r="F93" s="91" t="s">
        <v>656</v>
      </c>
      <c r="G93" s="91">
        <v>4</v>
      </c>
      <c r="H93" s="91"/>
      <c r="I93" s="91"/>
      <c r="J93" s="91">
        <f t="shared" si="3"/>
        <v>1111</v>
      </c>
      <c r="K93" s="115"/>
    </row>
    <row r="94" spans="1:11">
      <c r="A94" s="98">
        <f t="shared" si="2"/>
        <v>85</v>
      </c>
      <c r="B94" s="113"/>
      <c r="C94" s="91"/>
      <c r="D94" s="12" t="s">
        <v>786</v>
      </c>
      <c r="E94" s="12" t="s">
        <v>787</v>
      </c>
      <c r="F94" s="91" t="s">
        <v>656</v>
      </c>
      <c r="G94" s="91">
        <v>10</v>
      </c>
      <c r="H94" s="91"/>
      <c r="I94" s="91"/>
      <c r="J94" s="91">
        <f t="shared" si="3"/>
        <v>1115</v>
      </c>
      <c r="K94" s="115"/>
    </row>
    <row r="95" spans="1:11">
      <c r="A95" s="98">
        <f t="shared" si="2"/>
        <v>86</v>
      </c>
      <c r="B95" s="113"/>
      <c r="C95" s="91"/>
      <c r="D95" s="12" t="s">
        <v>788</v>
      </c>
      <c r="E95" s="12" t="s">
        <v>789</v>
      </c>
      <c r="F95" s="91" t="s">
        <v>656</v>
      </c>
      <c r="G95" s="91">
        <v>6</v>
      </c>
      <c r="H95" s="91"/>
      <c r="I95" s="91"/>
      <c r="J95" s="91">
        <f t="shared" si="3"/>
        <v>1125</v>
      </c>
      <c r="K95" s="115"/>
    </row>
    <row r="96" spans="1:11">
      <c r="A96" s="98">
        <f t="shared" si="2"/>
        <v>87</v>
      </c>
      <c r="B96" s="113"/>
      <c r="C96" s="91"/>
      <c r="D96" s="12" t="s">
        <v>917</v>
      </c>
      <c r="E96" s="12" t="s">
        <v>918</v>
      </c>
      <c r="F96" s="91" t="s">
        <v>656</v>
      </c>
      <c r="G96" s="91">
        <v>44</v>
      </c>
      <c r="H96" s="91"/>
      <c r="I96" s="91"/>
      <c r="J96" s="91">
        <f t="shared" si="3"/>
        <v>1131</v>
      </c>
      <c r="K96" s="115"/>
    </row>
    <row r="97" spans="1:11">
      <c r="A97" s="98">
        <f t="shared" si="2"/>
        <v>88</v>
      </c>
      <c r="B97" s="113"/>
      <c r="C97" s="91"/>
      <c r="D97" s="12" t="s">
        <v>790</v>
      </c>
      <c r="E97" s="12" t="s">
        <v>791</v>
      </c>
      <c r="F97" s="91" t="s">
        <v>656</v>
      </c>
      <c r="G97" s="91">
        <v>44</v>
      </c>
      <c r="H97" s="91"/>
      <c r="I97" s="91"/>
      <c r="J97" s="91">
        <f t="shared" si="3"/>
        <v>1175</v>
      </c>
      <c r="K97" s="115"/>
    </row>
    <row r="98" spans="1:11">
      <c r="A98" s="98">
        <f t="shared" si="2"/>
        <v>89</v>
      </c>
      <c r="B98" s="113" t="s">
        <v>885</v>
      </c>
      <c r="C98" s="91"/>
      <c r="D98" s="12" t="s">
        <v>886</v>
      </c>
      <c r="E98" s="12" t="s">
        <v>792</v>
      </c>
      <c r="F98" s="91" t="s">
        <v>98</v>
      </c>
      <c r="G98" s="91">
        <v>13</v>
      </c>
      <c r="H98" s="91">
        <v>0</v>
      </c>
      <c r="I98" s="91"/>
      <c r="J98" s="91">
        <f t="shared" si="3"/>
        <v>1219</v>
      </c>
      <c r="K98" s="115" t="s">
        <v>1106</v>
      </c>
    </row>
    <row r="99" spans="1:11">
      <c r="A99" s="98">
        <f t="shared" si="2"/>
        <v>90</v>
      </c>
      <c r="B99" s="113"/>
      <c r="C99" s="91"/>
      <c r="D99" s="12" t="s">
        <v>793</v>
      </c>
      <c r="E99" s="12" t="s">
        <v>794</v>
      </c>
      <c r="F99" s="91" t="s">
        <v>656</v>
      </c>
      <c r="G99" s="91">
        <v>12</v>
      </c>
      <c r="H99" s="91"/>
      <c r="I99" s="91"/>
      <c r="J99" s="91">
        <f t="shared" si="3"/>
        <v>1232</v>
      </c>
      <c r="K99" s="115"/>
    </row>
    <row r="100" spans="1:11">
      <c r="A100" s="98">
        <f t="shared" si="2"/>
        <v>91</v>
      </c>
      <c r="B100" s="113"/>
      <c r="C100" s="91"/>
      <c r="D100" s="12" t="s">
        <v>919</v>
      </c>
      <c r="E100" s="12" t="s">
        <v>920</v>
      </c>
      <c r="F100" s="91" t="s">
        <v>656</v>
      </c>
      <c r="G100" s="91">
        <v>103</v>
      </c>
      <c r="H100" s="91"/>
      <c r="I100" s="91"/>
      <c r="J100" s="91">
        <f t="shared" si="3"/>
        <v>1244</v>
      </c>
      <c r="K100" s="115"/>
    </row>
    <row r="101" spans="1:11">
      <c r="A101" s="98">
        <f t="shared" si="2"/>
        <v>92</v>
      </c>
      <c r="B101" s="113" t="s">
        <v>885</v>
      </c>
      <c r="C101" s="91"/>
      <c r="D101" s="12" t="s">
        <v>921</v>
      </c>
      <c r="E101" s="12" t="s">
        <v>795</v>
      </c>
      <c r="F101" s="91" t="s">
        <v>98</v>
      </c>
      <c r="G101" s="91">
        <v>13</v>
      </c>
      <c r="H101" s="91">
        <v>3</v>
      </c>
      <c r="I101" s="102" t="s">
        <v>753</v>
      </c>
      <c r="J101" s="91">
        <f t="shared" si="3"/>
        <v>1347</v>
      </c>
      <c r="K101" s="115" t="s">
        <v>1106</v>
      </c>
    </row>
    <row r="102" spans="1:11">
      <c r="A102" s="98">
        <f t="shared" si="2"/>
        <v>93</v>
      </c>
      <c r="B102" s="113" t="s">
        <v>885</v>
      </c>
      <c r="C102" s="91"/>
      <c r="D102" s="12" t="s">
        <v>922</v>
      </c>
      <c r="E102" s="12" t="s">
        <v>796</v>
      </c>
      <c r="F102" s="91" t="s">
        <v>98</v>
      </c>
      <c r="G102" s="91">
        <v>13</v>
      </c>
      <c r="H102" s="91">
        <v>3</v>
      </c>
      <c r="I102" s="102" t="s">
        <v>753</v>
      </c>
      <c r="J102" s="91">
        <f t="shared" si="3"/>
        <v>1360</v>
      </c>
      <c r="K102" s="115" t="s">
        <v>1106</v>
      </c>
    </row>
    <row r="103" spans="1:11">
      <c r="A103" s="98">
        <f t="shared" si="2"/>
        <v>94</v>
      </c>
      <c r="B103" s="113"/>
      <c r="C103" s="91"/>
      <c r="D103" s="12" t="s">
        <v>797</v>
      </c>
      <c r="E103" s="12" t="s">
        <v>798</v>
      </c>
      <c r="F103" s="91" t="s">
        <v>656</v>
      </c>
      <c r="G103" s="91">
        <v>3</v>
      </c>
      <c r="H103" s="91"/>
      <c r="I103" s="91"/>
      <c r="J103" s="91">
        <f t="shared" si="3"/>
        <v>1373</v>
      </c>
      <c r="K103" s="115"/>
    </row>
    <row r="104" spans="1:11">
      <c r="A104" s="98">
        <f t="shared" si="2"/>
        <v>95</v>
      </c>
      <c r="B104" s="113" t="s">
        <v>885</v>
      </c>
      <c r="C104" s="91"/>
      <c r="D104" s="12" t="s">
        <v>923</v>
      </c>
      <c r="E104" s="12" t="s">
        <v>924</v>
      </c>
      <c r="F104" s="91" t="s">
        <v>98</v>
      </c>
      <c r="G104" s="91">
        <v>13</v>
      </c>
      <c r="H104" s="91">
        <v>3</v>
      </c>
      <c r="I104" s="102" t="s">
        <v>753</v>
      </c>
      <c r="J104" s="91">
        <f t="shared" si="3"/>
        <v>1376</v>
      </c>
      <c r="K104" s="115" t="s">
        <v>1106</v>
      </c>
    </row>
    <row r="105" spans="1:11">
      <c r="A105" s="98">
        <f t="shared" si="2"/>
        <v>96</v>
      </c>
      <c r="B105" s="113" t="s">
        <v>885</v>
      </c>
      <c r="C105" s="91"/>
      <c r="D105" s="12" t="s">
        <v>801</v>
      </c>
      <c r="E105" s="12" t="s">
        <v>802</v>
      </c>
      <c r="F105" s="91" t="s">
        <v>98</v>
      </c>
      <c r="G105" s="91">
        <v>13</v>
      </c>
      <c r="H105" s="91">
        <v>3</v>
      </c>
      <c r="I105" s="102" t="s">
        <v>753</v>
      </c>
      <c r="J105" s="91">
        <f t="shared" si="3"/>
        <v>1389</v>
      </c>
      <c r="K105" s="115" t="s">
        <v>1106</v>
      </c>
    </row>
    <row r="106" spans="1:11">
      <c r="A106" s="98">
        <f t="shared" si="2"/>
        <v>97</v>
      </c>
      <c r="B106" s="113"/>
      <c r="C106" s="91"/>
      <c r="D106" s="12" t="s">
        <v>925</v>
      </c>
      <c r="E106" s="12" t="s">
        <v>926</v>
      </c>
      <c r="F106" s="91" t="s">
        <v>656</v>
      </c>
      <c r="G106" s="91">
        <v>3</v>
      </c>
      <c r="H106" s="91"/>
      <c r="I106" s="91"/>
      <c r="J106" s="91">
        <f t="shared" si="3"/>
        <v>1402</v>
      </c>
      <c r="K106" s="115"/>
    </row>
    <row r="107" spans="1:11">
      <c r="A107" s="98">
        <f t="shared" si="2"/>
        <v>98</v>
      </c>
      <c r="B107" s="113"/>
      <c r="C107" s="91"/>
      <c r="D107" s="12" t="s">
        <v>927</v>
      </c>
      <c r="E107" s="12" t="s">
        <v>928</v>
      </c>
      <c r="F107" s="91" t="s">
        <v>656</v>
      </c>
      <c r="G107" s="91">
        <v>7</v>
      </c>
      <c r="H107" s="91"/>
      <c r="I107" s="102"/>
      <c r="J107" s="91">
        <f t="shared" si="3"/>
        <v>1405</v>
      </c>
      <c r="K107" s="115"/>
    </row>
    <row r="108" spans="1:11">
      <c r="A108" s="98">
        <f t="shared" si="2"/>
        <v>99</v>
      </c>
      <c r="B108" s="113" t="s">
        <v>885</v>
      </c>
      <c r="C108" s="91"/>
      <c r="D108" s="12" t="s">
        <v>805</v>
      </c>
      <c r="E108" s="12" t="s">
        <v>806</v>
      </c>
      <c r="F108" s="91" t="s">
        <v>98</v>
      </c>
      <c r="G108" s="91">
        <v>13</v>
      </c>
      <c r="H108" s="91">
        <v>3</v>
      </c>
      <c r="I108" s="102" t="s">
        <v>753</v>
      </c>
      <c r="J108" s="91">
        <f t="shared" si="3"/>
        <v>1412</v>
      </c>
      <c r="K108" s="115" t="s">
        <v>1106</v>
      </c>
    </row>
    <row r="109" spans="1:11">
      <c r="A109" s="98">
        <f t="shared" si="2"/>
        <v>100</v>
      </c>
      <c r="B109" s="113" t="s">
        <v>885</v>
      </c>
      <c r="C109" s="91"/>
      <c r="D109" s="12" t="s">
        <v>807</v>
      </c>
      <c r="E109" s="12" t="s">
        <v>808</v>
      </c>
      <c r="F109" s="91" t="s">
        <v>98</v>
      </c>
      <c r="G109" s="91">
        <v>13</v>
      </c>
      <c r="H109" s="91">
        <v>0</v>
      </c>
      <c r="I109" s="91"/>
      <c r="J109" s="91">
        <f t="shared" si="3"/>
        <v>1425</v>
      </c>
      <c r="K109" s="115" t="s">
        <v>1106</v>
      </c>
    </row>
    <row r="110" spans="1:11">
      <c r="A110" s="98">
        <f t="shared" si="2"/>
        <v>101</v>
      </c>
      <c r="B110" s="113" t="s">
        <v>885</v>
      </c>
      <c r="C110" s="91"/>
      <c r="D110" s="12" t="s">
        <v>809</v>
      </c>
      <c r="E110" s="12" t="s">
        <v>810</v>
      </c>
      <c r="F110" s="91" t="s">
        <v>98</v>
      </c>
      <c r="G110" s="91">
        <v>13</v>
      </c>
      <c r="H110" s="91">
        <v>0</v>
      </c>
      <c r="I110" s="102"/>
      <c r="J110" s="91">
        <f t="shared" si="3"/>
        <v>1438</v>
      </c>
      <c r="K110" s="115" t="s">
        <v>1106</v>
      </c>
    </row>
    <row r="111" spans="1:11">
      <c r="A111" s="98">
        <f t="shared" si="2"/>
        <v>102</v>
      </c>
      <c r="B111" s="113" t="s">
        <v>885</v>
      </c>
      <c r="C111" s="91"/>
      <c r="D111" s="12" t="s">
        <v>811</v>
      </c>
      <c r="E111" s="12" t="s">
        <v>812</v>
      </c>
      <c r="F111" s="91" t="s">
        <v>98</v>
      </c>
      <c r="G111" s="91">
        <v>13</v>
      </c>
      <c r="H111" s="91">
        <v>0</v>
      </c>
      <c r="I111" s="102"/>
      <c r="J111" s="91">
        <f t="shared" si="3"/>
        <v>1451</v>
      </c>
      <c r="K111" s="115" t="s">
        <v>1106</v>
      </c>
    </row>
    <row r="112" spans="1:11">
      <c r="A112" s="98">
        <f t="shared" si="2"/>
        <v>103</v>
      </c>
      <c r="B112" s="113" t="s">
        <v>885</v>
      </c>
      <c r="C112" s="91"/>
      <c r="D112" s="12" t="s">
        <v>813</v>
      </c>
      <c r="E112" s="12" t="s">
        <v>814</v>
      </c>
      <c r="F112" s="91" t="s">
        <v>98</v>
      </c>
      <c r="G112" s="91">
        <v>13</v>
      </c>
      <c r="H112" s="91">
        <v>0</v>
      </c>
      <c r="I112" s="91"/>
      <c r="J112" s="91">
        <f t="shared" si="3"/>
        <v>1464</v>
      </c>
      <c r="K112" s="115" t="s">
        <v>1106</v>
      </c>
    </row>
    <row r="113" spans="1:11">
      <c r="A113" s="98">
        <f t="shared" si="2"/>
        <v>104</v>
      </c>
      <c r="B113" s="113"/>
      <c r="C113" s="91"/>
      <c r="D113" s="12" t="s">
        <v>929</v>
      </c>
      <c r="E113" s="12" t="s">
        <v>815</v>
      </c>
      <c r="F113" s="91" t="s">
        <v>656</v>
      </c>
      <c r="G113" s="91">
        <v>1</v>
      </c>
      <c r="H113" s="91"/>
      <c r="I113" s="102"/>
      <c r="J113" s="91">
        <f t="shared" si="3"/>
        <v>1477</v>
      </c>
      <c r="K113" s="115"/>
    </row>
    <row r="114" spans="1:11">
      <c r="A114" s="98">
        <f t="shared" si="2"/>
        <v>105</v>
      </c>
      <c r="B114" s="113"/>
      <c r="C114" s="91"/>
      <c r="D114" s="12" t="s">
        <v>864</v>
      </c>
      <c r="E114" s="12" t="s">
        <v>816</v>
      </c>
      <c r="F114" s="91" t="s">
        <v>656</v>
      </c>
      <c r="G114" s="91">
        <v>1</v>
      </c>
      <c r="H114" s="91"/>
      <c r="I114" s="91"/>
      <c r="J114" s="91">
        <f t="shared" si="3"/>
        <v>1478</v>
      </c>
      <c r="K114" s="115"/>
    </row>
    <row r="115" spans="1:11">
      <c r="A115" s="98">
        <f t="shared" si="2"/>
        <v>106</v>
      </c>
      <c r="B115" s="113"/>
      <c r="C115" s="91"/>
      <c r="D115" s="12" t="s">
        <v>817</v>
      </c>
      <c r="E115" s="12" t="s">
        <v>818</v>
      </c>
      <c r="F115" s="91" t="s">
        <v>656</v>
      </c>
      <c r="G115" s="91">
        <v>1</v>
      </c>
      <c r="H115" s="91"/>
      <c r="I115" s="91"/>
      <c r="J115" s="91">
        <f t="shared" si="3"/>
        <v>1479</v>
      </c>
      <c r="K115" s="115"/>
    </row>
    <row r="116" spans="1:11">
      <c r="A116" s="98">
        <f t="shared" si="2"/>
        <v>107</v>
      </c>
      <c r="B116" s="113"/>
      <c r="C116" s="91"/>
      <c r="D116" s="12" t="s">
        <v>865</v>
      </c>
      <c r="E116" s="12" t="s">
        <v>871</v>
      </c>
      <c r="F116" s="91" t="s">
        <v>656</v>
      </c>
      <c r="G116" s="91">
        <v>1</v>
      </c>
      <c r="H116" s="91"/>
      <c r="I116" s="91"/>
      <c r="J116" s="91">
        <f t="shared" si="3"/>
        <v>1480</v>
      </c>
      <c r="K116" s="115"/>
    </row>
    <row r="117" spans="1:11">
      <c r="A117" s="98">
        <f t="shared" si="2"/>
        <v>108</v>
      </c>
      <c r="B117" s="113"/>
      <c r="C117" s="91"/>
      <c r="D117" s="12" t="s">
        <v>819</v>
      </c>
      <c r="E117" s="12" t="s">
        <v>820</v>
      </c>
      <c r="F117" s="91" t="s">
        <v>656</v>
      </c>
      <c r="G117" s="91">
        <v>2</v>
      </c>
      <c r="H117" s="91"/>
      <c r="I117" s="91"/>
      <c r="J117" s="91">
        <f t="shared" si="3"/>
        <v>1481</v>
      </c>
      <c r="K117" s="115"/>
    </row>
    <row r="118" spans="1:11">
      <c r="A118" s="98">
        <f t="shared" si="2"/>
        <v>109</v>
      </c>
      <c r="B118" s="113"/>
      <c r="C118" s="91"/>
      <c r="D118" s="12" t="s">
        <v>821</v>
      </c>
      <c r="E118" s="12" t="s">
        <v>822</v>
      </c>
      <c r="F118" s="91" t="s">
        <v>656</v>
      </c>
      <c r="G118" s="91">
        <v>1</v>
      </c>
      <c r="H118" s="91"/>
      <c r="I118" s="91"/>
      <c r="J118" s="91">
        <f t="shared" si="3"/>
        <v>1483</v>
      </c>
      <c r="K118" s="115"/>
    </row>
    <row r="119" spans="1:11">
      <c r="A119" s="98">
        <f t="shared" si="2"/>
        <v>110</v>
      </c>
      <c r="B119" s="113"/>
      <c r="C119" s="91"/>
      <c r="D119" s="12" t="s">
        <v>114</v>
      </c>
      <c r="E119" s="12" t="s">
        <v>127</v>
      </c>
      <c r="F119" s="91" t="s">
        <v>656</v>
      </c>
      <c r="G119" s="91">
        <v>4</v>
      </c>
      <c r="H119" s="91"/>
      <c r="I119" s="91"/>
      <c r="J119" s="91">
        <f t="shared" si="3"/>
        <v>1484</v>
      </c>
      <c r="K119" s="115"/>
    </row>
    <row r="120" spans="1:11">
      <c r="A120" s="98">
        <f t="shared" si="2"/>
        <v>111</v>
      </c>
      <c r="B120" s="113" t="s">
        <v>885</v>
      </c>
      <c r="C120" s="91"/>
      <c r="D120" s="12" t="s">
        <v>866</v>
      </c>
      <c r="E120" s="12" t="s">
        <v>872</v>
      </c>
      <c r="F120" s="91" t="s">
        <v>98</v>
      </c>
      <c r="G120" s="91">
        <v>4</v>
      </c>
      <c r="H120" s="91">
        <v>2</v>
      </c>
      <c r="I120" s="102" t="s">
        <v>753</v>
      </c>
      <c r="J120" s="91">
        <f t="shared" si="3"/>
        <v>1488</v>
      </c>
      <c r="K120" s="115" t="s">
        <v>1106</v>
      </c>
    </row>
    <row r="121" spans="1:11">
      <c r="A121" s="98">
        <f t="shared" si="2"/>
        <v>112</v>
      </c>
      <c r="B121" s="113"/>
      <c r="C121" s="91"/>
      <c r="D121" s="12" t="s">
        <v>867</v>
      </c>
      <c r="E121" s="12" t="s">
        <v>930</v>
      </c>
      <c r="F121" s="91" t="s">
        <v>656</v>
      </c>
      <c r="G121" s="91">
        <v>14</v>
      </c>
      <c r="H121" s="91"/>
      <c r="I121" s="91"/>
      <c r="J121" s="91">
        <f t="shared" si="3"/>
        <v>1492</v>
      </c>
      <c r="K121" s="115"/>
    </row>
    <row r="122" spans="1:11">
      <c r="A122" s="98">
        <f t="shared" si="2"/>
        <v>113</v>
      </c>
      <c r="B122" s="113"/>
      <c r="C122" s="91"/>
      <c r="D122" s="12" t="s">
        <v>931</v>
      </c>
      <c r="E122" s="12" t="s">
        <v>932</v>
      </c>
      <c r="F122" s="91" t="s">
        <v>656</v>
      </c>
      <c r="G122" s="91">
        <v>6</v>
      </c>
      <c r="H122" s="91"/>
      <c r="I122" s="91"/>
      <c r="J122" s="91">
        <f t="shared" si="3"/>
        <v>1506</v>
      </c>
      <c r="K122" s="115"/>
    </row>
    <row r="123" spans="1:11">
      <c r="A123" s="98">
        <f t="shared" si="2"/>
        <v>114</v>
      </c>
      <c r="B123" s="113"/>
      <c r="C123" s="91"/>
      <c r="D123" s="12" t="s">
        <v>933</v>
      </c>
      <c r="E123" s="12" t="s">
        <v>934</v>
      </c>
      <c r="F123" s="91" t="s">
        <v>656</v>
      </c>
      <c r="G123" s="91">
        <v>6</v>
      </c>
      <c r="H123" s="91"/>
      <c r="I123" s="91"/>
      <c r="J123" s="91">
        <f t="shared" si="3"/>
        <v>1512</v>
      </c>
      <c r="K123" s="115"/>
    </row>
    <row r="124" spans="1:11">
      <c r="A124" s="98">
        <f t="shared" si="2"/>
        <v>115</v>
      </c>
      <c r="B124" s="113"/>
      <c r="C124" s="91"/>
      <c r="D124" s="12" t="s">
        <v>116</v>
      </c>
      <c r="E124" s="12" t="s">
        <v>129</v>
      </c>
      <c r="F124" s="91" t="s">
        <v>656</v>
      </c>
      <c r="G124" s="91">
        <v>25</v>
      </c>
      <c r="H124" s="91"/>
      <c r="I124" s="91"/>
      <c r="J124" s="91">
        <f t="shared" si="3"/>
        <v>1518</v>
      </c>
      <c r="K124" s="115"/>
    </row>
    <row r="125" spans="1:11">
      <c r="A125" s="98">
        <f t="shared" si="2"/>
        <v>116</v>
      </c>
      <c r="B125" s="113"/>
      <c r="C125" s="91"/>
      <c r="D125" s="12" t="s">
        <v>825</v>
      </c>
      <c r="E125" s="12" t="s">
        <v>826</v>
      </c>
      <c r="F125" s="91" t="s">
        <v>656</v>
      </c>
      <c r="G125" s="91">
        <v>10</v>
      </c>
      <c r="H125" s="91"/>
      <c r="I125" s="91"/>
      <c r="J125" s="91">
        <f t="shared" si="3"/>
        <v>1543</v>
      </c>
      <c r="K125" s="115"/>
    </row>
    <row r="126" spans="1:11">
      <c r="A126" s="98">
        <f t="shared" si="2"/>
        <v>117</v>
      </c>
      <c r="B126" s="113"/>
      <c r="C126" s="91"/>
      <c r="D126" s="12" t="s">
        <v>827</v>
      </c>
      <c r="E126" s="12" t="s">
        <v>828</v>
      </c>
      <c r="F126" s="91" t="s">
        <v>656</v>
      </c>
      <c r="G126" s="91">
        <v>5</v>
      </c>
      <c r="H126" s="91"/>
      <c r="I126" s="91"/>
      <c r="J126" s="91">
        <f t="shared" si="3"/>
        <v>1553</v>
      </c>
      <c r="K126" s="115"/>
    </row>
    <row r="127" spans="1:11">
      <c r="A127" s="98">
        <f t="shared" si="2"/>
        <v>118</v>
      </c>
      <c r="B127" s="113"/>
      <c r="C127" s="91"/>
      <c r="D127" s="12" t="s">
        <v>829</v>
      </c>
      <c r="E127" s="12" t="s">
        <v>830</v>
      </c>
      <c r="F127" s="91" t="s">
        <v>656</v>
      </c>
      <c r="G127" s="91">
        <v>44</v>
      </c>
      <c r="H127" s="91"/>
      <c r="I127" s="91"/>
      <c r="J127" s="91">
        <f t="shared" si="3"/>
        <v>1558</v>
      </c>
      <c r="K127" s="115"/>
    </row>
    <row r="128" spans="1:11">
      <c r="A128" s="98">
        <f t="shared" si="2"/>
        <v>119</v>
      </c>
      <c r="B128" s="113"/>
      <c r="C128" s="91"/>
      <c r="D128" s="12" t="s">
        <v>831</v>
      </c>
      <c r="E128" s="12" t="s">
        <v>832</v>
      </c>
      <c r="F128" s="91" t="s">
        <v>656</v>
      </c>
      <c r="G128" s="91">
        <v>44</v>
      </c>
      <c r="H128" s="91"/>
      <c r="I128" s="91"/>
      <c r="J128" s="91">
        <f t="shared" si="3"/>
        <v>1602</v>
      </c>
      <c r="K128" s="115"/>
    </row>
    <row r="129" spans="1:11">
      <c r="A129" s="98">
        <f t="shared" si="2"/>
        <v>120</v>
      </c>
      <c r="B129" s="113"/>
      <c r="C129" s="91"/>
      <c r="D129" s="12" t="s">
        <v>833</v>
      </c>
      <c r="E129" s="12" t="s">
        <v>834</v>
      </c>
      <c r="F129" s="91" t="s">
        <v>656</v>
      </c>
      <c r="G129" s="91">
        <v>2</v>
      </c>
      <c r="H129" s="91"/>
      <c r="I129" s="91"/>
      <c r="J129" s="91">
        <f t="shared" si="3"/>
        <v>1646</v>
      </c>
      <c r="K129" s="115"/>
    </row>
    <row r="130" spans="1:11">
      <c r="A130" s="98">
        <f t="shared" si="2"/>
        <v>121</v>
      </c>
      <c r="B130" s="113"/>
      <c r="C130" s="91"/>
      <c r="D130" s="12" t="s">
        <v>835</v>
      </c>
      <c r="E130" s="12" t="s">
        <v>836</v>
      </c>
      <c r="F130" s="91" t="s">
        <v>656</v>
      </c>
      <c r="G130" s="91">
        <v>10</v>
      </c>
      <c r="H130" s="91"/>
      <c r="I130" s="91"/>
      <c r="J130" s="91">
        <f t="shared" si="3"/>
        <v>1648</v>
      </c>
      <c r="K130" s="115"/>
    </row>
    <row r="131" spans="1:11">
      <c r="A131" s="98">
        <f t="shared" si="2"/>
        <v>122</v>
      </c>
      <c r="B131" s="113"/>
      <c r="C131" s="91"/>
      <c r="D131" s="12" t="s">
        <v>837</v>
      </c>
      <c r="E131" s="12" t="s">
        <v>838</v>
      </c>
      <c r="F131" s="91" t="s">
        <v>656</v>
      </c>
      <c r="G131" s="91">
        <v>20</v>
      </c>
      <c r="H131" s="91"/>
      <c r="I131" s="91"/>
      <c r="J131" s="91">
        <f t="shared" si="3"/>
        <v>1658</v>
      </c>
      <c r="K131" s="115"/>
    </row>
    <row r="132" spans="1:11">
      <c r="A132" s="98">
        <f t="shared" si="2"/>
        <v>123</v>
      </c>
      <c r="B132" s="113"/>
      <c r="C132" s="91"/>
      <c r="D132" s="12" t="s">
        <v>839</v>
      </c>
      <c r="E132" s="12" t="s">
        <v>840</v>
      </c>
      <c r="F132" s="91" t="s">
        <v>656</v>
      </c>
      <c r="G132" s="91">
        <v>20</v>
      </c>
      <c r="H132" s="91"/>
      <c r="I132" s="91"/>
      <c r="J132" s="91">
        <f t="shared" si="3"/>
        <v>1678</v>
      </c>
      <c r="K132" s="115"/>
    </row>
    <row r="133" spans="1:11">
      <c r="A133" s="98">
        <f t="shared" si="2"/>
        <v>124</v>
      </c>
      <c r="B133" s="113"/>
      <c r="C133" s="91"/>
      <c r="D133" s="12" t="s">
        <v>841</v>
      </c>
      <c r="E133" s="12" t="s">
        <v>842</v>
      </c>
      <c r="F133" s="91" t="s">
        <v>656</v>
      </c>
      <c r="G133" s="91">
        <v>1</v>
      </c>
      <c r="H133" s="91"/>
      <c r="I133" s="91"/>
      <c r="J133" s="91">
        <f t="shared" si="3"/>
        <v>1698</v>
      </c>
      <c r="K133" s="115"/>
    </row>
    <row r="134" spans="1:11">
      <c r="A134" s="98">
        <f t="shared" si="2"/>
        <v>125</v>
      </c>
      <c r="B134" s="113"/>
      <c r="C134" s="91"/>
      <c r="D134" s="12" t="s">
        <v>843</v>
      </c>
      <c r="E134" s="12" t="s">
        <v>844</v>
      </c>
      <c r="F134" s="91" t="s">
        <v>656</v>
      </c>
      <c r="G134" s="91">
        <v>10</v>
      </c>
      <c r="H134" s="91"/>
      <c r="I134" s="91"/>
      <c r="J134" s="91">
        <f t="shared" si="3"/>
        <v>1699</v>
      </c>
      <c r="K134" s="115"/>
    </row>
    <row r="135" spans="1:11">
      <c r="A135" s="98">
        <f t="shared" si="2"/>
        <v>126</v>
      </c>
      <c r="B135" s="113"/>
      <c r="C135" s="91"/>
      <c r="D135" s="12" t="s">
        <v>935</v>
      </c>
      <c r="E135" s="12" t="s">
        <v>936</v>
      </c>
      <c r="F135" s="91" t="s">
        <v>656</v>
      </c>
      <c r="G135" s="91">
        <v>44</v>
      </c>
      <c r="H135" s="91"/>
      <c r="I135" s="91"/>
      <c r="J135" s="91">
        <f t="shared" si="3"/>
        <v>1709</v>
      </c>
      <c r="K135" s="115"/>
    </row>
    <row r="136" spans="1:11">
      <c r="A136" s="98">
        <f t="shared" si="2"/>
        <v>127</v>
      </c>
      <c r="B136" s="113"/>
      <c r="C136" s="91"/>
      <c r="D136" s="12" t="s">
        <v>845</v>
      </c>
      <c r="E136" s="12" t="s">
        <v>846</v>
      </c>
      <c r="F136" s="91" t="s">
        <v>656</v>
      </c>
      <c r="G136" s="91">
        <v>44</v>
      </c>
      <c r="H136" s="91"/>
      <c r="I136" s="91"/>
      <c r="J136" s="91">
        <f t="shared" si="3"/>
        <v>1753</v>
      </c>
      <c r="K136" s="115"/>
    </row>
    <row r="137" spans="1:11">
      <c r="A137" s="98">
        <f t="shared" si="2"/>
        <v>128</v>
      </c>
      <c r="B137" s="113"/>
      <c r="C137" s="91"/>
      <c r="D137" s="12" t="s">
        <v>847</v>
      </c>
      <c r="E137" s="12" t="s">
        <v>848</v>
      </c>
      <c r="F137" s="91" t="s">
        <v>656</v>
      </c>
      <c r="G137" s="91">
        <v>1</v>
      </c>
      <c r="H137" s="91"/>
      <c r="I137" s="91"/>
      <c r="J137" s="91">
        <f t="shared" si="3"/>
        <v>1797</v>
      </c>
      <c r="K137" s="115"/>
    </row>
    <row r="138" spans="1:11">
      <c r="A138" s="98">
        <f t="shared" si="2"/>
        <v>129</v>
      </c>
      <c r="B138" s="113"/>
      <c r="C138" s="91"/>
      <c r="D138" s="12" t="s">
        <v>937</v>
      </c>
      <c r="E138" s="12" t="s">
        <v>874</v>
      </c>
      <c r="F138" s="91" t="s">
        <v>656</v>
      </c>
      <c r="G138" s="91">
        <v>30</v>
      </c>
      <c r="H138" s="91"/>
      <c r="I138" s="91"/>
      <c r="J138" s="91">
        <f t="shared" si="3"/>
        <v>1798</v>
      </c>
      <c r="K138" s="115"/>
    </row>
    <row r="139" spans="1:11">
      <c r="A139" s="98">
        <f t="shared" si="2"/>
        <v>130</v>
      </c>
      <c r="B139" s="113"/>
      <c r="C139" s="91"/>
      <c r="D139" s="12" t="s">
        <v>849</v>
      </c>
      <c r="E139" s="12" t="s">
        <v>850</v>
      </c>
      <c r="F139" s="91" t="s">
        <v>656</v>
      </c>
      <c r="G139" s="91">
        <v>30</v>
      </c>
      <c r="H139" s="91"/>
      <c r="I139" s="91"/>
      <c r="J139" s="91">
        <f t="shared" si="3"/>
        <v>1828</v>
      </c>
      <c r="K139" s="115"/>
    </row>
    <row r="140" spans="1:11">
      <c r="A140" s="98">
        <f t="shared" si="2"/>
        <v>131</v>
      </c>
      <c r="B140" s="113"/>
      <c r="C140" s="91"/>
      <c r="D140" s="12" t="s">
        <v>938</v>
      </c>
      <c r="E140" s="12" t="s">
        <v>982</v>
      </c>
      <c r="F140" s="91" t="s">
        <v>656</v>
      </c>
      <c r="G140" s="91">
        <v>43</v>
      </c>
      <c r="H140" s="91"/>
      <c r="I140" s="91"/>
      <c r="J140" s="91">
        <f t="shared" ref="J140:J141" si="4">J139+G139</f>
        <v>1858</v>
      </c>
      <c r="K140" s="115"/>
    </row>
    <row r="141" spans="1:11">
      <c r="A141" s="98">
        <f t="shared" si="2"/>
        <v>132</v>
      </c>
      <c r="B141" s="113"/>
      <c r="C141" s="91"/>
      <c r="D141" s="12" t="s">
        <v>939</v>
      </c>
      <c r="E141" s="12" t="s">
        <v>940</v>
      </c>
      <c r="F141" s="91" t="s">
        <v>656</v>
      </c>
      <c r="G141" s="91">
        <v>2100</v>
      </c>
      <c r="H141" s="91" t="s">
        <v>884</v>
      </c>
      <c r="I141" s="91"/>
      <c r="J141" s="91">
        <f t="shared" si="4"/>
        <v>1901</v>
      </c>
      <c r="K141" s="115"/>
    </row>
  </sheetData>
  <autoFilter ref="A9:K141" xr:uid="{00000000-0009-0000-0000-000005000000}"/>
  <phoneticPr fontId="3"/>
  <dataValidations count="2">
    <dataValidation type="list" allowBlank="1" showInputMessage="1" showErrorMessage="1" sqref="F10:F141" xr:uid="{6F2F5923-44CD-4D05-BA70-126D66FD9D42}">
      <formula1>"文字,数値"</formula1>
    </dataValidation>
    <dataValidation type="list" allowBlank="1" showInputMessage="1" showErrorMessage="1" sqref="I10:I141" xr:uid="{0F0AE1CD-C0FE-41F8-881D-EDE2BD12A7ED}">
      <formula1>"有,無"</formula1>
    </dataValidation>
  </dataValidations>
  <pageMargins left="0.39370078740157483" right="0.39370078740157483" top="0.78740157480314965" bottom="0.78740157480314965" header="0.59055118110236227" footer="0.59055118110236227"/>
  <pageSetup paperSize="9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37CD-6B6F-4E33-9527-533758EDADD9}">
  <sheetPr>
    <pageSetUpPr fitToPage="1"/>
  </sheetPr>
  <dimension ref="A1:F92"/>
  <sheetViews>
    <sheetView view="pageBreakPreview" zoomScale="85" zoomScaleNormal="100" zoomScaleSheetLayoutView="85" workbookViewId="0">
      <pane xSplit="2" ySplit="8" topLeftCell="C9" activePane="bottomRight" state="frozen"/>
      <selection sqref="A1:D4"/>
      <selection pane="topRight" sqref="A1:D4"/>
      <selection pane="bottomLeft" sqref="A1:D4"/>
      <selection pane="bottomRight" activeCell="C9" sqref="C9"/>
    </sheetView>
  </sheetViews>
  <sheetFormatPr defaultColWidth="7.6640625" defaultRowHeight="13.2"/>
  <cols>
    <col min="1" max="1" width="3.109375" style="7" customWidth="1"/>
    <col min="2" max="2" width="36.88671875" style="7" bestFit="1" customWidth="1"/>
    <col min="3" max="3" width="25.109375" style="7" bestFit="1" customWidth="1"/>
    <col min="4" max="4" width="26.44140625" style="7" customWidth="1"/>
    <col min="5" max="5" width="60.33203125" style="120" bestFit="1" customWidth="1"/>
    <col min="6" max="6" width="2.44140625" style="7" customWidth="1"/>
    <col min="7" max="16384" width="7.6640625" style="7"/>
  </cols>
  <sheetData>
    <row r="1" spans="1:5">
      <c r="A1" s="70"/>
      <c r="B1" s="71"/>
      <c r="C1" s="71"/>
      <c r="D1" s="71"/>
      <c r="E1" s="72"/>
    </row>
    <row r="2" spans="1:5">
      <c r="A2" s="73"/>
      <c r="E2" s="74"/>
    </row>
    <row r="3" spans="1:5">
      <c r="A3" s="73"/>
      <c r="E3" s="74"/>
    </row>
    <row r="4" spans="1:5">
      <c r="A4" s="73"/>
      <c r="E4" s="74"/>
    </row>
    <row r="5" spans="1:5">
      <c r="A5" s="88"/>
      <c r="B5" s="89"/>
      <c r="C5" s="89"/>
      <c r="D5" s="89"/>
      <c r="E5" s="90"/>
    </row>
    <row r="6" spans="1:5">
      <c r="A6" s="11" t="s">
        <v>636</v>
      </c>
      <c r="B6" s="4" t="s">
        <v>1072</v>
      </c>
      <c r="C6" s="4"/>
      <c r="D6" s="3" t="s">
        <v>1105</v>
      </c>
      <c r="E6" s="103" t="s">
        <v>851</v>
      </c>
    </row>
    <row r="7" spans="1:5">
      <c r="A7" s="13" t="s">
        <v>1073</v>
      </c>
      <c r="B7" s="65"/>
      <c r="C7" s="65"/>
      <c r="D7" s="294" t="s">
        <v>37</v>
      </c>
      <c r="E7" s="295"/>
    </row>
    <row r="8" spans="1:5" ht="13.5" customHeight="1">
      <c r="A8" s="96" t="s">
        <v>38</v>
      </c>
      <c r="B8" s="104" t="s">
        <v>40</v>
      </c>
      <c r="C8" s="104" t="s">
        <v>41</v>
      </c>
      <c r="D8" s="34" t="s">
        <v>45</v>
      </c>
      <c r="E8" s="34" t="s">
        <v>46</v>
      </c>
    </row>
    <row r="9" spans="1:5">
      <c r="A9" s="105">
        <v>1</v>
      </c>
      <c r="B9" s="106" t="s">
        <v>654</v>
      </c>
      <c r="C9" s="106" t="s">
        <v>655</v>
      </c>
      <c r="D9" s="107"/>
      <c r="E9" s="116" t="s">
        <v>1099</v>
      </c>
    </row>
    <row r="10" spans="1:5">
      <c r="A10" s="105">
        <v>2</v>
      </c>
      <c r="B10" s="106" t="s">
        <v>657</v>
      </c>
      <c r="C10" s="106" t="s">
        <v>657</v>
      </c>
      <c r="D10" s="107"/>
      <c r="E10" s="117" t="s">
        <v>1100</v>
      </c>
    </row>
    <row r="11" spans="1:5">
      <c r="A11" s="105">
        <v>3</v>
      </c>
      <c r="B11" s="106" t="s">
        <v>658</v>
      </c>
      <c r="C11" s="106" t="s">
        <v>659</v>
      </c>
      <c r="D11" s="107"/>
      <c r="E11" s="117" t="s">
        <v>1101</v>
      </c>
    </row>
    <row r="12" spans="1:5">
      <c r="A12" s="105">
        <v>4</v>
      </c>
      <c r="B12" s="106" t="s">
        <v>660</v>
      </c>
      <c r="C12" s="106" t="s">
        <v>661</v>
      </c>
      <c r="D12" s="107"/>
      <c r="E12" s="117" t="s">
        <v>1102</v>
      </c>
    </row>
    <row r="13" spans="1:5">
      <c r="A13" s="105">
        <v>5</v>
      </c>
      <c r="B13" s="106" t="s">
        <v>854</v>
      </c>
      <c r="C13" s="106" t="s">
        <v>662</v>
      </c>
      <c r="D13" s="107"/>
      <c r="E13" s="117" t="s">
        <v>1103</v>
      </c>
    </row>
    <row r="14" spans="1:5">
      <c r="A14" s="105">
        <v>6</v>
      </c>
      <c r="B14" s="106" t="s">
        <v>877</v>
      </c>
      <c r="C14" s="106" t="s">
        <v>663</v>
      </c>
      <c r="D14" s="107"/>
      <c r="E14" s="116" t="s">
        <v>1104</v>
      </c>
    </row>
    <row r="15" spans="1:5">
      <c r="A15" s="105">
        <v>7</v>
      </c>
      <c r="B15" s="106" t="s">
        <v>664</v>
      </c>
      <c r="C15" s="106" t="s">
        <v>665</v>
      </c>
      <c r="D15" s="107"/>
      <c r="E15" s="117" t="s">
        <v>1102</v>
      </c>
    </row>
    <row r="16" spans="1:5">
      <c r="A16" s="105">
        <v>8</v>
      </c>
      <c r="B16" s="106" t="s">
        <v>666</v>
      </c>
      <c r="C16" s="106" t="s">
        <v>667</v>
      </c>
      <c r="D16" s="116" t="s">
        <v>996</v>
      </c>
      <c r="E16" s="116"/>
    </row>
    <row r="17" spans="1:5">
      <c r="A17" s="105">
        <v>9</v>
      </c>
      <c r="B17" s="106" t="s">
        <v>668</v>
      </c>
      <c r="C17" s="106" t="s">
        <v>669</v>
      </c>
      <c r="D17" s="107"/>
      <c r="E17" s="116" t="s">
        <v>943</v>
      </c>
    </row>
    <row r="18" spans="1:5">
      <c r="A18" s="105">
        <v>10</v>
      </c>
      <c r="B18" s="106" t="s">
        <v>670</v>
      </c>
      <c r="C18" s="106" t="s">
        <v>671</v>
      </c>
      <c r="D18" s="107"/>
      <c r="E18" s="117" t="s">
        <v>1146</v>
      </c>
    </row>
    <row r="19" spans="1:5">
      <c r="A19" s="105">
        <v>11</v>
      </c>
      <c r="B19" s="106" t="s">
        <v>672</v>
      </c>
      <c r="C19" s="106" t="s">
        <v>673</v>
      </c>
      <c r="D19" s="116" t="s">
        <v>997</v>
      </c>
      <c r="E19" s="117"/>
    </row>
    <row r="20" spans="1:5">
      <c r="A20" s="105">
        <v>12</v>
      </c>
      <c r="B20" s="106" t="s">
        <v>855</v>
      </c>
      <c r="C20" s="106" t="s">
        <v>674</v>
      </c>
      <c r="D20" s="116" t="s">
        <v>998</v>
      </c>
      <c r="E20" s="117"/>
    </row>
    <row r="21" spans="1:5">
      <c r="A21" s="105">
        <v>13</v>
      </c>
      <c r="B21" s="106" t="s">
        <v>675</v>
      </c>
      <c r="C21" s="106" t="s">
        <v>676</v>
      </c>
      <c r="D21" s="116" t="s">
        <v>999</v>
      </c>
      <c r="E21" s="116"/>
    </row>
    <row r="22" spans="1:5">
      <c r="A22" s="105">
        <v>14</v>
      </c>
      <c r="B22" s="106" t="s">
        <v>856</v>
      </c>
      <c r="C22" s="106" t="s">
        <v>681</v>
      </c>
      <c r="D22" s="116" t="s">
        <v>1000</v>
      </c>
      <c r="E22" s="117"/>
    </row>
    <row r="23" spans="1:5">
      <c r="A23" s="105">
        <v>15</v>
      </c>
      <c r="B23" s="106" t="s">
        <v>682</v>
      </c>
      <c r="C23" s="106" t="s">
        <v>683</v>
      </c>
      <c r="D23" s="116" t="s">
        <v>1001</v>
      </c>
      <c r="E23" s="117"/>
    </row>
    <row r="24" spans="1:5">
      <c r="A24" s="105">
        <v>16</v>
      </c>
      <c r="B24" s="106" t="s">
        <v>684</v>
      </c>
      <c r="C24" s="106" t="s">
        <v>685</v>
      </c>
      <c r="D24" s="116" t="s">
        <v>1002</v>
      </c>
      <c r="E24" s="117"/>
    </row>
    <row r="25" spans="1:5">
      <c r="A25" s="105">
        <v>17</v>
      </c>
      <c r="B25" s="106" t="s">
        <v>686</v>
      </c>
      <c r="C25" s="106" t="s">
        <v>687</v>
      </c>
      <c r="D25" s="116" t="s">
        <v>1003</v>
      </c>
      <c r="E25" s="117"/>
    </row>
    <row r="26" spans="1:5">
      <c r="A26" s="105">
        <v>18</v>
      </c>
      <c r="B26" s="106" t="s">
        <v>688</v>
      </c>
      <c r="C26" s="106" t="s">
        <v>689</v>
      </c>
      <c r="D26" s="116" t="s">
        <v>1004</v>
      </c>
      <c r="E26" s="116"/>
    </row>
    <row r="27" spans="1:5">
      <c r="A27" s="105">
        <v>19</v>
      </c>
      <c r="B27" s="106" t="s">
        <v>878</v>
      </c>
      <c r="C27" s="106" t="s">
        <v>691</v>
      </c>
      <c r="D27" s="116" t="s">
        <v>1005</v>
      </c>
      <c r="E27" s="116"/>
    </row>
    <row r="28" spans="1:5">
      <c r="A28" s="105">
        <v>20</v>
      </c>
      <c r="B28" s="106" t="s">
        <v>692</v>
      </c>
      <c r="C28" s="106" t="s">
        <v>693</v>
      </c>
      <c r="D28" s="116" t="s">
        <v>1006</v>
      </c>
      <c r="E28" s="116"/>
    </row>
    <row r="29" spans="1:5">
      <c r="A29" s="105">
        <v>21</v>
      </c>
      <c r="B29" s="106" t="s">
        <v>694</v>
      </c>
      <c r="C29" s="106" t="s">
        <v>695</v>
      </c>
      <c r="D29" s="116" t="s">
        <v>1007</v>
      </c>
      <c r="E29" s="118"/>
    </row>
    <row r="30" spans="1:5">
      <c r="A30" s="105">
        <v>22</v>
      </c>
      <c r="B30" s="106" t="s">
        <v>704</v>
      </c>
      <c r="C30" s="106" t="s">
        <v>705</v>
      </c>
      <c r="D30" s="116" t="s">
        <v>1008</v>
      </c>
      <c r="E30" s="116"/>
    </row>
    <row r="31" spans="1:5">
      <c r="A31" s="105">
        <v>23</v>
      </c>
      <c r="B31" s="106" t="s">
        <v>712</v>
      </c>
      <c r="C31" s="106" t="s">
        <v>713</v>
      </c>
      <c r="D31" s="116" t="s">
        <v>1009</v>
      </c>
      <c r="E31" s="116"/>
    </row>
    <row r="32" spans="1:5">
      <c r="A32" s="105">
        <v>24</v>
      </c>
      <c r="B32" s="106" t="s">
        <v>857</v>
      </c>
      <c r="C32" s="106" t="s">
        <v>718</v>
      </c>
      <c r="D32" s="116" t="s">
        <v>1010</v>
      </c>
      <c r="E32" s="116"/>
    </row>
    <row r="33" spans="1:6" s="2" customFormat="1">
      <c r="A33" s="105">
        <v>25</v>
      </c>
      <c r="B33" s="106" t="s">
        <v>725</v>
      </c>
      <c r="C33" s="106" t="s">
        <v>726</v>
      </c>
      <c r="D33" s="116" t="s">
        <v>1011</v>
      </c>
      <c r="E33" s="118"/>
      <c r="F33" s="7"/>
    </row>
    <row r="34" spans="1:6" s="2" customFormat="1">
      <c r="A34" s="105">
        <v>26</v>
      </c>
      <c r="B34" s="106" t="s">
        <v>727</v>
      </c>
      <c r="C34" s="106" t="s">
        <v>728</v>
      </c>
      <c r="D34" s="116" t="s">
        <v>1012</v>
      </c>
      <c r="E34" s="116"/>
      <c r="F34" s="7"/>
    </row>
    <row r="35" spans="1:6" s="2" customFormat="1">
      <c r="A35" s="105">
        <v>27</v>
      </c>
      <c r="B35" s="106" t="s">
        <v>729</v>
      </c>
      <c r="C35" s="106" t="s">
        <v>730</v>
      </c>
      <c r="D35" s="116" t="s">
        <v>1013</v>
      </c>
      <c r="E35" s="116"/>
      <c r="F35" s="7"/>
    </row>
    <row r="36" spans="1:6" s="2" customFormat="1">
      <c r="A36" s="105">
        <v>28</v>
      </c>
      <c r="B36" s="106" t="s">
        <v>733</v>
      </c>
      <c r="C36" s="106" t="s">
        <v>734</v>
      </c>
      <c r="D36" s="116" t="s">
        <v>1014</v>
      </c>
      <c r="E36" s="116"/>
      <c r="F36" s="7"/>
    </row>
    <row r="37" spans="1:6" s="2" customFormat="1">
      <c r="A37" s="105">
        <v>29</v>
      </c>
      <c r="B37" s="106" t="s">
        <v>741</v>
      </c>
      <c r="C37" s="106" t="s">
        <v>742</v>
      </c>
      <c r="D37" s="116" t="s">
        <v>1015</v>
      </c>
      <c r="E37" s="116"/>
      <c r="F37" s="7"/>
    </row>
    <row r="38" spans="1:6" s="2" customFormat="1">
      <c r="A38" s="105">
        <v>30</v>
      </c>
      <c r="B38" s="66" t="s">
        <v>743</v>
      </c>
      <c r="C38" s="66" t="s">
        <v>744</v>
      </c>
      <c r="D38" s="116" t="s">
        <v>1016</v>
      </c>
      <c r="E38" s="116"/>
      <c r="F38" s="7"/>
    </row>
    <row r="39" spans="1:6" s="2" customFormat="1">
      <c r="A39" s="105">
        <v>31</v>
      </c>
      <c r="B39" s="66" t="s">
        <v>858</v>
      </c>
      <c r="C39" s="66" t="s">
        <v>745</v>
      </c>
      <c r="D39" s="116" t="s">
        <v>1017</v>
      </c>
      <c r="E39" s="116"/>
      <c r="F39" s="7"/>
    </row>
    <row r="40" spans="1:6" s="2" customFormat="1">
      <c r="A40" s="105">
        <v>32</v>
      </c>
      <c r="B40" s="106" t="s">
        <v>746</v>
      </c>
      <c r="C40" s="106" t="s">
        <v>747</v>
      </c>
      <c r="D40" s="116" t="s">
        <v>1018</v>
      </c>
      <c r="E40" s="116"/>
      <c r="F40" s="7"/>
    </row>
    <row r="41" spans="1:6">
      <c r="A41" s="105">
        <v>33</v>
      </c>
      <c r="B41" s="106" t="s">
        <v>859</v>
      </c>
      <c r="C41" s="106" t="s">
        <v>869</v>
      </c>
      <c r="D41" s="116" t="s">
        <v>1019</v>
      </c>
      <c r="E41" s="116"/>
    </row>
    <row r="42" spans="1:6">
      <c r="A42" s="105">
        <v>34</v>
      </c>
      <c r="B42" s="106" t="s">
        <v>748</v>
      </c>
      <c r="C42" s="106" t="s">
        <v>749</v>
      </c>
      <c r="D42" s="116" t="s">
        <v>1020</v>
      </c>
      <c r="E42" s="116"/>
    </row>
    <row r="43" spans="1:6">
      <c r="A43" s="105">
        <v>35</v>
      </c>
      <c r="B43" s="106" t="s">
        <v>750</v>
      </c>
      <c r="C43" s="106" t="s">
        <v>751</v>
      </c>
      <c r="D43" s="116" t="s">
        <v>1021</v>
      </c>
      <c r="E43" s="116"/>
    </row>
    <row r="44" spans="1:6">
      <c r="A44" s="105">
        <v>36</v>
      </c>
      <c r="B44" s="106" t="s">
        <v>860</v>
      </c>
      <c r="C44" s="106" t="s">
        <v>752</v>
      </c>
      <c r="D44" s="116" t="s">
        <v>1022</v>
      </c>
      <c r="E44" s="117"/>
    </row>
    <row r="45" spans="1:6">
      <c r="A45" s="105">
        <v>37</v>
      </c>
      <c r="B45" s="106" t="s">
        <v>754</v>
      </c>
      <c r="C45" s="106" t="s">
        <v>755</v>
      </c>
      <c r="D45" s="116" t="s">
        <v>1023</v>
      </c>
      <c r="E45" s="116"/>
    </row>
    <row r="46" spans="1:6">
      <c r="A46" s="105">
        <v>38</v>
      </c>
      <c r="B46" s="106" t="s">
        <v>756</v>
      </c>
      <c r="C46" s="106" t="s">
        <v>757</v>
      </c>
      <c r="D46" s="116" t="s">
        <v>1024</v>
      </c>
      <c r="E46" s="116"/>
    </row>
    <row r="47" spans="1:6">
      <c r="A47" s="105">
        <v>39</v>
      </c>
      <c r="B47" s="106" t="s">
        <v>764</v>
      </c>
      <c r="C47" s="106" t="s">
        <v>765</v>
      </c>
      <c r="D47" s="116" t="s">
        <v>1025</v>
      </c>
      <c r="E47" s="116"/>
    </row>
    <row r="48" spans="1:6">
      <c r="A48" s="105">
        <v>40</v>
      </c>
      <c r="B48" s="106" t="s">
        <v>766</v>
      </c>
      <c r="C48" s="106" t="s">
        <v>767</v>
      </c>
      <c r="D48" s="116" t="s">
        <v>1026</v>
      </c>
      <c r="E48" s="116"/>
    </row>
    <row r="49" spans="1:6">
      <c r="A49" s="105">
        <v>41</v>
      </c>
      <c r="B49" s="106" t="s">
        <v>861</v>
      </c>
      <c r="C49" s="106" t="s">
        <v>179</v>
      </c>
      <c r="D49" s="116" t="s">
        <v>1027</v>
      </c>
      <c r="E49" s="116"/>
    </row>
    <row r="50" spans="1:6">
      <c r="A50" s="105">
        <v>42</v>
      </c>
      <c r="B50" s="106" t="s">
        <v>862</v>
      </c>
      <c r="C50" s="106" t="s">
        <v>870</v>
      </c>
      <c r="D50" s="116" t="s">
        <v>1028</v>
      </c>
      <c r="E50" s="116"/>
    </row>
    <row r="51" spans="1:6">
      <c r="A51" s="105">
        <v>43</v>
      </c>
      <c r="B51" s="106" t="s">
        <v>799</v>
      </c>
      <c r="C51" s="106" t="s">
        <v>800</v>
      </c>
      <c r="D51" s="116" t="s">
        <v>1029</v>
      </c>
      <c r="E51" s="116"/>
    </row>
    <row r="52" spans="1:6">
      <c r="A52" s="105">
        <v>44</v>
      </c>
      <c r="B52" s="106" t="s">
        <v>801</v>
      </c>
      <c r="C52" s="106" t="s">
        <v>802</v>
      </c>
      <c r="D52" s="116" t="s">
        <v>1030</v>
      </c>
      <c r="E52" s="117"/>
    </row>
    <row r="53" spans="1:6">
      <c r="A53" s="105">
        <v>45</v>
      </c>
      <c r="B53" s="106" t="s">
        <v>803</v>
      </c>
      <c r="C53" s="106" t="s">
        <v>804</v>
      </c>
      <c r="D53" s="107"/>
      <c r="E53" s="117" t="s">
        <v>1044</v>
      </c>
    </row>
    <row r="54" spans="1:6">
      <c r="A54" s="105">
        <v>46</v>
      </c>
      <c r="B54" s="106" t="s">
        <v>805</v>
      </c>
      <c r="C54" s="106" t="s">
        <v>806</v>
      </c>
      <c r="D54" s="116" t="s">
        <v>1031</v>
      </c>
      <c r="E54" s="116"/>
    </row>
    <row r="55" spans="1:6">
      <c r="A55" s="105">
        <v>47</v>
      </c>
      <c r="B55" s="106" t="s">
        <v>807</v>
      </c>
      <c r="C55" s="106" t="s">
        <v>808</v>
      </c>
      <c r="D55" s="116" t="s">
        <v>1032</v>
      </c>
      <c r="E55" s="116"/>
    </row>
    <row r="56" spans="1:6">
      <c r="A56" s="105">
        <v>48</v>
      </c>
      <c r="B56" s="106" t="s">
        <v>811</v>
      </c>
      <c r="C56" s="106" t="s">
        <v>812</v>
      </c>
      <c r="D56" s="117" t="s">
        <v>1033</v>
      </c>
      <c r="E56" s="117"/>
    </row>
    <row r="57" spans="1:6">
      <c r="A57" s="105">
        <v>49</v>
      </c>
      <c r="B57" s="106" t="s">
        <v>813</v>
      </c>
      <c r="C57" s="106" t="s">
        <v>814</v>
      </c>
      <c r="D57" s="117" t="s">
        <v>1034</v>
      </c>
      <c r="E57" s="117"/>
    </row>
    <row r="58" spans="1:6">
      <c r="A58" s="105">
        <v>50</v>
      </c>
      <c r="B58" s="106" t="s">
        <v>863</v>
      </c>
      <c r="C58" s="106" t="s">
        <v>815</v>
      </c>
      <c r="D58" s="117" t="s">
        <v>1035</v>
      </c>
      <c r="E58" s="117"/>
    </row>
    <row r="59" spans="1:6">
      <c r="A59" s="105">
        <v>51</v>
      </c>
      <c r="B59" s="106" t="s">
        <v>864</v>
      </c>
      <c r="C59" s="106" t="s">
        <v>816</v>
      </c>
      <c r="D59" s="116" t="s">
        <v>1036</v>
      </c>
      <c r="E59" s="116"/>
    </row>
    <row r="60" spans="1:6">
      <c r="A60" s="105">
        <v>52</v>
      </c>
      <c r="B60" s="106" t="s">
        <v>817</v>
      </c>
      <c r="C60" s="106" t="s">
        <v>818</v>
      </c>
      <c r="D60" s="116" t="s">
        <v>1037</v>
      </c>
      <c r="E60" s="116"/>
    </row>
    <row r="61" spans="1:6" s="2" customFormat="1">
      <c r="A61" s="105">
        <v>53</v>
      </c>
      <c r="B61" s="106" t="s">
        <v>865</v>
      </c>
      <c r="C61" s="106" t="s">
        <v>871</v>
      </c>
      <c r="D61" s="116" t="s">
        <v>1038</v>
      </c>
      <c r="E61" s="116"/>
      <c r="F61" s="7"/>
    </row>
    <row r="62" spans="1:6" s="2" customFormat="1">
      <c r="A62" s="105">
        <v>54</v>
      </c>
      <c r="B62" s="106" t="s">
        <v>819</v>
      </c>
      <c r="C62" s="106" t="s">
        <v>820</v>
      </c>
      <c r="D62" s="117" t="s">
        <v>1039</v>
      </c>
      <c r="E62" s="117"/>
      <c r="F62" s="7"/>
    </row>
    <row r="63" spans="1:6" s="2" customFormat="1">
      <c r="A63" s="105">
        <v>55</v>
      </c>
      <c r="B63" s="106" t="s">
        <v>821</v>
      </c>
      <c r="C63" s="106" t="s">
        <v>822</v>
      </c>
      <c r="D63" s="116" t="s">
        <v>1040</v>
      </c>
      <c r="E63" s="116"/>
      <c r="F63" s="7"/>
    </row>
    <row r="64" spans="1:6" s="2" customFormat="1">
      <c r="A64" s="105">
        <v>56</v>
      </c>
      <c r="B64" s="106" t="s">
        <v>823</v>
      </c>
      <c r="C64" s="106" t="s">
        <v>824</v>
      </c>
      <c r="D64" s="116" t="s">
        <v>1041</v>
      </c>
      <c r="E64" s="116"/>
      <c r="F64" s="7"/>
    </row>
    <row r="65" spans="1:6" s="2" customFormat="1">
      <c r="A65" s="105">
        <v>57</v>
      </c>
      <c r="B65" s="106" t="s">
        <v>116</v>
      </c>
      <c r="C65" s="106" t="s">
        <v>129</v>
      </c>
      <c r="D65" s="116"/>
      <c r="E65" s="116" t="s">
        <v>1136</v>
      </c>
      <c r="F65" s="7"/>
    </row>
    <row r="66" spans="1:6" s="2" customFormat="1">
      <c r="A66" s="105">
        <v>58</v>
      </c>
      <c r="B66" s="106" t="s">
        <v>825</v>
      </c>
      <c r="C66" s="106" t="s">
        <v>826</v>
      </c>
      <c r="D66" s="117"/>
      <c r="E66" s="117" t="s">
        <v>1137</v>
      </c>
      <c r="F66" s="7"/>
    </row>
    <row r="67" spans="1:6" s="2" customFormat="1">
      <c r="A67" s="105">
        <v>59</v>
      </c>
      <c r="B67" s="106" t="s">
        <v>829</v>
      </c>
      <c r="C67" s="106" t="s">
        <v>830</v>
      </c>
      <c r="D67" s="117"/>
      <c r="E67" s="117" t="s">
        <v>1150</v>
      </c>
      <c r="F67" s="7"/>
    </row>
    <row r="68" spans="1:6">
      <c r="A68" s="105">
        <v>60</v>
      </c>
      <c r="B68" s="106" t="s">
        <v>837</v>
      </c>
      <c r="C68" s="106" t="s">
        <v>838</v>
      </c>
      <c r="D68" s="117"/>
      <c r="E68" s="117" t="s">
        <v>1151</v>
      </c>
    </row>
    <row r="69" spans="1:6">
      <c r="A69" s="105">
        <v>61</v>
      </c>
      <c r="B69" s="106" t="s">
        <v>839</v>
      </c>
      <c r="C69" s="106" t="s">
        <v>840</v>
      </c>
      <c r="D69" s="117"/>
      <c r="E69" s="117" t="s">
        <v>1151</v>
      </c>
    </row>
    <row r="70" spans="1:6">
      <c r="A70" s="105">
        <v>62</v>
      </c>
      <c r="B70" s="106" t="s">
        <v>841</v>
      </c>
      <c r="C70" s="106" t="s">
        <v>842</v>
      </c>
      <c r="D70" s="117" t="s">
        <v>1042</v>
      </c>
      <c r="E70" s="143"/>
    </row>
    <row r="71" spans="1:6">
      <c r="A71" s="144">
        <f t="shared" ref="A71" si="0">ROW()-8</f>
        <v>63</v>
      </c>
      <c r="B71" s="296" t="s">
        <v>843</v>
      </c>
      <c r="C71" s="296" t="s">
        <v>844</v>
      </c>
      <c r="D71" s="299"/>
      <c r="E71" s="140" t="s">
        <v>1071</v>
      </c>
    </row>
    <row r="72" spans="1:6">
      <c r="A72" s="145"/>
      <c r="B72" s="297"/>
      <c r="C72" s="297"/>
      <c r="D72" s="300"/>
      <c r="E72" s="141" t="s">
        <v>1051</v>
      </c>
    </row>
    <row r="73" spans="1:6">
      <c r="A73" s="145"/>
      <c r="B73" s="297"/>
      <c r="C73" s="297"/>
      <c r="D73" s="300"/>
      <c r="E73" s="141" t="s">
        <v>1091</v>
      </c>
    </row>
    <row r="74" spans="1:6">
      <c r="A74" s="145"/>
      <c r="B74" s="297"/>
      <c r="C74" s="297"/>
      <c r="D74" s="300"/>
      <c r="E74" s="141" t="s">
        <v>1093</v>
      </c>
    </row>
    <row r="75" spans="1:6">
      <c r="A75" s="145"/>
      <c r="B75" s="297"/>
      <c r="C75" s="297"/>
      <c r="D75" s="300"/>
      <c r="E75" s="141" t="s">
        <v>1052</v>
      </c>
    </row>
    <row r="76" spans="1:6">
      <c r="A76" s="146"/>
      <c r="B76" s="298"/>
      <c r="C76" s="298"/>
      <c r="D76" s="301"/>
      <c r="E76" s="142" t="s">
        <v>1053</v>
      </c>
    </row>
    <row r="77" spans="1:6">
      <c r="A77" s="144">
        <v>64</v>
      </c>
      <c r="B77" s="296" t="s">
        <v>1054</v>
      </c>
      <c r="C77" s="296" t="s">
        <v>1055</v>
      </c>
      <c r="D77" s="299"/>
      <c r="E77" s="140" t="s">
        <v>1094</v>
      </c>
    </row>
    <row r="78" spans="1:6">
      <c r="A78" s="145"/>
      <c r="B78" s="297"/>
      <c r="C78" s="297"/>
      <c r="D78" s="300"/>
      <c r="E78" s="141" t="s">
        <v>1051</v>
      </c>
    </row>
    <row r="79" spans="1:6">
      <c r="A79" s="145"/>
      <c r="B79" s="297"/>
      <c r="C79" s="297"/>
      <c r="D79" s="300"/>
      <c r="E79" s="141" t="s">
        <v>1095</v>
      </c>
    </row>
    <row r="80" spans="1:6">
      <c r="A80" s="145"/>
      <c r="B80" s="297"/>
      <c r="C80" s="297"/>
      <c r="D80" s="300"/>
      <c r="E80" s="141" t="s">
        <v>1096</v>
      </c>
    </row>
    <row r="81" spans="1:5">
      <c r="A81" s="145"/>
      <c r="B81" s="297"/>
      <c r="C81" s="297"/>
      <c r="D81" s="300"/>
      <c r="E81" s="141" t="s">
        <v>1052</v>
      </c>
    </row>
    <row r="82" spans="1:5">
      <c r="A82" s="146"/>
      <c r="B82" s="298"/>
      <c r="C82" s="298"/>
      <c r="D82" s="301"/>
      <c r="E82" s="142" t="s">
        <v>1056</v>
      </c>
    </row>
    <row r="83" spans="1:5">
      <c r="A83" s="144">
        <v>65</v>
      </c>
      <c r="B83" s="296" t="s">
        <v>1057</v>
      </c>
      <c r="C83" s="296" t="s">
        <v>1058</v>
      </c>
      <c r="D83" s="299"/>
      <c r="E83" s="140" t="s">
        <v>1097</v>
      </c>
    </row>
    <row r="84" spans="1:5">
      <c r="A84" s="145"/>
      <c r="B84" s="297"/>
      <c r="C84" s="297"/>
      <c r="D84" s="300"/>
      <c r="E84" s="141" t="s">
        <v>1059</v>
      </c>
    </row>
    <row r="85" spans="1:5">
      <c r="A85" s="145"/>
      <c r="B85" s="297"/>
      <c r="C85" s="297"/>
      <c r="D85" s="300"/>
      <c r="E85" s="141" t="s">
        <v>1098</v>
      </c>
    </row>
    <row r="86" spans="1:5">
      <c r="A86" s="145"/>
      <c r="B86" s="297"/>
      <c r="C86" s="297"/>
      <c r="D86" s="300"/>
      <c r="E86" s="141" t="s">
        <v>1060</v>
      </c>
    </row>
    <row r="87" spans="1:5">
      <c r="A87" s="145"/>
      <c r="B87" s="297"/>
      <c r="C87" s="297"/>
      <c r="D87" s="300"/>
      <c r="E87" s="141" t="s">
        <v>1052</v>
      </c>
    </row>
    <row r="88" spans="1:5">
      <c r="A88" s="146"/>
      <c r="B88" s="298"/>
      <c r="C88" s="298"/>
      <c r="D88" s="301"/>
      <c r="E88" s="142" t="s">
        <v>1060</v>
      </c>
    </row>
    <row r="89" spans="1:5">
      <c r="A89" s="105">
        <v>66</v>
      </c>
      <c r="B89" s="106" t="s">
        <v>849</v>
      </c>
      <c r="C89" s="106" t="s">
        <v>850</v>
      </c>
      <c r="D89" s="107"/>
      <c r="E89" s="116" t="s">
        <v>941</v>
      </c>
    </row>
    <row r="90" spans="1:5">
      <c r="A90" s="105">
        <v>67</v>
      </c>
      <c r="B90" s="106" t="s">
        <v>809</v>
      </c>
      <c r="C90" s="106" t="s">
        <v>810</v>
      </c>
      <c r="D90" s="107" t="s">
        <v>1043</v>
      </c>
      <c r="E90" s="116"/>
    </row>
    <row r="91" spans="1:5">
      <c r="A91" s="105">
        <v>68</v>
      </c>
      <c r="B91" s="106" t="s">
        <v>879</v>
      </c>
      <c r="C91" s="106" t="s">
        <v>982</v>
      </c>
      <c r="D91" s="107"/>
      <c r="E91" s="118" t="s">
        <v>942</v>
      </c>
    </row>
    <row r="92" spans="1:5" s="2" customFormat="1" ht="12">
      <c r="A92" s="108"/>
      <c r="B92" s="108"/>
      <c r="C92" s="108"/>
      <c r="D92" s="89"/>
      <c r="E92" s="119"/>
    </row>
  </sheetData>
  <mergeCells count="10">
    <mergeCell ref="D7:E7"/>
    <mergeCell ref="B83:B88"/>
    <mergeCell ref="C83:C88"/>
    <mergeCell ref="D83:D88"/>
    <mergeCell ref="B71:B76"/>
    <mergeCell ref="C71:C76"/>
    <mergeCell ref="D71:D76"/>
    <mergeCell ref="B77:B82"/>
    <mergeCell ref="C77:C82"/>
    <mergeCell ref="D77:D82"/>
  </mergeCells>
  <phoneticPr fontId="3"/>
  <pageMargins left="0.39370078740157483" right="0.39370078740157483" top="0.78740157480314965" bottom="0.78740157480314965" header="0.59055118110236227" footer="0.59055118110236227"/>
  <pageSetup paperSize="9" scale="93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CE66-092D-4FFC-9BA2-4EE5D5E877D9}">
  <dimension ref="B2:I74"/>
  <sheetViews>
    <sheetView view="pageBreakPreview" zoomScale="85" zoomScaleNormal="100" zoomScaleSheetLayoutView="85" workbookViewId="0"/>
  </sheetViews>
  <sheetFormatPr defaultColWidth="9" defaultRowHeight="13.5" customHeight="1"/>
  <cols>
    <col min="1" max="1" width="1.88671875" style="121" customWidth="1"/>
    <col min="2" max="2" width="6" style="121" customWidth="1"/>
    <col min="3" max="4" width="23.88671875" style="121" bestFit="1" customWidth="1"/>
    <col min="5" max="5" width="6.109375" style="121" bestFit="1" customWidth="1"/>
    <col min="6" max="235" width="9" style="121"/>
    <col min="236" max="236" width="1.88671875" style="121" customWidth="1"/>
    <col min="237" max="237" width="6" style="121" customWidth="1"/>
    <col min="238" max="239" width="23.88671875" style="121" bestFit="1" customWidth="1"/>
    <col min="240" max="240" width="6.109375" style="121" bestFit="1" customWidth="1"/>
    <col min="241" max="241" width="6.109375" style="121" customWidth="1"/>
    <col min="242" max="242" width="55.88671875" style="121" bestFit="1" customWidth="1"/>
    <col min="243" max="243" width="2.88671875" style="121" customWidth="1"/>
    <col min="244" max="244" width="3.88671875" style="121" bestFit="1" customWidth="1"/>
    <col min="245" max="245" width="27.109375" style="121" bestFit="1" customWidth="1"/>
    <col min="246" max="247" width="3.88671875" style="121" bestFit="1" customWidth="1"/>
    <col min="248" max="248" width="7.44140625" style="121" bestFit="1" customWidth="1"/>
    <col min="249" max="249" width="12.109375" style="121" bestFit="1" customWidth="1"/>
    <col min="250" max="250" width="4.44140625" style="121" bestFit="1" customWidth="1"/>
    <col min="251" max="251" width="2.109375" style="121" bestFit="1" customWidth="1"/>
    <col min="252" max="16384" width="9" style="121"/>
  </cols>
  <sheetData>
    <row r="2" spans="2:9" ht="13.5" customHeight="1" thickBot="1">
      <c r="B2" s="121" t="s">
        <v>944</v>
      </c>
    </row>
    <row r="3" spans="2:9" s="125" customFormat="1" ht="13.5" customHeight="1" thickTop="1">
      <c r="B3" s="122" t="s">
        <v>945</v>
      </c>
      <c r="C3" s="123"/>
      <c r="D3" s="123"/>
      <c r="E3" s="123"/>
      <c r="F3" s="123"/>
      <c r="G3" s="123"/>
      <c r="H3" s="123"/>
      <c r="I3" s="124"/>
    </row>
    <row r="4" spans="2:9" s="125" customFormat="1" ht="13.5" customHeight="1">
      <c r="B4" s="306" t="s">
        <v>15</v>
      </c>
      <c r="C4" s="308" t="s">
        <v>946</v>
      </c>
      <c r="D4" s="310" t="s">
        <v>947</v>
      </c>
      <c r="E4" s="312" t="s">
        <v>948</v>
      </c>
      <c r="F4" s="314" t="s">
        <v>949</v>
      </c>
      <c r="G4" s="302" t="s">
        <v>950</v>
      </c>
      <c r="H4" s="302" t="s">
        <v>951</v>
      </c>
      <c r="I4" s="304" t="s">
        <v>23</v>
      </c>
    </row>
    <row r="5" spans="2:9" s="125" customFormat="1" ht="13.5" customHeight="1" thickBot="1">
      <c r="B5" s="307"/>
      <c r="C5" s="309"/>
      <c r="D5" s="311"/>
      <c r="E5" s="313"/>
      <c r="F5" s="313"/>
      <c r="G5" s="303"/>
      <c r="H5" s="303"/>
      <c r="I5" s="305"/>
    </row>
    <row r="6" spans="2:9" ht="13.5" customHeight="1" thickTop="1">
      <c r="B6" s="126">
        <v>1</v>
      </c>
      <c r="C6" s="127" t="s">
        <v>952</v>
      </c>
      <c r="D6" s="128" t="s">
        <v>656</v>
      </c>
      <c r="E6" s="128">
        <v>1</v>
      </c>
      <c r="F6" s="128"/>
      <c r="G6" s="128">
        <v>1</v>
      </c>
      <c r="H6" s="128"/>
      <c r="I6" s="129"/>
    </row>
    <row r="7" spans="2:9" ht="13.5" customHeight="1">
      <c r="B7" s="130">
        <v>2</v>
      </c>
      <c r="C7" s="131" t="s">
        <v>657</v>
      </c>
      <c r="D7" s="131" t="s">
        <v>656</v>
      </c>
      <c r="E7" s="131">
        <v>8</v>
      </c>
      <c r="F7" s="131"/>
      <c r="G7" s="131">
        <f>E6+G6</f>
        <v>2</v>
      </c>
      <c r="H7" s="131"/>
      <c r="I7" s="132"/>
    </row>
    <row r="8" spans="2:9" ht="13.5" customHeight="1">
      <c r="B8" s="130">
        <v>3</v>
      </c>
      <c r="C8" s="131" t="s">
        <v>658</v>
      </c>
      <c r="D8" s="131" t="s">
        <v>656</v>
      </c>
      <c r="E8" s="131">
        <v>1</v>
      </c>
      <c r="F8" s="131"/>
      <c r="G8" s="131">
        <f t="shared" ref="G8:G71" si="0">E7+G7</f>
        <v>10</v>
      </c>
      <c r="H8" s="131"/>
      <c r="I8" s="132"/>
    </row>
    <row r="9" spans="2:9" ht="13.5" customHeight="1">
      <c r="B9" s="130">
        <v>4</v>
      </c>
      <c r="C9" s="131" t="s">
        <v>660</v>
      </c>
      <c r="D9" s="131" t="s">
        <v>656</v>
      </c>
      <c r="E9" s="131">
        <v>4</v>
      </c>
      <c r="F9" s="131"/>
      <c r="G9" s="131">
        <f t="shared" si="0"/>
        <v>11</v>
      </c>
      <c r="H9" s="131"/>
      <c r="I9" s="132"/>
    </row>
    <row r="10" spans="2:9" ht="13.5" customHeight="1">
      <c r="B10" s="130">
        <v>5</v>
      </c>
      <c r="C10" s="131" t="s">
        <v>953</v>
      </c>
      <c r="D10" s="131" t="s">
        <v>656</v>
      </c>
      <c r="E10" s="131">
        <v>12</v>
      </c>
      <c r="F10" s="131"/>
      <c r="G10" s="131">
        <f t="shared" si="0"/>
        <v>15</v>
      </c>
      <c r="H10" s="131"/>
      <c r="I10" s="132"/>
    </row>
    <row r="11" spans="2:9" ht="13.5" customHeight="1">
      <c r="B11" s="130">
        <v>6</v>
      </c>
      <c r="C11" s="131" t="s">
        <v>954</v>
      </c>
      <c r="D11" s="131" t="s">
        <v>656</v>
      </c>
      <c r="E11" s="131">
        <v>12</v>
      </c>
      <c r="F11" s="131"/>
      <c r="G11" s="131">
        <f t="shared" si="0"/>
        <v>27</v>
      </c>
      <c r="H11" s="131"/>
      <c r="I11" s="132"/>
    </row>
    <row r="12" spans="2:9" ht="13.5" customHeight="1">
      <c r="B12" s="130">
        <v>7</v>
      </c>
      <c r="C12" s="131" t="s">
        <v>955</v>
      </c>
      <c r="D12" s="131" t="s">
        <v>656</v>
      </c>
      <c r="E12" s="131">
        <v>4</v>
      </c>
      <c r="F12" s="131"/>
      <c r="G12" s="131">
        <f t="shared" si="0"/>
        <v>39</v>
      </c>
      <c r="H12" s="131"/>
      <c r="I12" s="132"/>
    </row>
    <row r="13" spans="2:9" ht="13.5" customHeight="1">
      <c r="B13" s="130">
        <v>8</v>
      </c>
      <c r="C13" s="131" t="s">
        <v>666</v>
      </c>
      <c r="D13" s="131" t="s">
        <v>656</v>
      </c>
      <c r="E13" s="131">
        <v>1</v>
      </c>
      <c r="F13" s="131"/>
      <c r="G13" s="131">
        <f t="shared" si="0"/>
        <v>43</v>
      </c>
      <c r="H13" s="131"/>
      <c r="I13" s="132"/>
    </row>
    <row r="14" spans="2:9" ht="13.2">
      <c r="B14" s="130">
        <v>9</v>
      </c>
      <c r="C14" s="131" t="s">
        <v>668</v>
      </c>
      <c r="D14" s="131" t="s">
        <v>656</v>
      </c>
      <c r="E14" s="131">
        <v>6</v>
      </c>
      <c r="F14" s="131"/>
      <c r="G14" s="131">
        <f t="shared" si="0"/>
        <v>44</v>
      </c>
      <c r="H14" s="131"/>
      <c r="I14" s="132"/>
    </row>
    <row r="15" spans="2:9" ht="13.2">
      <c r="B15" s="130">
        <v>10</v>
      </c>
      <c r="C15" s="131" t="s">
        <v>670</v>
      </c>
      <c r="D15" s="131" t="s">
        <v>656</v>
      </c>
      <c r="E15" s="131">
        <v>6</v>
      </c>
      <c r="F15" s="131"/>
      <c r="G15" s="131">
        <f t="shared" si="0"/>
        <v>50</v>
      </c>
      <c r="H15" s="131"/>
      <c r="I15" s="132"/>
    </row>
    <row r="16" spans="2:9" ht="13.5" customHeight="1">
      <c r="B16" s="130">
        <v>11</v>
      </c>
      <c r="C16" s="131" t="s">
        <v>672</v>
      </c>
      <c r="D16" s="131" t="s">
        <v>656</v>
      </c>
      <c r="E16" s="131">
        <v>1</v>
      </c>
      <c r="F16" s="131"/>
      <c r="G16" s="131">
        <f t="shared" si="0"/>
        <v>56</v>
      </c>
      <c r="H16" s="131"/>
      <c r="I16" s="132"/>
    </row>
    <row r="17" spans="2:9" ht="13.5" customHeight="1">
      <c r="B17" s="130">
        <v>12</v>
      </c>
      <c r="C17" s="131" t="s">
        <v>956</v>
      </c>
      <c r="D17" s="131" t="s">
        <v>656</v>
      </c>
      <c r="E17" s="131">
        <v>6</v>
      </c>
      <c r="F17" s="131"/>
      <c r="G17" s="131">
        <f t="shared" si="0"/>
        <v>57</v>
      </c>
      <c r="H17" s="131"/>
      <c r="I17" s="132"/>
    </row>
    <row r="18" spans="2:9" ht="13.5" customHeight="1">
      <c r="B18" s="130">
        <v>13</v>
      </c>
      <c r="C18" s="131" t="s">
        <v>957</v>
      </c>
      <c r="D18" s="131" t="s">
        <v>656</v>
      </c>
      <c r="E18" s="131">
        <v>6</v>
      </c>
      <c r="F18" s="131"/>
      <c r="G18" s="131">
        <f t="shared" si="0"/>
        <v>63</v>
      </c>
      <c r="H18" s="131"/>
      <c r="I18" s="132"/>
    </row>
    <row r="19" spans="2:9" ht="13.5" customHeight="1">
      <c r="B19" s="130">
        <v>14</v>
      </c>
      <c r="C19" s="131" t="s">
        <v>958</v>
      </c>
      <c r="D19" s="131" t="s">
        <v>656</v>
      </c>
      <c r="E19" s="131">
        <v>6</v>
      </c>
      <c r="F19" s="131"/>
      <c r="G19" s="131">
        <f t="shared" si="0"/>
        <v>69</v>
      </c>
      <c r="H19" s="131"/>
      <c r="I19" s="132"/>
    </row>
    <row r="20" spans="2:9" ht="13.5" customHeight="1">
      <c r="B20" s="130">
        <v>15</v>
      </c>
      <c r="C20" s="131" t="s">
        <v>959</v>
      </c>
      <c r="D20" s="131" t="s">
        <v>656</v>
      </c>
      <c r="E20" s="131">
        <v>6</v>
      </c>
      <c r="F20" s="131"/>
      <c r="G20" s="131">
        <f t="shared" si="0"/>
        <v>75</v>
      </c>
      <c r="H20" s="131"/>
      <c r="I20" s="132"/>
    </row>
    <row r="21" spans="2:9" ht="13.5" customHeight="1">
      <c r="B21" s="130">
        <v>16</v>
      </c>
      <c r="C21" s="131" t="s">
        <v>960</v>
      </c>
      <c r="D21" s="131" t="s">
        <v>656</v>
      </c>
      <c r="E21" s="131">
        <v>6</v>
      </c>
      <c r="F21" s="131"/>
      <c r="G21" s="131">
        <f t="shared" si="0"/>
        <v>81</v>
      </c>
      <c r="H21" s="131"/>
      <c r="I21" s="132"/>
    </row>
    <row r="22" spans="2:9" ht="13.2">
      <c r="B22" s="130">
        <v>17</v>
      </c>
      <c r="C22" s="131" t="s">
        <v>961</v>
      </c>
      <c r="D22" s="131" t="s">
        <v>656</v>
      </c>
      <c r="E22" s="131">
        <v>6</v>
      </c>
      <c r="F22" s="131"/>
      <c r="G22" s="131">
        <f t="shared" si="0"/>
        <v>87</v>
      </c>
      <c r="H22" s="131"/>
      <c r="I22" s="132"/>
    </row>
    <row r="23" spans="2:9" ht="13.5" customHeight="1">
      <c r="B23" s="130">
        <v>18</v>
      </c>
      <c r="C23" s="131" t="s">
        <v>962</v>
      </c>
      <c r="D23" s="131" t="s">
        <v>656</v>
      </c>
      <c r="E23" s="131">
        <v>6</v>
      </c>
      <c r="F23" s="131"/>
      <c r="G23" s="131">
        <f t="shared" si="0"/>
        <v>93</v>
      </c>
      <c r="H23" s="131"/>
      <c r="I23" s="132"/>
    </row>
    <row r="24" spans="2:9" ht="13.2">
      <c r="B24" s="130">
        <v>19</v>
      </c>
      <c r="C24" s="131" t="s">
        <v>963</v>
      </c>
      <c r="D24" s="131" t="s">
        <v>656</v>
      </c>
      <c r="E24" s="131">
        <v>6</v>
      </c>
      <c r="F24" s="131"/>
      <c r="G24" s="131">
        <f t="shared" si="0"/>
        <v>99</v>
      </c>
      <c r="H24" s="131"/>
      <c r="I24" s="132"/>
    </row>
    <row r="25" spans="2:9" ht="13.2">
      <c r="B25" s="130">
        <v>20</v>
      </c>
      <c r="C25" s="131" t="s">
        <v>692</v>
      </c>
      <c r="D25" s="131" t="s">
        <v>656</v>
      </c>
      <c r="E25" s="131">
        <v>10</v>
      </c>
      <c r="F25" s="131"/>
      <c r="G25" s="131">
        <f t="shared" si="0"/>
        <v>105</v>
      </c>
      <c r="H25" s="131"/>
      <c r="I25" s="132"/>
    </row>
    <row r="26" spans="2:9" ht="13.5" customHeight="1">
      <c r="B26" s="130">
        <v>21</v>
      </c>
      <c r="C26" s="131" t="s">
        <v>694</v>
      </c>
      <c r="D26" s="131" t="s">
        <v>656</v>
      </c>
      <c r="E26" s="131">
        <v>10</v>
      </c>
      <c r="F26" s="131"/>
      <c r="G26" s="131">
        <f t="shared" si="0"/>
        <v>115</v>
      </c>
      <c r="H26" s="131"/>
      <c r="I26" s="132"/>
    </row>
    <row r="27" spans="2:9" ht="13.5" customHeight="1">
      <c r="B27" s="130">
        <v>22</v>
      </c>
      <c r="C27" s="131" t="s">
        <v>704</v>
      </c>
      <c r="D27" s="131" t="s">
        <v>656</v>
      </c>
      <c r="E27" s="131">
        <v>10</v>
      </c>
      <c r="F27" s="131"/>
      <c r="G27" s="131">
        <f t="shared" si="0"/>
        <v>125</v>
      </c>
      <c r="H27" s="131"/>
      <c r="I27" s="132"/>
    </row>
    <row r="28" spans="2:9" ht="13.5" customHeight="1">
      <c r="B28" s="130">
        <v>23</v>
      </c>
      <c r="C28" s="131" t="s">
        <v>712</v>
      </c>
      <c r="D28" s="131" t="s">
        <v>656</v>
      </c>
      <c r="E28" s="131">
        <v>1</v>
      </c>
      <c r="F28" s="131"/>
      <c r="G28" s="131">
        <f t="shared" si="0"/>
        <v>135</v>
      </c>
      <c r="H28" s="131"/>
      <c r="I28" s="132"/>
    </row>
    <row r="29" spans="2:9" ht="13.5" customHeight="1">
      <c r="B29" s="130">
        <v>24</v>
      </c>
      <c r="C29" s="131" t="s">
        <v>964</v>
      </c>
      <c r="D29" s="131" t="s">
        <v>656</v>
      </c>
      <c r="E29" s="131">
        <v>70</v>
      </c>
      <c r="F29" s="131"/>
      <c r="G29" s="131">
        <f t="shared" si="0"/>
        <v>136</v>
      </c>
      <c r="H29" s="131"/>
      <c r="I29" s="132"/>
    </row>
    <row r="30" spans="2:9" ht="13.2">
      <c r="B30" s="130">
        <v>25</v>
      </c>
      <c r="C30" s="133" t="s">
        <v>965</v>
      </c>
      <c r="D30" s="133" t="s">
        <v>656</v>
      </c>
      <c r="E30" s="133">
        <v>6</v>
      </c>
      <c r="F30" s="131"/>
      <c r="G30" s="131">
        <f t="shared" si="0"/>
        <v>206</v>
      </c>
      <c r="H30" s="131"/>
      <c r="I30" s="132"/>
    </row>
    <row r="31" spans="2:9" ht="13.2">
      <c r="B31" s="130">
        <v>26</v>
      </c>
      <c r="C31" s="133" t="s">
        <v>727</v>
      </c>
      <c r="D31" s="133" t="s">
        <v>656</v>
      </c>
      <c r="E31" s="133">
        <v>6</v>
      </c>
      <c r="F31" s="131"/>
      <c r="G31" s="131">
        <f t="shared" si="0"/>
        <v>212</v>
      </c>
      <c r="H31" s="131"/>
      <c r="I31" s="132"/>
    </row>
    <row r="32" spans="2:9" ht="13.2">
      <c r="B32" s="130">
        <v>27</v>
      </c>
      <c r="C32" s="131" t="s">
        <v>966</v>
      </c>
      <c r="D32" s="131" t="s">
        <v>656</v>
      </c>
      <c r="E32" s="131">
        <v>40</v>
      </c>
      <c r="F32" s="131"/>
      <c r="G32" s="131">
        <f t="shared" si="0"/>
        <v>218</v>
      </c>
      <c r="H32" s="131"/>
      <c r="I32" s="132"/>
    </row>
    <row r="33" spans="2:9" ht="13.2">
      <c r="B33" s="130">
        <v>28</v>
      </c>
      <c r="C33" s="131" t="s">
        <v>733</v>
      </c>
      <c r="D33" s="131" t="s">
        <v>656</v>
      </c>
      <c r="E33" s="131">
        <v>10</v>
      </c>
      <c r="F33" s="131"/>
      <c r="G33" s="131">
        <f t="shared" si="0"/>
        <v>258</v>
      </c>
      <c r="H33" s="131"/>
      <c r="I33" s="132"/>
    </row>
    <row r="34" spans="2:9" ht="13.2">
      <c r="B34" s="130">
        <v>29</v>
      </c>
      <c r="C34" s="131" t="s">
        <v>741</v>
      </c>
      <c r="D34" s="131" t="s">
        <v>656</v>
      </c>
      <c r="E34" s="131">
        <v>6</v>
      </c>
      <c r="F34" s="131"/>
      <c r="G34" s="131">
        <f t="shared" si="0"/>
        <v>268</v>
      </c>
      <c r="H34" s="131"/>
      <c r="I34" s="132"/>
    </row>
    <row r="35" spans="2:9" ht="13.2">
      <c r="B35" s="130">
        <v>30</v>
      </c>
      <c r="C35" s="131" t="s">
        <v>743</v>
      </c>
      <c r="D35" s="131" t="s">
        <v>656</v>
      </c>
      <c r="E35" s="131">
        <v>6</v>
      </c>
      <c r="F35" s="131"/>
      <c r="G35" s="131">
        <f t="shared" si="0"/>
        <v>274</v>
      </c>
      <c r="H35" s="131"/>
      <c r="I35" s="132"/>
    </row>
    <row r="36" spans="2:9" ht="13.2">
      <c r="B36" s="130">
        <v>31</v>
      </c>
      <c r="C36" s="131" t="s">
        <v>858</v>
      </c>
      <c r="D36" s="131" t="s">
        <v>656</v>
      </c>
      <c r="E36" s="131">
        <v>1</v>
      </c>
      <c r="F36" s="131"/>
      <c r="G36" s="131">
        <f t="shared" si="0"/>
        <v>280</v>
      </c>
      <c r="H36" s="131"/>
      <c r="I36" s="132"/>
    </row>
    <row r="37" spans="2:9" ht="13.2">
      <c r="B37" s="130">
        <v>32</v>
      </c>
      <c r="C37" s="131" t="s">
        <v>746</v>
      </c>
      <c r="D37" s="131" t="s">
        <v>656</v>
      </c>
      <c r="E37" s="131">
        <v>6</v>
      </c>
      <c r="F37" s="131"/>
      <c r="G37" s="131">
        <f t="shared" si="0"/>
        <v>281</v>
      </c>
      <c r="H37" s="131"/>
      <c r="I37" s="132"/>
    </row>
    <row r="38" spans="2:9" ht="13.2">
      <c r="B38" s="130">
        <v>33</v>
      </c>
      <c r="C38" s="131" t="s">
        <v>859</v>
      </c>
      <c r="D38" s="131" t="s">
        <v>656</v>
      </c>
      <c r="E38" s="131">
        <v>1</v>
      </c>
      <c r="F38" s="131"/>
      <c r="G38" s="131">
        <f t="shared" si="0"/>
        <v>287</v>
      </c>
      <c r="H38" s="131"/>
      <c r="I38" s="132"/>
    </row>
    <row r="39" spans="2:9" ht="13.2">
      <c r="B39" s="130">
        <v>34</v>
      </c>
      <c r="C39" s="131" t="s">
        <v>748</v>
      </c>
      <c r="D39" s="131" t="s">
        <v>656</v>
      </c>
      <c r="E39" s="131">
        <v>15</v>
      </c>
      <c r="F39" s="131"/>
      <c r="G39" s="131">
        <f t="shared" si="0"/>
        <v>288</v>
      </c>
      <c r="H39" s="131"/>
      <c r="I39" s="132"/>
    </row>
    <row r="40" spans="2:9" ht="13.2">
      <c r="B40" s="130">
        <v>35</v>
      </c>
      <c r="C40" s="131" t="s">
        <v>750</v>
      </c>
      <c r="D40" s="131" t="s">
        <v>656</v>
      </c>
      <c r="E40" s="131">
        <v>1</v>
      </c>
      <c r="F40" s="131"/>
      <c r="G40" s="131">
        <f t="shared" si="0"/>
        <v>303</v>
      </c>
      <c r="H40" s="131"/>
      <c r="I40" s="132"/>
    </row>
    <row r="41" spans="2:9" ht="13.5" customHeight="1">
      <c r="B41" s="130">
        <v>36</v>
      </c>
      <c r="C41" s="131" t="s">
        <v>860</v>
      </c>
      <c r="D41" s="131" t="s">
        <v>876</v>
      </c>
      <c r="E41" s="131">
        <v>15</v>
      </c>
      <c r="F41" s="131">
        <v>3</v>
      </c>
      <c r="G41" s="131">
        <f t="shared" si="0"/>
        <v>304</v>
      </c>
      <c r="H41" s="131"/>
      <c r="I41" s="132"/>
    </row>
    <row r="42" spans="2:9" ht="13.5" customHeight="1">
      <c r="B42" s="130">
        <v>37</v>
      </c>
      <c r="C42" s="131" t="s">
        <v>754</v>
      </c>
      <c r="D42" s="131" t="s">
        <v>656</v>
      </c>
      <c r="E42" s="131">
        <v>3</v>
      </c>
      <c r="F42" s="131"/>
      <c r="G42" s="131">
        <f t="shared" si="0"/>
        <v>319</v>
      </c>
      <c r="H42" s="131"/>
      <c r="I42" s="132"/>
    </row>
    <row r="43" spans="2:9" ht="13.5" customHeight="1">
      <c r="B43" s="130">
        <v>38</v>
      </c>
      <c r="C43" s="131" t="s">
        <v>756</v>
      </c>
      <c r="D43" s="131" t="s">
        <v>656</v>
      </c>
      <c r="E43" s="131">
        <v>1</v>
      </c>
      <c r="F43" s="131"/>
      <c r="G43" s="131">
        <f t="shared" si="0"/>
        <v>322</v>
      </c>
      <c r="H43" s="131"/>
      <c r="I43" s="132"/>
    </row>
    <row r="44" spans="2:9" ht="13.5" customHeight="1">
      <c r="B44" s="130">
        <v>39</v>
      </c>
      <c r="C44" s="131" t="s">
        <v>967</v>
      </c>
      <c r="D44" s="131" t="s">
        <v>656</v>
      </c>
      <c r="E44" s="131">
        <v>6</v>
      </c>
      <c r="F44" s="131"/>
      <c r="G44" s="131">
        <f t="shared" si="0"/>
        <v>323</v>
      </c>
      <c r="H44" s="131"/>
      <c r="I44" s="132"/>
    </row>
    <row r="45" spans="2:9" ht="13.5" customHeight="1">
      <c r="B45" s="130">
        <v>40</v>
      </c>
      <c r="C45" s="131" t="s">
        <v>766</v>
      </c>
      <c r="D45" s="131" t="s">
        <v>656</v>
      </c>
      <c r="E45" s="131">
        <v>6</v>
      </c>
      <c r="F45" s="131"/>
      <c r="G45" s="131">
        <f t="shared" si="0"/>
        <v>329</v>
      </c>
      <c r="H45" s="131"/>
      <c r="I45" s="132"/>
    </row>
    <row r="46" spans="2:9" ht="13.5" customHeight="1">
      <c r="B46" s="130">
        <v>41</v>
      </c>
      <c r="C46" s="131" t="s">
        <v>861</v>
      </c>
      <c r="D46" s="131" t="s">
        <v>656</v>
      </c>
      <c r="E46" s="131">
        <v>40</v>
      </c>
      <c r="F46" s="131"/>
      <c r="G46" s="131">
        <f t="shared" si="0"/>
        <v>335</v>
      </c>
      <c r="H46" s="131"/>
      <c r="I46" s="132"/>
    </row>
    <row r="47" spans="2:9" ht="13.5" customHeight="1">
      <c r="B47" s="130">
        <v>42</v>
      </c>
      <c r="C47" s="131" t="s">
        <v>968</v>
      </c>
      <c r="D47" s="131" t="s">
        <v>656</v>
      </c>
      <c r="E47" s="131">
        <v>6</v>
      </c>
      <c r="F47" s="131"/>
      <c r="G47" s="131">
        <f t="shared" si="0"/>
        <v>375</v>
      </c>
      <c r="H47" s="131"/>
      <c r="I47" s="132"/>
    </row>
    <row r="48" spans="2:9" ht="13.5" customHeight="1">
      <c r="B48" s="130">
        <v>43</v>
      </c>
      <c r="C48" s="131" t="s">
        <v>799</v>
      </c>
      <c r="D48" s="131" t="s">
        <v>876</v>
      </c>
      <c r="E48" s="131">
        <v>15</v>
      </c>
      <c r="F48" s="131">
        <v>3</v>
      </c>
      <c r="G48" s="131">
        <f t="shared" si="0"/>
        <v>381</v>
      </c>
      <c r="H48" s="131"/>
      <c r="I48" s="132"/>
    </row>
    <row r="49" spans="2:9" ht="13.5" customHeight="1">
      <c r="B49" s="130">
        <v>44</v>
      </c>
      <c r="C49" s="131" t="s">
        <v>801</v>
      </c>
      <c r="D49" s="131" t="s">
        <v>876</v>
      </c>
      <c r="E49" s="131">
        <v>15</v>
      </c>
      <c r="F49" s="131">
        <v>3</v>
      </c>
      <c r="G49" s="131">
        <f t="shared" si="0"/>
        <v>396</v>
      </c>
      <c r="H49" s="131"/>
      <c r="I49" s="132"/>
    </row>
    <row r="50" spans="2:9" ht="13.5" customHeight="1">
      <c r="B50" s="130">
        <v>45</v>
      </c>
      <c r="C50" s="133" t="s">
        <v>803</v>
      </c>
      <c r="D50" s="133" t="s">
        <v>656</v>
      </c>
      <c r="E50" s="133">
        <v>10</v>
      </c>
      <c r="F50" s="131"/>
      <c r="G50" s="131">
        <f t="shared" si="0"/>
        <v>411</v>
      </c>
      <c r="H50" s="131"/>
      <c r="I50" s="132"/>
    </row>
    <row r="51" spans="2:9" ht="13.2">
      <c r="B51" s="130">
        <v>46</v>
      </c>
      <c r="C51" s="131" t="s">
        <v>805</v>
      </c>
      <c r="D51" s="131" t="s">
        <v>876</v>
      </c>
      <c r="E51" s="131">
        <v>15</v>
      </c>
      <c r="F51" s="131">
        <v>3</v>
      </c>
      <c r="G51" s="131">
        <f t="shared" si="0"/>
        <v>421</v>
      </c>
      <c r="H51" s="131"/>
      <c r="I51" s="132"/>
    </row>
    <row r="52" spans="2:9" ht="13.2">
      <c r="B52" s="130">
        <v>47</v>
      </c>
      <c r="C52" s="131" t="s">
        <v>807</v>
      </c>
      <c r="D52" s="131" t="s">
        <v>876</v>
      </c>
      <c r="E52" s="131">
        <v>14</v>
      </c>
      <c r="F52" s="131">
        <v>0</v>
      </c>
      <c r="G52" s="131">
        <f t="shared" si="0"/>
        <v>436</v>
      </c>
      <c r="H52" s="131"/>
      <c r="I52" s="132"/>
    </row>
    <row r="53" spans="2:9" ht="13.2">
      <c r="B53" s="130">
        <v>48</v>
      </c>
      <c r="C53" s="131" t="s">
        <v>811</v>
      </c>
      <c r="D53" s="131" t="s">
        <v>876</v>
      </c>
      <c r="E53" s="131">
        <v>14</v>
      </c>
      <c r="F53" s="131">
        <v>0</v>
      </c>
      <c r="G53" s="131">
        <f t="shared" si="0"/>
        <v>450</v>
      </c>
      <c r="H53" s="131"/>
      <c r="I53" s="134"/>
    </row>
    <row r="54" spans="2:9" ht="13.2">
      <c r="B54" s="130">
        <v>49</v>
      </c>
      <c r="C54" s="131" t="s">
        <v>813</v>
      </c>
      <c r="D54" s="131" t="s">
        <v>876</v>
      </c>
      <c r="E54" s="131">
        <v>14</v>
      </c>
      <c r="F54" s="131">
        <v>0</v>
      </c>
      <c r="G54" s="131">
        <f t="shared" si="0"/>
        <v>464</v>
      </c>
      <c r="H54" s="131"/>
      <c r="I54" s="134"/>
    </row>
    <row r="55" spans="2:9" ht="13.5" customHeight="1">
      <c r="B55" s="130">
        <v>50</v>
      </c>
      <c r="C55" s="131" t="s">
        <v>863</v>
      </c>
      <c r="D55" s="131" t="s">
        <v>656</v>
      </c>
      <c r="E55" s="131">
        <v>1</v>
      </c>
      <c r="F55" s="131"/>
      <c r="G55" s="131">
        <f t="shared" si="0"/>
        <v>478</v>
      </c>
      <c r="H55" s="131"/>
      <c r="I55" s="132"/>
    </row>
    <row r="56" spans="2:9" ht="13.5" customHeight="1">
      <c r="B56" s="130">
        <v>51</v>
      </c>
      <c r="C56" s="131" t="s">
        <v>864</v>
      </c>
      <c r="D56" s="131" t="s">
        <v>656</v>
      </c>
      <c r="E56" s="131">
        <v>1</v>
      </c>
      <c r="F56" s="131"/>
      <c r="G56" s="131">
        <f t="shared" si="0"/>
        <v>479</v>
      </c>
      <c r="H56" s="131"/>
      <c r="I56" s="132"/>
    </row>
    <row r="57" spans="2:9" ht="13.5" customHeight="1">
      <c r="B57" s="130">
        <v>52</v>
      </c>
      <c r="C57" s="131" t="s">
        <v>817</v>
      </c>
      <c r="D57" s="131" t="s">
        <v>656</v>
      </c>
      <c r="E57" s="131">
        <v>1</v>
      </c>
      <c r="F57" s="131"/>
      <c r="G57" s="131">
        <f t="shared" si="0"/>
        <v>480</v>
      </c>
      <c r="H57" s="131"/>
      <c r="I57" s="132"/>
    </row>
    <row r="58" spans="2:9" ht="13.5" customHeight="1">
      <c r="B58" s="130">
        <v>53</v>
      </c>
      <c r="C58" s="131" t="s">
        <v>865</v>
      </c>
      <c r="D58" s="131" t="s">
        <v>656</v>
      </c>
      <c r="E58" s="131">
        <v>1</v>
      </c>
      <c r="F58" s="131"/>
      <c r="G58" s="131">
        <f t="shared" si="0"/>
        <v>481</v>
      </c>
      <c r="H58" s="131"/>
      <c r="I58" s="132"/>
    </row>
    <row r="59" spans="2:9" ht="13.5" customHeight="1">
      <c r="B59" s="130">
        <v>54</v>
      </c>
      <c r="C59" s="131" t="s">
        <v>819</v>
      </c>
      <c r="D59" s="131" t="s">
        <v>656</v>
      </c>
      <c r="E59" s="131">
        <v>2</v>
      </c>
      <c r="F59" s="131"/>
      <c r="G59" s="131">
        <f t="shared" si="0"/>
        <v>482</v>
      </c>
      <c r="H59" s="131"/>
      <c r="I59" s="132"/>
    </row>
    <row r="60" spans="2:9" ht="13.5" customHeight="1">
      <c r="B60" s="130">
        <v>55</v>
      </c>
      <c r="C60" s="131" t="s">
        <v>969</v>
      </c>
      <c r="D60" s="131" t="s">
        <v>656</v>
      </c>
      <c r="E60" s="131">
        <v>1</v>
      </c>
      <c r="F60" s="131"/>
      <c r="G60" s="131">
        <f t="shared" si="0"/>
        <v>484</v>
      </c>
      <c r="H60" s="131"/>
      <c r="I60" s="132"/>
    </row>
    <row r="61" spans="2:9" ht="13.5" customHeight="1">
      <c r="B61" s="130">
        <v>56</v>
      </c>
      <c r="C61" s="131" t="s">
        <v>970</v>
      </c>
      <c r="D61" s="131" t="s">
        <v>656</v>
      </c>
      <c r="E61" s="131">
        <v>6</v>
      </c>
      <c r="F61" s="131"/>
      <c r="G61" s="131">
        <f t="shared" si="0"/>
        <v>485</v>
      </c>
      <c r="H61" s="131"/>
      <c r="I61" s="132"/>
    </row>
    <row r="62" spans="2:9" ht="13.5" customHeight="1">
      <c r="B62" s="130">
        <v>57</v>
      </c>
      <c r="C62" s="131" t="s">
        <v>116</v>
      </c>
      <c r="D62" s="131" t="s">
        <v>656</v>
      </c>
      <c r="E62" s="131">
        <v>25</v>
      </c>
      <c r="F62" s="131"/>
      <c r="G62" s="131">
        <f t="shared" si="0"/>
        <v>491</v>
      </c>
      <c r="H62" s="131"/>
      <c r="I62" s="132"/>
    </row>
    <row r="63" spans="2:9" ht="13.5" customHeight="1">
      <c r="B63" s="130">
        <v>58</v>
      </c>
      <c r="C63" s="131" t="s">
        <v>825</v>
      </c>
      <c r="D63" s="131" t="s">
        <v>656</v>
      </c>
      <c r="E63" s="131">
        <v>10</v>
      </c>
      <c r="F63" s="131"/>
      <c r="G63" s="131">
        <f t="shared" si="0"/>
        <v>516</v>
      </c>
      <c r="H63" s="131"/>
      <c r="I63" s="132"/>
    </row>
    <row r="64" spans="2:9" ht="13.5" customHeight="1">
      <c r="B64" s="130">
        <v>59</v>
      </c>
      <c r="C64" s="133" t="s">
        <v>971</v>
      </c>
      <c r="D64" s="133" t="s">
        <v>656</v>
      </c>
      <c r="E64" s="133">
        <v>44</v>
      </c>
      <c r="F64" s="131"/>
      <c r="G64" s="131">
        <f t="shared" si="0"/>
        <v>526</v>
      </c>
      <c r="H64" s="131"/>
      <c r="I64" s="132"/>
    </row>
    <row r="65" spans="2:9" ht="13.2">
      <c r="B65" s="130">
        <v>60</v>
      </c>
      <c r="C65" s="131" t="s">
        <v>837</v>
      </c>
      <c r="D65" s="131" t="s">
        <v>656</v>
      </c>
      <c r="E65" s="131">
        <v>20</v>
      </c>
      <c r="F65" s="131"/>
      <c r="G65" s="131">
        <f t="shared" si="0"/>
        <v>570</v>
      </c>
      <c r="H65" s="131"/>
      <c r="I65" s="132"/>
    </row>
    <row r="66" spans="2:9" ht="13.5" customHeight="1">
      <c r="B66" s="130">
        <v>61</v>
      </c>
      <c r="C66" s="131" t="s">
        <v>839</v>
      </c>
      <c r="D66" s="131" t="s">
        <v>656</v>
      </c>
      <c r="E66" s="131">
        <v>20</v>
      </c>
      <c r="F66" s="131"/>
      <c r="G66" s="131">
        <f t="shared" si="0"/>
        <v>590</v>
      </c>
      <c r="H66" s="131"/>
      <c r="I66" s="132"/>
    </row>
    <row r="67" spans="2:9" ht="13.5" customHeight="1">
      <c r="B67" s="130">
        <v>62</v>
      </c>
      <c r="C67" s="131" t="s">
        <v>841</v>
      </c>
      <c r="D67" s="131" t="s">
        <v>656</v>
      </c>
      <c r="E67" s="131">
        <v>1</v>
      </c>
      <c r="F67" s="131"/>
      <c r="G67" s="131">
        <f t="shared" si="0"/>
        <v>610</v>
      </c>
      <c r="H67" s="131"/>
      <c r="I67" s="132"/>
    </row>
    <row r="68" spans="2:9" ht="13.5" customHeight="1">
      <c r="B68" s="130">
        <v>63</v>
      </c>
      <c r="C68" s="131" t="s">
        <v>972</v>
      </c>
      <c r="D68" s="131" t="s">
        <v>656</v>
      </c>
      <c r="E68" s="131">
        <v>10</v>
      </c>
      <c r="F68" s="131"/>
      <c r="G68" s="131">
        <f t="shared" si="0"/>
        <v>611</v>
      </c>
      <c r="H68" s="131"/>
      <c r="I68" s="132"/>
    </row>
    <row r="69" spans="2:9" ht="13.5" customHeight="1">
      <c r="B69" s="130">
        <v>64</v>
      </c>
      <c r="C69" s="131" t="s">
        <v>973</v>
      </c>
      <c r="D69" s="131" t="s">
        <v>656</v>
      </c>
      <c r="E69" s="131">
        <v>44</v>
      </c>
      <c r="F69" s="131"/>
      <c r="G69" s="131">
        <f t="shared" si="0"/>
        <v>621</v>
      </c>
      <c r="H69" s="131"/>
      <c r="I69" s="132"/>
    </row>
    <row r="70" spans="2:9" ht="13.5" customHeight="1">
      <c r="B70" s="130">
        <v>65</v>
      </c>
      <c r="C70" s="131" t="s">
        <v>847</v>
      </c>
      <c r="D70" s="131" t="s">
        <v>656</v>
      </c>
      <c r="E70" s="131">
        <v>1</v>
      </c>
      <c r="F70" s="131"/>
      <c r="G70" s="131">
        <f t="shared" si="0"/>
        <v>665</v>
      </c>
      <c r="H70" s="131"/>
      <c r="I70" s="132"/>
    </row>
    <row r="71" spans="2:9" ht="13.5" customHeight="1">
      <c r="B71" s="130">
        <v>66</v>
      </c>
      <c r="C71" s="131" t="s">
        <v>974</v>
      </c>
      <c r="D71" s="131" t="s">
        <v>656</v>
      </c>
      <c r="E71" s="131">
        <v>30</v>
      </c>
      <c r="F71" s="131"/>
      <c r="G71" s="131">
        <f t="shared" si="0"/>
        <v>666</v>
      </c>
      <c r="H71" s="131"/>
      <c r="I71" s="132"/>
    </row>
    <row r="72" spans="2:9" ht="13.2">
      <c r="B72" s="130">
        <v>67</v>
      </c>
      <c r="C72" s="131" t="s">
        <v>809</v>
      </c>
      <c r="D72" s="131" t="s">
        <v>876</v>
      </c>
      <c r="E72" s="131">
        <v>14</v>
      </c>
      <c r="F72" s="131">
        <v>0</v>
      </c>
      <c r="G72" s="131">
        <f t="shared" ref="G72:G73" si="1">E71+G71</f>
        <v>696</v>
      </c>
      <c r="H72" s="131"/>
      <c r="I72" s="132"/>
    </row>
    <row r="73" spans="2:9" ht="13.5" customHeight="1" thickBot="1">
      <c r="B73" s="135">
        <v>68</v>
      </c>
      <c r="C73" s="136" t="s">
        <v>879</v>
      </c>
      <c r="D73" s="136" t="s">
        <v>656</v>
      </c>
      <c r="E73" s="136">
        <v>103</v>
      </c>
      <c r="F73" s="136"/>
      <c r="G73" s="136">
        <f t="shared" si="1"/>
        <v>710</v>
      </c>
      <c r="H73" s="136"/>
      <c r="I73" s="137"/>
    </row>
    <row r="74" spans="2:9" ht="13.5" customHeight="1" thickTop="1">
      <c r="B74" s="138"/>
    </row>
  </sheetData>
  <autoFilter ref="A5:M74" xr:uid="{00000000-0009-0000-0000-000000000000}">
    <filterColumn colId="4" showButton="0"/>
  </autoFilter>
  <mergeCells count="8">
    <mergeCell ref="H4:H5"/>
    <mergeCell ref="I4:I5"/>
    <mergeCell ref="B4:B5"/>
    <mergeCell ref="C4:C5"/>
    <mergeCell ref="D4:D5"/>
    <mergeCell ref="E4:E5"/>
    <mergeCell ref="F4:F5"/>
    <mergeCell ref="G4:G5"/>
  </mergeCells>
  <phoneticPr fontId="3"/>
  <dataValidations count="3">
    <dataValidation type="list" allowBlank="1" showInputMessage="1" showErrorMessage="1" sqref="IL65470:IM65529" xr:uid="{6A13CD3B-D0C5-47BA-A10A-BD330C1976ED}">
      <formula1>"Yes,No"</formula1>
    </dataValidation>
    <dataValidation allowBlank="1" showInputMessage="1" showErrorMessage="1" errorTitle="データ型" error="データ型はリスト中の論理型から選択してください" promptTitle="データ型" prompt="NUMERIC：数値_x000a_CHAR：固定長文字列_x000a_VARCHAR：可変長文字列_x000a_DATE：日付_x000a_VARBINARY/BLOB：4000byte超文字列_x000a_" sqref="IO65486" xr:uid="{EF2F2E43-38F1-4DBC-B0C0-5D5F7A9E2F08}"/>
    <dataValidation type="list" allowBlank="1" showInputMessage="1" showErrorMessage="1" errorTitle="データ型" error="データ型はリスト中の論理型から選択してください" promptTitle="データ型" prompt="NUMERIC：数値_x000a_CHAR：固定長文字列_x000a_VARCHAR：可変長文字列_x000a_DATE：日付_x000a_VARBINARY/BLOB：4000byte超文字列_x000a_" sqref="IN65470:IN65529" xr:uid="{B92D200D-33E3-4C72-B946-4AF5632CCDD6}">
      <formula1>" NUMERIC,CHAR,VARCHAR,DATE,VARBINARY/BLOB"</formula1>
    </dataValidation>
  </dataValidations>
  <pageMargins left="0.78700000000000003" right="0.78700000000000003" top="0.98399999999999999" bottom="0.98399999999999999" header="0.51200000000000001" footer="0.51200000000000001"/>
  <pageSetup paperSize="9" scale="7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_x30b3__x30e1__x30f3__x30c8_ xmlns="69cb980d-ece2-4836-b1eb-1194e87de84b" xsi:nil="true"/>
    <_x5bfe__x8c61__x30e6__x30fc__x30b6__x30fc_ xmlns="69cb980d-ece2-4836-b1eb-1194e87de84b" xsi:nil="true"/>
    <lcf76f155ced4ddcb4097134ff3c332f xmlns="69cb980d-ece2-4836-b1eb-1194e87de84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6F8088-3A4C-4450-8479-626C5F76BB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547DEF-90B0-4974-998C-1122038AED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69cb980d-ece2-4836-b1eb-1194e87de84b"/>
    <ds:schemaRef ds:uri="http://schemas.openxmlformats.org/package/2006/metadata/core-properties"/>
    <ds:schemaRef ds:uri="2066667e-7ddf-48ee-81f6-fe1825af740a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4A4FBB0-2DF0-44BD-BA8B-9184C8E77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20</vt:i4>
      </vt:variant>
    </vt:vector>
  </HeadingPairs>
  <TitlesOfParts>
    <vt:vector size="31" baseType="lpstr">
      <vt:lpstr>表紙</vt:lpstr>
      <vt:lpstr>変更履歴</vt:lpstr>
      <vt:lpstr>１．送受信情報</vt:lpstr>
      <vt:lpstr>２．機能</vt:lpstr>
      <vt:lpstr>３．INPUTファイルレイアウト(B)（連携ファイル）</vt:lpstr>
      <vt:lpstr>４．OUTPUTファイルレイアウト(B) (送信ファイル）</vt:lpstr>
      <vt:lpstr>５．項目転送（EDI送信DB_請求確認）_更新</vt:lpstr>
      <vt:lpstr>６．項目転送（ EDI受信DB_仕入先）_更新</vt:lpstr>
      <vt:lpstr>６．１．相手先別データレイアウト</vt:lpstr>
      <vt:lpstr>７．項目転送 (請求データ送信ファイル)</vt:lpstr>
      <vt:lpstr>８．【参考】日本触媒　OUTPUTファイルレイアウト</vt:lpstr>
      <vt:lpstr>'１．送受信情報'!Print_Area</vt:lpstr>
      <vt:lpstr>'２．機能'!Print_Area</vt:lpstr>
      <vt:lpstr>'３．INPUTファイルレイアウト(B)（連携ファイル）'!Print_Area</vt:lpstr>
      <vt:lpstr>'４．OUTPUTファイルレイアウト(B) (送信ファイル）'!Print_Area</vt:lpstr>
      <vt:lpstr>'５．項目転送（EDI送信DB_請求確認）_更新'!Print_Area</vt:lpstr>
      <vt:lpstr>'６．１．相手先別データレイアウト'!Print_Area</vt:lpstr>
      <vt:lpstr>'６．項目転送（ EDI受信DB_仕入先）_更新'!Print_Area</vt:lpstr>
      <vt:lpstr>'７．項目転送 (請求データ送信ファイル)'!Print_Area</vt:lpstr>
      <vt:lpstr>'８．【参考】日本触媒　OUTPUTファイルレイアウト'!Print_Area</vt:lpstr>
      <vt:lpstr>表紙!Print_Area</vt:lpstr>
      <vt:lpstr>変更履歴!Print_Area</vt:lpstr>
      <vt:lpstr>'１．送受信情報'!Print_Titles</vt:lpstr>
      <vt:lpstr>'２．機能'!Print_Titles</vt:lpstr>
      <vt:lpstr>'３．INPUTファイルレイアウト(B)（連携ファイル）'!Print_Titles</vt:lpstr>
      <vt:lpstr>'４．OUTPUTファイルレイアウト(B) (送信ファイル）'!Print_Titles</vt:lpstr>
      <vt:lpstr>'５．項目転送（EDI送信DB_請求確認）_更新'!Print_Titles</vt:lpstr>
      <vt:lpstr>'６．１．相手先別データレイアウト'!Print_Titles</vt:lpstr>
      <vt:lpstr>'６．項目転送（ EDI受信DB_仕入先）_更新'!Print_Titles</vt:lpstr>
      <vt:lpstr>'７．項目転送 (請求データ送信ファイル)'!Print_Titles</vt:lpstr>
      <vt:lpstr>変更履歴!Print_Titles</vt:lpstr>
    </vt:vector>
  </TitlesOfParts>
  <Manager/>
  <Company>企業システム本部　IKシステム開発プロジェクト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c-ntomoda</dc:creator>
  <cp:keywords/>
  <dc:description/>
  <cp:lastModifiedBy>国光 千尋(kunimitsu.chihiro)</cp:lastModifiedBy>
  <cp:revision/>
  <dcterms:created xsi:type="dcterms:W3CDTF">2004-12-16T00:43:49Z</dcterms:created>
  <dcterms:modified xsi:type="dcterms:W3CDTF">2025-06-26T07:48:54Z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</Properties>
</file>