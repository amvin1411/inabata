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NSB_日本触媒/"/>
    </mc:Choice>
  </mc:AlternateContent>
  <xr:revisionPtr revIDLastSave="49" documentId="13_ncr:1_{BDFA854C-55D4-4E62-BD75-35D941CAE5E4}" xr6:coauthVersionLast="47" xr6:coauthVersionMax="47" xr10:uidLastSave="{CE2E87F9-B974-4186-B4F2-F38C00498663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ジョブフロー図!$A$1:$AZ$88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2" l="1"/>
  <c r="A20" i="12" l="1"/>
  <c r="A26" i="12"/>
  <c r="A25" i="12"/>
  <c r="A24" i="12"/>
  <c r="A23" i="12"/>
  <c r="A21" i="12"/>
  <c r="AF3" i="12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<sst xmlns="http://schemas.openxmlformats.org/spreadsheetml/2006/main" count="155" uniqueCount="109">
  <si>
    <t>稲畑産業株式会社様</t>
    <rPh sb="8" eb="9">
      <t>サマ</t>
    </rPh>
    <phoneticPr fontId="2"/>
  </si>
  <si>
    <t>EDIシステム</t>
    <phoneticPr fontId="2"/>
  </si>
  <si>
    <t>ジョブフロー図(NSBA130S010)</t>
    <rPh sb="6" eb="7">
      <t>ズ</t>
    </rPh>
    <phoneticPr fontId="2"/>
  </si>
  <si>
    <t>機能名称：日本触媒_請求確認データ抽出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</si>
  <si>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</si>
  <si>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</si>
  <si>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</si>
  <si>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</si>
  <si>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FJ)松枝</t>
    <rPh sb="3" eb="5">
      <t>マツエダ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</si>
  <si>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</si>
  <si>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</si>
  <si>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</si>
  <si>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</si>
  <si>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</si>
  <si>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</si>
  <si>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</si>
  <si>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</si>
  <si>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</si>
  <si>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日本触媒</t>
    <rPh sb="0" eb="4">
      <t>ニホンショクバイ</t>
    </rPh>
    <phoneticPr fontId="2"/>
  </si>
  <si>
    <t>NSB</t>
    <phoneticPr fontId="2"/>
  </si>
  <si>
    <t>請求確認</t>
    <rPh sb="0" eb="4">
      <t>セイキュウカクニン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</si>
  <si>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</si>
  <si>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</si>
  <si>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</si>
  <si>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</si>
  <si>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</si>
  <si>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</si>
  <si>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</si>
  <si>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</si>
  <si>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</si>
  <si>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</si>
  <si>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</si>
  <si>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</si>
  <si>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</si>
  <si>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</si>
  <si>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</si>
  <si>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NSBA130S010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</si>
  <si>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</si>
  <si>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</si>
  <si>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</si>
  <si>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時刻起動</t>
    <rPh sb="0" eb="4">
      <t>ジコクキドウ</t>
    </rPh>
    <phoneticPr fontId="2"/>
  </si>
  <si>
    <t>ジョブ名</t>
    <rPh sb="3" eb="4">
      <t>メイ</t>
    </rPh>
    <phoneticPr fontId="2"/>
  </si>
  <si>
    <t>日本触媒_請求確認データ抽出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</si>
  <si>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</si>
  <si>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</si>
  <si>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日本触媒向けの連携ファイルを作成する。</t>
    <rPh sb="0" eb="4">
      <t>ニホンショクバイ</t>
    </rPh>
    <rPh sb="4" eb="5">
      <t>ム</t>
    </rPh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</si>
  <si>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</si>
  <si>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</si>
  <si>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</si>
  <si>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</si>
  <si>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</si>
  <si>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</si>
  <si>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</si>
  <si>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</si>
  <si>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</si>
  <si>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</si>
  <si>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</si>
  <si>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</si>
  <si>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p_t_NSB_請求確認_010</t>
    <rPh sb="8" eb="12">
      <t>セイキュウカクニン</t>
    </rPh>
    <phoneticPr fontId="2"/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</si>
  <si>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</si>
  <si>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</si>
  <si>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</si>
  <si>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</si>
  <si>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</si>
  <si>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</si>
  <si>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</si>
  <si>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</si>
  <si>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</si>
  <si>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</si>
  <si>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</si>
  <si>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</si>
  <si>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p_t_NSB_請求確認_020</t>
    <rPh sb="8" eb="12">
      <t>セイキュウカクニン</t>
    </rPh>
    <phoneticPr fontId="2"/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</si>
  <si>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</si>
  <si>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</si>
  <si>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</si>
  <si>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</si>
  <si>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</si>
  <si>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</si>
  <si>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</si>
  <si>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</si>
  <si>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</si>
  <si>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</si>
  <si>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</si>
  <si>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</si>
  <si>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3.wf_NSB_A130_010</t>
    <phoneticPr fontId="2"/>
  </si>
  <si>
    <t>【処理概要】</t>
    <rPh sb="1" eb="3">
      <t>ショリ</t>
    </rPh>
    <rPh sb="3" eb="5">
      <t>ガイヨウ</t>
    </rPh>
    <phoneticPr fontId="2"/>
  </si>
  <si>
    <t>EDI送信DB_請求確認から対象データの</t>
    <rPh sb="3" eb="5">
      <t>ソウシン</t>
    </rPh>
    <rPh sb="8" eb="12">
      <t>セイキュウカクニン</t>
    </rPh>
    <rPh sb="14" eb="16">
      <t>タイショウ</t>
    </rPh>
    <phoneticPr fontId="2"/>
  </si>
  <si>
    <t>件数を取得し、件数ファイルを出力する。</t>
    <rPh sb="0" eb="2">
      <t>ケンスウ</t>
    </rPh>
    <rPh sb="3" eb="5">
      <t>シュトク</t>
    </rPh>
    <rPh sb="7" eb="9">
      <t>ケンスウ</t>
    </rPh>
    <rPh sb="14" eb="16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</si>
  <si>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</si>
  <si>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</si>
  <si>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</si>
  <si>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</si>
  <si>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</si>
  <si>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</si>
  <si>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</si>
  <si>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</si>
  <si>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5.wf_NSB_A130_020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</si>
  <si>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</si>
  <si>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</si>
  <si>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</si>
  <si>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</si>
  <si>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</si>
  <si>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</si>
  <si>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随時</t>
    <rPh sb="0" eb="2">
      <t>ズイジ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</si>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</sst>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5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64</xdr:row>
      <xdr:rowOff>0</xdr:rowOff>
    </xdr:from>
    <xdr:to>
      <xdr:col>20</xdr:col>
      <xdr:colOff>9525</xdr:colOff>
      <xdr:row>67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5" name="Group 195">
          <a:extLst>
            <a:ext uri="{FF2B5EF4-FFF2-40B4-BE49-F238E27FC236}">
              <a16:creationId xmlns:a16="http://schemas.microsoft.com/office/drawing/2014/main" id="{E91827AB-E2EC-4E47-85B3-D3AE89E39852}"/>
            </a:ext>
          </a:extLst>
        </xdr:cNvPr>
        <xdr:cNvGrpSpPr>
          <a:grpSpLocks/>
        </xdr:cNvGrpSpPr>
      </xdr:nvGrpSpPr>
      <xdr:grpSpPr bwMode="auto">
        <a:xfrm flipH="1">
          <a:off x="1048183" y="7113270"/>
          <a:ext cx="666813" cy="330973"/>
          <a:chOff x="357" y="331"/>
          <a:chExt cx="121" cy="29"/>
        </a:xfrm>
      </xdr:grpSpPr>
      <xdr:sp macro="" textlink="">
        <xdr:nvSpPr>
          <xdr:cNvPr id="6" name="Line 196">
            <a:extLst>
              <a:ext uri="{FF2B5EF4-FFF2-40B4-BE49-F238E27FC236}">
                <a16:creationId xmlns:a16="http://schemas.microsoft.com/office/drawing/2014/main" id="{ED770FE9-C6CF-5BAC-95BA-5F026A23B5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97">
            <a:extLst>
              <a:ext uri="{FF2B5EF4-FFF2-40B4-BE49-F238E27FC236}">
                <a16:creationId xmlns:a16="http://schemas.microsoft.com/office/drawing/2014/main" id="{192C0B34-DD5C-B008-76EB-FF9CA0C2BFB2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9B74ED92-C7AC-4B2F-825B-E5D9A1881CC0}"/>
            </a:ext>
          </a:extLst>
        </xdr:cNvPr>
        <xdr:cNvGrpSpPr/>
      </xdr:nvGrpSpPr>
      <xdr:grpSpPr>
        <a:xfrm>
          <a:off x="4076993" y="5510292"/>
          <a:ext cx="1028700" cy="616195"/>
          <a:chOff x="2200275" y="4448175"/>
          <a:chExt cx="1200151" cy="619126"/>
        </a:xfrm>
      </xdr:grpSpPr>
      <xdr:sp macro="" textlink="">
        <xdr:nvSpPr>
          <xdr:cNvPr id="15" name="Text Box 93">
            <a:extLst>
              <a:ext uri="{FF2B5EF4-FFF2-40B4-BE49-F238E27FC236}">
                <a16:creationId xmlns:a16="http://schemas.microsoft.com/office/drawing/2014/main" id="{5B7AC6E5-B22C-E4F3-84BC-CF9332F4EE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18" name="Rectangle 95">
            <a:extLst>
              <a:ext uri="{FF2B5EF4-FFF2-40B4-BE49-F238E27FC236}">
                <a16:creationId xmlns:a16="http://schemas.microsoft.com/office/drawing/2014/main" id="{6DB6DE46-F98A-00C4-050B-C3FC1D605FD1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Text Box 93">
            <a:extLst>
              <a:ext uri="{FF2B5EF4-FFF2-40B4-BE49-F238E27FC236}">
                <a16:creationId xmlns:a16="http://schemas.microsoft.com/office/drawing/2014/main" id="{0AB32317-E18D-74CB-53DE-7D55DFC5BE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20" name="AutoShape 90">
          <a:extLst>
            <a:ext uri="{FF2B5EF4-FFF2-40B4-BE49-F238E27FC236}">
              <a16:creationId xmlns:a16="http://schemas.microsoft.com/office/drawing/2014/main" id="{DE0A378D-94C7-4103-8FEE-B06C75475E1C}"/>
            </a:ext>
          </a:extLst>
        </xdr:cNvPr>
        <xdr:cNvSpPr>
          <a:spLocks noChangeArrowheads="1"/>
        </xdr:cNvSpPr>
      </xdr:nvSpPr>
      <xdr:spPr bwMode="auto">
        <a:xfrm>
          <a:off x="3206408" y="6326499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(p_t_NSB_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21" name="AutoShape 513">
          <a:extLst>
            <a:ext uri="{FF2B5EF4-FFF2-40B4-BE49-F238E27FC236}">
              <a16:creationId xmlns:a16="http://schemas.microsoft.com/office/drawing/2014/main" id="{BE8A6629-A8A0-44FB-9A07-5CE2FAAD0121}"/>
            </a:ext>
          </a:extLst>
        </xdr:cNvPr>
        <xdr:cNvCxnSpPr>
          <a:cxnSpLocks noChangeShapeType="1"/>
          <a:stCxn id="20" idx="2"/>
          <a:endCxn id="3147" idx="0"/>
        </xdr:cNvCxnSpPr>
      </xdr:nvCxnSpPr>
      <xdr:spPr bwMode="auto">
        <a:xfrm rot="5400000">
          <a:off x="2935361" y="6261007"/>
          <a:ext cx="415107" cy="157479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B046721-55A2-4191-A9A8-B73843698331}"/>
            </a:ext>
          </a:extLst>
        </xdr:cNvPr>
        <xdr:cNvGrpSpPr/>
      </xdr:nvGrpSpPr>
      <xdr:grpSpPr>
        <a:xfrm>
          <a:off x="1714500" y="5489267"/>
          <a:ext cx="1031542" cy="599948"/>
          <a:chOff x="2200275" y="4448175"/>
          <a:chExt cx="1200150" cy="619126"/>
        </a:xfrm>
      </xdr:grpSpPr>
      <xdr:sp macro="" textlink="">
        <xdr:nvSpPr>
          <xdr:cNvPr id="24" name="Text Box 93">
            <a:extLst>
              <a:ext uri="{FF2B5EF4-FFF2-40B4-BE49-F238E27FC236}">
                <a16:creationId xmlns:a16="http://schemas.microsoft.com/office/drawing/2014/main" id="{16792286-4D63-B7A7-D5D1-1F15B9517B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25" name="Rectangle 95">
            <a:extLst>
              <a:ext uri="{FF2B5EF4-FFF2-40B4-BE49-F238E27FC236}">
                <a16:creationId xmlns:a16="http://schemas.microsoft.com/office/drawing/2014/main" id="{C3B33E01-2557-F81E-3EB2-117EC112099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Text Box 93">
            <a:extLst>
              <a:ext uri="{FF2B5EF4-FFF2-40B4-BE49-F238E27FC236}">
                <a16:creationId xmlns:a16="http://schemas.microsoft.com/office/drawing/2014/main" id="{4D31ABE1-AB38-86E5-496A-A327ED0448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27" name="AutoShape 108">
          <a:extLst>
            <a:ext uri="{FF2B5EF4-FFF2-40B4-BE49-F238E27FC236}">
              <a16:creationId xmlns:a16="http://schemas.microsoft.com/office/drawing/2014/main" id="{BC06EE72-92B9-41E4-ACF8-BA1E43E2B970}"/>
            </a:ext>
          </a:extLst>
        </xdr:cNvPr>
        <xdr:cNvCxnSpPr>
          <a:cxnSpLocks noChangeShapeType="1"/>
          <a:stCxn id="25" idx="2"/>
          <a:endCxn id="3147" idx="0"/>
        </xdr:cNvCxnSpPr>
      </xdr:nvCxnSpPr>
      <xdr:spPr bwMode="auto">
        <a:xfrm>
          <a:off x="2354096" y="5921575"/>
          <a:ext cx="1422" cy="13343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F67FE7C7-77DE-4A79-B37F-F120BD43440F}"/>
            </a:ext>
          </a:extLst>
        </xdr:cNvPr>
        <xdr:cNvGrpSpPr/>
      </xdr:nvGrpSpPr>
      <xdr:grpSpPr>
        <a:xfrm>
          <a:off x="1717342" y="11323320"/>
          <a:ext cx="1028700" cy="609899"/>
          <a:chOff x="2200275" y="4448175"/>
          <a:chExt cx="1200151" cy="619126"/>
        </a:xfrm>
      </xdr:grpSpPr>
      <xdr:sp macro="" textlink="">
        <xdr:nvSpPr>
          <xdr:cNvPr id="30" name="Text Box 93">
            <a:extLst>
              <a:ext uri="{FF2B5EF4-FFF2-40B4-BE49-F238E27FC236}">
                <a16:creationId xmlns:a16="http://schemas.microsoft.com/office/drawing/2014/main" id="{E6CBA3E8-DC77-F5CE-BE10-B29187022C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wf_NSB_A130_020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Rectangle 95">
            <a:extLst>
              <a:ext uri="{FF2B5EF4-FFF2-40B4-BE49-F238E27FC236}">
                <a16:creationId xmlns:a16="http://schemas.microsoft.com/office/drawing/2014/main" id="{26999DE9-2D8A-CA38-14E5-6407C538E1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6" name="Text Box 93">
            <a:extLst>
              <a:ext uri="{FF2B5EF4-FFF2-40B4-BE49-F238E27FC236}">
                <a16:creationId xmlns:a16="http://schemas.microsoft.com/office/drawing/2014/main" id="{1B16230D-D3F2-833C-48B7-483A912731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3137" name="AutoShape 90">
          <a:extLst>
            <a:ext uri="{FF2B5EF4-FFF2-40B4-BE49-F238E27FC236}">
              <a16:creationId xmlns:a16="http://schemas.microsoft.com/office/drawing/2014/main" id="{0F43B2E0-5EF5-4E25-BD36-DEB96A50CDA8}"/>
            </a:ext>
          </a:extLst>
        </xdr:cNvPr>
        <xdr:cNvSpPr>
          <a:spLocks noChangeArrowheads="1"/>
        </xdr:cNvSpPr>
      </xdr:nvSpPr>
      <xdr:spPr bwMode="auto">
        <a:xfrm>
          <a:off x="1731776" y="12474396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3138" name="フレーム 52">
          <a:extLst>
            <a:ext uri="{FF2B5EF4-FFF2-40B4-BE49-F238E27FC236}">
              <a16:creationId xmlns:a16="http://schemas.microsoft.com/office/drawing/2014/main" id="{C5275F20-62DC-4A63-958C-321CE3DFD0AC}"/>
            </a:ext>
          </a:extLst>
        </xdr:cNvPr>
        <xdr:cNvSpPr>
          <a:spLocks noChangeArrowheads="1"/>
        </xdr:cNvSpPr>
      </xdr:nvSpPr>
      <xdr:spPr bwMode="auto">
        <a:xfrm>
          <a:off x="1457325" y="13655446"/>
          <a:ext cx="1809750" cy="67056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日本触媒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3139" name="AutoShape 108">
          <a:extLst>
            <a:ext uri="{FF2B5EF4-FFF2-40B4-BE49-F238E27FC236}">
              <a16:creationId xmlns:a16="http://schemas.microsoft.com/office/drawing/2014/main" id="{28A5E519-6C60-46AD-BBD1-B6F3D247F088}"/>
            </a:ext>
          </a:extLst>
        </xdr:cNvPr>
        <xdr:cNvCxnSpPr>
          <a:cxnSpLocks noChangeShapeType="1"/>
          <a:stCxn id="3137" idx="2"/>
          <a:endCxn id="3138" idx="0"/>
        </xdr:cNvCxnSpPr>
      </xdr:nvCxnSpPr>
      <xdr:spPr bwMode="auto">
        <a:xfrm>
          <a:off x="2356061" y="12988746"/>
          <a:ext cx="6139" cy="666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166056</xdr:colOff>
      <xdr:row>68</xdr:row>
      <xdr:rowOff>73478</xdr:rowOff>
    </xdr:from>
    <xdr:to>
      <xdr:col>25</xdr:col>
      <xdr:colOff>181156</xdr:colOff>
      <xdr:row>71</xdr:row>
      <xdr:rowOff>82270</xdr:rowOff>
    </xdr:to>
    <xdr:sp macro="" textlink="">
      <xdr:nvSpPr>
        <xdr:cNvPr id="3140" name="AutoShape 176">
          <a:extLst>
            <a:ext uri="{FF2B5EF4-FFF2-40B4-BE49-F238E27FC236}">
              <a16:creationId xmlns:a16="http://schemas.microsoft.com/office/drawing/2014/main" id="{D9D821C7-C752-48D3-9BB6-C72820984762}"/>
            </a:ext>
          </a:extLst>
        </xdr:cNvPr>
        <xdr:cNvSpPr>
          <a:spLocks noChangeArrowheads="1"/>
        </xdr:cNvSpPr>
      </xdr:nvSpPr>
      <xdr:spPr bwMode="auto">
        <a:xfrm>
          <a:off x="3966531" y="117320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3141" name="AutoShape 108">
          <a:extLst>
            <a:ext uri="{FF2B5EF4-FFF2-40B4-BE49-F238E27FC236}">
              <a16:creationId xmlns:a16="http://schemas.microsoft.com/office/drawing/2014/main" id="{6EBBCEC2-BE76-4B56-A656-314B573D9F51}"/>
            </a:ext>
          </a:extLst>
        </xdr:cNvPr>
        <xdr:cNvCxnSpPr>
          <a:cxnSpLocks noChangeShapeType="1"/>
          <a:stCxn id="30" idx="2"/>
          <a:endCxn id="3137" idx="0"/>
        </xdr:cNvCxnSpPr>
      </xdr:nvCxnSpPr>
      <xdr:spPr bwMode="auto">
        <a:xfrm>
          <a:off x="2355517" y="11759862"/>
          <a:ext cx="544" cy="7145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85725</xdr:colOff>
      <xdr:row>71</xdr:row>
      <xdr:rowOff>28575</xdr:rowOff>
    </xdr:to>
    <xdr:cxnSp macro="">
      <xdr:nvCxnSpPr>
        <xdr:cNvPr id="3142" name="直線矢印コネクタ 3141">
          <a:extLst>
            <a:ext uri="{FF2B5EF4-FFF2-40B4-BE49-F238E27FC236}">
              <a16:creationId xmlns:a16="http://schemas.microsoft.com/office/drawing/2014/main" id="{6B579DA5-31B3-493B-9BFD-A3D2726B6CC6}"/>
            </a:ext>
          </a:extLst>
        </xdr:cNvPr>
        <xdr:cNvCxnSpPr/>
      </xdr:nvCxnSpPr>
      <xdr:spPr bwMode="auto">
        <a:xfrm>
          <a:off x="3253740" y="11780520"/>
          <a:ext cx="632460" cy="42100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3143" name="AutoShape 176">
          <a:extLst>
            <a:ext uri="{FF2B5EF4-FFF2-40B4-BE49-F238E27FC236}">
              <a16:creationId xmlns:a16="http://schemas.microsoft.com/office/drawing/2014/main" id="{D4A32850-6255-4325-B905-C0D002623F64}"/>
            </a:ext>
          </a:extLst>
        </xdr:cNvPr>
        <xdr:cNvSpPr>
          <a:spLocks noChangeArrowheads="1"/>
        </xdr:cNvSpPr>
      </xdr:nvSpPr>
      <xdr:spPr bwMode="auto">
        <a:xfrm>
          <a:off x="3630009" y="1293599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3144" name="グループ化 3143">
          <a:extLst>
            <a:ext uri="{FF2B5EF4-FFF2-40B4-BE49-F238E27FC236}">
              <a16:creationId xmlns:a16="http://schemas.microsoft.com/office/drawing/2014/main" id="{44302C85-0578-44B3-A893-70A077763ED2}"/>
            </a:ext>
          </a:extLst>
        </xdr:cNvPr>
        <xdr:cNvGrpSpPr/>
      </xdr:nvGrpSpPr>
      <xdr:grpSpPr>
        <a:xfrm>
          <a:off x="1717342" y="7425690"/>
          <a:ext cx="1028700" cy="609899"/>
          <a:chOff x="2200275" y="4448175"/>
          <a:chExt cx="1200151" cy="619126"/>
        </a:xfrm>
      </xdr:grpSpPr>
      <xdr:sp macro="" textlink="">
        <xdr:nvSpPr>
          <xdr:cNvPr id="3145" name="Text Box 93">
            <a:extLst>
              <a:ext uri="{FF2B5EF4-FFF2-40B4-BE49-F238E27FC236}">
                <a16:creationId xmlns:a16="http://schemas.microsoft.com/office/drawing/2014/main" id="{18B485E1-E404-8763-DBFB-0953F5EB7C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wf_NSB_A130_010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46" name="Rectangle 95">
            <a:extLst>
              <a:ext uri="{FF2B5EF4-FFF2-40B4-BE49-F238E27FC236}">
                <a16:creationId xmlns:a16="http://schemas.microsoft.com/office/drawing/2014/main" id="{695E4ADE-B09F-EA38-2E7B-4E306996FB5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7" name="Text Box 93">
            <a:extLst>
              <a:ext uri="{FF2B5EF4-FFF2-40B4-BE49-F238E27FC236}">
                <a16:creationId xmlns:a16="http://schemas.microsoft.com/office/drawing/2014/main" id="{CB537E22-7806-0C42-217F-2D57CFE525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48" name="AutoShape 108">
          <a:extLst>
            <a:ext uri="{FF2B5EF4-FFF2-40B4-BE49-F238E27FC236}">
              <a16:creationId xmlns:a16="http://schemas.microsoft.com/office/drawing/2014/main" id="{74FCBF98-16E2-4CE2-A891-CF86B6E0B899}"/>
            </a:ext>
          </a:extLst>
        </xdr:cNvPr>
        <xdr:cNvCxnSpPr>
          <a:cxnSpLocks noChangeShapeType="1"/>
          <a:stCxn id="3145" idx="2"/>
          <a:endCxn id="3166" idx="0"/>
        </xdr:cNvCxnSpPr>
      </xdr:nvCxnSpPr>
      <xdr:spPr bwMode="auto">
        <a:xfrm>
          <a:off x="2355517" y="7864137"/>
          <a:ext cx="4223" cy="49881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9" name="AutoShape 90">
          <a:extLst>
            <a:ext uri="{FF2B5EF4-FFF2-40B4-BE49-F238E27FC236}">
              <a16:creationId xmlns:a16="http://schemas.microsoft.com/office/drawing/2014/main" id="{9501DD34-AEBE-4CA9-B212-54061268F154}"/>
            </a:ext>
          </a:extLst>
        </xdr:cNvPr>
        <xdr:cNvSpPr>
          <a:spLocks noChangeArrowheads="1"/>
        </xdr:cNvSpPr>
      </xdr:nvSpPr>
      <xdr:spPr bwMode="auto">
        <a:xfrm>
          <a:off x="4930433" y="6324581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(p_t_NSB_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50" name="AutoShape 513">
          <a:extLst>
            <a:ext uri="{FF2B5EF4-FFF2-40B4-BE49-F238E27FC236}">
              <a16:creationId xmlns:a16="http://schemas.microsoft.com/office/drawing/2014/main" id="{4EA64910-0DC8-44D6-A2A3-26A494DE477A}"/>
            </a:ext>
          </a:extLst>
        </xdr:cNvPr>
        <xdr:cNvCxnSpPr>
          <a:cxnSpLocks noChangeShapeType="1"/>
          <a:stCxn id="15" idx="2"/>
          <a:endCxn id="3149" idx="0"/>
        </xdr:cNvCxnSpPr>
      </xdr:nvCxnSpPr>
      <xdr:spPr bwMode="auto">
        <a:xfrm rot="16200000" flipH="1">
          <a:off x="5061890" y="5732137"/>
          <a:ext cx="365736" cy="81915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51" name="AutoShape 513">
          <a:extLst>
            <a:ext uri="{FF2B5EF4-FFF2-40B4-BE49-F238E27FC236}">
              <a16:creationId xmlns:a16="http://schemas.microsoft.com/office/drawing/2014/main" id="{4969A4B0-783A-4C78-9EDA-3AC0A31C2D08}"/>
            </a:ext>
          </a:extLst>
        </xdr:cNvPr>
        <xdr:cNvCxnSpPr>
          <a:cxnSpLocks noChangeShapeType="1"/>
          <a:stCxn id="18" idx="2"/>
          <a:endCxn id="20" idx="0"/>
        </xdr:cNvCxnSpPr>
      </xdr:nvCxnSpPr>
      <xdr:spPr bwMode="auto">
        <a:xfrm rot="5400000">
          <a:off x="4198920" y="5690237"/>
          <a:ext cx="367652" cy="904874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152" name="AutoShape 513">
          <a:extLst>
            <a:ext uri="{FF2B5EF4-FFF2-40B4-BE49-F238E27FC236}">
              <a16:creationId xmlns:a16="http://schemas.microsoft.com/office/drawing/2014/main" id="{8DD4B730-C009-48C7-BCB7-25F5C07D2623}"/>
            </a:ext>
          </a:extLst>
        </xdr:cNvPr>
        <xdr:cNvCxnSpPr>
          <a:cxnSpLocks noChangeShapeType="1"/>
          <a:stCxn id="3149" idx="2"/>
          <a:endCxn id="31" idx="0"/>
        </xdr:cNvCxnSpPr>
      </xdr:nvCxnSpPr>
      <xdr:spPr bwMode="auto">
        <a:xfrm rot="5400000">
          <a:off x="1847505" y="7346943"/>
          <a:ext cx="4314844" cy="3298817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3153" name="Group 195">
          <a:extLst>
            <a:ext uri="{FF2B5EF4-FFF2-40B4-BE49-F238E27FC236}">
              <a16:creationId xmlns:a16="http://schemas.microsoft.com/office/drawing/2014/main" id="{570E18A4-05A1-4756-B12B-D1865DAA3C07}"/>
            </a:ext>
          </a:extLst>
        </xdr:cNvPr>
        <xdr:cNvGrpSpPr>
          <a:grpSpLocks/>
        </xdr:cNvGrpSpPr>
      </xdr:nvGrpSpPr>
      <xdr:grpSpPr bwMode="auto">
        <a:xfrm flipH="1">
          <a:off x="1059180" y="11003280"/>
          <a:ext cx="655383" cy="330973"/>
          <a:chOff x="357" y="331"/>
          <a:chExt cx="121" cy="29"/>
        </a:xfrm>
      </xdr:grpSpPr>
      <xdr:sp macro="" textlink="">
        <xdr:nvSpPr>
          <xdr:cNvPr id="3154" name="Line 196">
            <a:extLst>
              <a:ext uri="{FF2B5EF4-FFF2-40B4-BE49-F238E27FC236}">
                <a16:creationId xmlns:a16="http://schemas.microsoft.com/office/drawing/2014/main" id="{EEAC9560-0E84-41AE-1162-EAA7FACA484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55" name="Line 197">
            <a:extLst>
              <a:ext uri="{FF2B5EF4-FFF2-40B4-BE49-F238E27FC236}">
                <a16:creationId xmlns:a16="http://schemas.microsoft.com/office/drawing/2014/main" id="{26C2A255-086D-2670-2E1C-F4495613FCCF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3156" name="グループ化 3155">
          <a:extLst>
            <a:ext uri="{FF2B5EF4-FFF2-40B4-BE49-F238E27FC236}">
              <a16:creationId xmlns:a16="http://schemas.microsoft.com/office/drawing/2014/main" id="{DD978521-0ED9-4193-8EDD-52407D63B4DE}"/>
            </a:ext>
          </a:extLst>
        </xdr:cNvPr>
        <xdr:cNvGrpSpPr/>
      </xdr:nvGrpSpPr>
      <xdr:grpSpPr>
        <a:xfrm>
          <a:off x="1717342" y="9608820"/>
          <a:ext cx="1028700" cy="616195"/>
          <a:chOff x="2200275" y="4448175"/>
          <a:chExt cx="1200151" cy="619126"/>
        </a:xfrm>
      </xdr:grpSpPr>
      <xdr:sp macro="" textlink="">
        <xdr:nvSpPr>
          <xdr:cNvPr id="3157" name="Text Box 93">
            <a:extLst>
              <a:ext uri="{FF2B5EF4-FFF2-40B4-BE49-F238E27FC236}">
                <a16:creationId xmlns:a16="http://schemas.microsoft.com/office/drawing/2014/main" id="{3D393314-81DE-D0EF-4EE6-7195FBD370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3158" name="Rectangle 95">
            <a:extLst>
              <a:ext uri="{FF2B5EF4-FFF2-40B4-BE49-F238E27FC236}">
                <a16:creationId xmlns:a16="http://schemas.microsoft.com/office/drawing/2014/main" id="{8402EEE5-9293-36D3-C9F2-876888D82EF5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9" name="Text Box 93">
            <a:extLst>
              <a:ext uri="{FF2B5EF4-FFF2-40B4-BE49-F238E27FC236}">
                <a16:creationId xmlns:a16="http://schemas.microsoft.com/office/drawing/2014/main" id="{874E7FD3-64E1-FB3C-8818-D87B2F18ED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3160" name="AutoShape 576">
          <a:extLst>
            <a:ext uri="{FF2B5EF4-FFF2-40B4-BE49-F238E27FC236}">
              <a16:creationId xmlns:a16="http://schemas.microsoft.com/office/drawing/2014/main" id="{5E82ED9B-B4CA-452E-8F89-8E9A4AF69D82}"/>
            </a:ext>
          </a:extLst>
        </xdr:cNvPr>
        <xdr:cNvSpPr>
          <a:spLocks noChangeArrowheads="1"/>
        </xdr:cNvSpPr>
      </xdr:nvSpPr>
      <xdr:spPr bwMode="auto">
        <a:xfrm>
          <a:off x="3524250" y="10420350"/>
          <a:ext cx="714375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3161" name="AutoShape 513">
          <a:extLst>
            <a:ext uri="{FF2B5EF4-FFF2-40B4-BE49-F238E27FC236}">
              <a16:creationId xmlns:a16="http://schemas.microsoft.com/office/drawing/2014/main" id="{6C8509D8-FE22-466F-A951-6EFF9E55CF82}"/>
            </a:ext>
          </a:extLst>
        </xdr:cNvPr>
        <xdr:cNvCxnSpPr>
          <a:cxnSpLocks noChangeShapeType="1"/>
          <a:stCxn id="3158" idx="2"/>
          <a:endCxn id="3160" idx="0"/>
        </xdr:cNvCxnSpPr>
      </xdr:nvCxnSpPr>
      <xdr:spPr bwMode="auto">
        <a:xfrm rot="16200000" flipH="1">
          <a:off x="2934610" y="9472567"/>
          <a:ext cx="368690" cy="1526873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162" name="Rectangle 530">
          <a:extLst>
            <a:ext uri="{FF2B5EF4-FFF2-40B4-BE49-F238E27FC236}">
              <a16:creationId xmlns:a16="http://schemas.microsoft.com/office/drawing/2014/main" id="{EF38F83D-7CAA-4F1E-B5D6-4DE6CC6EB7F5}"/>
            </a:ext>
          </a:extLst>
        </xdr:cNvPr>
        <xdr:cNvSpPr>
          <a:spLocks noChangeArrowheads="1"/>
        </xdr:cNvSpPr>
      </xdr:nvSpPr>
      <xdr:spPr bwMode="auto">
        <a:xfrm>
          <a:off x="3200400" y="10010775"/>
          <a:ext cx="886665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163" name="Rectangle 530">
          <a:extLst>
            <a:ext uri="{FF2B5EF4-FFF2-40B4-BE49-F238E27FC236}">
              <a16:creationId xmlns:a16="http://schemas.microsoft.com/office/drawing/2014/main" id="{0811AD75-DF5A-4B06-B473-6D6411CC3C46}"/>
            </a:ext>
          </a:extLst>
        </xdr:cNvPr>
        <xdr:cNvSpPr>
          <a:spLocks noChangeArrowheads="1"/>
        </xdr:cNvSpPr>
      </xdr:nvSpPr>
      <xdr:spPr bwMode="auto">
        <a:xfrm>
          <a:off x="2381250" y="10544175"/>
          <a:ext cx="896190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164" name="AutoShape 108">
          <a:extLst>
            <a:ext uri="{FF2B5EF4-FFF2-40B4-BE49-F238E27FC236}">
              <a16:creationId xmlns:a16="http://schemas.microsoft.com/office/drawing/2014/main" id="{A148949B-A0D1-4282-A83D-9ECAF5CBA8D0}"/>
            </a:ext>
          </a:extLst>
        </xdr:cNvPr>
        <xdr:cNvCxnSpPr>
          <a:cxnSpLocks noChangeShapeType="1"/>
          <a:stCxn id="3157" idx="2"/>
          <a:endCxn id="3136" idx="0"/>
        </xdr:cNvCxnSpPr>
      </xdr:nvCxnSpPr>
      <xdr:spPr bwMode="auto">
        <a:xfrm>
          <a:off x="2355517" y="10051658"/>
          <a:ext cx="1" cy="11095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3166" name="AutoShape 90">
          <a:extLst>
            <a:ext uri="{FF2B5EF4-FFF2-40B4-BE49-F238E27FC236}">
              <a16:creationId xmlns:a16="http://schemas.microsoft.com/office/drawing/2014/main" id="{E7610B74-DB7D-47A5-BEC5-BB6278F75FE1}"/>
            </a:ext>
          </a:extLst>
        </xdr:cNvPr>
        <xdr:cNvSpPr>
          <a:spLocks noChangeArrowheads="1"/>
        </xdr:cNvSpPr>
      </xdr:nvSpPr>
      <xdr:spPr bwMode="auto">
        <a:xfrm>
          <a:off x="1733550" y="8362950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3167" name="AutoShape 108">
          <a:extLst>
            <a:ext uri="{FF2B5EF4-FFF2-40B4-BE49-F238E27FC236}">
              <a16:creationId xmlns:a16="http://schemas.microsoft.com/office/drawing/2014/main" id="{019BDEB7-7561-45F6-A06F-5E5C6AAFDF7B}"/>
            </a:ext>
          </a:extLst>
        </xdr:cNvPr>
        <xdr:cNvCxnSpPr>
          <a:cxnSpLocks noChangeShapeType="1"/>
          <a:stCxn id="3166" idx="2"/>
          <a:endCxn id="3159" idx="0"/>
        </xdr:cNvCxnSpPr>
      </xdr:nvCxnSpPr>
      <xdr:spPr bwMode="auto">
        <a:xfrm flipH="1">
          <a:off x="2355518" y="8877300"/>
          <a:ext cx="4222" cy="5694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164814</xdr:colOff>
      <xdr:row>72</xdr:row>
      <xdr:rowOff>20955</xdr:rowOff>
    </xdr:from>
    <xdr:to>
      <xdr:col>25</xdr:col>
      <xdr:colOff>179914</xdr:colOff>
      <xdr:row>75</xdr:row>
      <xdr:rowOff>29748</xdr:rowOff>
    </xdr:to>
    <xdr:sp macro="" textlink="">
      <xdr:nvSpPr>
        <xdr:cNvPr id="32" name="AutoShape 176">
          <a:extLst>
            <a:ext uri="{FF2B5EF4-FFF2-40B4-BE49-F238E27FC236}">
              <a16:creationId xmlns:a16="http://schemas.microsoft.com/office/drawing/2014/main" id="{0D9CC831-4654-43C5-825C-C8DE89152B46}"/>
            </a:ext>
          </a:extLst>
        </xdr:cNvPr>
        <xdr:cNvSpPr>
          <a:spLocks noChangeArrowheads="1"/>
        </xdr:cNvSpPr>
      </xdr:nvSpPr>
      <xdr:spPr bwMode="auto">
        <a:xfrm>
          <a:off x="3965289" y="12365355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16</xdr:col>
      <xdr:colOff>57150</xdr:colOff>
      <xdr:row>69</xdr:row>
      <xdr:rowOff>133350</xdr:rowOff>
    </xdr:from>
    <xdr:to>
      <xdr:col>19</xdr:col>
      <xdr:colOff>104775</xdr:colOff>
      <xdr:row>76</xdr:row>
      <xdr:rowOff>161925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3A00519-0202-F24E-1D5B-EBF841D84859}"/>
            </a:ext>
          </a:extLst>
        </xdr:cNvPr>
        <xdr:cNvCxnSpPr/>
      </xdr:nvCxnSpPr>
      <xdr:spPr bwMode="auto">
        <a:xfrm flipH="1" flipV="1">
          <a:off x="3257550" y="11963400"/>
          <a:ext cx="647700" cy="12287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</row>
    <row r="9" spans="1:52" s="59" customForma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s="59" customFormat="1">
      <c r="A10" s="70" t="s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s="59" customForma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s="59" customForma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59" customFormat="1">
      <c r="A13" s="70" t="s">
        <v>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s="59" customForma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s="59" customForma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s="59" customFormat="1"/>
    <row r="17" spans="1:52" s="59" customFormat="1" ht="18.75">
      <c r="A17" s="71" t="s">
        <v>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>
      <c r="A22" s="87">
        <v>45772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s="59" customForma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s="59" customFormat="1">
      <c r="A24" s="88" t="s">
        <v>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s="59" customForma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s="59" customFormat="1"/>
    <row r="27" spans="1:52" s="59" customFormat="1"/>
    <row r="28" spans="1:52" s="59" customFormat="1">
      <c r="V28" s="89" t="s">
        <v>6</v>
      </c>
      <c r="W28" s="90"/>
      <c r="X28" s="90"/>
      <c r="Y28" s="90"/>
      <c r="Z28" s="91"/>
      <c r="AA28" s="89" t="s">
        <v>7</v>
      </c>
      <c r="AB28" s="90"/>
      <c r="AC28" s="90"/>
      <c r="AD28" s="90"/>
      <c r="AE28" s="91"/>
    </row>
    <row r="29" spans="1:52" s="59" customFormat="1">
      <c r="V29" s="72"/>
      <c r="W29" s="73"/>
      <c r="X29" s="73"/>
      <c r="Y29" s="73"/>
      <c r="Z29" s="74"/>
      <c r="AA29" s="72">
        <v>45772</v>
      </c>
      <c r="AB29" s="73"/>
      <c r="AC29" s="73"/>
      <c r="AD29" s="73"/>
      <c r="AE29" s="74"/>
    </row>
    <row r="30" spans="1:52" s="59" customFormat="1">
      <c r="V30" s="75"/>
      <c r="W30" s="76"/>
      <c r="X30" s="76"/>
      <c r="Y30" s="76"/>
      <c r="Z30" s="77"/>
      <c r="AA30" s="81" t="s">
        <v>8</v>
      </c>
      <c r="AB30" s="82"/>
      <c r="AC30" s="82"/>
      <c r="AD30" s="82"/>
      <c r="AE30" s="83"/>
    </row>
    <row r="31" spans="1:52" s="59" customFormat="1">
      <c r="V31" s="75"/>
      <c r="W31" s="76"/>
      <c r="X31" s="76"/>
      <c r="Y31" s="76"/>
      <c r="Z31" s="77"/>
      <c r="AA31" s="81"/>
      <c r="AB31" s="82"/>
      <c r="AC31" s="82"/>
      <c r="AD31" s="82"/>
      <c r="AE31" s="83"/>
    </row>
    <row r="32" spans="1:52" s="59" customFormat="1">
      <c r="V32" s="75"/>
      <c r="W32" s="76"/>
      <c r="X32" s="76"/>
      <c r="Y32" s="76"/>
      <c r="Z32" s="77"/>
      <c r="AA32" s="81"/>
      <c r="AB32" s="82"/>
      <c r="AC32" s="82"/>
      <c r="AD32" s="82"/>
      <c r="AE32" s="83"/>
    </row>
    <row r="33" spans="22:31" s="59" customFormat="1">
      <c r="V33" s="75"/>
      <c r="W33" s="76"/>
      <c r="X33" s="76"/>
      <c r="Y33" s="76"/>
      <c r="Z33" s="77"/>
      <c r="AA33" s="81"/>
      <c r="AB33" s="82"/>
      <c r="AC33" s="82"/>
      <c r="AD33" s="82"/>
      <c r="AE33" s="83"/>
    </row>
    <row r="34" spans="22:31" s="59" customFormat="1">
      <c r="V34" s="78"/>
      <c r="W34" s="79"/>
      <c r="X34" s="79"/>
      <c r="Y34" s="79"/>
      <c r="Z34" s="80"/>
      <c r="AA34" s="84"/>
      <c r="AB34" s="85"/>
      <c r="AC34" s="85"/>
      <c r="AD34" s="85"/>
      <c r="AE34" s="86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98" t="s">
        <v>9</v>
      </c>
      <c r="B1" s="99"/>
      <c r="C1" s="99"/>
      <c r="D1" s="99"/>
      <c r="E1" s="99"/>
      <c r="F1" s="104" t="s">
        <v>10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13" t="s">
        <v>11</v>
      </c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3" t="s">
        <v>12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7"/>
      <c r="AS1" s="113" t="s">
        <v>13</v>
      </c>
      <c r="AT1" s="114"/>
      <c r="AU1" s="114"/>
      <c r="AV1" s="114"/>
      <c r="AW1" s="114"/>
      <c r="AX1" s="114"/>
      <c r="AY1" s="114"/>
      <c r="AZ1" s="114"/>
      <c r="BA1" s="117"/>
      <c r="BB1" s="113" t="s">
        <v>14</v>
      </c>
      <c r="BC1" s="114"/>
      <c r="BD1" s="114"/>
      <c r="BE1" s="117"/>
      <c r="BF1" s="113" t="s">
        <v>15</v>
      </c>
      <c r="BG1" s="114"/>
      <c r="BH1" s="114"/>
      <c r="BI1" s="117"/>
      <c r="BJ1" s="113" t="s">
        <v>16</v>
      </c>
      <c r="BK1" s="114"/>
      <c r="BL1" s="114"/>
      <c r="BM1" s="117"/>
      <c r="BN1" s="113" t="s">
        <v>17</v>
      </c>
      <c r="BO1" s="114"/>
      <c r="BP1" s="114"/>
      <c r="BQ1" s="117"/>
    </row>
    <row r="2" spans="1:69" ht="13.5" customHeight="1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15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5"/>
      <c r="AI2" s="116"/>
      <c r="AJ2" s="116"/>
      <c r="AK2" s="116"/>
      <c r="AL2" s="116"/>
      <c r="AM2" s="116"/>
      <c r="AN2" s="116"/>
      <c r="AO2" s="116"/>
      <c r="AP2" s="116"/>
      <c r="AQ2" s="116"/>
      <c r="AR2" s="118"/>
      <c r="AS2" s="115"/>
      <c r="AT2" s="116"/>
      <c r="AU2" s="116"/>
      <c r="AV2" s="116"/>
      <c r="AW2" s="116"/>
      <c r="AX2" s="116"/>
      <c r="AY2" s="116"/>
      <c r="AZ2" s="116"/>
      <c r="BA2" s="118"/>
      <c r="BB2" s="115"/>
      <c r="BC2" s="116"/>
      <c r="BD2" s="116"/>
      <c r="BE2" s="118"/>
      <c r="BF2" s="115"/>
      <c r="BG2" s="116"/>
      <c r="BH2" s="116"/>
      <c r="BI2" s="118"/>
      <c r="BJ2" s="115"/>
      <c r="BK2" s="116"/>
      <c r="BL2" s="116"/>
      <c r="BM2" s="118"/>
      <c r="BN2" s="115"/>
      <c r="BO2" s="116"/>
      <c r="BP2" s="116"/>
      <c r="BQ2" s="118"/>
    </row>
    <row r="3" spans="1:69" ht="13.5" customHeight="1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119" t="s">
        <v>18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3"/>
      <c r="AS3" s="119" t="s">
        <v>20</v>
      </c>
      <c r="AT3" s="120"/>
      <c r="AU3" s="120"/>
      <c r="AV3" s="120"/>
      <c r="AW3" s="120"/>
      <c r="AX3" s="120"/>
      <c r="AY3" s="120"/>
      <c r="AZ3" s="120"/>
      <c r="BA3" s="123"/>
      <c r="BB3" s="119" t="s">
        <v>8</v>
      </c>
      <c r="BC3" s="120"/>
      <c r="BD3" s="120"/>
      <c r="BE3" s="123"/>
      <c r="BF3" s="125">
        <v>45772</v>
      </c>
      <c r="BG3" s="126"/>
      <c r="BH3" s="126"/>
      <c r="BI3" s="127"/>
      <c r="BJ3" s="119"/>
      <c r="BK3" s="120"/>
      <c r="BL3" s="120"/>
      <c r="BM3" s="123"/>
      <c r="BN3" s="125"/>
      <c r="BO3" s="126"/>
      <c r="BP3" s="126"/>
      <c r="BQ3" s="127"/>
    </row>
    <row r="4" spans="1:69" ht="13.5" customHeight="1" thickBot="1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21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1"/>
      <c r="AI4" s="122"/>
      <c r="AJ4" s="122"/>
      <c r="AK4" s="122"/>
      <c r="AL4" s="122"/>
      <c r="AM4" s="122"/>
      <c r="AN4" s="122"/>
      <c r="AO4" s="122"/>
      <c r="AP4" s="122"/>
      <c r="AQ4" s="122"/>
      <c r="AR4" s="124"/>
      <c r="AS4" s="121"/>
      <c r="AT4" s="122"/>
      <c r="AU4" s="122"/>
      <c r="AV4" s="122"/>
      <c r="AW4" s="122"/>
      <c r="AX4" s="122"/>
      <c r="AY4" s="122"/>
      <c r="AZ4" s="122"/>
      <c r="BA4" s="124"/>
      <c r="BB4" s="121"/>
      <c r="BC4" s="122"/>
      <c r="BD4" s="122"/>
      <c r="BE4" s="124"/>
      <c r="BF4" s="128"/>
      <c r="BG4" s="129"/>
      <c r="BH4" s="129"/>
      <c r="BI4" s="130"/>
      <c r="BJ4" s="121"/>
      <c r="BK4" s="122"/>
      <c r="BL4" s="122"/>
      <c r="BM4" s="124"/>
      <c r="BN4" s="128"/>
      <c r="BO4" s="129"/>
      <c r="BP4" s="129"/>
      <c r="BQ4" s="130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37" t="s">
        <v>21</v>
      </c>
      <c r="C7" s="137"/>
      <c r="D7" s="134" t="s">
        <v>22</v>
      </c>
      <c r="E7" s="135"/>
      <c r="F7" s="135"/>
      <c r="G7" s="136"/>
      <c r="H7" s="137" t="s">
        <v>23</v>
      </c>
      <c r="I7" s="137"/>
      <c r="J7" s="137"/>
      <c r="K7" s="137"/>
      <c r="L7" s="137" t="s">
        <v>24</v>
      </c>
      <c r="M7" s="137"/>
      <c r="N7" s="137"/>
      <c r="O7" s="134" t="s">
        <v>25</v>
      </c>
      <c r="P7" s="136"/>
      <c r="Q7" s="131" t="s">
        <v>26</v>
      </c>
      <c r="R7" s="132"/>
      <c r="S7" s="132"/>
      <c r="T7" s="133"/>
      <c r="U7" s="134" t="s">
        <v>27</v>
      </c>
      <c r="V7" s="135"/>
      <c r="W7" s="135"/>
      <c r="X7" s="135"/>
      <c r="Y7" s="135"/>
      <c r="Z7" s="135"/>
      <c r="AA7" s="135"/>
      <c r="AB7" s="135"/>
      <c r="AC7" s="135"/>
      <c r="AD7" s="135"/>
      <c r="AE7" s="136"/>
      <c r="AF7" s="134" t="s">
        <v>28</v>
      </c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6"/>
      <c r="AY7" s="134" t="s">
        <v>29</v>
      </c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6"/>
      <c r="BQ7" s="24"/>
    </row>
    <row r="8" spans="1:69" ht="13.5" customHeight="1">
      <c r="A8" s="23"/>
      <c r="B8" s="95">
        <f t="shared" ref="B8" si="0">ROW()-7</f>
        <v>1</v>
      </c>
      <c r="C8" s="96"/>
      <c r="D8" s="138" t="s">
        <v>30</v>
      </c>
      <c r="E8" s="93"/>
      <c r="F8" s="93"/>
      <c r="G8" s="94"/>
      <c r="H8" s="97">
        <v>45772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95">
        <f t="shared" ref="B9:B51" si="1">ROW()-7</f>
        <v>2</v>
      </c>
      <c r="C9" s="96"/>
      <c r="D9" s="92"/>
      <c r="E9" s="93"/>
      <c r="F9" s="93"/>
      <c r="G9" s="94"/>
      <c r="H9" s="97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95">
        <f t="shared" si="1"/>
        <v>3</v>
      </c>
      <c r="C10" s="96"/>
      <c r="D10" s="92"/>
      <c r="E10" s="93"/>
      <c r="F10" s="93"/>
      <c r="G10" s="94"/>
      <c r="H10" s="97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95">
        <f t="shared" si="1"/>
        <v>4</v>
      </c>
      <c r="C11" s="96"/>
      <c r="D11" s="92"/>
      <c r="E11" s="93"/>
      <c r="F11" s="93"/>
      <c r="G11" s="94"/>
      <c r="H11" s="97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95">
        <f t="shared" si="1"/>
        <v>5</v>
      </c>
      <c r="C12" s="96"/>
      <c r="D12" s="92"/>
      <c r="E12" s="93"/>
      <c r="F12" s="93"/>
      <c r="G12" s="94"/>
      <c r="H12" s="97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95">
        <f t="shared" si="1"/>
        <v>6</v>
      </c>
      <c r="C13" s="96"/>
      <c r="D13" s="92"/>
      <c r="E13" s="93"/>
      <c r="F13" s="93"/>
      <c r="G13" s="94"/>
      <c r="H13" s="97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95">
        <f t="shared" si="1"/>
        <v>7</v>
      </c>
      <c r="C14" s="96"/>
      <c r="D14" s="92"/>
      <c r="E14" s="93"/>
      <c r="F14" s="93"/>
      <c r="G14" s="94"/>
      <c r="H14" s="97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95">
        <f t="shared" si="1"/>
        <v>8</v>
      </c>
      <c r="C15" s="96"/>
      <c r="D15" s="92"/>
      <c r="E15" s="93"/>
      <c r="F15" s="93"/>
      <c r="G15" s="94"/>
      <c r="H15" s="97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95">
        <f t="shared" si="1"/>
        <v>9</v>
      </c>
      <c r="C16" s="96"/>
      <c r="D16" s="92"/>
      <c r="E16" s="93"/>
      <c r="F16" s="93"/>
      <c r="G16" s="94"/>
      <c r="H16" s="97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95">
        <f t="shared" si="1"/>
        <v>10</v>
      </c>
      <c r="C17" s="96"/>
      <c r="D17" s="92"/>
      <c r="E17" s="93"/>
      <c r="F17" s="93"/>
      <c r="G17" s="94"/>
      <c r="H17" s="97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95">
        <f t="shared" si="1"/>
        <v>11</v>
      </c>
      <c r="C18" s="96"/>
      <c r="D18" s="92"/>
      <c r="E18" s="93"/>
      <c r="F18" s="93"/>
      <c r="G18" s="94"/>
      <c r="H18" s="97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95">
        <f t="shared" si="1"/>
        <v>12</v>
      </c>
      <c r="C19" s="96"/>
      <c r="D19" s="92"/>
      <c r="E19" s="93"/>
      <c r="F19" s="93"/>
      <c r="G19" s="94"/>
      <c r="H19" s="97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95">
        <f t="shared" si="1"/>
        <v>13</v>
      </c>
      <c r="C20" s="96"/>
      <c r="D20" s="92"/>
      <c r="E20" s="93"/>
      <c r="F20" s="93"/>
      <c r="G20" s="94"/>
      <c r="H20" s="97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95">
        <f t="shared" si="1"/>
        <v>14</v>
      </c>
      <c r="C21" s="96"/>
      <c r="D21" s="92"/>
      <c r="E21" s="93"/>
      <c r="F21" s="93"/>
      <c r="G21" s="94"/>
      <c r="H21" s="97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95">
        <f t="shared" si="1"/>
        <v>15</v>
      </c>
      <c r="C22" s="96"/>
      <c r="D22" s="92"/>
      <c r="E22" s="93"/>
      <c r="F22" s="93"/>
      <c r="G22" s="94"/>
      <c r="H22" s="97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95">
        <f t="shared" si="1"/>
        <v>16</v>
      </c>
      <c r="C23" s="96"/>
      <c r="D23" s="92"/>
      <c r="E23" s="93"/>
      <c r="F23" s="93"/>
      <c r="G23" s="94"/>
      <c r="H23" s="97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95">
        <f t="shared" si="1"/>
        <v>17</v>
      </c>
      <c r="C24" s="96"/>
      <c r="D24" s="92"/>
      <c r="E24" s="93"/>
      <c r="F24" s="93"/>
      <c r="G24" s="94"/>
      <c r="H24" s="97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95">
        <f t="shared" si="1"/>
        <v>18</v>
      </c>
      <c r="C25" s="96"/>
      <c r="D25" s="92"/>
      <c r="E25" s="93"/>
      <c r="F25" s="93"/>
      <c r="G25" s="94"/>
      <c r="H25" s="97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95">
        <f t="shared" si="1"/>
        <v>19</v>
      </c>
      <c r="C26" s="96"/>
      <c r="D26" s="92"/>
      <c r="E26" s="93"/>
      <c r="F26" s="93"/>
      <c r="G26" s="94"/>
      <c r="H26" s="97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95">
        <f t="shared" si="1"/>
        <v>20</v>
      </c>
      <c r="C27" s="96"/>
      <c r="D27" s="92"/>
      <c r="E27" s="93"/>
      <c r="F27" s="93"/>
      <c r="G27" s="94"/>
      <c r="H27" s="97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95">
        <f t="shared" si="1"/>
        <v>21</v>
      </c>
      <c r="C28" s="96"/>
      <c r="D28" s="92"/>
      <c r="E28" s="93"/>
      <c r="F28" s="93"/>
      <c r="G28" s="94"/>
      <c r="H28" s="97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95">
        <f t="shared" si="1"/>
        <v>22</v>
      </c>
      <c r="C29" s="96"/>
      <c r="D29" s="92"/>
      <c r="E29" s="93"/>
      <c r="F29" s="93"/>
      <c r="G29" s="94"/>
      <c r="H29" s="97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95">
        <f t="shared" si="1"/>
        <v>23</v>
      </c>
      <c r="C30" s="96"/>
      <c r="D30" s="92"/>
      <c r="E30" s="93"/>
      <c r="F30" s="93"/>
      <c r="G30" s="94"/>
      <c r="H30" s="97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95">
        <f t="shared" si="1"/>
        <v>24</v>
      </c>
      <c r="C31" s="96"/>
      <c r="D31" s="92"/>
      <c r="E31" s="93"/>
      <c r="F31" s="93"/>
      <c r="G31" s="94"/>
      <c r="H31" s="97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95">
        <f t="shared" si="1"/>
        <v>25</v>
      </c>
      <c r="C32" s="96"/>
      <c r="D32" s="92"/>
      <c r="E32" s="93"/>
      <c r="F32" s="93"/>
      <c r="G32" s="94"/>
      <c r="H32" s="97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95">
        <f t="shared" si="1"/>
        <v>26</v>
      </c>
      <c r="C33" s="96"/>
      <c r="D33" s="92"/>
      <c r="E33" s="93"/>
      <c r="F33" s="93"/>
      <c r="G33" s="94"/>
      <c r="H33" s="97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95">
        <f t="shared" si="1"/>
        <v>27</v>
      </c>
      <c r="C34" s="96"/>
      <c r="D34" s="92"/>
      <c r="E34" s="93"/>
      <c r="F34" s="93"/>
      <c r="G34" s="94"/>
      <c r="H34" s="97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95">
        <f t="shared" si="1"/>
        <v>28</v>
      </c>
      <c r="C35" s="96"/>
      <c r="D35" s="92"/>
      <c r="E35" s="93"/>
      <c r="F35" s="93"/>
      <c r="G35" s="94"/>
      <c r="H35" s="97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95">
        <f t="shared" si="1"/>
        <v>29</v>
      </c>
      <c r="C36" s="96"/>
      <c r="D36" s="92"/>
      <c r="E36" s="93"/>
      <c r="F36" s="93"/>
      <c r="G36" s="94"/>
      <c r="H36" s="97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95">
        <f t="shared" si="1"/>
        <v>30</v>
      </c>
      <c r="C37" s="96"/>
      <c r="D37" s="92"/>
      <c r="E37" s="93"/>
      <c r="F37" s="93"/>
      <c r="G37" s="94"/>
      <c r="H37" s="97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95">
        <f t="shared" si="1"/>
        <v>31</v>
      </c>
      <c r="C38" s="96"/>
      <c r="D38" s="92"/>
      <c r="E38" s="93"/>
      <c r="F38" s="93"/>
      <c r="G38" s="94"/>
      <c r="H38" s="97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95">
        <f t="shared" si="1"/>
        <v>32</v>
      </c>
      <c r="C39" s="96"/>
      <c r="D39" s="92"/>
      <c r="E39" s="93"/>
      <c r="F39" s="93"/>
      <c r="G39" s="94"/>
      <c r="H39" s="97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95">
        <f t="shared" si="1"/>
        <v>33</v>
      </c>
      <c r="C40" s="96"/>
      <c r="D40" s="92"/>
      <c r="E40" s="93"/>
      <c r="F40" s="93"/>
      <c r="G40" s="94"/>
      <c r="H40" s="97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95">
        <f t="shared" si="1"/>
        <v>34</v>
      </c>
      <c r="C41" s="96"/>
      <c r="D41" s="92"/>
      <c r="E41" s="93"/>
      <c r="F41" s="93"/>
      <c r="G41" s="94"/>
      <c r="H41" s="97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95">
        <f t="shared" si="1"/>
        <v>35</v>
      </c>
      <c r="C42" s="96"/>
      <c r="D42" s="92"/>
      <c r="E42" s="93"/>
      <c r="F42" s="93"/>
      <c r="G42" s="94"/>
      <c r="H42" s="97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95">
        <f t="shared" si="1"/>
        <v>36</v>
      </c>
      <c r="C43" s="96"/>
      <c r="D43" s="92"/>
      <c r="E43" s="93"/>
      <c r="F43" s="93"/>
      <c r="G43" s="94"/>
      <c r="H43" s="97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95">
        <f t="shared" si="1"/>
        <v>37</v>
      </c>
      <c r="C44" s="96"/>
      <c r="D44" s="92"/>
      <c r="E44" s="93"/>
      <c r="F44" s="93"/>
      <c r="G44" s="94"/>
      <c r="H44" s="97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95">
        <f t="shared" si="1"/>
        <v>38</v>
      </c>
      <c r="C45" s="96"/>
      <c r="D45" s="92"/>
      <c r="E45" s="93"/>
      <c r="F45" s="93"/>
      <c r="G45" s="94"/>
      <c r="H45" s="97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95">
        <f t="shared" si="1"/>
        <v>39</v>
      </c>
      <c r="C46" s="96"/>
      <c r="D46" s="92"/>
      <c r="E46" s="93"/>
      <c r="F46" s="93"/>
      <c r="G46" s="94"/>
      <c r="H46" s="97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95">
        <f t="shared" si="1"/>
        <v>40</v>
      </c>
      <c r="C47" s="96"/>
      <c r="D47" s="92"/>
      <c r="E47" s="93"/>
      <c r="F47" s="93"/>
      <c r="G47" s="94"/>
      <c r="H47" s="97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95">
        <f t="shared" si="1"/>
        <v>41</v>
      </c>
      <c r="C48" s="96"/>
      <c r="D48" s="92"/>
      <c r="E48" s="93"/>
      <c r="F48" s="93"/>
      <c r="G48" s="94"/>
      <c r="H48" s="97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95">
        <f t="shared" si="1"/>
        <v>42</v>
      </c>
      <c r="C49" s="96"/>
      <c r="D49" s="92"/>
      <c r="E49" s="93"/>
      <c r="F49" s="93"/>
      <c r="G49" s="94"/>
      <c r="H49" s="97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95">
        <f t="shared" si="1"/>
        <v>43</v>
      </c>
      <c r="C50" s="96"/>
      <c r="D50" s="92"/>
      <c r="E50" s="93"/>
      <c r="F50" s="93"/>
      <c r="G50" s="94"/>
      <c r="H50" s="97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95">
        <f t="shared" si="1"/>
        <v>44</v>
      </c>
      <c r="C51" s="96"/>
      <c r="D51" s="92"/>
      <c r="E51" s="93"/>
      <c r="F51" s="93"/>
      <c r="G51" s="94"/>
      <c r="H51" s="97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2"/>
  <sheetViews>
    <sheetView showGridLines="0" view="pageBreakPreview" zoomScaleNormal="100" zoomScaleSheetLayoutView="100" workbookViewId="0">
      <selection sqref="A1:F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98" t="s">
        <v>9</v>
      </c>
      <c r="B1" s="99"/>
      <c r="C1" s="99"/>
      <c r="D1" s="99"/>
      <c r="E1" s="99"/>
      <c r="F1" s="99"/>
      <c r="G1" s="104" t="s">
        <v>10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13" t="s">
        <v>11</v>
      </c>
      <c r="S1" s="114"/>
      <c r="T1" s="114"/>
      <c r="U1" s="114"/>
      <c r="V1" s="114"/>
      <c r="W1" s="114"/>
      <c r="X1" s="114"/>
      <c r="Y1" s="114"/>
      <c r="Z1" s="117"/>
      <c r="AA1" s="113" t="s">
        <v>12</v>
      </c>
      <c r="AB1" s="114"/>
      <c r="AC1" s="114"/>
      <c r="AD1" s="114"/>
      <c r="AE1" s="117"/>
      <c r="AF1" s="113" t="s">
        <v>13</v>
      </c>
      <c r="AG1" s="114"/>
      <c r="AH1" s="114"/>
      <c r="AI1" s="114"/>
      <c r="AJ1" s="114"/>
      <c r="AK1" s="113" t="s">
        <v>14</v>
      </c>
      <c r="AL1" s="114"/>
      <c r="AM1" s="114"/>
      <c r="AN1" s="114"/>
      <c r="AO1" s="113" t="s">
        <v>15</v>
      </c>
      <c r="AP1" s="114"/>
      <c r="AQ1" s="114"/>
      <c r="AR1" s="114"/>
      <c r="AS1" s="113" t="s">
        <v>16</v>
      </c>
      <c r="AT1" s="114"/>
      <c r="AU1" s="114"/>
      <c r="AV1" s="117"/>
      <c r="AW1" s="113" t="s">
        <v>17</v>
      </c>
      <c r="AX1" s="114"/>
      <c r="AY1" s="114"/>
      <c r="AZ1" s="117"/>
    </row>
    <row r="2" spans="1:53" ht="13.5" customHeight="1">
      <c r="A2" s="100"/>
      <c r="B2" s="101"/>
      <c r="C2" s="101"/>
      <c r="D2" s="101"/>
      <c r="E2" s="101"/>
      <c r="F2" s="101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5"/>
      <c r="S2" s="116"/>
      <c r="T2" s="116"/>
      <c r="U2" s="116"/>
      <c r="V2" s="116"/>
      <c r="W2" s="116"/>
      <c r="X2" s="116"/>
      <c r="Y2" s="116"/>
      <c r="Z2" s="118"/>
      <c r="AA2" s="115"/>
      <c r="AB2" s="116"/>
      <c r="AC2" s="116"/>
      <c r="AD2" s="116"/>
      <c r="AE2" s="118"/>
      <c r="AF2" s="115"/>
      <c r="AG2" s="116"/>
      <c r="AH2" s="116"/>
      <c r="AI2" s="116"/>
      <c r="AJ2" s="116"/>
      <c r="AK2" s="115"/>
      <c r="AL2" s="116"/>
      <c r="AM2" s="116"/>
      <c r="AN2" s="116"/>
      <c r="AO2" s="115"/>
      <c r="AP2" s="116"/>
      <c r="AQ2" s="116"/>
      <c r="AR2" s="116"/>
      <c r="AS2" s="115"/>
      <c r="AT2" s="116"/>
      <c r="AU2" s="116"/>
      <c r="AV2" s="118"/>
      <c r="AW2" s="115"/>
      <c r="AX2" s="116"/>
      <c r="AY2" s="116"/>
      <c r="AZ2" s="118"/>
    </row>
    <row r="3" spans="1:53" ht="13.5" customHeight="1">
      <c r="A3" s="100"/>
      <c r="B3" s="101"/>
      <c r="C3" s="101"/>
      <c r="D3" s="101"/>
      <c r="E3" s="101"/>
      <c r="F3" s="101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19" t="str">
        <f>変更履歴!T3</f>
        <v>日本触媒</v>
      </c>
      <c r="S3" s="120"/>
      <c r="T3" s="120"/>
      <c r="U3" s="120"/>
      <c r="V3" s="120"/>
      <c r="W3" s="120"/>
      <c r="X3" s="120"/>
      <c r="Y3" s="120"/>
      <c r="Z3" s="123"/>
      <c r="AA3" s="119" t="str">
        <f>変更履歴!AH3</f>
        <v>NSB</v>
      </c>
      <c r="AB3" s="120"/>
      <c r="AC3" s="120"/>
      <c r="AD3" s="120"/>
      <c r="AE3" s="123"/>
      <c r="AF3" s="139" t="str">
        <f>変更履歴!AS3</f>
        <v>請求確認</v>
      </c>
      <c r="AG3" s="140"/>
      <c r="AH3" s="140"/>
      <c r="AI3" s="140"/>
      <c r="AJ3" s="140"/>
      <c r="AK3" s="119" t="str">
        <f>変更履歴!BB3</f>
        <v>FJ)松枝</v>
      </c>
      <c r="AL3" s="120"/>
      <c r="AM3" s="120"/>
      <c r="AN3" s="120"/>
      <c r="AO3" s="125">
        <f>変更履歴!BF3</f>
        <v>45772</v>
      </c>
      <c r="AP3" s="126"/>
      <c r="AQ3" s="126"/>
      <c r="AR3" s="126"/>
      <c r="AS3" s="119"/>
      <c r="AT3" s="120"/>
      <c r="AU3" s="120"/>
      <c r="AV3" s="120"/>
      <c r="AW3" s="125"/>
      <c r="AX3" s="126"/>
      <c r="AY3" s="126"/>
      <c r="AZ3" s="127"/>
    </row>
    <row r="4" spans="1:53" ht="13.5" customHeight="1" thickBot="1">
      <c r="A4" s="102"/>
      <c r="B4" s="103"/>
      <c r="C4" s="103"/>
      <c r="D4" s="103"/>
      <c r="E4" s="103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21"/>
      <c r="S4" s="122"/>
      <c r="T4" s="122"/>
      <c r="U4" s="122"/>
      <c r="V4" s="122"/>
      <c r="W4" s="122"/>
      <c r="X4" s="122"/>
      <c r="Y4" s="122"/>
      <c r="Z4" s="124"/>
      <c r="AA4" s="121"/>
      <c r="AB4" s="122"/>
      <c r="AC4" s="122"/>
      <c r="AD4" s="122"/>
      <c r="AE4" s="124"/>
      <c r="AF4" s="141"/>
      <c r="AG4" s="142"/>
      <c r="AH4" s="142"/>
      <c r="AI4" s="142"/>
      <c r="AJ4" s="142"/>
      <c r="AK4" s="121"/>
      <c r="AL4" s="122"/>
      <c r="AM4" s="122"/>
      <c r="AN4" s="122"/>
      <c r="AO4" s="128"/>
      <c r="AP4" s="129"/>
      <c r="AQ4" s="129"/>
      <c r="AR4" s="129"/>
      <c r="AS4" s="121"/>
      <c r="AT4" s="122"/>
      <c r="AU4" s="122"/>
      <c r="AV4" s="122"/>
      <c r="AW4" s="128"/>
      <c r="AX4" s="129"/>
      <c r="AY4" s="129"/>
      <c r="AZ4" s="130"/>
    </row>
    <row r="5" spans="1:53" ht="13.5" customHeight="1"/>
    <row r="6" spans="1:53" s="2" customFormat="1" ht="13.5" customHeight="1">
      <c r="A6" s="143" t="s">
        <v>35</v>
      </c>
      <c r="B6" s="155"/>
      <c r="C6" s="155"/>
      <c r="D6" s="155"/>
      <c r="E6" s="155"/>
      <c r="F6" s="156"/>
      <c r="G6" s="168" t="s">
        <v>36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70"/>
      <c r="AB6" s="143" t="s">
        <v>37</v>
      </c>
      <c r="AC6" s="155"/>
      <c r="AD6" s="155"/>
      <c r="AE6" s="155"/>
      <c r="AF6" s="155"/>
      <c r="AG6" s="156"/>
      <c r="AH6" s="168" t="s">
        <v>38</v>
      </c>
      <c r="AI6" s="169"/>
      <c r="AJ6" s="169"/>
      <c r="AK6" s="169"/>
      <c r="AL6" s="169"/>
      <c r="AM6" s="169"/>
      <c r="AN6" s="169"/>
      <c r="AO6" s="170"/>
      <c r="AP6" s="143" t="s">
        <v>39</v>
      </c>
      <c r="AQ6" s="155"/>
      <c r="AR6" s="155"/>
      <c r="AS6" s="155"/>
      <c r="AT6" s="155"/>
      <c r="AU6" s="156"/>
      <c r="AV6" s="165" t="s">
        <v>40</v>
      </c>
      <c r="AW6" s="166"/>
      <c r="AX6" s="166"/>
      <c r="AY6" s="166"/>
      <c r="AZ6" s="167"/>
    </row>
    <row r="7" spans="1:53" ht="13.5" customHeight="1">
      <c r="A7" s="143" t="s">
        <v>41</v>
      </c>
      <c r="B7" s="155"/>
      <c r="C7" s="155"/>
      <c r="D7" s="155"/>
      <c r="E7" s="155"/>
      <c r="F7" s="156"/>
      <c r="G7" s="168" t="s">
        <v>42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70"/>
      <c r="AB7" s="143" t="s">
        <v>43</v>
      </c>
      <c r="AC7" s="144"/>
      <c r="AD7" s="144"/>
      <c r="AE7" s="144"/>
      <c r="AF7" s="144"/>
      <c r="AG7" s="145"/>
      <c r="AH7" s="168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70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6" t="s">
        <v>44</v>
      </c>
      <c r="B9" s="157"/>
      <c r="C9" s="157"/>
      <c r="D9" s="158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6" t="s">
        <v>46</v>
      </c>
      <c r="AJ9" s="147"/>
      <c r="AK9" s="148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59"/>
      <c r="B10" s="160"/>
      <c r="C10" s="160"/>
      <c r="D10" s="161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9"/>
      <c r="AJ10" s="150"/>
      <c r="AK10" s="151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62"/>
      <c r="B11" s="163"/>
      <c r="C11" s="163"/>
      <c r="D11" s="164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2"/>
      <c r="AJ11" s="153"/>
      <c r="AK11" s="154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71" t="s">
        <v>50</v>
      </c>
      <c r="B12" s="172"/>
      <c r="C12" s="172"/>
      <c r="D12" s="173"/>
      <c r="E12" s="174" t="s">
        <v>51</v>
      </c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6"/>
    </row>
    <row r="13" spans="1:53" ht="13.5" customHeight="1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81" t="s">
        <v>61</v>
      </c>
      <c r="AX15" s="182"/>
      <c r="AY15" s="182"/>
      <c r="AZ15" s="183"/>
      <c r="BA15" s="37"/>
    </row>
    <row r="16" spans="1:53" ht="13.5" customHeight="1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81" t="s">
        <v>61</v>
      </c>
      <c r="AX16" s="182"/>
      <c r="AY16" s="182"/>
      <c r="AZ16" s="183"/>
      <c r="BA16" s="9"/>
    </row>
    <row r="17" spans="1:54" ht="13.5" customHeight="1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81" t="s">
        <v>66</v>
      </c>
      <c r="AX17" s="182"/>
      <c r="AY17" s="182"/>
      <c r="AZ17" s="183"/>
      <c r="BA17" s="37"/>
    </row>
    <row r="18" spans="1:54" ht="13.5" customHeight="1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81" t="s">
        <v>66</v>
      </c>
      <c r="AX18" s="182"/>
      <c r="AY18" s="182"/>
      <c r="AZ18" s="183"/>
      <c r="BA18" s="37"/>
    </row>
    <row r="19" spans="1:54" ht="13.5" customHeight="1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81" t="s">
        <v>66</v>
      </c>
      <c r="AX19" s="182"/>
      <c r="AY19" s="182"/>
      <c r="AZ19" s="183"/>
      <c r="BA19" s="9"/>
    </row>
    <row r="20" spans="1:54" ht="13.5" customHeight="1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81" t="s">
        <v>61</v>
      </c>
      <c r="AX20" s="182"/>
      <c r="AY20" s="182"/>
      <c r="AZ20" s="183"/>
      <c r="BA20" s="37"/>
    </row>
    <row r="21" spans="1:54" ht="13.5" customHeight="1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81" t="s">
        <v>61</v>
      </c>
      <c r="AX21" s="182"/>
      <c r="AY21" s="182"/>
      <c r="AZ21" s="183"/>
      <c r="BA21" s="37"/>
    </row>
    <row r="22" spans="1:54" ht="13.5" customHeight="1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81" t="s">
        <v>61</v>
      </c>
      <c r="AX22" s="182"/>
      <c r="AY22" s="182"/>
      <c r="AZ22" s="183"/>
      <c r="BA22" s="9"/>
    </row>
    <row r="23" spans="1:54" ht="13.5" customHeight="1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81" t="s">
        <v>61</v>
      </c>
      <c r="AX23" s="182"/>
      <c r="AY23" s="182"/>
      <c r="AZ23" s="183"/>
      <c r="BA23" s="9"/>
    </row>
    <row r="24" spans="1:54" ht="13.5" customHeight="1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81" t="s">
        <v>66</v>
      </c>
      <c r="AX24" s="182"/>
      <c r="AY24" s="182"/>
      <c r="AZ24" s="183"/>
      <c r="BA24" s="37"/>
    </row>
    <row r="25" spans="1:54" ht="13.5" customHeight="1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81" t="s">
        <v>66</v>
      </c>
      <c r="AX25" s="182"/>
      <c r="AY25" s="182"/>
      <c r="AZ25" s="183"/>
      <c r="BA25" s="37"/>
    </row>
    <row r="26" spans="1:54" ht="13.5" customHeight="1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81" t="s">
        <v>66</v>
      </c>
      <c r="AX26" s="182"/>
      <c r="AY26" s="182"/>
      <c r="AZ26" s="183"/>
      <c r="BA26" s="9"/>
    </row>
    <row r="27" spans="1:54" ht="13.5" customHeight="1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81"/>
      <c r="AX27" s="182"/>
      <c r="AY27" s="182"/>
      <c r="AZ27" s="183"/>
      <c r="BA27" s="37"/>
    </row>
    <row r="28" spans="1:54" ht="13.5" customHeight="1">
      <c r="A28" s="143" t="s">
        <v>10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143" t="s">
        <v>76</v>
      </c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5"/>
    </row>
    <row r="29" spans="1:54" s="2" customFormat="1" ht="13.5" customHeight="1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>
      <c r="A37" s="41"/>
      <c r="AJ37" s="13"/>
      <c r="AK37" s="54" t="s">
        <v>84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>
      <c r="A38" s="41"/>
      <c r="AJ38" s="14"/>
      <c r="AK38" s="54" t="s">
        <v>85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>
      <c r="A39" s="41"/>
      <c r="AG39" s="39"/>
      <c r="AJ39" s="14"/>
      <c r="AK39" s="54"/>
      <c r="AL39" s="1" t="s">
        <v>86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>
      <c r="A40" s="41"/>
      <c r="AA40" s="39"/>
      <c r="AB40" s="39"/>
      <c r="AJ40" s="14"/>
      <c r="AK40" s="54"/>
      <c r="AL40" s="1" t="s">
        <v>87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>
      <c r="A41" s="41"/>
      <c r="E41" s="1" t="s">
        <v>88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>
      <c r="A42" s="41"/>
      <c r="AF42" s="39"/>
      <c r="AJ42" s="14"/>
      <c r="AK42" s="54" t="s">
        <v>89</v>
      </c>
      <c r="AL42" s="54"/>
      <c r="AM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>
      <c r="A43" s="41"/>
      <c r="K43" s="1" t="s">
        <v>90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91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>
      <c r="A44" s="41"/>
      <c r="M44" s="39"/>
      <c r="O44" s="39"/>
      <c r="P44" s="39"/>
      <c r="AJ44" s="14"/>
      <c r="AK44" s="54"/>
      <c r="AL44" s="1" t="s">
        <v>92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93</v>
      </c>
      <c r="AM45" s="54"/>
      <c r="AN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>
      <c r="A46" s="41"/>
      <c r="AA46" s="39"/>
      <c r="AB46" s="39"/>
      <c r="AC46" s="39"/>
      <c r="AD46" s="39"/>
      <c r="AJ46" s="14"/>
      <c r="AK46" s="54"/>
      <c r="AL46" s="54" t="s">
        <v>94</v>
      </c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>
      <c r="A47" s="41"/>
      <c r="AA47" s="39"/>
      <c r="AB47" s="39"/>
      <c r="AC47" s="39"/>
      <c r="AD47" s="39"/>
      <c r="AJ47" s="14"/>
      <c r="AK47" s="54"/>
      <c r="AL47" s="1" t="s">
        <v>95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>
      <c r="A48" s="41"/>
      <c r="AA48" s="39"/>
      <c r="AB48" s="39"/>
      <c r="AC48" s="39"/>
      <c r="AD48" s="39"/>
      <c r="AJ48" s="14"/>
      <c r="AK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>
      <c r="A49" s="41"/>
      <c r="AA49" s="39"/>
      <c r="AB49" s="39"/>
      <c r="AC49" s="39"/>
      <c r="AD49" s="39"/>
      <c r="AJ49" s="14"/>
      <c r="AK49" s="54" t="s">
        <v>96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>
      <c r="A50" s="41"/>
      <c r="AA50" s="39"/>
      <c r="AB50" s="39"/>
      <c r="AC50" s="39"/>
      <c r="AD50" s="39"/>
      <c r="AJ50" s="14"/>
      <c r="AK50" s="54" t="s">
        <v>85</v>
      </c>
      <c r="AL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>
      <c r="A51" s="41"/>
      <c r="AA51" s="39"/>
      <c r="AB51" s="39"/>
      <c r="AC51" s="39"/>
      <c r="AD51" s="39"/>
      <c r="AJ51" s="14"/>
      <c r="AK51" s="54"/>
      <c r="AL51" s="1" t="s">
        <v>97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>
      <c r="A52" s="41"/>
      <c r="AA52" s="39"/>
      <c r="AB52" s="39"/>
      <c r="AC52" s="39"/>
      <c r="AD52" s="39"/>
      <c r="AJ52" s="14"/>
      <c r="AK52" s="54"/>
      <c r="AL52" s="1" t="s">
        <v>98</v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>
      <c r="A53" s="41"/>
      <c r="AA53" s="39"/>
      <c r="AB53" s="39"/>
      <c r="AC53" s="39"/>
      <c r="AD53" s="39"/>
      <c r="AJ53" s="14"/>
      <c r="AK53" s="54"/>
      <c r="AL53" s="1" t="s">
        <v>99</v>
      </c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7"/>
      <c r="J56" s="39"/>
      <c r="K56" s="1" t="s">
        <v>100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K58" s="54"/>
      <c r="AL58" s="54"/>
      <c r="AU58" s="54"/>
      <c r="AV58" s="54"/>
      <c r="AW58" s="54"/>
      <c r="AX58" s="54"/>
      <c r="AY58" s="54"/>
      <c r="AZ58" s="56"/>
      <c r="BA58" s="9"/>
    </row>
    <row r="59" spans="1:53" ht="13.5" customHeight="1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17"/>
      <c r="E64" s="1" t="s">
        <v>88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17"/>
      <c r="F66" s="39"/>
      <c r="K66" s="1" t="s">
        <v>101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>
      <c r="A87" s="7"/>
      <c r="M87" s="39"/>
      <c r="N87" s="39"/>
      <c r="AJ87" s="1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>
      <c r="A88" s="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6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68"/>
      <c r="BA88" s="37"/>
    </row>
    <row r="89" spans="1:53" ht="13.5" customHeight="1">
      <c r="A89" s="1"/>
      <c r="B89" s="184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>
      <c r="A90" s="1"/>
      <c r="B90" s="184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>
      <c r="A91" s="1"/>
      <c r="B91" s="184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>
      <c r="A92" s="1"/>
      <c r="B92" s="184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>
      <c r="A93" s="1"/>
      <c r="B93" s="184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>
      <c r="A94" s="1"/>
      <c r="B94" s="184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>
      <c r="A95" s="1"/>
      <c r="B95" s="184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0:AZ20"/>
    <mergeCell ref="AW22:AZ22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102</v>
      </c>
      <c r="C3" t="s">
        <v>103</v>
      </c>
    </row>
    <row r="4" spans="1:3">
      <c r="A4" t="s">
        <v>104</v>
      </c>
      <c r="C4" t="s">
        <v>105</v>
      </c>
    </row>
    <row r="5" spans="1:3">
      <c r="C5" t="s">
        <v>106</v>
      </c>
    </row>
    <row r="6" spans="1:3">
      <c r="C6" t="s">
        <v>107</v>
      </c>
    </row>
    <row r="7" spans="1:3">
      <c r="C7" t="s">
        <v>108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D7516C-4452-47B4-8447-CDA0549C1CDB}"/>
</file>

<file path=customXml/itemProps2.xml><?xml version="1.0" encoding="utf-8"?>
<ds:datastoreItem xmlns:ds="http://schemas.openxmlformats.org/officeDocument/2006/customXml" ds:itemID="{92649D5E-647D-476B-AC00-B8273A8C3A3B}"/>
</file>

<file path=customXml/itemProps3.xml><?xml version="1.0" encoding="utf-8"?>
<ds:datastoreItem xmlns:ds="http://schemas.openxmlformats.org/officeDocument/2006/customXml" ds:itemID="{96C72110-D015-40AC-ACE2-B7541EEED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2025-06-04T09:21:56Z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