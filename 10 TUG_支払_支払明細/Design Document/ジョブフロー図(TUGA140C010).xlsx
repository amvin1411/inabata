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abata.sharepoint.com/sites/dike/DIKe1/400_オプションC/540_EDIミドル移行対応（フェーズ2）/310_作成中資料/04_SS/01_Waha移行/040：ジョブネット設計/011：ジョブフロー(EDI)/TUG_テクノＵＭＧ/"/>
    </mc:Choice>
  </mc:AlternateContent>
  <xr:revisionPtr revIDLastSave="55" documentId="13_ncr:1_{97FC33E6-8703-49CE-B27D-B07D52453C36}" xr6:coauthVersionLast="47" xr6:coauthVersionMax="47" xr10:uidLastSave="{A65A685A-40F0-46F0-A64D-BFD3ADA8D1FF}"/>
  <bookViews>
    <workbookView xWindow="732" yWindow="732" windowWidth="18408" windowHeight="8832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<sst xmlns="http://schemas.openxmlformats.org/spreadsheetml/2006/main" count="83" uniqueCount="68">
  <si>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</si>
  <si>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</si>
  <si>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</si>
  <si>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</si>
  <si>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</si>
  <si>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</si>
  <si>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</si>
  <si>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</si>
  <si>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</si>
  <si>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</si>
  <si>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</si>
  <si>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</si>
  <si>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</si>
  <si>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</si>
  <si>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</si>
  <si>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</si>
  <si>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</si>
  <si>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</si>
  <si>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</si>
  <si>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</si>
  <si>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</si>
  <si>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</si>
  <si>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</si>
  <si>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</si>
  <si>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</si>
  <si>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</si>
  <si>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</si>
  <si>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</si>
  <si>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</si>
  <si>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</si>
  <si>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</si>
  <si>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</si>
  <si>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</si>
  <si>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</si>
  <si>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</si>
  <si>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</si>
  <si>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</si>
  <si>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</si>
  <si>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</si>
  <si>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</si>
  <si>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</si>
  <si>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</si>
  <si>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</si>
  <si>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</si>
  <si>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</si>
  <si>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</si>
  <si>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</si>
  <si>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</si>
  <si>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</si>
  <si>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</si>
  <si>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</si>
  <si>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</si>
  <si>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</si>
  <si>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</si>
  <si>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</si>
  <si>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送信ファイルを、EDI-Master Tran for CII（NTS）で</t>
    <rPh sb="0" eb="2">
      <t>ソウシン</t>
    </rPh>
    <phoneticPr fontId="2"/>
  </si>
  <si>
    <t>CII標準ファイルへ変換する。</t>
    <phoneticPr fontId="2"/>
  </si>
  <si>
    <t>送信ファイルをSJIS固定長テキストファイル</t>
    <phoneticPr fontId="2"/>
  </si>
  <si>
    <t>からCII標準ファイルに変換する。</t>
    <phoneticPr fontId="2"/>
  </si>
  <si>
    <t>支払・支払明細</t>
    <phoneticPr fontId="2"/>
  </si>
  <si>
    <t>FJ)国光</t>
    <rPh sb="3" eb="5">
      <t>クニミツ</t>
    </rPh>
    <phoneticPr fontId="2"/>
  </si>
  <si>
    <t>機能名称：テクノＵＭＧ_支払・支払明細データＣＩＩ変換</t>
    <rPh sb="0" eb="2">
      <t>キノウ</t>
    </rPh>
    <rPh sb="2" eb="4">
      <t>メイショウ</t>
    </rPh>
    <phoneticPr fontId="2"/>
  </si>
  <si>
    <t>テクノＵＭＧ</t>
  </si>
  <si>
    <t>テクノＵＭＧ_支払・支払明細データＣＩＩ変換</t>
    <rPh sb="7" eb="9">
      <t>シハライ</t>
    </rPh>
    <rPh sb="10" eb="12">
      <t>シハライ</t>
    </rPh>
    <rPh sb="12" eb="14">
      <t>メイサイ</t>
    </rPh>
    <rPh sb="20" eb="22">
      <t>ヘンカン</t>
    </rPh>
    <phoneticPr fontId="2"/>
  </si>
  <si>
    <t>1.CII変換処理(テクノＵＭＧ_支払・支払明細)</t>
    <rPh sb="7" eb="9">
      <t>ショリ</t>
    </rPh>
    <phoneticPr fontId="2"/>
  </si>
  <si>
    <t>ジョブフロー図(TUGA140C010)</t>
    <rPh sb="6" eb="7">
      <t>ズ</t>
    </rPh>
    <phoneticPr fontId="2"/>
  </si>
  <si>
    <t>TUG</t>
  </si>
  <si>
    <t>TUGA140C010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</si>
</sst>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6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0" fontId="9" fillId="0" borderId="2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" xfId="0" builtinId="0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50324</xdr:colOff>
      <xdr:row>34</xdr:row>
      <xdr:rowOff>106056</xdr:rowOff>
    </xdr:from>
    <xdr:to>
      <xdr:col>20</xdr:col>
      <xdr:colOff>57779</xdr:colOff>
      <xdr:row>37</xdr:row>
      <xdr:rowOff>98602</xdr:rowOff>
    </xdr:to>
    <xdr:grpSp>
      <xdr:nvGrpSpPr>
        <xdr:cNvPr id="3" name="Group 104">
          <a:extLst>
            <a:ext uri="{FF2B5EF4-FFF2-40B4-BE49-F238E27FC236}">
              <a16:creationId xmlns:a16="http://schemas.microsoft.com/office/drawing/2014/main" id="{B39AD7BF-51C5-4B95-B82D-4CCC0164F1B5}"/>
            </a:ext>
          </a:extLst>
        </xdr:cNvPr>
        <xdr:cNvGrpSpPr>
          <a:grpSpLocks/>
        </xdr:cNvGrpSpPr>
      </xdr:nvGrpSpPr>
      <xdr:grpSpPr bwMode="auto">
        <a:xfrm>
          <a:off x="2610644" y="5805816"/>
          <a:ext cx="1104735" cy="495466"/>
          <a:chOff x="779" y="635"/>
          <a:chExt cx="147" cy="65"/>
        </a:xfrm>
      </xdr:grpSpPr>
      <xdr:grpSp>
        <xdr:nvGrpSpPr>
          <xdr:cNvPr id="4" name="Group 92">
            <a:extLst>
              <a:ext uri="{FF2B5EF4-FFF2-40B4-BE49-F238E27FC236}">
                <a16:creationId xmlns:a16="http://schemas.microsoft.com/office/drawing/2014/main" id="{E91B91BB-95FB-FF93-4379-CB252C6DCAFE}"/>
              </a:ext>
            </a:extLst>
          </xdr:cNvPr>
          <xdr:cNvGrpSpPr>
            <a:grpSpLocks/>
          </xdr:cNvGrpSpPr>
        </xdr:nvGrpSpPr>
        <xdr:grpSpPr bwMode="auto">
          <a:xfrm>
            <a:off x="779" y="635"/>
            <a:ext cx="147" cy="65"/>
            <a:chOff x="261" y="468"/>
            <a:chExt cx="147" cy="65"/>
          </a:xfrm>
        </xdr:grpSpPr>
        <xdr:sp macro="" textlink="">
          <xdr:nvSpPr>
            <xdr:cNvPr id="6" name="Text Box 93">
              <a:extLst>
                <a:ext uri="{FF2B5EF4-FFF2-40B4-BE49-F238E27FC236}">
                  <a16:creationId xmlns:a16="http://schemas.microsoft.com/office/drawing/2014/main" id="{43EB0C7E-0261-DBBF-0B66-84030F80AFE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94"/>
              <a:ext cx="147" cy="3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CII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変換処理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(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テクノＵＭＧ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_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支払・支払明細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)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7" name="Text Box 94">
              <a:extLst>
                <a:ext uri="{FF2B5EF4-FFF2-40B4-BE49-F238E27FC236}">
                  <a16:creationId xmlns:a16="http://schemas.microsoft.com/office/drawing/2014/main" id="{EBA591DE-3071-EA17-2D9C-BBA8AA2A766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68"/>
              <a:ext cx="147" cy="2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NTS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（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410trn.exe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）</a:t>
              </a:r>
            </a:p>
          </xdr:txBody>
        </xdr:sp>
      </xdr:grpSp>
      <xdr:sp macro="" textlink="">
        <xdr:nvSpPr>
          <xdr:cNvPr id="5" name="Rectangle 95">
            <a:extLst>
              <a:ext uri="{FF2B5EF4-FFF2-40B4-BE49-F238E27FC236}">
                <a16:creationId xmlns:a16="http://schemas.microsoft.com/office/drawing/2014/main" id="{0F1460F8-978D-CC65-1E88-16E625426DBB}"/>
              </a:ext>
            </a:extLst>
          </xdr:cNvPr>
          <xdr:cNvSpPr>
            <a:spLocks noChangeArrowheads="1"/>
          </xdr:cNvSpPr>
        </xdr:nvSpPr>
        <xdr:spPr bwMode="auto">
          <a:xfrm>
            <a:off x="779" y="635"/>
            <a:ext cx="147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12</xdr:col>
      <xdr:colOff>16564</xdr:colOff>
      <xdr:row>50</xdr:row>
      <xdr:rowOff>11054</xdr:rowOff>
    </xdr:from>
    <xdr:to>
      <xdr:col>22</xdr:col>
      <xdr:colOff>91538</xdr:colOff>
      <xdr:row>53</xdr:row>
      <xdr:rowOff>89324</xdr:rowOff>
    </xdr:to>
    <xdr:sp macro="" textlink="">
      <xdr:nvSpPr>
        <xdr:cNvPr id="14" name="フレーム 52">
          <a:extLst>
            <a:ext uri="{FF2B5EF4-FFF2-40B4-BE49-F238E27FC236}">
              <a16:creationId xmlns:a16="http://schemas.microsoft.com/office/drawing/2014/main" id="{437AF467-B0A3-4F52-99B8-AA8DCEBFCC18}"/>
            </a:ext>
          </a:extLst>
        </xdr:cNvPr>
        <xdr:cNvSpPr>
          <a:spLocks noChangeArrowheads="1"/>
        </xdr:cNvSpPr>
      </xdr:nvSpPr>
      <xdr:spPr bwMode="auto">
        <a:xfrm>
          <a:off x="2211124" y="8393054"/>
          <a:ext cx="1903774" cy="58119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TUGA140S020SND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テクノＵＭＧ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支払・支払明細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データ送信</a:t>
          </a:r>
        </a:p>
      </xdr:txBody>
    </xdr:sp>
    <xdr:clientData/>
  </xdr:twoCellAnchor>
  <xdr:twoCellAnchor>
    <xdr:from>
      <xdr:col>2</xdr:col>
      <xdr:colOff>99391</xdr:colOff>
      <xdr:row>32</xdr:row>
      <xdr:rowOff>36731</xdr:rowOff>
    </xdr:from>
    <xdr:to>
      <xdr:col>10</xdr:col>
      <xdr:colOff>61704</xdr:colOff>
      <xdr:row>41</xdr:row>
      <xdr:rowOff>23894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C4C02F3A-9B40-420F-A504-14858225C503}"/>
            </a:ext>
          </a:extLst>
        </xdr:cNvPr>
        <xdr:cNvGrpSpPr/>
      </xdr:nvGrpSpPr>
      <xdr:grpSpPr>
        <a:xfrm>
          <a:off x="465151" y="5401211"/>
          <a:ext cx="1425353" cy="1495923"/>
          <a:chOff x="266701" y="6191250"/>
          <a:chExt cx="1552574" cy="1552576"/>
        </a:xfrm>
      </xdr:grpSpPr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81B854A6-AE0B-1FF6-56D7-BD5AE3C0287C}"/>
              </a:ext>
            </a:extLst>
          </xdr:cNvPr>
          <xdr:cNvSpPr/>
        </xdr:nvSpPr>
        <xdr:spPr bwMode="auto">
          <a:xfrm>
            <a:off x="266701" y="6191250"/>
            <a:ext cx="1552574" cy="1552576"/>
          </a:xfrm>
          <a:prstGeom prst="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8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変換定義</a:t>
            </a:r>
            <a:endParaRPr kumimoji="1" lang="en-US" altLang="ja-JP" sz="8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9" name="AutoShape 90">
            <a:extLst>
              <a:ext uri="{FF2B5EF4-FFF2-40B4-BE49-F238E27FC236}">
                <a16:creationId xmlns:a16="http://schemas.microsoft.com/office/drawing/2014/main" id="{C25B84A1-6345-B397-EDE6-F3FD2F56C185}"/>
              </a:ext>
            </a:extLst>
          </xdr:cNvPr>
          <xdr:cNvSpPr>
            <a:spLocks noChangeArrowheads="1"/>
          </xdr:cNvSpPr>
        </xdr:nvSpPr>
        <xdr:spPr bwMode="auto">
          <a:xfrm>
            <a:off x="349342" y="6390159"/>
            <a:ext cx="134462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ヘッダ情報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ﾃｸﾉ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UMG.HDT)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20" name="AutoShape 90">
            <a:extLst>
              <a:ext uri="{FF2B5EF4-FFF2-40B4-BE49-F238E27FC236}">
                <a16:creationId xmlns:a16="http://schemas.microsoft.com/office/drawing/2014/main" id="{5DFB09B6-6AB1-1F33-1855-9CEFDEEF5772}"/>
              </a:ext>
            </a:extLst>
          </xdr:cNvPr>
          <xdr:cNvSpPr>
            <a:spLocks noChangeArrowheads="1"/>
          </xdr:cNvSpPr>
        </xdr:nvSpPr>
        <xdr:spPr bwMode="auto">
          <a:xfrm>
            <a:off x="368392" y="7075959"/>
            <a:ext cx="134462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変換テーブル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ﾃｸﾉ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UMG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.tdt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10</xdr:col>
      <xdr:colOff>61704</xdr:colOff>
      <xdr:row>36</xdr:row>
      <xdr:rowOff>114133</xdr:rowOff>
    </xdr:from>
    <xdr:to>
      <xdr:col>14</xdr:col>
      <xdr:colOff>50324</xdr:colOff>
      <xdr:row>36</xdr:row>
      <xdr:rowOff>117602</xdr:rowOff>
    </xdr:to>
    <xdr:cxnSp macro="">
      <xdr:nvCxnSpPr>
        <xdr:cNvPr id="21" name="AutoShape 188">
          <a:extLst>
            <a:ext uri="{FF2B5EF4-FFF2-40B4-BE49-F238E27FC236}">
              <a16:creationId xmlns:a16="http://schemas.microsoft.com/office/drawing/2014/main" id="{1CED89C5-5F00-4643-98F0-F7ECCE93F545}"/>
            </a:ext>
          </a:extLst>
        </xdr:cNvPr>
        <xdr:cNvCxnSpPr>
          <a:cxnSpLocks noChangeShapeType="1"/>
          <a:stCxn id="18" idx="3"/>
          <a:endCxn id="6" idx="1"/>
        </xdr:cNvCxnSpPr>
      </xdr:nvCxnSpPr>
      <xdr:spPr bwMode="auto">
        <a:xfrm>
          <a:off x="1890504" y="6149173"/>
          <a:ext cx="720140" cy="346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63576</xdr:colOff>
      <xdr:row>20</xdr:row>
      <xdr:rowOff>137160</xdr:rowOff>
    </xdr:from>
    <xdr:to>
      <xdr:col>22</xdr:col>
      <xdr:colOff>44526</xdr:colOff>
      <xdr:row>23</xdr:row>
      <xdr:rowOff>129540</xdr:rowOff>
    </xdr:to>
    <xdr:sp macro="" textlink="">
      <xdr:nvSpPr>
        <xdr:cNvPr id="8" name="フレーム 52">
          <a:extLst>
            <a:ext uri="{FF2B5EF4-FFF2-40B4-BE49-F238E27FC236}">
              <a16:creationId xmlns:a16="http://schemas.microsoft.com/office/drawing/2014/main" id="{FBA3E741-D1A1-4E7A-ABDB-0A54D24F11B4}"/>
            </a:ext>
          </a:extLst>
        </xdr:cNvPr>
        <xdr:cNvSpPr>
          <a:spLocks noChangeArrowheads="1"/>
        </xdr:cNvSpPr>
      </xdr:nvSpPr>
      <xdr:spPr bwMode="auto">
        <a:xfrm>
          <a:off x="2258136" y="3489960"/>
          <a:ext cx="1809750" cy="49530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TUGA140S020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テクノＵＭＧ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支払・支払明細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データ編集</a:t>
          </a:r>
        </a:p>
      </xdr:txBody>
    </xdr:sp>
    <xdr:clientData/>
  </xdr:twoCellAnchor>
  <xdr:twoCellAnchor>
    <xdr:from>
      <xdr:col>17</xdr:col>
      <xdr:colOff>54051</xdr:colOff>
      <xdr:row>23</xdr:row>
      <xdr:rowOff>129540</xdr:rowOff>
    </xdr:from>
    <xdr:to>
      <xdr:col>17</xdr:col>
      <xdr:colOff>54052</xdr:colOff>
      <xdr:row>28</xdr:row>
      <xdr:rowOff>41744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FC2D0EB8-695A-4033-A1B7-9271FDEDCD3D}"/>
            </a:ext>
          </a:extLst>
        </xdr:cNvPr>
        <xdr:cNvCxnSpPr>
          <a:cxnSpLocks noChangeShapeType="1"/>
          <a:stCxn id="8" idx="2"/>
          <a:endCxn id="24" idx="0"/>
        </xdr:cNvCxnSpPr>
      </xdr:nvCxnSpPr>
      <xdr:spPr bwMode="auto">
        <a:xfrm>
          <a:off x="3163011" y="3985260"/>
          <a:ext cx="1" cy="75040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50324</xdr:colOff>
      <xdr:row>28</xdr:row>
      <xdr:rowOff>41744</xdr:rowOff>
    </xdr:from>
    <xdr:to>
      <xdr:col>20</xdr:col>
      <xdr:colOff>57779</xdr:colOff>
      <xdr:row>31</xdr:row>
      <xdr:rowOff>34290</xdr:rowOff>
    </xdr:to>
    <xdr:sp macro="" textlink="">
      <xdr:nvSpPr>
        <xdr:cNvPr id="24" name="AutoShape 90">
          <a:extLst>
            <a:ext uri="{FF2B5EF4-FFF2-40B4-BE49-F238E27FC236}">
              <a16:creationId xmlns:a16="http://schemas.microsoft.com/office/drawing/2014/main" id="{E4D20119-50CE-42B7-B668-7284C42525B2}"/>
            </a:ext>
          </a:extLst>
        </xdr:cNvPr>
        <xdr:cNvSpPr>
          <a:spLocks noChangeArrowheads="1"/>
        </xdr:cNvSpPr>
      </xdr:nvSpPr>
      <xdr:spPr bwMode="auto">
        <a:xfrm>
          <a:off x="2610644" y="4735664"/>
          <a:ext cx="1104735" cy="495466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</a:t>
          </a:r>
          <a:r>
            <a:rPr lang="en-US" altLang="ja-JP" sz="75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A1401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54052</xdr:colOff>
      <xdr:row>31</xdr:row>
      <xdr:rowOff>34290</xdr:rowOff>
    </xdr:from>
    <xdr:to>
      <xdr:col>17</xdr:col>
      <xdr:colOff>54052</xdr:colOff>
      <xdr:row>34</xdr:row>
      <xdr:rowOff>106056</xdr:rowOff>
    </xdr:to>
    <xdr:cxnSp macro="">
      <xdr:nvCxnSpPr>
        <xdr:cNvPr id="28" name="AutoShape 188">
          <a:extLst>
            <a:ext uri="{FF2B5EF4-FFF2-40B4-BE49-F238E27FC236}">
              <a16:creationId xmlns:a16="http://schemas.microsoft.com/office/drawing/2014/main" id="{8E93058A-C614-4203-93B1-7C77332780D6}"/>
            </a:ext>
          </a:extLst>
        </xdr:cNvPr>
        <xdr:cNvCxnSpPr>
          <a:cxnSpLocks noChangeShapeType="1"/>
          <a:stCxn id="24" idx="2"/>
          <a:endCxn id="5" idx="0"/>
        </xdr:cNvCxnSpPr>
      </xdr:nvCxnSpPr>
      <xdr:spPr bwMode="auto">
        <a:xfrm>
          <a:off x="3163012" y="5231130"/>
          <a:ext cx="0" cy="57468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51276</xdr:colOff>
      <xdr:row>41</xdr:row>
      <xdr:rowOff>36361</xdr:rowOff>
    </xdr:from>
    <xdr:to>
      <xdr:col>20</xdr:col>
      <xdr:colOff>56826</xdr:colOff>
      <xdr:row>44</xdr:row>
      <xdr:rowOff>21286</xdr:rowOff>
    </xdr:to>
    <xdr:sp macro="" textlink="">
      <xdr:nvSpPr>
        <xdr:cNvPr id="31" name="AutoShape 90">
          <a:extLst>
            <a:ext uri="{FF2B5EF4-FFF2-40B4-BE49-F238E27FC236}">
              <a16:creationId xmlns:a16="http://schemas.microsoft.com/office/drawing/2014/main" id="{D2F50C02-87C3-4A3E-9B2F-3A47817307C3}"/>
            </a:ext>
          </a:extLst>
        </xdr:cNvPr>
        <xdr:cNvSpPr>
          <a:spLocks noChangeArrowheads="1"/>
        </xdr:cNvSpPr>
      </xdr:nvSpPr>
      <xdr:spPr bwMode="auto">
        <a:xfrm>
          <a:off x="2611596" y="6909601"/>
          <a:ext cx="1102830" cy="48784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CII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(TUGA1401CII)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54051</xdr:colOff>
      <xdr:row>37</xdr:row>
      <xdr:rowOff>98602</xdr:rowOff>
    </xdr:from>
    <xdr:to>
      <xdr:col>17</xdr:col>
      <xdr:colOff>54052</xdr:colOff>
      <xdr:row>41</xdr:row>
      <xdr:rowOff>36361</xdr:rowOff>
    </xdr:to>
    <xdr:cxnSp macro="">
      <xdr:nvCxnSpPr>
        <xdr:cNvPr id="32" name="AutoShape 188">
          <a:extLst>
            <a:ext uri="{FF2B5EF4-FFF2-40B4-BE49-F238E27FC236}">
              <a16:creationId xmlns:a16="http://schemas.microsoft.com/office/drawing/2014/main" id="{A06FBBA8-56FB-4300-8C1E-BCC5012041F4}"/>
            </a:ext>
          </a:extLst>
        </xdr:cNvPr>
        <xdr:cNvCxnSpPr>
          <a:cxnSpLocks noChangeShapeType="1"/>
          <a:stCxn id="5" idx="2"/>
          <a:endCxn id="31" idx="0"/>
        </xdr:cNvCxnSpPr>
      </xdr:nvCxnSpPr>
      <xdr:spPr bwMode="auto">
        <a:xfrm flipH="1">
          <a:off x="3163011" y="6301282"/>
          <a:ext cx="1" cy="60831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54051</xdr:colOff>
      <xdr:row>44</xdr:row>
      <xdr:rowOff>21286</xdr:rowOff>
    </xdr:from>
    <xdr:to>
      <xdr:col>17</xdr:col>
      <xdr:colOff>54051</xdr:colOff>
      <xdr:row>50</xdr:row>
      <xdr:rowOff>11054</xdr:rowOff>
    </xdr:to>
    <xdr:cxnSp macro="">
      <xdr:nvCxnSpPr>
        <xdr:cNvPr id="37" name="AutoShape 188">
          <a:extLst>
            <a:ext uri="{FF2B5EF4-FFF2-40B4-BE49-F238E27FC236}">
              <a16:creationId xmlns:a16="http://schemas.microsoft.com/office/drawing/2014/main" id="{40514457-CD39-484B-98B9-1C49520D5C2B}"/>
            </a:ext>
          </a:extLst>
        </xdr:cNvPr>
        <xdr:cNvCxnSpPr>
          <a:cxnSpLocks noChangeShapeType="1"/>
          <a:stCxn id="31" idx="2"/>
          <a:endCxn id="14" idx="0"/>
        </xdr:cNvCxnSpPr>
      </xdr:nvCxnSpPr>
      <xdr:spPr bwMode="auto">
        <a:xfrm>
          <a:off x="3163011" y="7397446"/>
          <a:ext cx="0" cy="99560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="85" zoomScaleNormal="100" zoomScaleSheetLayoutView="85" workbookViewId="0"/>
  </sheetViews>
  <sheetFormatPr defaultColWidth="2.6640625" defaultRowHeight="13.2" x14ac:dyDescent="0.2"/>
  <cols>
    <col min="1" max="16384" width="2.6640625" style="64"/>
  </cols>
  <sheetData>
    <row r="1" spans="1:52" s="61" customFormat="1" x14ac:dyDescent="0.2"/>
    <row r="2" spans="1:52" s="61" customFormat="1" ht="23.4" x14ac:dyDescent="0.2">
      <c r="C2" s="62" t="s">
        <v>23</v>
      </c>
    </row>
    <row r="3" spans="1:52" s="61" customFormat="1" x14ac:dyDescent="0.2"/>
    <row r="4" spans="1:52" s="61" customFormat="1" x14ac:dyDescent="0.2"/>
    <row r="5" spans="1:52" s="61" customFormat="1" x14ac:dyDescent="0.2"/>
    <row r="6" spans="1:52" s="61" customFormat="1" x14ac:dyDescent="0.2"/>
    <row r="7" spans="1:52" s="61" customFormat="1" x14ac:dyDescent="0.2"/>
    <row r="8" spans="1:52" s="61" customFormat="1" x14ac:dyDescent="0.2">
      <c r="A8" s="71" t="s">
        <v>47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2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2">
      <c r="A10" s="72" t="s">
        <v>65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2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2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2">
      <c r="A13" s="72" t="s">
        <v>61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2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2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2"/>
    <row r="17" spans="1:52" s="61" customFormat="1" ht="19.2" x14ac:dyDescent="0.2">
      <c r="A17" s="73" t="s">
        <v>51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2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2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2"/>
    <row r="21" spans="1:52" s="61" customFormat="1" x14ac:dyDescent="0.2"/>
    <row r="22" spans="1:52" s="61" customFormat="1" x14ac:dyDescent="0.2">
      <c r="A22" s="89">
        <v>45877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x14ac:dyDescent="0.2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x14ac:dyDescent="0.2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x14ac:dyDescent="0.2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2"/>
    <row r="27" spans="1:52" s="61" customFormat="1" x14ac:dyDescent="0.2"/>
    <row r="28" spans="1:52" s="61" customFormat="1" x14ac:dyDescent="0.2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2">
      <c r="V29" s="74"/>
      <c r="W29" s="75"/>
      <c r="X29" s="75"/>
      <c r="Y29" s="75"/>
      <c r="Z29" s="76"/>
      <c r="AA29" s="74">
        <v>45877</v>
      </c>
      <c r="AB29" s="75"/>
      <c r="AC29" s="75"/>
      <c r="AD29" s="75"/>
      <c r="AE29" s="76"/>
    </row>
    <row r="30" spans="1:52" s="61" customFormat="1" x14ac:dyDescent="0.2">
      <c r="V30" s="77"/>
      <c r="W30" s="78"/>
      <c r="X30" s="78"/>
      <c r="Y30" s="78"/>
      <c r="Z30" s="79"/>
      <c r="AA30" s="83" t="s">
        <v>60</v>
      </c>
      <c r="AB30" s="84"/>
      <c r="AC30" s="84"/>
      <c r="AD30" s="84"/>
      <c r="AE30" s="85"/>
    </row>
    <row r="31" spans="1:52" s="61" customFormat="1" x14ac:dyDescent="0.2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2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2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2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2"/>
    <row r="36" spans="22:31" s="61" customFormat="1" x14ac:dyDescent="0.2"/>
    <row r="37" spans="22:31" s="61" customFormat="1" x14ac:dyDescent="0.2"/>
    <row r="38" spans="22:31" s="61" customFormat="1" x14ac:dyDescent="0.2"/>
    <row r="39" spans="22:31" s="61" customFormat="1" x14ac:dyDescent="0.2"/>
    <row r="40" spans="22:31" s="61" customFormat="1" x14ac:dyDescent="0.2"/>
    <row r="41" spans="22:31" s="61" customFormat="1" x14ac:dyDescent="0.2"/>
    <row r="42" spans="22:31" s="61" customFormat="1" x14ac:dyDescent="0.2"/>
    <row r="43" spans="22:31" s="61" customFormat="1" x14ac:dyDescent="0.2"/>
    <row r="44" spans="22:31" s="61" customFormat="1" x14ac:dyDescent="0.2"/>
    <row r="45" spans="22:31" s="61" customFormat="1" x14ac:dyDescent="0.2"/>
    <row r="46" spans="22:31" s="61" customFormat="1" x14ac:dyDescent="0.2"/>
    <row r="47" spans="22:31" s="61" customFormat="1" x14ac:dyDescent="0.2"/>
    <row r="48" spans="22:31" s="61" customFormat="1" x14ac:dyDescent="0.2"/>
    <row r="49" s="61" customFormat="1" x14ac:dyDescent="0.2"/>
    <row r="50" s="61" customFormat="1" x14ac:dyDescent="0.2"/>
    <row r="51" s="61" customFormat="1" x14ac:dyDescent="0.2"/>
    <row r="52" s="61" customFormat="1" x14ac:dyDescent="0.2"/>
    <row r="53" s="61" customFormat="1" x14ac:dyDescent="0.2"/>
    <row r="54" s="61" customFormat="1" x14ac:dyDescent="0.2"/>
    <row r="55" s="61" customFormat="1" x14ac:dyDescent="0.2"/>
    <row r="56" s="61" customFormat="1" x14ac:dyDescent="0.2"/>
    <row r="57" s="61" customFormat="1" x14ac:dyDescent="0.2"/>
    <row r="58" s="61" customFormat="1" x14ac:dyDescent="0.2"/>
    <row r="59" s="61" customFormat="1" x14ac:dyDescent="0.2"/>
    <row r="60" s="61" customFormat="1" x14ac:dyDescent="0.2"/>
    <row r="61" s="61" customFormat="1" x14ac:dyDescent="0.2"/>
    <row r="62" s="61" customFormat="1" x14ac:dyDescent="0.2"/>
    <row r="63" s="61" customFormat="1" x14ac:dyDescent="0.2"/>
    <row r="64" s="61" customFormat="1" x14ac:dyDescent="0.2"/>
    <row r="65" s="61" customFormat="1" x14ac:dyDescent="0.2"/>
    <row r="66" s="61" customFormat="1" x14ac:dyDescent="0.2"/>
    <row r="67" s="61" customFormat="1" x14ac:dyDescent="0.2"/>
    <row r="68" s="61" customFormat="1" x14ac:dyDescent="0.2"/>
    <row r="69" s="61" customFormat="1" x14ac:dyDescent="0.2"/>
    <row r="70" s="61" customFormat="1" x14ac:dyDescent="0.2"/>
    <row r="71" s="61" customFormat="1" x14ac:dyDescent="0.2"/>
    <row r="72" s="61" customFormat="1" x14ac:dyDescent="0.2"/>
    <row r="73" s="61" customFormat="1" x14ac:dyDescent="0.2"/>
    <row r="74" s="61" customFormat="1" x14ac:dyDescent="0.2"/>
    <row r="75" s="61" customFormat="1" x14ac:dyDescent="0.2"/>
    <row r="76" s="61" customFormat="1" x14ac:dyDescent="0.2"/>
    <row r="77" s="61" customFormat="1" x14ac:dyDescent="0.2"/>
    <row r="78" s="61" customFormat="1" x14ac:dyDescent="0.2"/>
    <row r="79" s="61" customFormat="1" x14ac:dyDescent="0.2"/>
    <row r="80" s="61" customFormat="1" x14ac:dyDescent="0.2"/>
    <row r="81" s="61" customFormat="1" x14ac:dyDescent="0.2"/>
    <row r="82" s="61" customFormat="1" x14ac:dyDescent="0.2"/>
    <row r="83" s="61" customFormat="1" x14ac:dyDescent="0.2"/>
    <row r="84" s="61" customFormat="1" x14ac:dyDescent="0.2"/>
    <row r="85" s="61" customFormat="1" x14ac:dyDescent="0.2"/>
    <row r="86" s="61" customFormat="1" x14ac:dyDescent="0.2"/>
    <row r="87" s="61" customFormat="1" x14ac:dyDescent="0.2"/>
    <row r="88" s="61" customFormat="1" x14ac:dyDescent="0.2"/>
    <row r="89" s="61" customFormat="1" x14ac:dyDescent="0.2"/>
    <row r="90" s="61" customFormat="1" x14ac:dyDescent="0.2"/>
    <row r="91" s="61" customFormat="1" x14ac:dyDescent="0.2"/>
    <row r="92" s="61" customFormat="1" x14ac:dyDescent="0.2"/>
    <row r="93" s="61" customFormat="1" x14ac:dyDescent="0.2"/>
    <row r="94" s="61" customFormat="1" x14ac:dyDescent="0.2"/>
    <row r="95" s="61" customFormat="1" x14ac:dyDescent="0.2"/>
    <row r="96" s="61" customFormat="1" x14ac:dyDescent="0.2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scale="98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640625" defaultRowHeight="13.5" customHeight="1" x14ac:dyDescent="0.2"/>
  <cols>
    <col min="1" max="7" width="2.6640625" style="21" customWidth="1"/>
    <col min="8" max="11" width="2.6640625" style="37" customWidth="1"/>
    <col min="12" max="16384" width="2.6640625" style="21"/>
  </cols>
  <sheetData>
    <row r="1" spans="1:69" ht="13.5" customHeight="1" x14ac:dyDescent="0.2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32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33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34</v>
      </c>
      <c r="AT1" s="116"/>
      <c r="AU1" s="116"/>
      <c r="AV1" s="116"/>
      <c r="AW1" s="116"/>
      <c r="AX1" s="116"/>
      <c r="AY1" s="116"/>
      <c r="AZ1" s="116"/>
      <c r="BA1" s="119"/>
      <c r="BB1" s="115" t="s">
        <v>35</v>
      </c>
      <c r="BC1" s="116"/>
      <c r="BD1" s="116"/>
      <c r="BE1" s="119"/>
      <c r="BF1" s="115" t="s">
        <v>36</v>
      </c>
      <c r="BG1" s="116"/>
      <c r="BH1" s="116"/>
      <c r="BI1" s="119"/>
      <c r="BJ1" s="115" t="s">
        <v>37</v>
      </c>
      <c r="BK1" s="116"/>
      <c r="BL1" s="116"/>
      <c r="BM1" s="119"/>
      <c r="BN1" s="115" t="s">
        <v>38</v>
      </c>
      <c r="BO1" s="116"/>
      <c r="BP1" s="116"/>
      <c r="BQ1" s="119"/>
    </row>
    <row r="2" spans="1:69" ht="13.5" customHeight="1" x14ac:dyDescent="0.2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2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62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66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59</v>
      </c>
      <c r="AT3" s="122"/>
      <c r="AU3" s="122"/>
      <c r="AV3" s="122"/>
      <c r="AW3" s="122"/>
      <c r="AX3" s="122"/>
      <c r="AY3" s="122"/>
      <c r="AZ3" s="122"/>
      <c r="BA3" s="125"/>
      <c r="BB3" s="121" t="s">
        <v>60</v>
      </c>
      <c r="BC3" s="122"/>
      <c r="BD3" s="122"/>
      <c r="BE3" s="125"/>
      <c r="BF3" s="127">
        <v>45877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5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2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2">
      <c r="A7" s="25"/>
      <c r="B7" s="139" t="s">
        <v>26</v>
      </c>
      <c r="C7" s="139"/>
      <c r="D7" s="136" t="s">
        <v>48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49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2">
      <c r="A8" s="25"/>
      <c r="B8" s="97">
        <f t="shared" ref="B8" si="0">ROW()-7</f>
        <v>1</v>
      </c>
      <c r="C8" s="98"/>
      <c r="D8" s="140" t="s">
        <v>52</v>
      </c>
      <c r="E8" s="95"/>
      <c r="F8" s="95"/>
      <c r="G8" s="96"/>
      <c r="H8" s="99">
        <v>45877</v>
      </c>
      <c r="I8" s="95"/>
      <c r="J8" s="95"/>
      <c r="K8" s="96"/>
      <c r="L8" s="94" t="s">
        <v>60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2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2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2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2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2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2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2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2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2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2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2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2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2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2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2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2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2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2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2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2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2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2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2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2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2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2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2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2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2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2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2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2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2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2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2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2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2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2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2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2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2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2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2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2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2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2"/>
  <cols>
    <col min="1" max="1" width="2.6640625" style="2" customWidth="1"/>
    <col min="2" max="53" width="2.6640625" style="1" customWidth="1"/>
    <col min="54" max="16384" width="9" style="1"/>
  </cols>
  <sheetData>
    <row r="1" spans="1:53" ht="13.5" customHeight="1" x14ac:dyDescent="0.2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32</v>
      </c>
      <c r="S1" s="116"/>
      <c r="T1" s="116"/>
      <c r="U1" s="116"/>
      <c r="V1" s="116"/>
      <c r="W1" s="116"/>
      <c r="X1" s="116"/>
      <c r="Y1" s="116"/>
      <c r="Z1" s="119"/>
      <c r="AA1" s="115" t="s">
        <v>33</v>
      </c>
      <c r="AB1" s="116"/>
      <c r="AC1" s="116"/>
      <c r="AD1" s="116"/>
      <c r="AE1" s="119"/>
      <c r="AF1" s="115" t="s">
        <v>34</v>
      </c>
      <c r="AG1" s="116"/>
      <c r="AH1" s="116"/>
      <c r="AI1" s="116"/>
      <c r="AJ1" s="116"/>
      <c r="AK1" s="115" t="s">
        <v>35</v>
      </c>
      <c r="AL1" s="116"/>
      <c r="AM1" s="116"/>
      <c r="AN1" s="116"/>
      <c r="AO1" s="115" t="s">
        <v>36</v>
      </c>
      <c r="AP1" s="116"/>
      <c r="AQ1" s="116"/>
      <c r="AR1" s="116"/>
      <c r="AS1" s="115" t="s">
        <v>37</v>
      </c>
      <c r="AT1" s="116"/>
      <c r="AU1" s="116"/>
      <c r="AV1" s="119"/>
      <c r="AW1" s="115" t="s">
        <v>38</v>
      </c>
      <c r="AX1" s="116"/>
      <c r="AY1" s="116"/>
      <c r="AZ1" s="119"/>
    </row>
    <row r="2" spans="1:53" ht="13.5" customHeight="1" x14ac:dyDescent="0.2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2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テクノＵＭＧ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TUG</v>
      </c>
      <c r="AB3" s="122"/>
      <c r="AC3" s="122"/>
      <c r="AD3" s="122"/>
      <c r="AE3" s="125"/>
      <c r="AF3" s="141" t="str">
        <f>変更履歴!AS3</f>
        <v>支払・支払明細</v>
      </c>
      <c r="AG3" s="142"/>
      <c r="AH3" s="142"/>
      <c r="AI3" s="142"/>
      <c r="AJ3" s="142"/>
      <c r="AK3" s="121" t="str">
        <f>変更履歴!BB3</f>
        <v>FJ)国光</v>
      </c>
      <c r="AL3" s="122"/>
      <c r="AM3" s="122"/>
      <c r="AN3" s="122"/>
      <c r="AO3" s="127">
        <f>変更履歴!BF3</f>
        <v>45877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5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43"/>
      <c r="AG4" s="144"/>
      <c r="AH4" s="144"/>
      <c r="AI4" s="144"/>
      <c r="AJ4" s="14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2"/>
    <row r="6" spans="1:53" s="2" customFormat="1" ht="13.5" customHeight="1" x14ac:dyDescent="0.2">
      <c r="A6" s="145" t="s">
        <v>29</v>
      </c>
      <c r="B6" s="157"/>
      <c r="C6" s="157"/>
      <c r="D6" s="157"/>
      <c r="E6" s="157"/>
      <c r="F6" s="158"/>
      <c r="G6" s="170" t="s">
        <v>67</v>
      </c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2"/>
      <c r="AB6" s="145" t="s">
        <v>8</v>
      </c>
      <c r="AC6" s="157"/>
      <c r="AD6" s="157"/>
      <c r="AE6" s="157"/>
      <c r="AF6" s="157"/>
      <c r="AG6" s="158"/>
      <c r="AH6" s="170" t="s">
        <v>31</v>
      </c>
      <c r="AI6" s="171"/>
      <c r="AJ6" s="171"/>
      <c r="AK6" s="171"/>
      <c r="AL6" s="171"/>
      <c r="AM6" s="171"/>
      <c r="AN6" s="171"/>
      <c r="AO6" s="172"/>
      <c r="AP6" s="145" t="s">
        <v>0</v>
      </c>
      <c r="AQ6" s="157"/>
      <c r="AR6" s="157"/>
      <c r="AS6" s="157"/>
      <c r="AT6" s="157"/>
      <c r="AU6" s="158"/>
      <c r="AV6" s="167" t="s">
        <v>5</v>
      </c>
      <c r="AW6" s="168"/>
      <c r="AX6" s="168"/>
      <c r="AY6" s="168"/>
      <c r="AZ6" s="169"/>
    </row>
    <row r="7" spans="1:53" ht="13.5" customHeight="1" x14ac:dyDescent="0.2">
      <c r="A7" s="145" t="s">
        <v>12</v>
      </c>
      <c r="B7" s="157"/>
      <c r="C7" s="157"/>
      <c r="D7" s="157"/>
      <c r="E7" s="157"/>
      <c r="F7" s="158"/>
      <c r="G7" s="170" t="s">
        <v>63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2"/>
      <c r="AB7" s="145" t="s">
        <v>13</v>
      </c>
      <c r="AC7" s="146"/>
      <c r="AD7" s="146"/>
      <c r="AE7" s="146"/>
      <c r="AF7" s="146"/>
      <c r="AG7" s="147"/>
      <c r="AH7" s="170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2"/>
    </row>
    <row r="8" spans="1:53" ht="13.5" customHeight="1" x14ac:dyDescent="0.2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8" t="s">
        <v>21</v>
      </c>
      <c r="B9" s="159"/>
      <c r="C9" s="159"/>
      <c r="D9" s="160"/>
      <c r="E9" s="44" t="s">
        <v>55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8" t="s">
        <v>20</v>
      </c>
      <c r="AJ9" s="149"/>
      <c r="AK9" s="150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1"/>
      <c r="B10" s="162"/>
      <c r="C10" s="162"/>
      <c r="D10" s="163"/>
      <c r="E10" s="48" t="s">
        <v>56</v>
      </c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1"/>
      <c r="AJ10" s="152"/>
      <c r="AK10" s="153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4"/>
      <c r="B11" s="165"/>
      <c r="C11" s="165"/>
      <c r="D11" s="166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4"/>
      <c r="AJ11" s="155"/>
      <c r="AK11" s="156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3" t="s">
        <v>39</v>
      </c>
      <c r="B12" s="174"/>
      <c r="C12" s="174"/>
      <c r="D12" s="175"/>
      <c r="E12" s="176" t="s">
        <v>40</v>
      </c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8"/>
    </row>
    <row r="13" spans="1:53" ht="13.5" customHeight="1" x14ac:dyDescent="0.2">
      <c r="A13" s="182" t="s">
        <v>46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4"/>
      <c r="BA13" s="39"/>
    </row>
    <row r="14" spans="1:53" ht="13.5" customHeight="1" x14ac:dyDescent="0.2">
      <c r="A14" s="68" t="s">
        <v>45</v>
      </c>
      <c r="B14" s="185" t="s">
        <v>41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 t="s">
        <v>42</v>
      </c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 t="s">
        <v>43</v>
      </c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 t="s">
        <v>44</v>
      </c>
      <c r="AX14" s="185"/>
      <c r="AY14" s="185"/>
      <c r="AZ14" s="185"/>
      <c r="BA14" s="39"/>
    </row>
    <row r="15" spans="1:53" ht="13.5" customHeight="1" x14ac:dyDescent="0.2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9"/>
      <c r="AX15" s="180"/>
      <c r="AY15" s="180"/>
      <c r="AZ15" s="181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9"/>
      <c r="AX16" s="180"/>
      <c r="AY16" s="180"/>
      <c r="AZ16" s="181"/>
      <c r="BA16" s="11"/>
    </row>
    <row r="17" spans="1:54" ht="13.5" customHeight="1" x14ac:dyDescent="0.2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9"/>
      <c r="AX17" s="180"/>
      <c r="AY17" s="180"/>
      <c r="AZ17" s="181"/>
      <c r="BA17" s="39"/>
    </row>
    <row r="18" spans="1:54" ht="13.5" customHeight="1" x14ac:dyDescent="0.2">
      <c r="A18" s="145" t="s">
        <v>2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7"/>
      <c r="AK18" s="145" t="s">
        <v>1</v>
      </c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7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B20" s="14"/>
      <c r="C20" s="14"/>
      <c r="D20" s="14"/>
      <c r="E20" s="14"/>
      <c r="F20" s="14"/>
      <c r="AD20" s="41"/>
      <c r="AE20" s="41"/>
      <c r="AF20" s="41"/>
      <c r="AG20" s="1"/>
      <c r="AH20" s="14"/>
      <c r="AI20" s="1"/>
      <c r="AJ20" s="15"/>
      <c r="AK20" s="56" t="s">
        <v>64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B21" s="14"/>
      <c r="C21" s="14"/>
      <c r="D21" s="14"/>
      <c r="E21" s="14"/>
      <c r="F21" s="1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41"/>
      <c r="AE21" s="41"/>
      <c r="AF21" s="41"/>
      <c r="AH21" s="14"/>
      <c r="AJ21" s="16"/>
      <c r="AK21" s="56"/>
      <c r="AL21" s="56" t="s">
        <v>57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B22" s="14"/>
      <c r="C22" s="14"/>
      <c r="D22" s="14"/>
      <c r="E22" s="14"/>
      <c r="F22" s="1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41"/>
      <c r="AE22" s="41"/>
      <c r="AF22" s="41"/>
      <c r="AH22" s="14"/>
      <c r="AJ22" s="15"/>
      <c r="AK22" s="56"/>
      <c r="AL22" s="56" t="s">
        <v>58</v>
      </c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B23" s="14"/>
      <c r="C23" s="14"/>
      <c r="D23" s="14"/>
      <c r="E23" s="14"/>
      <c r="F23" s="1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41"/>
      <c r="AE23" s="41"/>
      <c r="AF23" s="41"/>
      <c r="AH23" s="14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B24" s="14"/>
      <c r="C24" s="14"/>
      <c r="D24" s="14"/>
      <c r="E24" s="14"/>
      <c r="F24" s="1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41"/>
      <c r="AE24" s="41"/>
      <c r="AF24" s="41"/>
      <c r="AH24" s="14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B25" s="14"/>
      <c r="C25" s="14"/>
      <c r="D25" s="14"/>
      <c r="E25" s="14"/>
      <c r="F25" s="1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41"/>
      <c r="AE25" s="41"/>
      <c r="AF25" s="41"/>
      <c r="AH25" s="14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B26" s="14"/>
      <c r="C26" s="14"/>
      <c r="D26" s="14"/>
      <c r="E26" s="14"/>
      <c r="F26" s="1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41"/>
      <c r="AE26" s="41"/>
      <c r="AF26" s="41"/>
      <c r="AH26" s="14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B27" s="14"/>
      <c r="C27" s="14"/>
      <c r="D27" s="14"/>
      <c r="E27" s="14"/>
      <c r="F27" s="1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41"/>
      <c r="AE27" s="41"/>
      <c r="AF27" s="41"/>
      <c r="AH27" s="14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AA28" s="2"/>
      <c r="AB28" s="41"/>
      <c r="AC28" s="41"/>
      <c r="AD28" s="41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2">
      <c r="A29" s="43"/>
      <c r="D29" s="2"/>
      <c r="E29" s="2"/>
      <c r="F29" s="2"/>
      <c r="G29" s="2"/>
      <c r="H29" s="2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2">
      <c r="A34" s="43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2">
      <c r="A35" s="43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2">
      <c r="A36" s="43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G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AF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M41" s="41"/>
      <c r="N41" s="41"/>
      <c r="O41" s="41"/>
      <c r="P41" s="41"/>
      <c r="Q41" s="41"/>
      <c r="R41" s="41"/>
      <c r="S41" s="41"/>
      <c r="AC41" s="41"/>
      <c r="AD41" s="41"/>
      <c r="AE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M42" s="41"/>
      <c r="O42" s="41"/>
      <c r="P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M43" s="41"/>
      <c r="N43" s="41"/>
      <c r="O43" s="41"/>
      <c r="P43" s="41"/>
      <c r="AB43" s="41"/>
      <c r="AC43" s="41"/>
      <c r="AD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AA44" s="41"/>
      <c r="AB44" s="41"/>
      <c r="AC44" s="41"/>
      <c r="AD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AA45" s="41"/>
      <c r="AB45" s="41"/>
      <c r="AC45" s="41"/>
      <c r="AD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AA46" s="41"/>
      <c r="AB46" s="41"/>
      <c r="AC46" s="41"/>
      <c r="AD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2">
      <c r="A47" s="19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M48" s="41"/>
      <c r="N48" s="41"/>
      <c r="O48" s="41"/>
      <c r="P48" s="41"/>
      <c r="Q48" s="41"/>
      <c r="R48" s="41"/>
      <c r="S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J49" s="41"/>
      <c r="M49" s="41"/>
      <c r="N49" s="41"/>
      <c r="O49" s="41"/>
      <c r="P49" s="41"/>
      <c r="Q49" s="41"/>
      <c r="R49" s="41"/>
      <c r="S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D50" s="41"/>
      <c r="E50" s="41"/>
      <c r="J50" s="41"/>
      <c r="K50" s="41"/>
      <c r="M50" s="41"/>
      <c r="O50" s="41"/>
      <c r="P50" s="41"/>
      <c r="Q50" s="41"/>
      <c r="R50" s="41"/>
      <c r="S50" s="41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D51" s="41"/>
      <c r="E51" s="41"/>
      <c r="J51" s="41"/>
      <c r="K51" s="41"/>
      <c r="M51" s="41"/>
      <c r="N51" s="41"/>
      <c r="O51" s="41"/>
      <c r="P51" s="41"/>
      <c r="Q51" s="41"/>
      <c r="R51" s="41"/>
      <c r="S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D52" s="41"/>
      <c r="E52" s="41"/>
      <c r="I52" s="41"/>
      <c r="K52" s="41"/>
      <c r="M52" s="41"/>
      <c r="N52" s="41"/>
      <c r="O52" s="41"/>
      <c r="P52" s="41"/>
      <c r="Q52" s="41"/>
      <c r="R52" s="41"/>
      <c r="S52" s="41"/>
      <c r="AE52" s="41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D53" s="2"/>
      <c r="F53" s="41"/>
      <c r="G53" s="41"/>
      <c r="H53" s="41"/>
      <c r="I53" s="41"/>
      <c r="M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D54" s="2"/>
      <c r="F54" s="41"/>
      <c r="G54" s="41"/>
      <c r="H54" s="41"/>
      <c r="I54" s="41"/>
      <c r="M54" s="41"/>
      <c r="N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D55" s="2"/>
      <c r="F55" s="41"/>
      <c r="G55" s="41"/>
      <c r="H55" s="41"/>
      <c r="J55" s="41"/>
      <c r="M55" s="41"/>
      <c r="N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D56" s="41"/>
      <c r="E56" s="41"/>
      <c r="J56" s="41"/>
      <c r="K56" s="41"/>
      <c r="M56" s="41"/>
      <c r="N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K57" s="41"/>
      <c r="M57" s="41"/>
      <c r="N57" s="41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2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F59" s="41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2">
      <c r="A60" s="9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I61" s="41"/>
      <c r="J61" s="41"/>
      <c r="K61" s="41"/>
      <c r="L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H62" s="41"/>
      <c r="I62" s="41"/>
      <c r="J62" s="41"/>
      <c r="K62" s="14"/>
      <c r="L62" s="41"/>
      <c r="O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H63" s="41"/>
      <c r="I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H64" s="41"/>
      <c r="I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H65" s="41"/>
      <c r="I65" s="41"/>
      <c r="K65" s="14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2">
      <c r="A66" s="9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2">
      <c r="A67" s="9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41"/>
      <c r="E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41"/>
      <c r="E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D70" s="41"/>
      <c r="E70" s="41"/>
      <c r="G70" s="41"/>
      <c r="P70" s="41"/>
      <c r="Q70" s="41"/>
      <c r="R70" s="41"/>
      <c r="S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D71" s="41"/>
      <c r="E71" s="41"/>
      <c r="F71" s="41"/>
      <c r="H71" s="41"/>
      <c r="I71" s="41"/>
      <c r="O71" s="41"/>
      <c r="P71" s="41"/>
      <c r="Q71" s="41"/>
      <c r="R71" s="14"/>
      <c r="S71" s="41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D72" s="41"/>
      <c r="E72" s="41"/>
      <c r="F72" s="41"/>
      <c r="G72" s="41"/>
      <c r="H72" s="41"/>
      <c r="I72" s="41"/>
      <c r="O72" s="41"/>
      <c r="P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D73" s="41"/>
      <c r="E73" s="41"/>
      <c r="F73" s="41"/>
      <c r="G73" s="41"/>
      <c r="H73" s="41"/>
      <c r="O73" s="41"/>
      <c r="P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D74" s="41"/>
      <c r="E74" s="41"/>
      <c r="F74" s="41"/>
      <c r="G74" s="41"/>
      <c r="H74" s="41"/>
      <c r="I74" s="41"/>
      <c r="J74" s="41"/>
      <c r="K74" s="41"/>
      <c r="L74" s="41"/>
      <c r="O74" s="41"/>
      <c r="P74" s="41"/>
      <c r="R74" s="14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D75" s="2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D76" s="2"/>
      <c r="M76" s="41"/>
      <c r="N76" s="41"/>
      <c r="O76" s="41"/>
      <c r="P76" s="41"/>
      <c r="Q76" s="41"/>
      <c r="R76" s="14"/>
      <c r="S76" s="41"/>
      <c r="AA76" s="41"/>
      <c r="AC76" s="41"/>
      <c r="AD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D77" s="2"/>
      <c r="M77" s="41"/>
      <c r="N77" s="41"/>
      <c r="O77" s="41"/>
      <c r="P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O78" s="41"/>
      <c r="P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2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2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M81" s="41"/>
      <c r="N81" s="41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M82" s="41"/>
      <c r="N82" s="41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M83" s="41"/>
      <c r="N83" s="41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M84" s="41"/>
      <c r="N84" s="41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2"/>
      <c r="K85" s="41"/>
      <c r="L85" s="41"/>
      <c r="M85" s="41"/>
      <c r="N85" s="41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M86" s="41"/>
      <c r="N86" s="41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2"/>
    <row r="88" spans="1:53" ht="13.5" customHeight="1" x14ac:dyDescent="0.2"/>
    <row r="89" spans="1:53" ht="13.5" customHeight="1" x14ac:dyDescent="0.2"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53" ht="13.5" customHeight="1" x14ac:dyDescent="0.2"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1:53" ht="13.5" customHeight="1" x14ac:dyDescent="0.2">
      <c r="B91" s="8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1:53" ht="13.5" customHeight="1" x14ac:dyDescent="0.2">
      <c r="B92" s="8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53" ht="13.5" customHeight="1" x14ac:dyDescent="0.2">
      <c r="B93" s="8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53" ht="13.5" customHeight="1" x14ac:dyDescent="0.2">
      <c r="B94" s="8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53" ht="13.5" customHeight="1" x14ac:dyDescent="0.2"/>
    <row r="96" spans="1:53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2" x14ac:dyDescent="0.2"/>
  <cols>
    <col min="1" max="1" width="18.88671875" bestFit="1" customWidth="1"/>
    <col min="3" max="3" width="12.21875" bestFit="1" customWidth="1"/>
  </cols>
  <sheetData>
    <row r="1" spans="1:3" x14ac:dyDescent="0.2">
      <c r="A1" s="3" t="s">
        <v>8</v>
      </c>
      <c r="C1" s="3" t="s">
        <v>0</v>
      </c>
    </row>
    <row r="3" spans="1:3" x14ac:dyDescent="0.2">
      <c r="A3" t="s">
        <v>9</v>
      </c>
      <c r="C3" t="s">
        <v>7</v>
      </c>
    </row>
    <row r="4" spans="1:3" x14ac:dyDescent="0.2">
      <c r="A4" t="s">
        <v>10</v>
      </c>
      <c r="C4" t="s">
        <v>3</v>
      </c>
    </row>
    <row r="5" spans="1:3" x14ac:dyDescent="0.2">
      <c r="C5" t="s">
        <v>4</v>
      </c>
    </row>
    <row r="6" spans="1:3" x14ac:dyDescent="0.2">
      <c r="C6" t="s">
        <v>5</v>
      </c>
    </row>
    <row r="7" spans="1:3" x14ac:dyDescent="0.2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66667e-7ddf-48ee-81f6-fe1825af740a" xsi:nil="true"/>
    <lcf76f155ced4ddcb4097134ff3c332f xmlns="69cb980d-ece2-4836-b1eb-1194e87de84b">
      <Terms xmlns="http://schemas.microsoft.com/office/infopath/2007/PartnerControls"/>
    </lcf76f155ced4ddcb4097134ff3c332f>
    <_x30b3__x30e1__x30f3__x30c8_ xmlns="69cb980d-ece2-4836-b1eb-1194e87de84b" xsi:nil="true"/>
    <_x5bfe__x8c61__x30e6__x30fc__x30b6__x30fc_ xmlns="69cb980d-ece2-4836-b1eb-1194e87de8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69cb980d-ece2-4836-b1eb-1194e87de84b"/>
    <ds:schemaRef ds:uri="http://schemas.openxmlformats.org/package/2006/metadata/core-properties"/>
    <ds:schemaRef ds:uri="http://purl.org/dc/terms/"/>
    <ds:schemaRef ds:uri="2066667e-7ddf-48ee-81f6-fe1825af740a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E8C4BC6-D4FC-48B9-A494-C17485A0FE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国光 千尋(kunimitsu.chihiro)</cp:lastModifiedBy>
  <cp:lastPrinted>2016-07-11T09:45:07Z</cp:lastPrinted>
  <dcterms:created xsi:type="dcterms:W3CDTF">2003-10-15T05:19:34Z</dcterms:created>
  <dcterms:modified xsi:type="dcterms:W3CDTF">2025-08-08T08:02:21Z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0x01010000C6B454662EFA4A98BA925FDA02C421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