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abata.sharepoint.com/sites/dike/DIKe1/400_オプションC/540_EDIミドル移行対応（フェーズ2）/310_作成中資料/04_SS/01_Waha移行/040：ジョブネット設計/011：ジョブフロー(EDI)/TUG_テクノＵＭＧ/"/>
    </mc:Choice>
  </mc:AlternateContent>
  <xr:revisionPtr revIDLastSave="41" documentId="13_ncr:1_{746005DF-CE4E-4374-9336-6E304332FA5B}" xr6:coauthVersionLast="47" xr6:coauthVersionMax="47" xr10:uidLastSave="{847E0B5B-5EA8-4B2A-B7D9-22BE932215D0}"/>
  <bookViews>
    <workbookView xWindow="-108" yWindow="-108" windowWidth="23256" windowHeight="12456" xr2:uid="{00000000-000D-0000-FFFF-FFFF00000000}"/>
  </bookViews>
  <sheets>
    <sheet name="表紙" sheetId="10" r:id="rId1"/>
    <sheet name="変更履歴" sheetId="18" r:id="rId2"/>
    <sheet name="ジョブフロー図" sheetId="19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ジョブフロー図!$A$1:$AZ$88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" i="19" l="1"/>
  <c r="AK3" i="19"/>
  <c r="AF3" i="19"/>
  <c r="AA3" i="19"/>
  <c r="R3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B8" i="18" l="1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</calcChain>
</file>

<file path=xl/sharedStrings.xml><?xml version="1.0" encoding="utf-8"?>
<sst xmlns="http://schemas.openxmlformats.org/spreadsheetml/2006/main" count="154" uniqueCount="107">
  <si>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</si>
  <si>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</si>
  <si>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</si>
  <si>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</si>
  <si>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</si>
  <si>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</si>
  <si>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</si>
  <si>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</si>
  <si>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</si>
  <si>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</si>
  <si>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</si>
  <si>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</si>
  <si>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</si>
  <si>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</si>
  <si>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</si>
  <si>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</si>
  <si>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</si>
  <si>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</si>
  <si>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</si>
  <si>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</si>
  <si>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</si>
  <si>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</si>
  <si>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</si>
  <si>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</si>
  <si>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</si>
  <si>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</si>
  <si>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</si>
  <si>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</si>
  <si>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</si>
  <si>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</si>
  <si>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</si>
  <si>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</si>
  <si>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1.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</si>
  <si>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</si>
  <si>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</si>
  <si>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</si>
  <si>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</si>
  <si>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</si>
  <si>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</si>
  <si>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</si>
  <si>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【処理概要】</t>
    <rPh sb="1" eb="3">
      <t>ショリ</t>
    </rPh>
    <rPh sb="3" eb="5">
      <t>ガイヨウ</t>
    </rPh>
    <phoneticPr fontId="2"/>
  </si>
  <si>
    <t>パラメタファイルを作成する。</t>
    <rPh sb="9" eb="11">
      <t>サクセイ</t>
    </rPh>
    <phoneticPr fontId="2"/>
  </si>
  <si>
    <t>2.</t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</si>
  <si>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</si>
  <si>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</si>
  <si>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</si>
  <si>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</si>
  <si>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</si>
  <si>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</si>
  <si>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</si>
  <si>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共通</t>
    <rPh sb="0" eb="2">
      <t>キョウツウ</t>
    </rPh>
    <phoneticPr fontId="2"/>
  </si>
  <si>
    <t>個別</t>
    <rPh sb="0" eb="2">
      <t>コベツ</t>
    </rPh>
    <phoneticPr fontId="2"/>
  </si>
  <si>
    <t>パラメタファイルの設定内容</t>
    <rPh sb="9" eb="11">
      <t>セッテイ</t>
    </rPh>
    <rPh sb="11" eb="13">
      <t>ナイヨウ</t>
    </rPh>
    <phoneticPr fontId="2"/>
  </si>
  <si>
    <t>マッピングファイルのパス</t>
    <phoneticPr fontId="2"/>
  </si>
  <si>
    <t>$OutputFile_MAP_FILE</t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</si>
  <si>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</si>
  <si>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</si>
  <si>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</si>
  <si>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</si>
  <si>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</si>
  <si>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</si>
  <si>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</si>
  <si>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セッションログのファイル名</t>
    <rPh sb="12" eb="13">
      <t>メイ</t>
    </rPh>
    <phoneticPr fontId="2"/>
  </si>
  <si>
    <t>セッションエラーログのファイル名</t>
    <rPh sb="15" eb="16">
      <t>メイ</t>
    </rPh>
    <phoneticPr fontId="2"/>
  </si>
  <si>
    <t>$PMSessionLogFile</t>
  </si>
  <si>
    <t>$PMSessionName_error</t>
  </si>
  <si>
    <t>R60795</t>
    <phoneticPr fontId="2"/>
  </si>
  <si>
    <t>データ交換ID</t>
    <rPh sb="3" eb="5">
      <t>コウカン</t>
    </rPh>
    <phoneticPr fontId="2"/>
  </si>
  <si>
    <t>DB接続オブジェクト(DIKe)</t>
    <rPh sb="2" eb="4">
      <t>セツゾク</t>
    </rPh>
    <phoneticPr fontId="2"/>
  </si>
  <si>
    <t>$DBConnectionDIKe</t>
    <phoneticPr fontId="2"/>
  </si>
  <si>
    <t>INPUTファイルレイアウトに整形し、</t>
    <rPh sb="15" eb="17">
      <t>セイケイ</t>
    </rPh>
    <phoneticPr fontId="2"/>
  </si>
  <si>
    <t>タスクフローで使用する。</t>
    <rPh sb="7" eb="9">
      <t>シヨウ</t>
    </rPh>
    <phoneticPr fontId="2"/>
  </si>
  <si>
    <t>パラメタファイル</t>
    <phoneticPr fontId="2"/>
  </si>
  <si>
    <t>1.ファイル削除処理</t>
    <phoneticPr fontId="2"/>
  </si>
  <si>
    <t>2.パラメタファイル作成処理</t>
    <phoneticPr fontId="2"/>
  </si>
  <si>
    <t>3.</t>
    <phoneticPr fontId="2"/>
  </si>
  <si>
    <t>前回の送信ファイルを削除する。</t>
    <rPh sb="0" eb="2">
      <t>ゼンカイ</t>
    </rPh>
    <rPh sb="3" eb="5">
      <t>ソウシン</t>
    </rPh>
    <rPh sb="10" eb="12">
      <t>サクジョ</t>
    </rPh>
    <phoneticPr fontId="2"/>
  </si>
  <si>
    <t>連携ファイルを出力する。</t>
    <rPh sb="0" eb="2">
      <t>レンケイ</t>
    </rPh>
    <rPh sb="7" eb="9">
      <t>シュツリョク</t>
    </rPh>
    <phoneticPr fontId="2"/>
  </si>
  <si>
    <t>$$m_DATA_KOKAN_ID</t>
    <phoneticPr fontId="2"/>
  </si>
  <si>
    <t>$InputFile_MAP_FILE</t>
    <phoneticPr fontId="2"/>
  </si>
  <si>
    <t>インプットファイルのパス</t>
    <phoneticPr fontId="2"/>
  </si>
  <si>
    <t>$$m_EDI_SAIBAN_SBT</t>
    <phoneticPr fontId="2"/>
  </si>
  <si>
    <t>EDI採番種別</t>
    <rPh sb="3" eb="7">
      <t>サイバンシュベツ</t>
    </rPh>
    <phoneticPr fontId="2"/>
  </si>
  <si>
    <t>件数を取得し、件数ファイルを出力する。</t>
    <rPh sb="0" eb="2">
      <t>ケンスウ</t>
    </rPh>
    <rPh sb="3" eb="5">
      <t>シュトク</t>
    </rPh>
    <rPh sb="7" eb="9">
      <t>ケンスウ</t>
    </rPh>
    <rPh sb="14" eb="16">
      <t>シュツリョク</t>
    </rPh>
    <phoneticPr fontId="2"/>
  </si>
  <si>
    <t>4.件数確認結果ファイルサイズチェック</t>
    <rPh sb="2" eb="4">
      <t>ケンスウ</t>
    </rPh>
    <rPh sb="4" eb="6">
      <t>カクニン</t>
    </rPh>
    <rPh sb="6" eb="8">
      <t>ケッカ</t>
    </rPh>
    <phoneticPr fontId="2"/>
  </si>
  <si>
    <t>件数確認結果ファイルのサイズを確認し、</t>
    <rPh sb="15" eb="17">
      <t>カクニン</t>
    </rPh>
    <phoneticPr fontId="2"/>
  </si>
  <si>
    <t>0バイトの場合は返却値10を呼び出し元に</t>
    <rPh sb="5" eb="7">
      <t>バアイ</t>
    </rPh>
    <rPh sb="8" eb="10">
      <t>ヘンキャク</t>
    </rPh>
    <rPh sb="10" eb="11">
      <t>チ</t>
    </rPh>
    <rPh sb="14" eb="15">
      <t>ヨ</t>
    </rPh>
    <rPh sb="16" eb="17">
      <t>ダ</t>
    </rPh>
    <rPh sb="18" eb="19">
      <t>モト</t>
    </rPh>
    <phoneticPr fontId="2"/>
  </si>
  <si>
    <t>返却する。</t>
    <rPh sb="0" eb="2">
      <t>ヘンキャク</t>
    </rPh>
    <phoneticPr fontId="2"/>
  </si>
  <si>
    <t>0バイトでない場合は後続の処理を</t>
    <rPh sb="7" eb="9">
      <t>バアイ</t>
    </rPh>
    <rPh sb="10" eb="12">
      <t>コウゾク</t>
    </rPh>
    <rPh sb="13" eb="15">
      <t>ショリ</t>
    </rPh>
    <phoneticPr fontId="2"/>
  </si>
  <si>
    <t>実行する。</t>
    <phoneticPr fontId="2"/>
  </si>
  <si>
    <t>4.</t>
    <phoneticPr fontId="2"/>
  </si>
  <si>
    <t>5.</t>
    <phoneticPr fontId="2"/>
  </si>
  <si>
    <t>支払・支払明細</t>
    <rPh sb="0" eb="2">
      <t>シハライ</t>
    </rPh>
    <rPh sb="3" eb="5">
      <t>シハライ</t>
    </rPh>
    <rPh sb="5" eb="7">
      <t>メイサイ</t>
    </rPh>
    <phoneticPr fontId="2"/>
  </si>
  <si>
    <t>EDI送信DB_支払から対象データの</t>
    <rPh sb="3" eb="5">
      <t>ソウシン</t>
    </rPh>
    <rPh sb="8" eb="10">
      <t>シハライ</t>
    </rPh>
    <rPh sb="12" eb="14">
      <t>タイショウ</t>
    </rPh>
    <phoneticPr fontId="2"/>
  </si>
  <si>
    <t>EDI送信DB_支払から対象データを抽出する。</t>
    <rPh sb="3" eb="5">
      <t>ソウシン</t>
    </rPh>
    <rPh sb="12" eb="14">
      <t>タイショウ</t>
    </rPh>
    <rPh sb="18" eb="20">
      <t>チュウシュツ</t>
    </rPh>
    <phoneticPr fontId="2"/>
  </si>
  <si>
    <t>FJ)国光</t>
    <phoneticPr fontId="2"/>
  </si>
  <si>
    <t>機能名称：テクノＵＭＧ_支払データ抽出</t>
    <rPh sb="0" eb="2">
      <t>キノウ</t>
    </rPh>
    <rPh sb="2" eb="4">
      <t>メイショウ</t>
    </rPh>
    <phoneticPr fontId="2"/>
  </si>
  <si>
    <t>テクノＵＭＧ</t>
  </si>
  <si>
    <t>テクノＵＭＧ向けの連携ファイルを作成する。</t>
    <rPh sb="6" eb="7">
      <t>ム</t>
    </rPh>
    <phoneticPr fontId="2"/>
  </si>
  <si>
    <t>ジョブフロー図(TUGA140S010)</t>
    <rPh sb="6" eb="7">
      <t>ズ</t>
    </rPh>
    <phoneticPr fontId="2"/>
  </si>
  <si>
    <t>TUG</t>
  </si>
  <si>
    <t>p_t_TUG_支払_010</t>
  </si>
  <si>
    <t>p_t_TUG_支払_020</t>
  </si>
  <si>
    <t>3.wf_TUG_A140_210</t>
  </si>
  <si>
    <t>5.wf_TUG_A140_220</t>
  </si>
  <si>
    <t>TUGA140S010</t>
    <phoneticPr fontId="2"/>
  </si>
  <si>
    <t>テクノＵＭＧ_支払データ抽出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</si>
</sst>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81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5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76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3" fillId="0" borderId="15" xfId="11" quotePrefix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82" fontId="8" fillId="3" borderId="28" xfId="0" applyNumberFormat="1" applyFont="1" applyFill="1" applyBorder="1" applyAlignment="1">
      <alignment horizontal="center" vertical="center"/>
    </xf>
    <xf numFmtId="182" fontId="8" fillId="3" borderId="2" xfId="0" applyNumberFormat="1" applyFont="1" applyFill="1" applyBorder="1" applyAlignment="1">
      <alignment horizontal="center" vertical="center"/>
    </xf>
    <xf numFmtId="182" fontId="8" fillId="3" borderId="29" xfId="0" applyNumberFormat="1" applyFont="1" applyFill="1" applyBorder="1" applyAlignment="1">
      <alignment horizontal="center" vertical="center"/>
    </xf>
    <xf numFmtId="182" fontId="8" fillId="3" borderId="30" xfId="0" applyNumberFormat="1" applyFont="1" applyFill="1" applyBorder="1" applyAlignment="1">
      <alignment horizontal="center" vertical="center"/>
    </xf>
    <xf numFmtId="182" fontId="8" fillId="3" borderId="31" xfId="0" applyNumberFormat="1" applyFont="1" applyFill="1" applyBorder="1" applyAlignment="1">
      <alignment horizontal="center" vertical="center"/>
    </xf>
    <xf numFmtId="182" fontId="8" fillId="3" borderId="32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8" fillId="0" borderId="2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49" fontId="3" fillId="7" borderId="15" xfId="0" applyNumberFormat="1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" xfId="0" builtinId="0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9525</xdr:colOff>
      <xdr:row>64</xdr:row>
      <xdr:rowOff>0</xdr:rowOff>
    </xdr:from>
    <xdr:to>
      <xdr:col>20</xdr:col>
      <xdr:colOff>9525</xdr:colOff>
      <xdr:row>67</xdr:row>
      <xdr:rowOff>104776</xdr:rowOff>
    </xdr:to>
    <xdr:sp macro="" textlink="">
      <xdr:nvSpPr>
        <xdr:cNvPr id="2" name="Rectangle 95">
          <a:extLst>
            <a:ext uri="{FF2B5EF4-FFF2-40B4-BE49-F238E27FC236}">
              <a16:creationId xmlns:a16="http://schemas.microsoft.com/office/drawing/2014/main" id="{D010E6D5-177E-4042-A674-41EAC60823D4}"/>
            </a:ext>
          </a:extLst>
        </xdr:cNvPr>
        <xdr:cNvSpPr>
          <a:spLocks noChangeArrowheads="1"/>
        </xdr:cNvSpPr>
      </xdr:nvSpPr>
      <xdr:spPr bwMode="auto">
        <a:xfrm>
          <a:off x="2463165" y="10728960"/>
          <a:ext cx="1051560" cy="6076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15673</xdr:colOff>
      <xdr:row>41</xdr:row>
      <xdr:rowOff>85725</xdr:rowOff>
    </xdr:from>
    <xdr:to>
      <xdr:col>9</xdr:col>
      <xdr:colOff>168136</xdr:colOff>
      <xdr:row>43</xdr:row>
      <xdr:rowOff>69988</xdr:rowOff>
    </xdr:to>
    <xdr:grpSp>
      <xdr:nvGrpSpPr>
        <xdr:cNvPr id="3" name="Group 195">
          <a:extLst>
            <a:ext uri="{FF2B5EF4-FFF2-40B4-BE49-F238E27FC236}">
              <a16:creationId xmlns:a16="http://schemas.microsoft.com/office/drawing/2014/main" id="{43E4D3DE-B873-422F-A203-FAB364D46EE4}"/>
            </a:ext>
          </a:extLst>
        </xdr:cNvPr>
        <xdr:cNvGrpSpPr>
          <a:grpSpLocks/>
        </xdr:cNvGrpSpPr>
      </xdr:nvGrpSpPr>
      <xdr:grpSpPr bwMode="auto">
        <a:xfrm flipH="1">
          <a:off x="1067233" y="6958965"/>
          <a:ext cx="678243" cy="319543"/>
          <a:chOff x="357" y="331"/>
          <a:chExt cx="121" cy="29"/>
        </a:xfrm>
      </xdr:grpSpPr>
      <xdr:sp macro="" textlink="">
        <xdr:nvSpPr>
          <xdr:cNvPr id="4" name="Line 196">
            <a:extLst>
              <a:ext uri="{FF2B5EF4-FFF2-40B4-BE49-F238E27FC236}">
                <a16:creationId xmlns:a16="http://schemas.microsoft.com/office/drawing/2014/main" id="{537811FF-6F55-0C8B-8C1E-A6510799D83A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197">
            <a:extLst>
              <a:ext uri="{FF2B5EF4-FFF2-40B4-BE49-F238E27FC236}">
                <a16:creationId xmlns:a16="http://schemas.microsoft.com/office/drawing/2014/main" id="{24A30FB0-CBBF-FDFE-8312-28BB8DCBC756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23</xdr:col>
      <xdr:colOff>129833</xdr:colOff>
      <xdr:row>32</xdr:row>
      <xdr:rowOff>20082</xdr:rowOff>
    </xdr:from>
    <xdr:to>
      <xdr:col>29</xdr:col>
      <xdr:colOff>129833</xdr:colOff>
      <xdr:row>35</xdr:row>
      <xdr:rowOff>129547</xdr:rowOff>
    </xdr:to>
    <xdr:grpSp>
      <xdr:nvGrpSpPr>
        <xdr:cNvPr id="6" name="グループ化 5">
          <a:extLst>
            <a:ext uri="{FF2B5EF4-FFF2-40B4-BE49-F238E27FC236}">
              <a16:creationId xmlns:a16="http://schemas.microsoft.com/office/drawing/2014/main" id="{E19BE76E-F10B-4DFB-8DC5-6AECA28CF557}"/>
            </a:ext>
          </a:extLst>
        </xdr:cNvPr>
        <xdr:cNvGrpSpPr/>
      </xdr:nvGrpSpPr>
      <xdr:grpSpPr>
        <a:xfrm>
          <a:off x="4160813" y="5384562"/>
          <a:ext cx="1051560" cy="612385"/>
          <a:chOff x="2200275" y="4448175"/>
          <a:chExt cx="1200151" cy="619126"/>
        </a:xfrm>
      </xdr:grpSpPr>
      <xdr:sp macro="" textlink="">
        <xdr:nvSpPr>
          <xdr:cNvPr id="7" name="Text Box 93">
            <a:extLst>
              <a:ext uri="{FF2B5EF4-FFF2-40B4-BE49-F238E27FC236}">
                <a16:creationId xmlns:a16="http://schemas.microsoft.com/office/drawing/2014/main" id="{34A06EB5-3F6F-9153-4E3D-43B863F88D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処理</a:t>
            </a:r>
          </a:p>
        </xdr:txBody>
      </xdr:sp>
      <xdr:sp macro="" textlink="">
        <xdr:nvSpPr>
          <xdr:cNvPr id="8" name="Rectangle 95">
            <a:extLst>
              <a:ext uri="{FF2B5EF4-FFF2-40B4-BE49-F238E27FC236}">
                <a16:creationId xmlns:a16="http://schemas.microsoft.com/office/drawing/2014/main" id="{21A91C01-62ED-958E-0FE9-1D16FEB95033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Text Box 93">
            <a:extLst>
              <a:ext uri="{FF2B5EF4-FFF2-40B4-BE49-F238E27FC236}">
                <a16:creationId xmlns:a16="http://schemas.microsoft.com/office/drawing/2014/main" id="{2D339D07-2187-6046-AD99-FF73ED306A3A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133643</xdr:colOff>
      <xdr:row>37</xdr:row>
      <xdr:rowOff>154299</xdr:rowOff>
    </xdr:from>
    <xdr:to>
      <xdr:col>25</xdr:col>
      <xdr:colOff>133644</xdr:colOff>
      <xdr:row>40</xdr:row>
      <xdr:rowOff>154299</xdr:rowOff>
    </xdr:to>
    <xdr:sp macro="" textlink="">
      <xdr:nvSpPr>
        <xdr:cNvPr id="10" name="AutoShape 90">
          <a:extLst>
            <a:ext uri="{FF2B5EF4-FFF2-40B4-BE49-F238E27FC236}">
              <a16:creationId xmlns:a16="http://schemas.microsoft.com/office/drawing/2014/main" id="{CACDE4F3-03DA-4A1C-8F73-DA0E01C3331F}"/>
            </a:ext>
          </a:extLst>
        </xdr:cNvPr>
        <xdr:cNvSpPr>
          <a:spLocks noChangeArrowheads="1"/>
        </xdr:cNvSpPr>
      </xdr:nvSpPr>
      <xdr:spPr bwMode="auto">
        <a:xfrm>
          <a:off x="3113063" y="6356979"/>
          <a:ext cx="140208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(p_t_TUG_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支払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_010)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2844</xdr:colOff>
      <xdr:row>40</xdr:row>
      <xdr:rowOff>154299</xdr:rowOff>
    </xdr:from>
    <xdr:to>
      <xdr:col>21</xdr:col>
      <xdr:colOff>133645</xdr:colOff>
      <xdr:row>43</xdr:row>
      <xdr:rowOff>58866</xdr:rowOff>
    </xdr:to>
    <xdr:cxnSp macro="">
      <xdr:nvCxnSpPr>
        <xdr:cNvPr id="11" name="AutoShape 513">
          <a:extLst>
            <a:ext uri="{FF2B5EF4-FFF2-40B4-BE49-F238E27FC236}">
              <a16:creationId xmlns:a16="http://schemas.microsoft.com/office/drawing/2014/main" id="{E391DFAA-C4D7-41B9-879F-6738208C197F}"/>
            </a:ext>
          </a:extLst>
        </xdr:cNvPr>
        <xdr:cNvCxnSpPr>
          <a:cxnSpLocks noChangeShapeType="1"/>
          <a:stCxn id="10" idx="2"/>
          <a:endCxn id="31" idx="0"/>
        </xdr:cNvCxnSpPr>
      </xdr:nvCxnSpPr>
      <xdr:spPr bwMode="auto">
        <a:xfrm rot="5400000">
          <a:off x="2843921" y="6297202"/>
          <a:ext cx="407487" cy="153288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32</xdr:row>
      <xdr:rowOff>2867</xdr:rowOff>
    </xdr:from>
    <xdr:to>
      <xdr:col>16</xdr:col>
      <xdr:colOff>2842</xdr:colOff>
      <xdr:row>35</xdr:row>
      <xdr:rowOff>92275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C10E3275-3BA9-4F8D-A909-4D5EA32E45AB}"/>
            </a:ext>
          </a:extLst>
        </xdr:cNvPr>
        <xdr:cNvGrpSpPr/>
      </xdr:nvGrpSpPr>
      <xdr:grpSpPr>
        <a:xfrm>
          <a:off x="1752600" y="5367347"/>
          <a:ext cx="1054402" cy="592328"/>
          <a:chOff x="2200275" y="4448175"/>
          <a:chExt cx="1200150" cy="619126"/>
        </a:xfrm>
      </xdr:grpSpPr>
      <xdr:sp macro="" textlink="">
        <xdr:nvSpPr>
          <xdr:cNvPr id="13" name="Text Box 93">
            <a:extLst>
              <a:ext uri="{FF2B5EF4-FFF2-40B4-BE49-F238E27FC236}">
                <a16:creationId xmlns:a16="http://schemas.microsoft.com/office/drawing/2014/main" id="{63E71F63-9B88-0F6E-1368-A31134AC011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送信ファイル削除処理</a:t>
            </a:r>
          </a:p>
        </xdr:txBody>
      </xdr:sp>
      <xdr:sp macro="" textlink="">
        <xdr:nvSpPr>
          <xdr:cNvPr id="14" name="Rectangle 95">
            <a:extLst>
              <a:ext uri="{FF2B5EF4-FFF2-40B4-BE49-F238E27FC236}">
                <a16:creationId xmlns:a16="http://schemas.microsoft.com/office/drawing/2014/main" id="{396EFDB8-CC10-2453-1CD3-5EAFC9161C7B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Text Box 93">
            <a:extLst>
              <a:ext uri="{FF2B5EF4-FFF2-40B4-BE49-F238E27FC236}">
                <a16:creationId xmlns:a16="http://schemas.microsoft.com/office/drawing/2014/main" id="{00FC79EB-7B86-5CC3-639A-70F306FF5F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13</xdr:col>
      <xdr:colOff>1421</xdr:colOff>
      <xdr:row>35</xdr:row>
      <xdr:rowOff>88465</xdr:rowOff>
    </xdr:from>
    <xdr:to>
      <xdr:col>13</xdr:col>
      <xdr:colOff>2843</xdr:colOff>
      <xdr:row>43</xdr:row>
      <xdr:rowOff>58866</xdr:rowOff>
    </xdr:to>
    <xdr:cxnSp macro="">
      <xdr:nvCxnSpPr>
        <xdr:cNvPr id="16" name="AutoShape 108">
          <a:extLst>
            <a:ext uri="{FF2B5EF4-FFF2-40B4-BE49-F238E27FC236}">
              <a16:creationId xmlns:a16="http://schemas.microsoft.com/office/drawing/2014/main" id="{D3C8BD54-3588-42BE-A8D8-1393C8925AD2}"/>
            </a:ext>
          </a:extLst>
        </xdr:cNvPr>
        <xdr:cNvCxnSpPr>
          <a:cxnSpLocks noChangeShapeType="1"/>
          <a:stCxn id="14" idx="2"/>
          <a:endCxn id="31" idx="0"/>
        </xdr:cNvCxnSpPr>
      </xdr:nvCxnSpPr>
      <xdr:spPr bwMode="auto">
        <a:xfrm>
          <a:off x="2279801" y="5955865"/>
          <a:ext cx="1422" cy="13115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2842</xdr:colOff>
      <xdr:row>66</xdr:row>
      <xdr:rowOff>9525</xdr:rowOff>
    </xdr:from>
    <xdr:to>
      <xdr:col>16</xdr:col>
      <xdr:colOff>2842</xdr:colOff>
      <xdr:row>69</xdr:row>
      <xdr:rowOff>101264</xdr:rowOff>
    </xdr:to>
    <xdr:grpSp>
      <xdr:nvGrpSpPr>
        <xdr:cNvPr id="17" name="グループ化 16">
          <a:extLst>
            <a:ext uri="{FF2B5EF4-FFF2-40B4-BE49-F238E27FC236}">
              <a16:creationId xmlns:a16="http://schemas.microsoft.com/office/drawing/2014/main" id="{1172777E-AFEC-4BD0-983E-0AE4998EBA72}"/>
            </a:ext>
          </a:extLst>
        </xdr:cNvPr>
        <xdr:cNvGrpSpPr/>
      </xdr:nvGrpSpPr>
      <xdr:grpSpPr>
        <a:xfrm>
          <a:off x="1755442" y="11073765"/>
          <a:ext cx="1051560" cy="594659"/>
          <a:chOff x="2200275" y="4448175"/>
          <a:chExt cx="1200151" cy="619126"/>
        </a:xfrm>
      </xdr:grpSpPr>
      <xdr:sp macro="" textlink="">
        <xdr:nvSpPr>
          <xdr:cNvPr id="18" name="Text Box 93">
            <a:extLst>
              <a:ext uri="{FF2B5EF4-FFF2-40B4-BE49-F238E27FC236}">
                <a16:creationId xmlns:a16="http://schemas.microsoft.com/office/drawing/2014/main" id="{37FF2C3A-AC1C-1614-D6CC-95E38FDB7D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wf_TUG_A140_220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9" name="Rectangle 95">
            <a:extLst>
              <a:ext uri="{FF2B5EF4-FFF2-40B4-BE49-F238E27FC236}">
                <a16:creationId xmlns:a16="http://schemas.microsoft.com/office/drawing/2014/main" id="{38BDDC91-92E3-4DDF-1D65-D110BBD9AFB5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Text Box 93">
            <a:extLst>
              <a:ext uri="{FF2B5EF4-FFF2-40B4-BE49-F238E27FC236}">
                <a16:creationId xmlns:a16="http://schemas.microsoft.com/office/drawing/2014/main" id="{3DD8AD34-48E1-F1E8-0821-DAF27C30A53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9</xdr:col>
      <xdr:colOff>104906</xdr:colOff>
      <xdr:row>73</xdr:row>
      <xdr:rowOff>133806</xdr:rowOff>
    </xdr:from>
    <xdr:to>
      <xdr:col>16</xdr:col>
      <xdr:colOff>84746</xdr:colOff>
      <xdr:row>76</xdr:row>
      <xdr:rowOff>133806</xdr:rowOff>
    </xdr:to>
    <xdr:sp macro="" textlink="">
      <xdr:nvSpPr>
        <xdr:cNvPr id="21" name="AutoShape 90">
          <a:extLst>
            <a:ext uri="{FF2B5EF4-FFF2-40B4-BE49-F238E27FC236}">
              <a16:creationId xmlns:a16="http://schemas.microsoft.com/office/drawing/2014/main" id="{003B27B6-AC02-4B20-A081-EB1462043031}"/>
            </a:ext>
          </a:extLst>
        </xdr:cNvPr>
        <xdr:cNvSpPr>
          <a:spLocks noChangeArrowheads="1"/>
        </xdr:cNvSpPr>
      </xdr:nvSpPr>
      <xdr:spPr bwMode="auto">
        <a:xfrm>
          <a:off x="1682246" y="12371526"/>
          <a:ext cx="120666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(TUGA140S02001)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8</xdr:col>
      <xdr:colOff>7620</xdr:colOff>
      <xdr:row>80</xdr:row>
      <xdr:rowOff>110896</xdr:rowOff>
    </xdr:from>
    <xdr:to>
      <xdr:col>18</xdr:col>
      <xdr:colOff>7620</xdr:colOff>
      <xdr:row>84</xdr:row>
      <xdr:rowOff>91846</xdr:rowOff>
    </xdr:to>
    <xdr:sp macro="" textlink="">
      <xdr:nvSpPr>
        <xdr:cNvPr id="22" name="フレーム 52">
          <a:extLst>
            <a:ext uri="{FF2B5EF4-FFF2-40B4-BE49-F238E27FC236}">
              <a16:creationId xmlns:a16="http://schemas.microsoft.com/office/drawing/2014/main" id="{7AC3BD2E-0C1A-475A-8968-CBA628147C76}"/>
            </a:ext>
          </a:extLst>
        </xdr:cNvPr>
        <xdr:cNvSpPr>
          <a:spLocks noChangeArrowheads="1"/>
        </xdr:cNvSpPr>
      </xdr:nvSpPr>
      <xdr:spPr bwMode="auto">
        <a:xfrm>
          <a:off x="1409700" y="13522096"/>
          <a:ext cx="1752600" cy="65151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TUGA140S020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テクノＵＭＧ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支払・支払明細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データ編集</a:t>
          </a:r>
        </a:p>
      </xdr:txBody>
    </xdr:sp>
    <xdr:clientData/>
  </xdr:twoCellAnchor>
  <xdr:twoCellAnchor>
    <xdr:from>
      <xdr:col>13</xdr:col>
      <xdr:colOff>3386</xdr:colOff>
      <xdr:row>76</xdr:row>
      <xdr:rowOff>133806</xdr:rowOff>
    </xdr:from>
    <xdr:to>
      <xdr:col>13</xdr:col>
      <xdr:colOff>7620</xdr:colOff>
      <xdr:row>80</xdr:row>
      <xdr:rowOff>110896</xdr:rowOff>
    </xdr:to>
    <xdr:cxnSp macro="">
      <xdr:nvCxnSpPr>
        <xdr:cNvPr id="23" name="AutoShape 108">
          <a:extLst>
            <a:ext uri="{FF2B5EF4-FFF2-40B4-BE49-F238E27FC236}">
              <a16:creationId xmlns:a16="http://schemas.microsoft.com/office/drawing/2014/main" id="{E6DAC6E3-4A7B-483A-B879-71A56C27B53A}"/>
            </a:ext>
          </a:extLst>
        </xdr:cNvPr>
        <xdr:cNvCxnSpPr>
          <a:cxnSpLocks noChangeShapeType="1"/>
          <a:stCxn id="21" idx="2"/>
          <a:endCxn id="22" idx="0"/>
        </xdr:cNvCxnSpPr>
      </xdr:nvCxnSpPr>
      <xdr:spPr bwMode="auto">
        <a:xfrm>
          <a:off x="2281766" y="12874446"/>
          <a:ext cx="4234" cy="6476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166056</xdr:colOff>
      <xdr:row>68</xdr:row>
      <xdr:rowOff>73478</xdr:rowOff>
    </xdr:from>
    <xdr:to>
      <xdr:col>25</xdr:col>
      <xdr:colOff>181156</xdr:colOff>
      <xdr:row>71</xdr:row>
      <xdr:rowOff>82270</xdr:rowOff>
    </xdr:to>
    <xdr:sp macro="" textlink="">
      <xdr:nvSpPr>
        <xdr:cNvPr id="24" name="AutoShape 176">
          <a:extLst>
            <a:ext uri="{FF2B5EF4-FFF2-40B4-BE49-F238E27FC236}">
              <a16:creationId xmlns:a16="http://schemas.microsoft.com/office/drawing/2014/main" id="{874B6605-DEA4-4C56-B211-6CACF3E1B0E5}"/>
            </a:ext>
          </a:extLst>
        </xdr:cNvPr>
        <xdr:cNvSpPr>
          <a:spLocks noChangeArrowheads="1"/>
        </xdr:cNvSpPr>
      </xdr:nvSpPr>
      <xdr:spPr bwMode="auto">
        <a:xfrm>
          <a:off x="3495996" y="11472998"/>
          <a:ext cx="1059040" cy="51171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支払</a:t>
          </a:r>
        </a:p>
      </xdr:txBody>
    </xdr:sp>
    <xdr:clientData/>
  </xdr:twoCellAnchor>
  <xdr:twoCellAnchor>
    <xdr:from>
      <xdr:col>13</xdr:col>
      <xdr:colOff>2842</xdr:colOff>
      <xdr:row>69</xdr:row>
      <xdr:rowOff>103167</xdr:rowOff>
    </xdr:from>
    <xdr:to>
      <xdr:col>13</xdr:col>
      <xdr:colOff>3386</xdr:colOff>
      <xdr:row>73</xdr:row>
      <xdr:rowOff>133806</xdr:rowOff>
    </xdr:to>
    <xdr:cxnSp macro="">
      <xdr:nvCxnSpPr>
        <xdr:cNvPr id="25" name="AutoShape 108">
          <a:extLst>
            <a:ext uri="{FF2B5EF4-FFF2-40B4-BE49-F238E27FC236}">
              <a16:creationId xmlns:a16="http://schemas.microsoft.com/office/drawing/2014/main" id="{53454B5C-AA5D-4AA8-8525-71D44F4FEE88}"/>
            </a:ext>
          </a:extLst>
        </xdr:cNvPr>
        <xdr:cNvCxnSpPr>
          <a:cxnSpLocks noChangeShapeType="1"/>
          <a:stCxn id="18" idx="2"/>
          <a:endCxn id="21" idx="0"/>
        </xdr:cNvCxnSpPr>
      </xdr:nvCxnSpPr>
      <xdr:spPr bwMode="auto">
        <a:xfrm>
          <a:off x="2281222" y="11670327"/>
          <a:ext cx="544" cy="70119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53340</xdr:colOff>
      <xdr:row>68</xdr:row>
      <xdr:rowOff>121920</xdr:rowOff>
    </xdr:from>
    <xdr:to>
      <xdr:col>19</xdr:col>
      <xdr:colOff>85725</xdr:colOff>
      <xdr:row>71</xdr:row>
      <xdr:rowOff>28575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64BE4F1F-7746-4511-BB42-4BC415797D5C}"/>
            </a:ext>
          </a:extLst>
        </xdr:cNvPr>
        <xdr:cNvCxnSpPr/>
      </xdr:nvCxnSpPr>
      <xdr:spPr bwMode="auto">
        <a:xfrm>
          <a:off x="2857500" y="11521440"/>
          <a:ext cx="558165" cy="40957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  <xdr:twoCellAnchor>
    <xdr:from>
      <xdr:col>19</xdr:col>
      <xdr:colOff>155289</xdr:colOff>
      <xdr:row>77</xdr:row>
      <xdr:rowOff>27719</xdr:rowOff>
    </xdr:from>
    <xdr:to>
      <xdr:col>25</xdr:col>
      <xdr:colOff>170389</xdr:colOff>
      <xdr:row>80</xdr:row>
      <xdr:rowOff>36512</xdr:rowOff>
    </xdr:to>
    <xdr:sp macro="" textlink="">
      <xdr:nvSpPr>
        <xdr:cNvPr id="27" name="AutoShape 176">
          <a:extLst>
            <a:ext uri="{FF2B5EF4-FFF2-40B4-BE49-F238E27FC236}">
              <a16:creationId xmlns:a16="http://schemas.microsoft.com/office/drawing/2014/main" id="{C48780A9-E6A6-47CD-BD25-5548D63D13F3}"/>
            </a:ext>
          </a:extLst>
        </xdr:cNvPr>
        <xdr:cNvSpPr>
          <a:spLocks noChangeArrowheads="1"/>
        </xdr:cNvSpPr>
      </xdr:nvSpPr>
      <xdr:spPr bwMode="auto">
        <a:xfrm>
          <a:off x="3485229" y="12935999"/>
          <a:ext cx="1066660" cy="51171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受信</a:t>
          </a:r>
          <a:r>
            <a:rPr lang="en-US" altLang="ja-JP" sz="750"/>
            <a:t>DB_</a:t>
          </a:r>
          <a:r>
            <a:rPr lang="ja-JP" altLang="en-US" sz="750"/>
            <a:t>仕入先</a:t>
          </a:r>
        </a:p>
      </xdr:txBody>
    </xdr:sp>
    <xdr:clientData/>
  </xdr:twoCellAnchor>
  <xdr:twoCellAnchor>
    <xdr:from>
      <xdr:col>10</xdr:col>
      <xdr:colOff>2842</xdr:colOff>
      <xdr:row>43</xdr:row>
      <xdr:rowOff>57150</xdr:rowOff>
    </xdr:from>
    <xdr:to>
      <xdr:col>16</xdr:col>
      <xdr:colOff>2842</xdr:colOff>
      <xdr:row>46</xdr:row>
      <xdr:rowOff>148889</xdr:rowOff>
    </xdr:to>
    <xdr:grpSp>
      <xdr:nvGrpSpPr>
        <xdr:cNvPr id="28" name="グループ化 27">
          <a:extLst>
            <a:ext uri="{FF2B5EF4-FFF2-40B4-BE49-F238E27FC236}">
              <a16:creationId xmlns:a16="http://schemas.microsoft.com/office/drawing/2014/main" id="{30D588CF-838A-4A06-BC8D-A3C7D5AE5BE9}"/>
            </a:ext>
          </a:extLst>
        </xdr:cNvPr>
        <xdr:cNvGrpSpPr/>
      </xdr:nvGrpSpPr>
      <xdr:grpSpPr>
        <a:xfrm>
          <a:off x="1755442" y="7265670"/>
          <a:ext cx="1051560" cy="594659"/>
          <a:chOff x="2200275" y="4448175"/>
          <a:chExt cx="1200151" cy="619126"/>
        </a:xfrm>
      </xdr:grpSpPr>
      <xdr:sp macro="" textlink="">
        <xdr:nvSpPr>
          <xdr:cNvPr id="29" name="Text Box 93">
            <a:extLst>
              <a:ext uri="{FF2B5EF4-FFF2-40B4-BE49-F238E27FC236}">
                <a16:creationId xmlns:a16="http://schemas.microsoft.com/office/drawing/2014/main" id="{F4575B95-670D-5222-D52E-9434A4E3B8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wf_TUG_A140_210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0" name="Rectangle 95">
            <a:extLst>
              <a:ext uri="{FF2B5EF4-FFF2-40B4-BE49-F238E27FC236}">
                <a16:creationId xmlns:a16="http://schemas.microsoft.com/office/drawing/2014/main" id="{17A2541F-CCEF-539E-6108-5E1B06831408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Text Box 93">
            <a:extLst>
              <a:ext uri="{FF2B5EF4-FFF2-40B4-BE49-F238E27FC236}">
                <a16:creationId xmlns:a16="http://schemas.microsoft.com/office/drawing/2014/main" id="{5B627646-B064-2DF6-B474-9977C7039E9E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92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13</xdr:col>
      <xdr:colOff>2842</xdr:colOff>
      <xdr:row>46</xdr:row>
      <xdr:rowOff>148887</xdr:rowOff>
    </xdr:from>
    <xdr:to>
      <xdr:col>13</xdr:col>
      <xdr:colOff>5160</xdr:colOff>
      <xdr:row>49</xdr:row>
      <xdr:rowOff>129540</xdr:rowOff>
    </xdr:to>
    <xdr:cxnSp macro="">
      <xdr:nvCxnSpPr>
        <xdr:cNvPr id="32" name="AutoShape 108">
          <a:extLst>
            <a:ext uri="{FF2B5EF4-FFF2-40B4-BE49-F238E27FC236}">
              <a16:creationId xmlns:a16="http://schemas.microsoft.com/office/drawing/2014/main" id="{DC1BCBDB-EFDC-4A69-BF13-B7784777F2D8}"/>
            </a:ext>
          </a:extLst>
        </xdr:cNvPr>
        <xdr:cNvCxnSpPr>
          <a:cxnSpLocks noChangeShapeType="1"/>
          <a:stCxn id="29" idx="2"/>
          <a:endCxn id="49" idx="0"/>
        </xdr:cNvCxnSpPr>
      </xdr:nvCxnSpPr>
      <xdr:spPr bwMode="auto">
        <a:xfrm>
          <a:off x="2281222" y="7860327"/>
          <a:ext cx="2318" cy="48357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42203</xdr:colOff>
      <xdr:row>37</xdr:row>
      <xdr:rowOff>152381</xdr:rowOff>
    </xdr:from>
    <xdr:to>
      <xdr:col>35</xdr:col>
      <xdr:colOff>42204</xdr:colOff>
      <xdr:row>40</xdr:row>
      <xdr:rowOff>152381</xdr:rowOff>
    </xdr:to>
    <xdr:sp macro="" textlink="">
      <xdr:nvSpPr>
        <xdr:cNvPr id="33" name="AutoShape 90">
          <a:extLst>
            <a:ext uri="{FF2B5EF4-FFF2-40B4-BE49-F238E27FC236}">
              <a16:creationId xmlns:a16="http://schemas.microsoft.com/office/drawing/2014/main" id="{6A5C3805-8406-4A21-9725-892CBBC534FF}"/>
            </a:ext>
          </a:extLst>
        </xdr:cNvPr>
        <xdr:cNvSpPr>
          <a:spLocks noChangeArrowheads="1"/>
        </xdr:cNvSpPr>
      </xdr:nvSpPr>
      <xdr:spPr bwMode="auto">
        <a:xfrm>
          <a:off x="4774223" y="6355061"/>
          <a:ext cx="1402081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(p_t_TUG_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支払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_020)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26</xdr:col>
      <xdr:colOff>133642</xdr:colOff>
      <xdr:row>35</xdr:row>
      <xdr:rowOff>125735</xdr:rowOff>
    </xdr:from>
    <xdr:to>
      <xdr:col>31</xdr:col>
      <xdr:colOff>42203</xdr:colOff>
      <xdr:row>37</xdr:row>
      <xdr:rowOff>152381</xdr:rowOff>
    </xdr:to>
    <xdr:cxnSp macro="">
      <xdr:nvCxnSpPr>
        <xdr:cNvPr id="34" name="AutoShape 513">
          <a:extLst>
            <a:ext uri="{FF2B5EF4-FFF2-40B4-BE49-F238E27FC236}">
              <a16:creationId xmlns:a16="http://schemas.microsoft.com/office/drawing/2014/main" id="{C7E1F0F7-28A1-4372-B0EC-E17F592E7F35}"/>
            </a:ext>
          </a:extLst>
        </xdr:cNvPr>
        <xdr:cNvCxnSpPr>
          <a:cxnSpLocks noChangeShapeType="1"/>
          <a:stCxn id="7" idx="2"/>
          <a:endCxn id="33" idx="0"/>
        </xdr:cNvCxnSpPr>
      </xdr:nvCxnSpPr>
      <xdr:spPr bwMode="auto">
        <a:xfrm rot="16200000" flipH="1">
          <a:off x="4901870" y="5781667"/>
          <a:ext cx="361926" cy="78486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133644</xdr:colOff>
      <xdr:row>35</xdr:row>
      <xdr:rowOff>125738</xdr:rowOff>
    </xdr:from>
    <xdr:to>
      <xdr:col>26</xdr:col>
      <xdr:colOff>133643</xdr:colOff>
      <xdr:row>37</xdr:row>
      <xdr:rowOff>154300</xdr:rowOff>
    </xdr:to>
    <xdr:cxnSp macro="">
      <xdr:nvCxnSpPr>
        <xdr:cNvPr id="35" name="AutoShape 513">
          <a:extLst>
            <a:ext uri="{FF2B5EF4-FFF2-40B4-BE49-F238E27FC236}">
              <a16:creationId xmlns:a16="http://schemas.microsoft.com/office/drawing/2014/main" id="{4CE845AF-F6E3-4610-B1F2-48BE320BB6A9}"/>
            </a:ext>
          </a:extLst>
        </xdr:cNvPr>
        <xdr:cNvCxnSpPr>
          <a:cxnSpLocks noChangeShapeType="1"/>
          <a:stCxn id="8" idx="2"/>
          <a:endCxn id="10" idx="0"/>
        </xdr:cNvCxnSpPr>
      </xdr:nvCxnSpPr>
      <xdr:spPr bwMode="auto">
        <a:xfrm rot="5400000">
          <a:off x="4070333" y="5736909"/>
          <a:ext cx="363842" cy="876299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2843</xdr:colOff>
      <xdr:row>40</xdr:row>
      <xdr:rowOff>152380</xdr:rowOff>
    </xdr:from>
    <xdr:to>
      <xdr:col>31</xdr:col>
      <xdr:colOff>42205</xdr:colOff>
      <xdr:row>66</xdr:row>
      <xdr:rowOff>7619</xdr:rowOff>
    </xdr:to>
    <xdr:cxnSp macro="">
      <xdr:nvCxnSpPr>
        <xdr:cNvPr id="36" name="AutoShape 513">
          <a:extLst>
            <a:ext uri="{FF2B5EF4-FFF2-40B4-BE49-F238E27FC236}">
              <a16:creationId xmlns:a16="http://schemas.microsoft.com/office/drawing/2014/main" id="{88F76550-A9B0-42FF-9456-4E2E6357A02A}"/>
            </a:ext>
          </a:extLst>
        </xdr:cNvPr>
        <xdr:cNvCxnSpPr>
          <a:cxnSpLocks noChangeShapeType="1"/>
          <a:stCxn id="33" idx="2"/>
          <a:endCxn id="19" idx="0"/>
        </xdr:cNvCxnSpPr>
      </xdr:nvCxnSpPr>
      <xdr:spPr bwMode="auto">
        <a:xfrm rot="5400000">
          <a:off x="1771304" y="7367899"/>
          <a:ext cx="4213879" cy="3194042"/>
        </a:xfrm>
        <a:prstGeom prst="bentConnector3">
          <a:avLst>
            <a:gd name="adj1" fmla="val 9379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28575</xdr:colOff>
      <xdr:row>64</xdr:row>
      <xdr:rowOff>28575</xdr:rowOff>
    </xdr:from>
    <xdr:to>
      <xdr:col>10</xdr:col>
      <xdr:colOff>63</xdr:colOff>
      <xdr:row>66</xdr:row>
      <xdr:rowOff>22363</xdr:rowOff>
    </xdr:to>
    <xdr:grpSp>
      <xdr:nvGrpSpPr>
        <xdr:cNvPr id="37" name="Group 195">
          <a:extLst>
            <a:ext uri="{FF2B5EF4-FFF2-40B4-BE49-F238E27FC236}">
              <a16:creationId xmlns:a16="http://schemas.microsoft.com/office/drawing/2014/main" id="{E491E195-293F-46B5-95E6-9FB3E3695CF4}"/>
            </a:ext>
          </a:extLst>
        </xdr:cNvPr>
        <xdr:cNvGrpSpPr>
          <a:grpSpLocks/>
        </xdr:cNvGrpSpPr>
      </xdr:nvGrpSpPr>
      <xdr:grpSpPr bwMode="auto">
        <a:xfrm flipH="1">
          <a:off x="1080135" y="10757535"/>
          <a:ext cx="672528" cy="329068"/>
          <a:chOff x="357" y="331"/>
          <a:chExt cx="121" cy="29"/>
        </a:xfrm>
      </xdr:grpSpPr>
      <xdr:sp macro="" textlink="">
        <xdr:nvSpPr>
          <xdr:cNvPr id="38" name="Line 196">
            <a:extLst>
              <a:ext uri="{FF2B5EF4-FFF2-40B4-BE49-F238E27FC236}">
                <a16:creationId xmlns:a16="http://schemas.microsoft.com/office/drawing/2014/main" id="{403974BE-3E78-4950-0B21-D75FF9337315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97">
            <a:extLst>
              <a:ext uri="{FF2B5EF4-FFF2-40B4-BE49-F238E27FC236}">
                <a16:creationId xmlns:a16="http://schemas.microsoft.com/office/drawing/2014/main" id="{72022AB4-290F-4A26-1412-CEDDB9AB6012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2842</xdr:colOff>
      <xdr:row>56</xdr:row>
      <xdr:rowOff>9525</xdr:rowOff>
    </xdr:from>
    <xdr:to>
      <xdr:col>16</xdr:col>
      <xdr:colOff>2842</xdr:colOff>
      <xdr:row>59</xdr:row>
      <xdr:rowOff>107560</xdr:rowOff>
    </xdr:to>
    <xdr:grpSp>
      <xdr:nvGrpSpPr>
        <xdr:cNvPr id="40" name="グループ化 39">
          <a:extLst>
            <a:ext uri="{FF2B5EF4-FFF2-40B4-BE49-F238E27FC236}">
              <a16:creationId xmlns:a16="http://schemas.microsoft.com/office/drawing/2014/main" id="{9DB922D1-0662-4850-B5AD-4B6AAF776FCB}"/>
            </a:ext>
          </a:extLst>
        </xdr:cNvPr>
        <xdr:cNvGrpSpPr/>
      </xdr:nvGrpSpPr>
      <xdr:grpSpPr>
        <a:xfrm>
          <a:off x="1755442" y="9397365"/>
          <a:ext cx="1051560" cy="600955"/>
          <a:chOff x="2200275" y="4448175"/>
          <a:chExt cx="1200151" cy="619126"/>
        </a:xfrm>
      </xdr:grpSpPr>
      <xdr:sp macro="" textlink="">
        <xdr:nvSpPr>
          <xdr:cNvPr id="41" name="Text Box 93">
            <a:extLst>
              <a:ext uri="{FF2B5EF4-FFF2-40B4-BE49-F238E27FC236}">
                <a16:creationId xmlns:a16="http://schemas.microsoft.com/office/drawing/2014/main" id="{6FE47584-EAA7-8612-994C-06EA97DB2A0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件数確認結果ファイルサイズチェック</a:t>
            </a:r>
          </a:p>
        </xdr:txBody>
      </xdr:sp>
      <xdr:sp macro="" textlink="">
        <xdr:nvSpPr>
          <xdr:cNvPr id="42" name="Rectangle 95">
            <a:extLst>
              <a:ext uri="{FF2B5EF4-FFF2-40B4-BE49-F238E27FC236}">
                <a16:creationId xmlns:a16="http://schemas.microsoft.com/office/drawing/2014/main" id="{009840E0-8A9F-B133-8725-4BCFF5B31C4B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Text Box 93">
            <a:extLst>
              <a:ext uri="{FF2B5EF4-FFF2-40B4-BE49-F238E27FC236}">
                <a16:creationId xmlns:a16="http://schemas.microsoft.com/office/drawing/2014/main" id="{0D270D02-5CEA-CA37-0E08-9D1CD336936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6" y="4453887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19</xdr:col>
      <xdr:colOff>83820</xdr:colOff>
      <xdr:row>61</xdr:row>
      <xdr:rowOff>129540</xdr:rowOff>
    </xdr:from>
    <xdr:to>
      <xdr:col>23</xdr:col>
      <xdr:colOff>76200</xdr:colOff>
      <xdr:row>63</xdr:row>
      <xdr:rowOff>137160</xdr:rowOff>
    </xdr:to>
    <xdr:sp macro="" textlink="">
      <xdr:nvSpPr>
        <xdr:cNvPr id="44" name="AutoShape 576">
          <a:extLst>
            <a:ext uri="{FF2B5EF4-FFF2-40B4-BE49-F238E27FC236}">
              <a16:creationId xmlns:a16="http://schemas.microsoft.com/office/drawing/2014/main" id="{86B1DD61-E16E-42A6-A306-B19F6D95C8DE}"/>
            </a:ext>
          </a:extLst>
        </xdr:cNvPr>
        <xdr:cNvSpPr>
          <a:spLocks noChangeArrowheads="1"/>
        </xdr:cNvSpPr>
      </xdr:nvSpPr>
      <xdr:spPr bwMode="auto">
        <a:xfrm>
          <a:off x="3413760" y="10355580"/>
          <a:ext cx="693420" cy="3429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異常終了</a:t>
          </a:r>
        </a:p>
      </xdr:txBody>
    </xdr:sp>
    <xdr:clientData/>
  </xdr:twoCellAnchor>
  <xdr:twoCellAnchor>
    <xdr:from>
      <xdr:col>13</xdr:col>
      <xdr:colOff>2843</xdr:colOff>
      <xdr:row>59</xdr:row>
      <xdr:rowOff>109464</xdr:rowOff>
    </xdr:from>
    <xdr:to>
      <xdr:col>21</xdr:col>
      <xdr:colOff>80011</xdr:colOff>
      <xdr:row>61</xdr:row>
      <xdr:rowOff>129539</xdr:rowOff>
    </xdr:to>
    <xdr:cxnSp macro="">
      <xdr:nvCxnSpPr>
        <xdr:cNvPr id="45" name="AutoShape 513">
          <a:extLst>
            <a:ext uri="{FF2B5EF4-FFF2-40B4-BE49-F238E27FC236}">
              <a16:creationId xmlns:a16="http://schemas.microsoft.com/office/drawing/2014/main" id="{CADB6D6A-6A22-40DC-AB87-957D43BB6CB8}"/>
            </a:ext>
          </a:extLst>
        </xdr:cNvPr>
        <xdr:cNvCxnSpPr>
          <a:cxnSpLocks noChangeShapeType="1"/>
          <a:stCxn id="42" idx="2"/>
          <a:endCxn id="44" idx="0"/>
        </xdr:cNvCxnSpPr>
      </xdr:nvCxnSpPr>
      <xdr:spPr bwMode="auto">
        <a:xfrm rot="16200000" flipH="1">
          <a:off x="2843169" y="9438278"/>
          <a:ext cx="355355" cy="1479248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121920</xdr:colOff>
      <xdr:row>59</xdr:row>
      <xdr:rowOff>68580</xdr:rowOff>
    </xdr:from>
    <xdr:to>
      <xdr:col>22</xdr:col>
      <xdr:colOff>107520</xdr:colOff>
      <xdr:row>60</xdr:row>
      <xdr:rowOff>72391</xdr:rowOff>
    </xdr:to>
    <xdr:sp macro="" textlink="">
      <xdr:nvSpPr>
        <xdr:cNvPr id="46" name="Rectangle 530">
          <a:extLst>
            <a:ext uri="{FF2B5EF4-FFF2-40B4-BE49-F238E27FC236}">
              <a16:creationId xmlns:a16="http://schemas.microsoft.com/office/drawing/2014/main" id="{79DB74C7-38FC-4D68-937F-61C24244609C}"/>
            </a:ext>
          </a:extLst>
        </xdr:cNvPr>
        <xdr:cNvSpPr>
          <a:spLocks noChangeArrowheads="1"/>
        </xdr:cNvSpPr>
      </xdr:nvSpPr>
      <xdr:spPr bwMode="auto">
        <a:xfrm>
          <a:off x="3101340" y="9959340"/>
          <a:ext cx="861900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バイトの場合</a:t>
          </a:r>
        </a:p>
      </xdr:txBody>
    </xdr:sp>
    <xdr:clientData/>
  </xdr:twoCellAnchor>
  <xdr:twoCellAnchor>
    <xdr:from>
      <xdr:col>13</xdr:col>
      <xdr:colOff>28575</xdr:colOff>
      <xdr:row>62</xdr:row>
      <xdr:rowOff>85724</xdr:rowOff>
    </xdr:from>
    <xdr:to>
      <xdr:col>18</xdr:col>
      <xdr:colOff>123825</xdr:colOff>
      <xdr:row>63</xdr:row>
      <xdr:rowOff>133349</xdr:rowOff>
    </xdr:to>
    <xdr:sp macro="" textlink="">
      <xdr:nvSpPr>
        <xdr:cNvPr id="47" name="Rectangle 530">
          <a:extLst>
            <a:ext uri="{FF2B5EF4-FFF2-40B4-BE49-F238E27FC236}">
              <a16:creationId xmlns:a16="http://schemas.microsoft.com/office/drawing/2014/main" id="{DCE19E0C-06BA-4527-A4EC-DD35D58079B9}"/>
            </a:ext>
          </a:extLst>
        </xdr:cNvPr>
        <xdr:cNvSpPr>
          <a:spLocks noChangeArrowheads="1"/>
        </xdr:cNvSpPr>
      </xdr:nvSpPr>
      <xdr:spPr bwMode="auto">
        <a:xfrm>
          <a:off x="2257425" y="10715624"/>
          <a:ext cx="9525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0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バイトでない場合</a:t>
          </a:r>
        </a:p>
      </xdr:txBody>
    </xdr:sp>
    <xdr:clientData/>
  </xdr:twoCellAnchor>
  <xdr:twoCellAnchor>
    <xdr:from>
      <xdr:col>13</xdr:col>
      <xdr:colOff>2842</xdr:colOff>
      <xdr:row>59</xdr:row>
      <xdr:rowOff>109463</xdr:rowOff>
    </xdr:from>
    <xdr:to>
      <xdr:col>13</xdr:col>
      <xdr:colOff>2843</xdr:colOff>
      <xdr:row>66</xdr:row>
      <xdr:rowOff>13146</xdr:rowOff>
    </xdr:to>
    <xdr:cxnSp macro="">
      <xdr:nvCxnSpPr>
        <xdr:cNvPr id="48" name="AutoShape 108">
          <a:extLst>
            <a:ext uri="{FF2B5EF4-FFF2-40B4-BE49-F238E27FC236}">
              <a16:creationId xmlns:a16="http://schemas.microsoft.com/office/drawing/2014/main" id="{FB1DB482-E763-42FD-8414-E8309515E57F}"/>
            </a:ext>
          </a:extLst>
        </xdr:cNvPr>
        <xdr:cNvCxnSpPr>
          <a:cxnSpLocks noChangeShapeType="1"/>
          <a:stCxn id="41" idx="2"/>
          <a:endCxn id="20" idx="0"/>
        </xdr:cNvCxnSpPr>
      </xdr:nvCxnSpPr>
      <xdr:spPr bwMode="auto">
        <a:xfrm>
          <a:off x="2281222" y="10000223"/>
          <a:ext cx="1" cy="107716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106680</xdr:colOff>
      <xdr:row>49</xdr:row>
      <xdr:rowOff>129540</xdr:rowOff>
    </xdr:from>
    <xdr:to>
      <xdr:col>16</xdr:col>
      <xdr:colOff>86520</xdr:colOff>
      <xdr:row>52</xdr:row>
      <xdr:rowOff>129540</xdr:rowOff>
    </xdr:to>
    <xdr:sp macro="" textlink="">
      <xdr:nvSpPr>
        <xdr:cNvPr id="49" name="AutoShape 90">
          <a:extLst>
            <a:ext uri="{FF2B5EF4-FFF2-40B4-BE49-F238E27FC236}">
              <a16:creationId xmlns:a16="http://schemas.microsoft.com/office/drawing/2014/main" id="{DAE93506-BE88-4AB2-8EB9-6B9F38E18F9B}"/>
            </a:ext>
          </a:extLst>
        </xdr:cNvPr>
        <xdr:cNvSpPr>
          <a:spLocks noChangeArrowheads="1"/>
        </xdr:cNvSpPr>
      </xdr:nvSpPr>
      <xdr:spPr bwMode="auto">
        <a:xfrm>
          <a:off x="1684020" y="8343900"/>
          <a:ext cx="1206660" cy="502920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件数確認結果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(TUGA140S01001)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2843</xdr:colOff>
      <xdr:row>52</xdr:row>
      <xdr:rowOff>129540</xdr:rowOff>
    </xdr:from>
    <xdr:to>
      <xdr:col>13</xdr:col>
      <xdr:colOff>5160</xdr:colOff>
      <xdr:row>56</xdr:row>
      <xdr:rowOff>13200</xdr:rowOff>
    </xdr:to>
    <xdr:cxnSp macro="">
      <xdr:nvCxnSpPr>
        <xdr:cNvPr id="50" name="AutoShape 108">
          <a:extLst>
            <a:ext uri="{FF2B5EF4-FFF2-40B4-BE49-F238E27FC236}">
              <a16:creationId xmlns:a16="http://schemas.microsoft.com/office/drawing/2014/main" id="{44A3E438-F2A2-46C3-AC49-E3893DF0DE82}"/>
            </a:ext>
          </a:extLst>
        </xdr:cNvPr>
        <xdr:cNvCxnSpPr>
          <a:cxnSpLocks noChangeShapeType="1"/>
          <a:stCxn id="49" idx="2"/>
          <a:endCxn id="43" idx="0"/>
        </xdr:cNvCxnSpPr>
      </xdr:nvCxnSpPr>
      <xdr:spPr bwMode="auto">
        <a:xfrm flipH="1">
          <a:off x="2281223" y="8846820"/>
          <a:ext cx="2317" cy="5542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164814</xdr:colOff>
      <xdr:row>72</xdr:row>
      <xdr:rowOff>20955</xdr:rowOff>
    </xdr:from>
    <xdr:to>
      <xdr:col>25</xdr:col>
      <xdr:colOff>179914</xdr:colOff>
      <xdr:row>75</xdr:row>
      <xdr:rowOff>29748</xdr:rowOff>
    </xdr:to>
    <xdr:sp macro="" textlink="">
      <xdr:nvSpPr>
        <xdr:cNvPr id="51" name="AutoShape 176">
          <a:extLst>
            <a:ext uri="{FF2B5EF4-FFF2-40B4-BE49-F238E27FC236}">
              <a16:creationId xmlns:a16="http://schemas.microsoft.com/office/drawing/2014/main" id="{841B2CE0-1355-4595-AD56-F4E074338AA2}"/>
            </a:ext>
          </a:extLst>
        </xdr:cNvPr>
        <xdr:cNvSpPr>
          <a:spLocks noChangeArrowheads="1"/>
        </xdr:cNvSpPr>
      </xdr:nvSpPr>
      <xdr:spPr bwMode="auto">
        <a:xfrm>
          <a:off x="3494754" y="12091035"/>
          <a:ext cx="1059040" cy="51171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採番マスタ</a:t>
          </a:r>
        </a:p>
      </xdr:txBody>
    </xdr:sp>
    <xdr:clientData/>
  </xdr:twoCellAnchor>
  <xdr:twoCellAnchor>
    <xdr:from>
      <xdr:col>16</xdr:col>
      <xdr:colOff>57150</xdr:colOff>
      <xdr:row>69</xdr:row>
      <xdr:rowOff>133350</xdr:rowOff>
    </xdr:from>
    <xdr:to>
      <xdr:col>19</xdr:col>
      <xdr:colOff>104775</xdr:colOff>
      <xdr:row>76</xdr:row>
      <xdr:rowOff>161925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3E45F043-870F-4383-BB3F-6501D2BD2138}"/>
            </a:ext>
          </a:extLst>
        </xdr:cNvPr>
        <xdr:cNvCxnSpPr/>
      </xdr:nvCxnSpPr>
      <xdr:spPr bwMode="auto">
        <a:xfrm flipH="1" flipV="1">
          <a:off x="2861310" y="11700510"/>
          <a:ext cx="573405" cy="1202055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20</xdr:col>
      <xdr:colOff>40088</xdr:colOff>
      <xdr:row>45</xdr:row>
      <xdr:rowOff>159026</xdr:rowOff>
    </xdr:from>
    <xdr:to>
      <xdr:col>26</xdr:col>
      <xdr:colOff>47568</xdr:colOff>
      <xdr:row>49</xdr:row>
      <xdr:rowOff>178</xdr:rowOff>
    </xdr:to>
    <xdr:sp macro="" textlink="">
      <xdr:nvSpPr>
        <xdr:cNvPr id="53" name="AutoShape 176">
          <a:extLst>
            <a:ext uri="{FF2B5EF4-FFF2-40B4-BE49-F238E27FC236}">
              <a16:creationId xmlns:a16="http://schemas.microsoft.com/office/drawing/2014/main" id="{BB35EC60-854B-4AF0-87AD-463956E3ABA6}"/>
            </a:ext>
          </a:extLst>
        </xdr:cNvPr>
        <xdr:cNvSpPr>
          <a:spLocks noChangeArrowheads="1"/>
        </xdr:cNvSpPr>
      </xdr:nvSpPr>
      <xdr:spPr bwMode="auto">
        <a:xfrm>
          <a:off x="3545288" y="7702826"/>
          <a:ext cx="1059040" cy="51171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支払</a:t>
          </a:r>
        </a:p>
      </xdr:txBody>
    </xdr:sp>
    <xdr:clientData/>
  </xdr:twoCellAnchor>
  <xdr:twoCellAnchor>
    <xdr:from>
      <xdr:col>16</xdr:col>
      <xdr:colOff>76200</xdr:colOff>
      <xdr:row>45</xdr:row>
      <xdr:rowOff>91440</xdr:rowOff>
    </xdr:from>
    <xdr:to>
      <xdr:col>19</xdr:col>
      <xdr:colOff>144780</xdr:colOff>
      <xdr:row>47</xdr:row>
      <xdr:rowOff>0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B4358AA4-0881-4F80-881B-DF9D094795BA}"/>
            </a:ext>
          </a:extLst>
        </xdr:cNvPr>
        <xdr:cNvCxnSpPr/>
      </xdr:nvCxnSpPr>
      <xdr:spPr bwMode="auto">
        <a:xfrm flipH="1" flipV="1">
          <a:off x="2880360" y="7635240"/>
          <a:ext cx="594360" cy="24384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="85" zoomScaleNormal="100" zoomScaleSheetLayoutView="85" workbookViewId="0"/>
  </sheetViews>
  <sheetFormatPr defaultColWidth="2.6640625" defaultRowHeight="13.2" x14ac:dyDescent="0.2"/>
  <cols>
    <col min="1" max="16384" width="2.6640625" style="62"/>
  </cols>
  <sheetData>
    <row r="1" spans="1:52" s="59" customFormat="1" x14ac:dyDescent="0.2"/>
    <row r="2" spans="1:52" s="59" customFormat="1" ht="23.4" x14ac:dyDescent="0.2">
      <c r="C2" s="60" t="s">
        <v>23</v>
      </c>
    </row>
    <row r="3" spans="1:52" s="59" customFormat="1" x14ac:dyDescent="0.2"/>
    <row r="4" spans="1:52" s="59" customFormat="1" x14ac:dyDescent="0.2"/>
    <row r="5" spans="1:52" s="59" customFormat="1" x14ac:dyDescent="0.2"/>
    <row r="6" spans="1:52" s="59" customFormat="1" x14ac:dyDescent="0.2"/>
    <row r="7" spans="1:52" s="59" customFormat="1" x14ac:dyDescent="0.2"/>
    <row r="8" spans="1:52" s="59" customFormat="1" x14ac:dyDescent="0.2">
      <c r="A8" s="87" t="s">
        <v>55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</row>
    <row r="9" spans="1:52" s="59" customFormat="1" x14ac:dyDescent="0.2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</row>
    <row r="10" spans="1:52" s="59" customFormat="1" x14ac:dyDescent="0.2">
      <c r="A10" s="88" t="s">
        <v>99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</row>
    <row r="11" spans="1:52" s="59" customFormat="1" x14ac:dyDescent="0.2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</row>
    <row r="12" spans="1:52" s="59" customFormat="1" x14ac:dyDescent="0.2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</row>
    <row r="13" spans="1:52" s="59" customFormat="1" x14ac:dyDescent="0.2">
      <c r="A13" s="88" t="s">
        <v>96</v>
      </c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</row>
    <row r="14" spans="1:52" s="59" customFormat="1" x14ac:dyDescent="0.2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</row>
    <row r="15" spans="1:52" s="59" customFormat="1" x14ac:dyDescent="0.2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</row>
    <row r="16" spans="1:52" s="59" customFormat="1" x14ac:dyDescent="0.2"/>
    <row r="17" spans="1:52" s="59" customFormat="1" ht="19.2" x14ac:dyDescent="0.2">
      <c r="A17" s="89" t="s">
        <v>59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</row>
    <row r="18" spans="1:52" s="59" customFormat="1" ht="13.5" customHeight="1" x14ac:dyDescent="0.2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 x14ac:dyDescent="0.2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 x14ac:dyDescent="0.2"/>
    <row r="21" spans="1:52" s="59" customFormat="1" x14ac:dyDescent="0.2"/>
    <row r="22" spans="1:52" s="59" customFormat="1" x14ac:dyDescent="0.2">
      <c r="A22" s="82">
        <v>45877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U22" s="82"/>
      <c r="AV22" s="82"/>
      <c r="AW22" s="82"/>
      <c r="AX22" s="82"/>
      <c r="AY22" s="82"/>
      <c r="AZ22" s="82"/>
    </row>
    <row r="23" spans="1:52" s="59" customFormat="1" x14ac:dyDescent="0.2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</row>
    <row r="24" spans="1:52" s="59" customFormat="1" x14ac:dyDescent="0.2">
      <c r="A24" s="83" t="s">
        <v>24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</row>
    <row r="25" spans="1:52" s="59" customFormat="1" x14ac:dyDescent="0.2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</row>
    <row r="26" spans="1:52" s="59" customFormat="1" x14ac:dyDescent="0.2"/>
    <row r="27" spans="1:52" s="59" customFormat="1" x14ac:dyDescent="0.2"/>
    <row r="28" spans="1:52" s="59" customFormat="1" x14ac:dyDescent="0.2">
      <c r="V28" s="84" t="s">
        <v>14</v>
      </c>
      <c r="W28" s="85"/>
      <c r="X28" s="85"/>
      <c r="Y28" s="85"/>
      <c r="Z28" s="86"/>
      <c r="AA28" s="84" t="s">
        <v>15</v>
      </c>
      <c r="AB28" s="85"/>
      <c r="AC28" s="85"/>
      <c r="AD28" s="85"/>
      <c r="AE28" s="86"/>
    </row>
    <row r="29" spans="1:52" s="59" customFormat="1" x14ac:dyDescent="0.2">
      <c r="V29" s="90"/>
      <c r="W29" s="91"/>
      <c r="X29" s="91"/>
      <c r="Y29" s="91"/>
      <c r="Z29" s="92"/>
      <c r="AA29" s="90">
        <v>45877</v>
      </c>
      <c r="AB29" s="91"/>
      <c r="AC29" s="91"/>
      <c r="AD29" s="91"/>
      <c r="AE29" s="92"/>
    </row>
    <row r="30" spans="1:52" s="59" customFormat="1" x14ac:dyDescent="0.2">
      <c r="V30" s="70"/>
      <c r="W30" s="71"/>
      <c r="X30" s="71"/>
      <c r="Y30" s="71"/>
      <c r="Z30" s="72"/>
      <c r="AA30" s="76" t="s">
        <v>95</v>
      </c>
      <c r="AB30" s="77"/>
      <c r="AC30" s="77"/>
      <c r="AD30" s="77"/>
      <c r="AE30" s="78"/>
    </row>
    <row r="31" spans="1:52" s="59" customFormat="1" x14ac:dyDescent="0.2">
      <c r="V31" s="70"/>
      <c r="W31" s="71"/>
      <c r="X31" s="71"/>
      <c r="Y31" s="71"/>
      <c r="Z31" s="72"/>
      <c r="AA31" s="76"/>
      <c r="AB31" s="77"/>
      <c r="AC31" s="77"/>
      <c r="AD31" s="77"/>
      <c r="AE31" s="78"/>
    </row>
    <row r="32" spans="1:52" s="59" customFormat="1" x14ac:dyDescent="0.2">
      <c r="V32" s="70"/>
      <c r="W32" s="71"/>
      <c r="X32" s="71"/>
      <c r="Y32" s="71"/>
      <c r="Z32" s="72"/>
      <c r="AA32" s="76"/>
      <c r="AB32" s="77"/>
      <c r="AC32" s="77"/>
      <c r="AD32" s="77"/>
      <c r="AE32" s="78"/>
    </row>
    <row r="33" spans="22:31" s="59" customFormat="1" x14ac:dyDescent="0.2">
      <c r="V33" s="70"/>
      <c r="W33" s="71"/>
      <c r="X33" s="71"/>
      <c r="Y33" s="71"/>
      <c r="Z33" s="72"/>
      <c r="AA33" s="76"/>
      <c r="AB33" s="77"/>
      <c r="AC33" s="77"/>
      <c r="AD33" s="77"/>
      <c r="AE33" s="78"/>
    </row>
    <row r="34" spans="22:31" s="59" customFormat="1" x14ac:dyDescent="0.2">
      <c r="V34" s="73"/>
      <c r="W34" s="74"/>
      <c r="X34" s="74"/>
      <c r="Y34" s="74"/>
      <c r="Z34" s="75"/>
      <c r="AA34" s="79"/>
      <c r="AB34" s="80"/>
      <c r="AC34" s="80"/>
      <c r="AD34" s="80"/>
      <c r="AE34" s="81"/>
    </row>
    <row r="35" spans="22:31" s="59" customFormat="1" x14ac:dyDescent="0.2"/>
    <row r="36" spans="22:31" s="59" customFormat="1" x14ac:dyDescent="0.2"/>
    <row r="37" spans="22:31" s="59" customFormat="1" x14ac:dyDescent="0.2"/>
    <row r="38" spans="22:31" s="59" customFormat="1" x14ac:dyDescent="0.2"/>
    <row r="39" spans="22:31" s="59" customFormat="1" x14ac:dyDescent="0.2"/>
    <row r="40" spans="22:31" s="59" customFormat="1" x14ac:dyDescent="0.2"/>
    <row r="41" spans="22:31" s="59" customFormat="1" x14ac:dyDescent="0.2"/>
    <row r="42" spans="22:31" s="59" customFormat="1" x14ac:dyDescent="0.2"/>
    <row r="43" spans="22:31" s="59" customFormat="1" x14ac:dyDescent="0.2"/>
    <row r="44" spans="22:31" s="59" customFormat="1" x14ac:dyDescent="0.2"/>
    <row r="45" spans="22:31" s="59" customFormat="1" x14ac:dyDescent="0.2"/>
    <row r="46" spans="22:31" s="59" customFormat="1" x14ac:dyDescent="0.2"/>
    <row r="47" spans="22:31" s="59" customFormat="1" x14ac:dyDescent="0.2"/>
    <row r="48" spans="22:31" s="59" customFormat="1" x14ac:dyDescent="0.2"/>
    <row r="49" s="59" customFormat="1" x14ac:dyDescent="0.2"/>
    <row r="50" s="59" customFormat="1" x14ac:dyDescent="0.2"/>
    <row r="51" s="59" customFormat="1" x14ac:dyDescent="0.2"/>
    <row r="52" s="59" customFormat="1" x14ac:dyDescent="0.2"/>
    <row r="53" s="59" customFormat="1" x14ac:dyDescent="0.2"/>
    <row r="54" s="59" customFormat="1" x14ac:dyDescent="0.2"/>
    <row r="55" s="59" customFormat="1" x14ac:dyDescent="0.2"/>
    <row r="56" s="59" customFormat="1" x14ac:dyDescent="0.2"/>
    <row r="57" s="59" customFormat="1" x14ac:dyDescent="0.2"/>
    <row r="58" s="59" customFormat="1" x14ac:dyDescent="0.2"/>
    <row r="59" s="59" customFormat="1" x14ac:dyDescent="0.2"/>
    <row r="60" s="59" customFormat="1" x14ac:dyDescent="0.2"/>
    <row r="61" s="59" customFormat="1" x14ac:dyDescent="0.2"/>
    <row r="62" s="59" customFormat="1" x14ac:dyDescent="0.2"/>
    <row r="63" s="59" customFormat="1" x14ac:dyDescent="0.2"/>
    <row r="64" s="59" customFormat="1" x14ac:dyDescent="0.2"/>
    <row r="65" s="59" customFormat="1" x14ac:dyDescent="0.2"/>
    <row r="66" s="59" customFormat="1" x14ac:dyDescent="0.2"/>
    <row r="67" s="59" customFormat="1" x14ac:dyDescent="0.2"/>
    <row r="68" s="59" customFormat="1" x14ac:dyDescent="0.2"/>
    <row r="69" s="59" customFormat="1" x14ac:dyDescent="0.2"/>
    <row r="70" s="59" customFormat="1" x14ac:dyDescent="0.2"/>
    <row r="71" s="59" customFormat="1" x14ac:dyDescent="0.2"/>
    <row r="72" s="59" customFormat="1" x14ac:dyDescent="0.2"/>
    <row r="73" s="59" customFormat="1" x14ac:dyDescent="0.2"/>
    <row r="74" s="59" customFormat="1" x14ac:dyDescent="0.2"/>
    <row r="75" s="59" customFormat="1" x14ac:dyDescent="0.2"/>
    <row r="76" s="59" customFormat="1" x14ac:dyDescent="0.2"/>
    <row r="77" s="59" customFormat="1" x14ac:dyDescent="0.2"/>
    <row r="78" s="59" customFormat="1" x14ac:dyDescent="0.2"/>
    <row r="79" s="59" customFormat="1" x14ac:dyDescent="0.2"/>
    <row r="80" s="59" customFormat="1" x14ac:dyDescent="0.2"/>
    <row r="81" s="59" customFormat="1" x14ac:dyDescent="0.2"/>
    <row r="82" s="59" customFormat="1" x14ac:dyDescent="0.2"/>
    <row r="83" s="59" customFormat="1" x14ac:dyDescent="0.2"/>
    <row r="84" s="59" customFormat="1" x14ac:dyDescent="0.2"/>
    <row r="85" s="59" customFormat="1" x14ac:dyDescent="0.2"/>
    <row r="86" s="59" customFormat="1" x14ac:dyDescent="0.2"/>
    <row r="87" s="59" customFormat="1" x14ac:dyDescent="0.2"/>
    <row r="88" s="59" customFormat="1" x14ac:dyDescent="0.2"/>
    <row r="89" s="59" customFormat="1" x14ac:dyDescent="0.2"/>
    <row r="90" s="59" customFormat="1" x14ac:dyDescent="0.2"/>
    <row r="91" s="59" customFormat="1" x14ac:dyDescent="0.2"/>
    <row r="92" s="59" customFormat="1" x14ac:dyDescent="0.2"/>
    <row r="93" s="59" customFormat="1" x14ac:dyDescent="0.2"/>
    <row r="94" s="59" customFormat="1" x14ac:dyDescent="0.2"/>
    <row r="95" s="59" customFormat="1" x14ac:dyDescent="0.2"/>
    <row r="96" s="59" customFormat="1" x14ac:dyDescent="0.2"/>
  </sheetData>
  <mergeCells count="12">
    <mergeCell ref="A8:AZ9"/>
    <mergeCell ref="A10:AZ12"/>
    <mergeCell ref="A13:AZ15"/>
    <mergeCell ref="A17:AZ17"/>
    <mergeCell ref="V29:Z29"/>
    <mergeCell ref="AA29:AE29"/>
    <mergeCell ref="V30:Z34"/>
    <mergeCell ref="AA30:AE34"/>
    <mergeCell ref="A22:AZ23"/>
    <mergeCell ref="A24:AZ25"/>
    <mergeCell ref="V28:Z28"/>
    <mergeCell ref="AA28:AE28"/>
  </mergeCells>
  <phoneticPr fontId="2"/>
  <pageMargins left="0.59055118110236227" right="0.59055118110236227" top="0.78740157480314965" bottom="0.62992125984251968" header="0.51181102362204722" footer="0.35433070866141736"/>
  <pageSetup paperSize="9" scale="98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640625" defaultRowHeight="13.5" customHeight="1" x14ac:dyDescent="0.2"/>
  <cols>
    <col min="1" max="7" width="2.6640625" style="19" customWidth="1"/>
    <col min="8" max="11" width="2.6640625" style="35" customWidth="1"/>
    <col min="12" max="16384" width="2.6640625" style="19"/>
  </cols>
  <sheetData>
    <row r="1" spans="1:69" ht="13.5" customHeight="1" x14ac:dyDescent="0.2">
      <c r="A1" s="107" t="s">
        <v>11</v>
      </c>
      <c r="B1" s="108"/>
      <c r="C1" s="108"/>
      <c r="D1" s="108"/>
      <c r="E1" s="108"/>
      <c r="F1" s="113" t="s">
        <v>2</v>
      </c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5"/>
      <c r="T1" s="122" t="s">
        <v>33</v>
      </c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2" t="s">
        <v>34</v>
      </c>
      <c r="AI1" s="123"/>
      <c r="AJ1" s="123"/>
      <c r="AK1" s="123"/>
      <c r="AL1" s="123"/>
      <c r="AM1" s="123"/>
      <c r="AN1" s="123"/>
      <c r="AO1" s="123"/>
      <c r="AP1" s="123"/>
      <c r="AQ1" s="123"/>
      <c r="AR1" s="126"/>
      <c r="AS1" s="122" t="s">
        <v>35</v>
      </c>
      <c r="AT1" s="123"/>
      <c r="AU1" s="123"/>
      <c r="AV1" s="123"/>
      <c r="AW1" s="123"/>
      <c r="AX1" s="123"/>
      <c r="AY1" s="123"/>
      <c r="AZ1" s="123"/>
      <c r="BA1" s="126"/>
      <c r="BB1" s="122" t="s">
        <v>36</v>
      </c>
      <c r="BC1" s="123"/>
      <c r="BD1" s="123"/>
      <c r="BE1" s="126"/>
      <c r="BF1" s="122" t="s">
        <v>37</v>
      </c>
      <c r="BG1" s="123"/>
      <c r="BH1" s="123"/>
      <c r="BI1" s="126"/>
      <c r="BJ1" s="122" t="s">
        <v>38</v>
      </c>
      <c r="BK1" s="123"/>
      <c r="BL1" s="123"/>
      <c r="BM1" s="126"/>
      <c r="BN1" s="122" t="s">
        <v>39</v>
      </c>
      <c r="BO1" s="123"/>
      <c r="BP1" s="123"/>
      <c r="BQ1" s="126"/>
    </row>
    <row r="2" spans="1:69" ht="13.5" customHeight="1" x14ac:dyDescent="0.2">
      <c r="A2" s="109"/>
      <c r="B2" s="110"/>
      <c r="C2" s="110"/>
      <c r="D2" s="110"/>
      <c r="E2" s="110"/>
      <c r="F2" s="116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8"/>
      <c r="T2" s="124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4"/>
      <c r="AI2" s="125"/>
      <c r="AJ2" s="125"/>
      <c r="AK2" s="125"/>
      <c r="AL2" s="125"/>
      <c r="AM2" s="125"/>
      <c r="AN2" s="125"/>
      <c r="AO2" s="125"/>
      <c r="AP2" s="125"/>
      <c r="AQ2" s="125"/>
      <c r="AR2" s="127"/>
      <c r="AS2" s="124"/>
      <c r="AT2" s="125"/>
      <c r="AU2" s="125"/>
      <c r="AV2" s="125"/>
      <c r="AW2" s="125"/>
      <c r="AX2" s="125"/>
      <c r="AY2" s="125"/>
      <c r="AZ2" s="125"/>
      <c r="BA2" s="127"/>
      <c r="BB2" s="124"/>
      <c r="BC2" s="125"/>
      <c r="BD2" s="125"/>
      <c r="BE2" s="127"/>
      <c r="BF2" s="124"/>
      <c r="BG2" s="125"/>
      <c r="BH2" s="125"/>
      <c r="BI2" s="127"/>
      <c r="BJ2" s="124"/>
      <c r="BK2" s="125"/>
      <c r="BL2" s="125"/>
      <c r="BM2" s="127"/>
      <c r="BN2" s="124"/>
      <c r="BO2" s="125"/>
      <c r="BP2" s="125"/>
      <c r="BQ2" s="127"/>
    </row>
    <row r="3" spans="1:69" ht="13.5" customHeight="1" x14ac:dyDescent="0.2">
      <c r="A3" s="109"/>
      <c r="B3" s="110"/>
      <c r="C3" s="110"/>
      <c r="D3" s="110"/>
      <c r="E3" s="110"/>
      <c r="F3" s="116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8"/>
      <c r="T3" s="128" t="s">
        <v>97</v>
      </c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  <c r="AH3" s="128" t="s">
        <v>100</v>
      </c>
      <c r="AI3" s="129"/>
      <c r="AJ3" s="129"/>
      <c r="AK3" s="129"/>
      <c r="AL3" s="129"/>
      <c r="AM3" s="129"/>
      <c r="AN3" s="129"/>
      <c r="AO3" s="129"/>
      <c r="AP3" s="129"/>
      <c r="AQ3" s="129"/>
      <c r="AR3" s="132"/>
      <c r="AS3" s="128" t="s">
        <v>92</v>
      </c>
      <c r="AT3" s="129"/>
      <c r="AU3" s="129"/>
      <c r="AV3" s="129"/>
      <c r="AW3" s="129"/>
      <c r="AX3" s="129"/>
      <c r="AY3" s="129"/>
      <c r="AZ3" s="129"/>
      <c r="BA3" s="132"/>
      <c r="BB3" s="128" t="s">
        <v>95</v>
      </c>
      <c r="BC3" s="129"/>
      <c r="BD3" s="129"/>
      <c r="BE3" s="132"/>
      <c r="BF3" s="134">
        <v>45877</v>
      </c>
      <c r="BG3" s="135"/>
      <c r="BH3" s="135"/>
      <c r="BI3" s="136"/>
      <c r="BJ3" s="128"/>
      <c r="BK3" s="129"/>
      <c r="BL3" s="129"/>
      <c r="BM3" s="132"/>
      <c r="BN3" s="134"/>
      <c r="BO3" s="135"/>
      <c r="BP3" s="135"/>
      <c r="BQ3" s="136"/>
    </row>
    <row r="4" spans="1:69" ht="13.5" customHeight="1" thickBot="1" x14ac:dyDescent="0.25">
      <c r="A4" s="111"/>
      <c r="B4" s="112"/>
      <c r="C4" s="112"/>
      <c r="D4" s="112"/>
      <c r="E4" s="112"/>
      <c r="F4" s="119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1"/>
      <c r="T4" s="130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0"/>
      <c r="AI4" s="131"/>
      <c r="AJ4" s="131"/>
      <c r="AK4" s="131"/>
      <c r="AL4" s="131"/>
      <c r="AM4" s="131"/>
      <c r="AN4" s="131"/>
      <c r="AO4" s="131"/>
      <c r="AP4" s="131"/>
      <c r="AQ4" s="131"/>
      <c r="AR4" s="133"/>
      <c r="AS4" s="130"/>
      <c r="AT4" s="131"/>
      <c r="AU4" s="131"/>
      <c r="AV4" s="131"/>
      <c r="AW4" s="131"/>
      <c r="AX4" s="131"/>
      <c r="AY4" s="131"/>
      <c r="AZ4" s="131"/>
      <c r="BA4" s="133"/>
      <c r="BB4" s="130"/>
      <c r="BC4" s="131"/>
      <c r="BD4" s="131"/>
      <c r="BE4" s="133"/>
      <c r="BF4" s="137"/>
      <c r="BG4" s="138"/>
      <c r="BH4" s="138"/>
      <c r="BI4" s="139"/>
      <c r="BJ4" s="130"/>
      <c r="BK4" s="131"/>
      <c r="BL4" s="131"/>
      <c r="BM4" s="133"/>
      <c r="BN4" s="137"/>
      <c r="BO4" s="138"/>
      <c r="BP4" s="138"/>
      <c r="BQ4" s="139"/>
    </row>
    <row r="6" spans="1:69" ht="13.5" customHeight="1" x14ac:dyDescent="0.2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 x14ac:dyDescent="0.2">
      <c r="A7" s="23"/>
      <c r="B7" s="102" t="s">
        <v>26</v>
      </c>
      <c r="C7" s="102"/>
      <c r="D7" s="96" t="s">
        <v>56</v>
      </c>
      <c r="E7" s="97"/>
      <c r="F7" s="97"/>
      <c r="G7" s="98"/>
      <c r="H7" s="102" t="s">
        <v>16</v>
      </c>
      <c r="I7" s="102"/>
      <c r="J7" s="102"/>
      <c r="K7" s="102"/>
      <c r="L7" s="102" t="s">
        <v>17</v>
      </c>
      <c r="M7" s="102"/>
      <c r="N7" s="102"/>
      <c r="O7" s="96" t="s">
        <v>22</v>
      </c>
      <c r="P7" s="98"/>
      <c r="Q7" s="99" t="s">
        <v>57</v>
      </c>
      <c r="R7" s="100"/>
      <c r="S7" s="100"/>
      <c r="T7" s="101"/>
      <c r="U7" s="96" t="s">
        <v>25</v>
      </c>
      <c r="V7" s="97"/>
      <c r="W7" s="97"/>
      <c r="X7" s="97"/>
      <c r="Y7" s="97"/>
      <c r="Z7" s="97"/>
      <c r="AA7" s="97"/>
      <c r="AB7" s="97"/>
      <c r="AC7" s="97"/>
      <c r="AD7" s="97"/>
      <c r="AE7" s="98"/>
      <c r="AF7" s="96" t="s">
        <v>18</v>
      </c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8"/>
      <c r="AY7" s="96" t="s">
        <v>19</v>
      </c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8"/>
      <c r="BQ7" s="24"/>
    </row>
    <row r="8" spans="1:69" ht="13.5" customHeight="1" x14ac:dyDescent="0.2">
      <c r="A8" s="23"/>
      <c r="B8" s="103">
        <f t="shared" ref="B8" si="0">ROW()-7</f>
        <v>1</v>
      </c>
      <c r="C8" s="104"/>
      <c r="D8" s="106" t="s">
        <v>60</v>
      </c>
      <c r="E8" s="94"/>
      <c r="F8" s="94"/>
      <c r="G8" s="95"/>
      <c r="H8" s="105">
        <v>45877</v>
      </c>
      <c r="I8" s="94"/>
      <c r="J8" s="94"/>
      <c r="K8" s="95"/>
      <c r="L8" s="93" t="s">
        <v>95</v>
      </c>
      <c r="M8" s="94"/>
      <c r="N8" s="95"/>
      <c r="O8" s="93" t="s">
        <v>27</v>
      </c>
      <c r="P8" s="95"/>
      <c r="Q8" s="93" t="s">
        <v>66</v>
      </c>
      <c r="R8" s="94"/>
      <c r="S8" s="94"/>
      <c r="T8" s="95"/>
      <c r="U8" s="93"/>
      <c r="V8" s="94"/>
      <c r="W8" s="94"/>
      <c r="X8" s="94"/>
      <c r="Y8" s="94"/>
      <c r="Z8" s="94"/>
      <c r="AA8" s="94"/>
      <c r="AB8" s="94"/>
      <c r="AC8" s="94"/>
      <c r="AD8" s="94"/>
      <c r="AE8" s="95"/>
      <c r="AF8" s="93" t="s">
        <v>28</v>
      </c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  <c r="AY8" s="93" t="s">
        <v>61</v>
      </c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5"/>
      <c r="BQ8" s="24"/>
    </row>
    <row r="9" spans="1:69" ht="13.5" customHeight="1" x14ac:dyDescent="0.2">
      <c r="A9" s="23"/>
      <c r="B9" s="103">
        <f t="shared" ref="B9:B51" si="1">ROW()-7</f>
        <v>2</v>
      </c>
      <c r="C9" s="104"/>
      <c r="D9" s="93"/>
      <c r="E9" s="94"/>
      <c r="F9" s="94"/>
      <c r="G9" s="95"/>
      <c r="H9" s="105"/>
      <c r="I9" s="94"/>
      <c r="J9" s="94"/>
      <c r="K9" s="95"/>
      <c r="L9" s="93"/>
      <c r="M9" s="94"/>
      <c r="N9" s="95"/>
      <c r="O9" s="93"/>
      <c r="P9" s="95"/>
      <c r="Q9" s="93"/>
      <c r="R9" s="94"/>
      <c r="S9" s="94"/>
      <c r="T9" s="95"/>
      <c r="U9" s="93"/>
      <c r="V9" s="94"/>
      <c r="W9" s="94"/>
      <c r="X9" s="94"/>
      <c r="Y9" s="94"/>
      <c r="Z9" s="94"/>
      <c r="AA9" s="94"/>
      <c r="AB9" s="94"/>
      <c r="AC9" s="94"/>
      <c r="AD9" s="94"/>
      <c r="AE9" s="95"/>
      <c r="AF9" s="93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  <c r="AY9" s="93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5"/>
      <c r="BQ9" s="24"/>
    </row>
    <row r="10" spans="1:69" ht="13.5" customHeight="1" x14ac:dyDescent="0.2">
      <c r="A10" s="23"/>
      <c r="B10" s="103">
        <f t="shared" si="1"/>
        <v>3</v>
      </c>
      <c r="C10" s="104"/>
      <c r="D10" s="93"/>
      <c r="E10" s="94"/>
      <c r="F10" s="94"/>
      <c r="G10" s="95"/>
      <c r="H10" s="105"/>
      <c r="I10" s="94"/>
      <c r="J10" s="94"/>
      <c r="K10" s="95"/>
      <c r="L10" s="93"/>
      <c r="M10" s="94"/>
      <c r="N10" s="95"/>
      <c r="O10" s="93"/>
      <c r="P10" s="95"/>
      <c r="Q10" s="93"/>
      <c r="R10" s="94"/>
      <c r="S10" s="94"/>
      <c r="T10" s="95"/>
      <c r="U10" s="93"/>
      <c r="V10" s="94"/>
      <c r="W10" s="94"/>
      <c r="X10" s="94"/>
      <c r="Y10" s="94"/>
      <c r="Z10" s="94"/>
      <c r="AA10" s="94"/>
      <c r="AB10" s="94"/>
      <c r="AC10" s="94"/>
      <c r="AD10" s="94"/>
      <c r="AE10" s="95"/>
      <c r="AF10" s="93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  <c r="AY10" s="93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5"/>
      <c r="BQ10" s="24"/>
    </row>
    <row r="11" spans="1:69" ht="13.5" customHeight="1" x14ac:dyDescent="0.2">
      <c r="A11" s="23"/>
      <c r="B11" s="103">
        <f t="shared" si="1"/>
        <v>4</v>
      </c>
      <c r="C11" s="104"/>
      <c r="D11" s="93"/>
      <c r="E11" s="94"/>
      <c r="F11" s="94"/>
      <c r="G11" s="95"/>
      <c r="H11" s="105"/>
      <c r="I11" s="94"/>
      <c r="J11" s="94"/>
      <c r="K11" s="95"/>
      <c r="L11" s="93"/>
      <c r="M11" s="94"/>
      <c r="N11" s="95"/>
      <c r="O11" s="93"/>
      <c r="P11" s="95"/>
      <c r="Q11" s="93"/>
      <c r="R11" s="94"/>
      <c r="S11" s="94"/>
      <c r="T11" s="95"/>
      <c r="U11" s="93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F11" s="93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5"/>
      <c r="AY11" s="93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5"/>
      <c r="BQ11" s="24"/>
    </row>
    <row r="12" spans="1:69" ht="13.5" customHeight="1" x14ac:dyDescent="0.2">
      <c r="A12" s="23"/>
      <c r="B12" s="103">
        <f t="shared" si="1"/>
        <v>5</v>
      </c>
      <c r="C12" s="104"/>
      <c r="D12" s="93"/>
      <c r="E12" s="94"/>
      <c r="F12" s="94"/>
      <c r="G12" s="95"/>
      <c r="H12" s="105"/>
      <c r="I12" s="94"/>
      <c r="J12" s="94"/>
      <c r="K12" s="95"/>
      <c r="L12" s="93"/>
      <c r="M12" s="94"/>
      <c r="N12" s="95"/>
      <c r="O12" s="93"/>
      <c r="P12" s="95"/>
      <c r="Q12" s="93"/>
      <c r="R12" s="94"/>
      <c r="S12" s="94"/>
      <c r="T12" s="95"/>
      <c r="U12" s="93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F12" s="93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5"/>
      <c r="AY12" s="93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5"/>
      <c r="BQ12" s="24"/>
    </row>
    <row r="13" spans="1:69" ht="13.5" customHeight="1" x14ac:dyDescent="0.2">
      <c r="A13" s="23"/>
      <c r="B13" s="103">
        <f t="shared" si="1"/>
        <v>6</v>
      </c>
      <c r="C13" s="104"/>
      <c r="D13" s="93"/>
      <c r="E13" s="94"/>
      <c r="F13" s="94"/>
      <c r="G13" s="95"/>
      <c r="H13" s="105"/>
      <c r="I13" s="94"/>
      <c r="J13" s="94"/>
      <c r="K13" s="95"/>
      <c r="L13" s="93"/>
      <c r="M13" s="94"/>
      <c r="N13" s="95"/>
      <c r="O13" s="93"/>
      <c r="P13" s="95"/>
      <c r="Q13" s="93"/>
      <c r="R13" s="94"/>
      <c r="S13" s="94"/>
      <c r="T13" s="95"/>
      <c r="U13" s="93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F13" s="93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5"/>
      <c r="AY13" s="93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5"/>
      <c r="BQ13" s="24"/>
    </row>
    <row r="14" spans="1:69" ht="13.5" customHeight="1" x14ac:dyDescent="0.2">
      <c r="A14" s="23"/>
      <c r="B14" s="103">
        <f t="shared" si="1"/>
        <v>7</v>
      </c>
      <c r="C14" s="104"/>
      <c r="D14" s="93"/>
      <c r="E14" s="94"/>
      <c r="F14" s="94"/>
      <c r="G14" s="95"/>
      <c r="H14" s="105"/>
      <c r="I14" s="94"/>
      <c r="J14" s="94"/>
      <c r="K14" s="95"/>
      <c r="L14" s="93"/>
      <c r="M14" s="94"/>
      <c r="N14" s="95"/>
      <c r="O14" s="93"/>
      <c r="P14" s="95"/>
      <c r="Q14" s="93"/>
      <c r="R14" s="94"/>
      <c r="S14" s="94"/>
      <c r="T14" s="95"/>
      <c r="U14" s="93"/>
      <c r="V14" s="94"/>
      <c r="W14" s="94"/>
      <c r="X14" s="94"/>
      <c r="Y14" s="94"/>
      <c r="Z14" s="94"/>
      <c r="AA14" s="94"/>
      <c r="AB14" s="94"/>
      <c r="AC14" s="94"/>
      <c r="AD14" s="94"/>
      <c r="AE14" s="95"/>
      <c r="AF14" s="93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  <c r="AY14" s="93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5"/>
      <c r="BQ14" s="24"/>
    </row>
    <row r="15" spans="1:69" ht="13.5" customHeight="1" x14ac:dyDescent="0.2">
      <c r="A15" s="23"/>
      <c r="B15" s="103">
        <f t="shared" si="1"/>
        <v>8</v>
      </c>
      <c r="C15" s="104"/>
      <c r="D15" s="93"/>
      <c r="E15" s="94"/>
      <c r="F15" s="94"/>
      <c r="G15" s="95"/>
      <c r="H15" s="105"/>
      <c r="I15" s="94"/>
      <c r="J15" s="94"/>
      <c r="K15" s="95"/>
      <c r="L15" s="93"/>
      <c r="M15" s="94"/>
      <c r="N15" s="95"/>
      <c r="O15" s="93"/>
      <c r="P15" s="95"/>
      <c r="Q15" s="93"/>
      <c r="R15" s="94"/>
      <c r="S15" s="94"/>
      <c r="T15" s="95"/>
      <c r="U15" s="93"/>
      <c r="V15" s="94"/>
      <c r="W15" s="94"/>
      <c r="X15" s="94"/>
      <c r="Y15" s="94"/>
      <c r="Z15" s="94"/>
      <c r="AA15" s="94"/>
      <c r="AB15" s="94"/>
      <c r="AC15" s="94"/>
      <c r="AD15" s="94"/>
      <c r="AE15" s="95"/>
      <c r="AF15" s="93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5"/>
      <c r="AY15" s="93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5"/>
      <c r="BQ15" s="24"/>
    </row>
    <row r="16" spans="1:69" ht="13.5" customHeight="1" x14ac:dyDescent="0.2">
      <c r="A16" s="23"/>
      <c r="B16" s="103">
        <f t="shared" si="1"/>
        <v>9</v>
      </c>
      <c r="C16" s="104"/>
      <c r="D16" s="93"/>
      <c r="E16" s="94"/>
      <c r="F16" s="94"/>
      <c r="G16" s="95"/>
      <c r="H16" s="105"/>
      <c r="I16" s="94"/>
      <c r="J16" s="94"/>
      <c r="K16" s="95"/>
      <c r="L16" s="93"/>
      <c r="M16" s="94"/>
      <c r="N16" s="95"/>
      <c r="O16" s="93"/>
      <c r="P16" s="95"/>
      <c r="Q16" s="93"/>
      <c r="R16" s="94"/>
      <c r="S16" s="94"/>
      <c r="T16" s="95"/>
      <c r="U16" s="93"/>
      <c r="V16" s="94"/>
      <c r="W16" s="94"/>
      <c r="X16" s="94"/>
      <c r="Y16" s="94"/>
      <c r="Z16" s="94"/>
      <c r="AA16" s="94"/>
      <c r="AB16" s="94"/>
      <c r="AC16" s="94"/>
      <c r="AD16" s="94"/>
      <c r="AE16" s="95"/>
      <c r="AF16" s="93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5"/>
      <c r="AY16" s="93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5"/>
      <c r="BQ16" s="24"/>
    </row>
    <row r="17" spans="1:69" ht="12" x14ac:dyDescent="0.2">
      <c r="A17" s="23"/>
      <c r="B17" s="103">
        <f t="shared" si="1"/>
        <v>10</v>
      </c>
      <c r="C17" s="104"/>
      <c r="D17" s="93"/>
      <c r="E17" s="94"/>
      <c r="F17" s="94"/>
      <c r="G17" s="95"/>
      <c r="H17" s="105"/>
      <c r="I17" s="94"/>
      <c r="J17" s="94"/>
      <c r="K17" s="95"/>
      <c r="L17" s="93"/>
      <c r="M17" s="94"/>
      <c r="N17" s="95"/>
      <c r="O17" s="93"/>
      <c r="P17" s="95"/>
      <c r="Q17" s="93"/>
      <c r="R17" s="94"/>
      <c r="S17" s="94"/>
      <c r="T17" s="95"/>
      <c r="U17" s="93"/>
      <c r="V17" s="94"/>
      <c r="W17" s="94"/>
      <c r="X17" s="94"/>
      <c r="Y17" s="94"/>
      <c r="Z17" s="94"/>
      <c r="AA17" s="94"/>
      <c r="AB17" s="94"/>
      <c r="AC17" s="94"/>
      <c r="AD17" s="94"/>
      <c r="AE17" s="95"/>
      <c r="AF17" s="93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5"/>
      <c r="AY17" s="93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5"/>
      <c r="BQ17" s="24"/>
    </row>
    <row r="18" spans="1:69" ht="13.5" customHeight="1" x14ac:dyDescent="0.2">
      <c r="A18" s="23"/>
      <c r="B18" s="103">
        <f t="shared" si="1"/>
        <v>11</v>
      </c>
      <c r="C18" s="104"/>
      <c r="D18" s="93"/>
      <c r="E18" s="94"/>
      <c r="F18" s="94"/>
      <c r="G18" s="95"/>
      <c r="H18" s="105"/>
      <c r="I18" s="94"/>
      <c r="J18" s="94"/>
      <c r="K18" s="95"/>
      <c r="L18" s="93"/>
      <c r="M18" s="94"/>
      <c r="N18" s="95"/>
      <c r="O18" s="93"/>
      <c r="P18" s="95"/>
      <c r="Q18" s="93"/>
      <c r="R18" s="94"/>
      <c r="S18" s="94"/>
      <c r="T18" s="95"/>
      <c r="U18" s="93"/>
      <c r="V18" s="94"/>
      <c r="W18" s="94"/>
      <c r="X18" s="94"/>
      <c r="Y18" s="94"/>
      <c r="Z18" s="94"/>
      <c r="AA18" s="94"/>
      <c r="AB18" s="94"/>
      <c r="AC18" s="94"/>
      <c r="AD18" s="94"/>
      <c r="AE18" s="95"/>
      <c r="AF18" s="93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5"/>
      <c r="AY18" s="93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5"/>
      <c r="BQ18" s="24"/>
    </row>
    <row r="19" spans="1:69" ht="13.5" customHeight="1" x14ac:dyDescent="0.2">
      <c r="A19" s="23"/>
      <c r="B19" s="103">
        <f t="shared" si="1"/>
        <v>12</v>
      </c>
      <c r="C19" s="104"/>
      <c r="D19" s="93"/>
      <c r="E19" s="94"/>
      <c r="F19" s="94"/>
      <c r="G19" s="95"/>
      <c r="H19" s="105"/>
      <c r="I19" s="94"/>
      <c r="J19" s="94"/>
      <c r="K19" s="95"/>
      <c r="L19" s="93"/>
      <c r="M19" s="94"/>
      <c r="N19" s="95"/>
      <c r="O19" s="93"/>
      <c r="P19" s="95"/>
      <c r="Q19" s="93"/>
      <c r="R19" s="94"/>
      <c r="S19" s="94"/>
      <c r="T19" s="95"/>
      <c r="U19" s="93"/>
      <c r="V19" s="94"/>
      <c r="W19" s="94"/>
      <c r="X19" s="94"/>
      <c r="Y19" s="94"/>
      <c r="Z19" s="94"/>
      <c r="AA19" s="94"/>
      <c r="AB19" s="94"/>
      <c r="AC19" s="94"/>
      <c r="AD19" s="94"/>
      <c r="AE19" s="95"/>
      <c r="AF19" s="93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5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5"/>
      <c r="BQ19" s="24"/>
    </row>
    <row r="20" spans="1:69" ht="13.5" customHeight="1" x14ac:dyDescent="0.2">
      <c r="A20" s="23"/>
      <c r="B20" s="103">
        <f t="shared" si="1"/>
        <v>13</v>
      </c>
      <c r="C20" s="104"/>
      <c r="D20" s="93"/>
      <c r="E20" s="94"/>
      <c r="F20" s="94"/>
      <c r="G20" s="95"/>
      <c r="H20" s="105"/>
      <c r="I20" s="94"/>
      <c r="J20" s="94"/>
      <c r="K20" s="95"/>
      <c r="L20" s="93"/>
      <c r="M20" s="94"/>
      <c r="N20" s="95"/>
      <c r="O20" s="93"/>
      <c r="P20" s="95"/>
      <c r="Q20" s="93"/>
      <c r="R20" s="94"/>
      <c r="S20" s="94"/>
      <c r="T20" s="95"/>
      <c r="U20" s="93"/>
      <c r="V20" s="94"/>
      <c r="W20" s="94"/>
      <c r="X20" s="94"/>
      <c r="Y20" s="94"/>
      <c r="Z20" s="94"/>
      <c r="AA20" s="94"/>
      <c r="AB20" s="94"/>
      <c r="AC20" s="94"/>
      <c r="AD20" s="94"/>
      <c r="AE20" s="95"/>
      <c r="AF20" s="93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5"/>
      <c r="AY20" s="93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5"/>
      <c r="BQ20" s="24"/>
    </row>
    <row r="21" spans="1:69" ht="13.5" customHeight="1" x14ac:dyDescent="0.2">
      <c r="A21" s="23"/>
      <c r="B21" s="103">
        <f t="shared" si="1"/>
        <v>14</v>
      </c>
      <c r="C21" s="104"/>
      <c r="D21" s="93"/>
      <c r="E21" s="94"/>
      <c r="F21" s="94"/>
      <c r="G21" s="95"/>
      <c r="H21" s="105"/>
      <c r="I21" s="94"/>
      <c r="J21" s="94"/>
      <c r="K21" s="95"/>
      <c r="L21" s="93"/>
      <c r="M21" s="94"/>
      <c r="N21" s="95"/>
      <c r="O21" s="93"/>
      <c r="P21" s="95"/>
      <c r="Q21" s="93"/>
      <c r="R21" s="94"/>
      <c r="S21" s="94"/>
      <c r="T21" s="95"/>
      <c r="U21" s="93"/>
      <c r="V21" s="94"/>
      <c r="W21" s="94"/>
      <c r="X21" s="94"/>
      <c r="Y21" s="94"/>
      <c r="Z21" s="94"/>
      <c r="AA21" s="94"/>
      <c r="AB21" s="94"/>
      <c r="AC21" s="94"/>
      <c r="AD21" s="94"/>
      <c r="AE21" s="95"/>
      <c r="AF21" s="93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5"/>
      <c r="AY21" s="93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5"/>
      <c r="BQ21" s="24"/>
    </row>
    <row r="22" spans="1:69" ht="13.5" customHeight="1" x14ac:dyDescent="0.2">
      <c r="A22" s="23"/>
      <c r="B22" s="103">
        <f t="shared" si="1"/>
        <v>15</v>
      </c>
      <c r="C22" s="104"/>
      <c r="D22" s="93"/>
      <c r="E22" s="94"/>
      <c r="F22" s="94"/>
      <c r="G22" s="95"/>
      <c r="H22" s="105"/>
      <c r="I22" s="94"/>
      <c r="J22" s="94"/>
      <c r="K22" s="95"/>
      <c r="L22" s="93"/>
      <c r="M22" s="94"/>
      <c r="N22" s="95"/>
      <c r="O22" s="93"/>
      <c r="P22" s="95"/>
      <c r="Q22" s="93"/>
      <c r="R22" s="94"/>
      <c r="S22" s="94"/>
      <c r="T22" s="95"/>
      <c r="U22" s="93"/>
      <c r="V22" s="94"/>
      <c r="W22" s="94"/>
      <c r="X22" s="94"/>
      <c r="Y22" s="94"/>
      <c r="Z22" s="94"/>
      <c r="AA22" s="94"/>
      <c r="AB22" s="94"/>
      <c r="AC22" s="94"/>
      <c r="AD22" s="94"/>
      <c r="AE22" s="95"/>
      <c r="AF22" s="93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5"/>
      <c r="AY22" s="93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5"/>
      <c r="BQ22" s="24"/>
    </row>
    <row r="23" spans="1:69" ht="13.5" customHeight="1" x14ac:dyDescent="0.2">
      <c r="A23" s="23"/>
      <c r="B23" s="103">
        <f t="shared" si="1"/>
        <v>16</v>
      </c>
      <c r="C23" s="104"/>
      <c r="D23" s="93"/>
      <c r="E23" s="94"/>
      <c r="F23" s="94"/>
      <c r="G23" s="95"/>
      <c r="H23" s="105"/>
      <c r="I23" s="94"/>
      <c r="J23" s="94"/>
      <c r="K23" s="95"/>
      <c r="L23" s="93"/>
      <c r="M23" s="94"/>
      <c r="N23" s="95"/>
      <c r="O23" s="93"/>
      <c r="P23" s="95"/>
      <c r="Q23" s="93"/>
      <c r="R23" s="94"/>
      <c r="S23" s="94"/>
      <c r="T23" s="95"/>
      <c r="U23" s="93"/>
      <c r="V23" s="94"/>
      <c r="W23" s="94"/>
      <c r="X23" s="94"/>
      <c r="Y23" s="94"/>
      <c r="Z23" s="94"/>
      <c r="AA23" s="94"/>
      <c r="AB23" s="94"/>
      <c r="AC23" s="94"/>
      <c r="AD23" s="94"/>
      <c r="AE23" s="95"/>
      <c r="AF23" s="93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5"/>
      <c r="AY23" s="93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5"/>
      <c r="BQ23" s="24"/>
    </row>
    <row r="24" spans="1:69" ht="13.5" customHeight="1" x14ac:dyDescent="0.2">
      <c r="A24" s="23"/>
      <c r="B24" s="103">
        <f t="shared" si="1"/>
        <v>17</v>
      </c>
      <c r="C24" s="104"/>
      <c r="D24" s="93"/>
      <c r="E24" s="94"/>
      <c r="F24" s="94"/>
      <c r="G24" s="95"/>
      <c r="H24" s="105"/>
      <c r="I24" s="94"/>
      <c r="J24" s="94"/>
      <c r="K24" s="95"/>
      <c r="L24" s="93"/>
      <c r="M24" s="94"/>
      <c r="N24" s="95"/>
      <c r="O24" s="93"/>
      <c r="P24" s="95"/>
      <c r="Q24" s="93"/>
      <c r="R24" s="94"/>
      <c r="S24" s="94"/>
      <c r="T24" s="95"/>
      <c r="U24" s="93"/>
      <c r="V24" s="94"/>
      <c r="W24" s="94"/>
      <c r="X24" s="94"/>
      <c r="Y24" s="94"/>
      <c r="Z24" s="94"/>
      <c r="AA24" s="94"/>
      <c r="AB24" s="94"/>
      <c r="AC24" s="94"/>
      <c r="AD24" s="94"/>
      <c r="AE24" s="95"/>
      <c r="AF24" s="93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5"/>
      <c r="AY24" s="93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5"/>
      <c r="BQ24" s="24"/>
    </row>
    <row r="25" spans="1:69" ht="13.5" customHeight="1" x14ac:dyDescent="0.2">
      <c r="A25" s="23"/>
      <c r="B25" s="103">
        <f t="shared" si="1"/>
        <v>18</v>
      </c>
      <c r="C25" s="104"/>
      <c r="D25" s="93"/>
      <c r="E25" s="94"/>
      <c r="F25" s="94"/>
      <c r="G25" s="95"/>
      <c r="H25" s="105"/>
      <c r="I25" s="94"/>
      <c r="J25" s="94"/>
      <c r="K25" s="95"/>
      <c r="L25" s="93"/>
      <c r="M25" s="94"/>
      <c r="N25" s="95"/>
      <c r="O25" s="93"/>
      <c r="P25" s="95"/>
      <c r="Q25" s="93"/>
      <c r="R25" s="94"/>
      <c r="S25" s="94"/>
      <c r="T25" s="95"/>
      <c r="U25" s="93"/>
      <c r="V25" s="94"/>
      <c r="W25" s="94"/>
      <c r="X25" s="94"/>
      <c r="Y25" s="94"/>
      <c r="Z25" s="94"/>
      <c r="AA25" s="94"/>
      <c r="AB25" s="94"/>
      <c r="AC25" s="94"/>
      <c r="AD25" s="94"/>
      <c r="AE25" s="95"/>
      <c r="AF25" s="93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5"/>
      <c r="AY25" s="93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5"/>
      <c r="BQ25" s="24"/>
    </row>
    <row r="26" spans="1:69" ht="13.5" customHeight="1" x14ac:dyDescent="0.2">
      <c r="A26" s="23"/>
      <c r="B26" s="103">
        <f t="shared" si="1"/>
        <v>19</v>
      </c>
      <c r="C26" s="104"/>
      <c r="D26" s="93"/>
      <c r="E26" s="94"/>
      <c r="F26" s="94"/>
      <c r="G26" s="95"/>
      <c r="H26" s="105"/>
      <c r="I26" s="94"/>
      <c r="J26" s="94"/>
      <c r="K26" s="95"/>
      <c r="L26" s="93"/>
      <c r="M26" s="94"/>
      <c r="N26" s="95"/>
      <c r="O26" s="93"/>
      <c r="P26" s="95"/>
      <c r="Q26" s="93"/>
      <c r="R26" s="94"/>
      <c r="S26" s="94"/>
      <c r="T26" s="95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5"/>
      <c r="AF26" s="93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5"/>
      <c r="AY26" s="93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5"/>
      <c r="BQ26" s="24"/>
    </row>
    <row r="27" spans="1:69" ht="13.5" customHeight="1" x14ac:dyDescent="0.2">
      <c r="A27" s="23"/>
      <c r="B27" s="103">
        <f t="shared" si="1"/>
        <v>20</v>
      </c>
      <c r="C27" s="104"/>
      <c r="D27" s="93"/>
      <c r="E27" s="94"/>
      <c r="F27" s="94"/>
      <c r="G27" s="95"/>
      <c r="H27" s="105"/>
      <c r="I27" s="94"/>
      <c r="J27" s="94"/>
      <c r="K27" s="95"/>
      <c r="L27" s="93"/>
      <c r="M27" s="94"/>
      <c r="N27" s="95"/>
      <c r="O27" s="93"/>
      <c r="P27" s="95"/>
      <c r="Q27" s="93"/>
      <c r="R27" s="94"/>
      <c r="S27" s="94"/>
      <c r="T27" s="95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5"/>
      <c r="AF27" s="93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5"/>
      <c r="AY27" s="93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5"/>
      <c r="BQ27" s="24"/>
    </row>
    <row r="28" spans="1:69" ht="13.5" customHeight="1" x14ac:dyDescent="0.2">
      <c r="A28" s="23"/>
      <c r="B28" s="103">
        <f t="shared" si="1"/>
        <v>21</v>
      </c>
      <c r="C28" s="104"/>
      <c r="D28" s="93"/>
      <c r="E28" s="94"/>
      <c r="F28" s="94"/>
      <c r="G28" s="95"/>
      <c r="H28" s="105"/>
      <c r="I28" s="94"/>
      <c r="J28" s="94"/>
      <c r="K28" s="95"/>
      <c r="L28" s="93"/>
      <c r="M28" s="94"/>
      <c r="N28" s="95"/>
      <c r="O28" s="93"/>
      <c r="P28" s="95"/>
      <c r="Q28" s="93"/>
      <c r="R28" s="94"/>
      <c r="S28" s="94"/>
      <c r="T28" s="95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5"/>
      <c r="AF28" s="93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5"/>
      <c r="AY28" s="93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5"/>
      <c r="BQ28" s="24"/>
    </row>
    <row r="29" spans="1:69" ht="13.5" customHeight="1" x14ac:dyDescent="0.2">
      <c r="A29" s="23"/>
      <c r="B29" s="103">
        <f t="shared" si="1"/>
        <v>22</v>
      </c>
      <c r="C29" s="104"/>
      <c r="D29" s="93"/>
      <c r="E29" s="94"/>
      <c r="F29" s="94"/>
      <c r="G29" s="95"/>
      <c r="H29" s="105"/>
      <c r="I29" s="94"/>
      <c r="J29" s="94"/>
      <c r="K29" s="95"/>
      <c r="L29" s="93"/>
      <c r="M29" s="94"/>
      <c r="N29" s="95"/>
      <c r="O29" s="93"/>
      <c r="P29" s="95"/>
      <c r="Q29" s="93"/>
      <c r="R29" s="94"/>
      <c r="S29" s="94"/>
      <c r="T29" s="95"/>
      <c r="U29" s="93"/>
      <c r="V29" s="94"/>
      <c r="W29" s="94"/>
      <c r="X29" s="94"/>
      <c r="Y29" s="94"/>
      <c r="Z29" s="94"/>
      <c r="AA29" s="94"/>
      <c r="AB29" s="94"/>
      <c r="AC29" s="94"/>
      <c r="AD29" s="94"/>
      <c r="AE29" s="95"/>
      <c r="AF29" s="93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5"/>
      <c r="AY29" s="93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5"/>
      <c r="BQ29" s="24"/>
    </row>
    <row r="30" spans="1:69" ht="13.5" customHeight="1" x14ac:dyDescent="0.2">
      <c r="A30" s="23"/>
      <c r="B30" s="103">
        <f t="shared" si="1"/>
        <v>23</v>
      </c>
      <c r="C30" s="104"/>
      <c r="D30" s="93"/>
      <c r="E30" s="94"/>
      <c r="F30" s="94"/>
      <c r="G30" s="95"/>
      <c r="H30" s="105"/>
      <c r="I30" s="94"/>
      <c r="J30" s="94"/>
      <c r="K30" s="95"/>
      <c r="L30" s="93"/>
      <c r="M30" s="94"/>
      <c r="N30" s="95"/>
      <c r="O30" s="93"/>
      <c r="P30" s="95"/>
      <c r="Q30" s="93"/>
      <c r="R30" s="94"/>
      <c r="S30" s="94"/>
      <c r="T30" s="95"/>
      <c r="U30" s="93"/>
      <c r="V30" s="94"/>
      <c r="W30" s="94"/>
      <c r="X30" s="94"/>
      <c r="Y30" s="94"/>
      <c r="Z30" s="94"/>
      <c r="AA30" s="94"/>
      <c r="AB30" s="94"/>
      <c r="AC30" s="94"/>
      <c r="AD30" s="94"/>
      <c r="AE30" s="95"/>
      <c r="AF30" s="93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5"/>
      <c r="AY30" s="93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5"/>
      <c r="BQ30" s="24"/>
    </row>
    <row r="31" spans="1:69" ht="13.5" customHeight="1" x14ac:dyDescent="0.2">
      <c r="A31" s="23"/>
      <c r="B31" s="103">
        <f t="shared" si="1"/>
        <v>24</v>
      </c>
      <c r="C31" s="104"/>
      <c r="D31" s="93"/>
      <c r="E31" s="94"/>
      <c r="F31" s="94"/>
      <c r="G31" s="95"/>
      <c r="H31" s="105"/>
      <c r="I31" s="94"/>
      <c r="J31" s="94"/>
      <c r="K31" s="95"/>
      <c r="L31" s="93"/>
      <c r="M31" s="94"/>
      <c r="N31" s="95"/>
      <c r="O31" s="93"/>
      <c r="P31" s="95"/>
      <c r="Q31" s="93"/>
      <c r="R31" s="94"/>
      <c r="S31" s="94"/>
      <c r="T31" s="95"/>
      <c r="U31" s="93"/>
      <c r="V31" s="94"/>
      <c r="W31" s="94"/>
      <c r="X31" s="94"/>
      <c r="Y31" s="94"/>
      <c r="Z31" s="94"/>
      <c r="AA31" s="94"/>
      <c r="AB31" s="94"/>
      <c r="AC31" s="94"/>
      <c r="AD31" s="94"/>
      <c r="AE31" s="95"/>
      <c r="AF31" s="93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5"/>
      <c r="AY31" s="93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5"/>
      <c r="BQ31" s="24"/>
    </row>
    <row r="32" spans="1:69" ht="13.5" customHeight="1" x14ac:dyDescent="0.2">
      <c r="A32" s="23"/>
      <c r="B32" s="103">
        <f t="shared" si="1"/>
        <v>25</v>
      </c>
      <c r="C32" s="104"/>
      <c r="D32" s="93"/>
      <c r="E32" s="94"/>
      <c r="F32" s="94"/>
      <c r="G32" s="95"/>
      <c r="H32" s="105"/>
      <c r="I32" s="94"/>
      <c r="J32" s="94"/>
      <c r="K32" s="95"/>
      <c r="L32" s="93"/>
      <c r="M32" s="94"/>
      <c r="N32" s="95"/>
      <c r="O32" s="93"/>
      <c r="P32" s="95"/>
      <c r="Q32" s="93"/>
      <c r="R32" s="94"/>
      <c r="S32" s="94"/>
      <c r="T32" s="95"/>
      <c r="U32" s="93"/>
      <c r="V32" s="94"/>
      <c r="W32" s="94"/>
      <c r="X32" s="94"/>
      <c r="Y32" s="94"/>
      <c r="Z32" s="94"/>
      <c r="AA32" s="94"/>
      <c r="AB32" s="94"/>
      <c r="AC32" s="94"/>
      <c r="AD32" s="94"/>
      <c r="AE32" s="95"/>
      <c r="AF32" s="93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5"/>
      <c r="AY32" s="93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5"/>
      <c r="BQ32" s="24"/>
    </row>
    <row r="33" spans="1:69" ht="12" x14ac:dyDescent="0.2">
      <c r="A33" s="23"/>
      <c r="B33" s="103">
        <f t="shared" si="1"/>
        <v>26</v>
      </c>
      <c r="C33" s="104"/>
      <c r="D33" s="93"/>
      <c r="E33" s="94"/>
      <c r="F33" s="94"/>
      <c r="G33" s="95"/>
      <c r="H33" s="105"/>
      <c r="I33" s="94"/>
      <c r="J33" s="94"/>
      <c r="K33" s="95"/>
      <c r="L33" s="93"/>
      <c r="M33" s="94"/>
      <c r="N33" s="95"/>
      <c r="O33" s="93"/>
      <c r="P33" s="95"/>
      <c r="Q33" s="93"/>
      <c r="R33" s="94"/>
      <c r="S33" s="94"/>
      <c r="T33" s="95"/>
      <c r="U33" s="93"/>
      <c r="V33" s="94"/>
      <c r="W33" s="94"/>
      <c r="X33" s="94"/>
      <c r="Y33" s="94"/>
      <c r="Z33" s="94"/>
      <c r="AA33" s="94"/>
      <c r="AB33" s="94"/>
      <c r="AC33" s="94"/>
      <c r="AD33" s="94"/>
      <c r="AE33" s="95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5"/>
      <c r="AY33" s="93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5"/>
      <c r="BQ33" s="24"/>
    </row>
    <row r="34" spans="1:69" ht="13.5" customHeight="1" x14ac:dyDescent="0.2">
      <c r="A34" s="23"/>
      <c r="B34" s="103">
        <f t="shared" si="1"/>
        <v>27</v>
      </c>
      <c r="C34" s="104"/>
      <c r="D34" s="93"/>
      <c r="E34" s="94"/>
      <c r="F34" s="94"/>
      <c r="G34" s="95"/>
      <c r="H34" s="105"/>
      <c r="I34" s="94"/>
      <c r="J34" s="94"/>
      <c r="K34" s="95"/>
      <c r="L34" s="93"/>
      <c r="M34" s="94"/>
      <c r="N34" s="95"/>
      <c r="O34" s="93"/>
      <c r="P34" s="95"/>
      <c r="Q34" s="93"/>
      <c r="R34" s="94"/>
      <c r="S34" s="94"/>
      <c r="T34" s="95"/>
      <c r="U34" s="93"/>
      <c r="V34" s="94"/>
      <c r="W34" s="94"/>
      <c r="X34" s="94"/>
      <c r="Y34" s="94"/>
      <c r="Z34" s="94"/>
      <c r="AA34" s="94"/>
      <c r="AB34" s="94"/>
      <c r="AC34" s="94"/>
      <c r="AD34" s="94"/>
      <c r="AE34" s="95"/>
      <c r="AF34" s="93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5"/>
      <c r="AY34" s="93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5"/>
      <c r="BQ34" s="24"/>
    </row>
    <row r="35" spans="1:69" ht="13.5" customHeight="1" x14ac:dyDescent="0.2">
      <c r="A35" s="23"/>
      <c r="B35" s="103">
        <f t="shared" si="1"/>
        <v>28</v>
      </c>
      <c r="C35" s="104"/>
      <c r="D35" s="93"/>
      <c r="E35" s="94"/>
      <c r="F35" s="94"/>
      <c r="G35" s="95"/>
      <c r="H35" s="105"/>
      <c r="I35" s="94"/>
      <c r="J35" s="94"/>
      <c r="K35" s="95"/>
      <c r="L35" s="93"/>
      <c r="M35" s="94"/>
      <c r="N35" s="95"/>
      <c r="O35" s="93"/>
      <c r="P35" s="95"/>
      <c r="Q35" s="93"/>
      <c r="R35" s="94"/>
      <c r="S35" s="94"/>
      <c r="T35" s="95"/>
      <c r="U35" s="93"/>
      <c r="V35" s="94"/>
      <c r="W35" s="94"/>
      <c r="X35" s="94"/>
      <c r="Y35" s="94"/>
      <c r="Z35" s="94"/>
      <c r="AA35" s="94"/>
      <c r="AB35" s="94"/>
      <c r="AC35" s="94"/>
      <c r="AD35" s="94"/>
      <c r="AE35" s="95"/>
      <c r="AF35" s="93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5"/>
      <c r="AY35" s="93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5"/>
      <c r="BQ35" s="24"/>
    </row>
    <row r="36" spans="1:69" ht="13.5" customHeight="1" x14ac:dyDescent="0.2">
      <c r="A36" s="23"/>
      <c r="B36" s="103">
        <f t="shared" si="1"/>
        <v>29</v>
      </c>
      <c r="C36" s="104"/>
      <c r="D36" s="93"/>
      <c r="E36" s="94"/>
      <c r="F36" s="94"/>
      <c r="G36" s="95"/>
      <c r="H36" s="105"/>
      <c r="I36" s="94"/>
      <c r="J36" s="94"/>
      <c r="K36" s="95"/>
      <c r="L36" s="93"/>
      <c r="M36" s="94"/>
      <c r="N36" s="95"/>
      <c r="O36" s="93"/>
      <c r="P36" s="95"/>
      <c r="Q36" s="93"/>
      <c r="R36" s="94"/>
      <c r="S36" s="94"/>
      <c r="T36" s="95"/>
      <c r="U36" s="93"/>
      <c r="V36" s="94"/>
      <c r="W36" s="94"/>
      <c r="X36" s="94"/>
      <c r="Y36" s="94"/>
      <c r="Z36" s="94"/>
      <c r="AA36" s="94"/>
      <c r="AB36" s="94"/>
      <c r="AC36" s="94"/>
      <c r="AD36" s="94"/>
      <c r="AE36" s="95"/>
      <c r="AF36" s="93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5"/>
      <c r="AY36" s="93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5"/>
      <c r="BQ36" s="24"/>
    </row>
    <row r="37" spans="1:69" ht="13.5" customHeight="1" x14ac:dyDescent="0.2">
      <c r="A37" s="23"/>
      <c r="B37" s="103">
        <f t="shared" si="1"/>
        <v>30</v>
      </c>
      <c r="C37" s="104"/>
      <c r="D37" s="93"/>
      <c r="E37" s="94"/>
      <c r="F37" s="94"/>
      <c r="G37" s="95"/>
      <c r="H37" s="105"/>
      <c r="I37" s="94"/>
      <c r="J37" s="94"/>
      <c r="K37" s="95"/>
      <c r="L37" s="93"/>
      <c r="M37" s="94"/>
      <c r="N37" s="95"/>
      <c r="O37" s="93"/>
      <c r="P37" s="95"/>
      <c r="Q37" s="93"/>
      <c r="R37" s="94"/>
      <c r="S37" s="94"/>
      <c r="T37" s="95"/>
      <c r="U37" s="93"/>
      <c r="V37" s="94"/>
      <c r="W37" s="94"/>
      <c r="X37" s="94"/>
      <c r="Y37" s="94"/>
      <c r="Z37" s="94"/>
      <c r="AA37" s="94"/>
      <c r="AB37" s="94"/>
      <c r="AC37" s="94"/>
      <c r="AD37" s="94"/>
      <c r="AE37" s="95"/>
      <c r="AF37" s="93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5"/>
      <c r="AY37" s="93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5"/>
      <c r="BQ37" s="24"/>
    </row>
    <row r="38" spans="1:69" ht="13.5" customHeight="1" x14ac:dyDescent="0.2">
      <c r="A38" s="25"/>
      <c r="B38" s="103">
        <f t="shared" si="1"/>
        <v>31</v>
      </c>
      <c r="C38" s="104"/>
      <c r="D38" s="93"/>
      <c r="E38" s="94"/>
      <c r="F38" s="94"/>
      <c r="G38" s="95"/>
      <c r="H38" s="105"/>
      <c r="I38" s="94"/>
      <c r="J38" s="94"/>
      <c r="K38" s="95"/>
      <c r="L38" s="93"/>
      <c r="M38" s="94"/>
      <c r="N38" s="95"/>
      <c r="O38" s="93"/>
      <c r="P38" s="95"/>
      <c r="Q38" s="93"/>
      <c r="R38" s="94"/>
      <c r="S38" s="94"/>
      <c r="T38" s="95"/>
      <c r="U38" s="93"/>
      <c r="V38" s="94"/>
      <c r="W38" s="94"/>
      <c r="X38" s="94"/>
      <c r="Y38" s="94"/>
      <c r="Z38" s="94"/>
      <c r="AA38" s="94"/>
      <c r="AB38" s="94"/>
      <c r="AC38" s="94"/>
      <c r="AD38" s="94"/>
      <c r="AE38" s="95"/>
      <c r="AF38" s="93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5"/>
      <c r="AY38" s="93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5"/>
      <c r="BQ38" s="26"/>
    </row>
    <row r="39" spans="1:69" ht="13.5" customHeight="1" x14ac:dyDescent="0.2">
      <c r="A39" s="25"/>
      <c r="B39" s="103">
        <f t="shared" si="1"/>
        <v>32</v>
      </c>
      <c r="C39" s="104"/>
      <c r="D39" s="93"/>
      <c r="E39" s="94"/>
      <c r="F39" s="94"/>
      <c r="G39" s="95"/>
      <c r="H39" s="105"/>
      <c r="I39" s="94"/>
      <c r="J39" s="94"/>
      <c r="K39" s="95"/>
      <c r="L39" s="93"/>
      <c r="M39" s="94"/>
      <c r="N39" s="95"/>
      <c r="O39" s="93"/>
      <c r="P39" s="95"/>
      <c r="Q39" s="93"/>
      <c r="R39" s="94"/>
      <c r="S39" s="94"/>
      <c r="T39" s="95"/>
      <c r="U39" s="93"/>
      <c r="V39" s="94"/>
      <c r="W39" s="94"/>
      <c r="X39" s="94"/>
      <c r="Y39" s="94"/>
      <c r="Z39" s="94"/>
      <c r="AA39" s="94"/>
      <c r="AB39" s="94"/>
      <c r="AC39" s="94"/>
      <c r="AD39" s="94"/>
      <c r="AE39" s="95"/>
      <c r="AF39" s="93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5"/>
      <c r="AY39" s="93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5"/>
      <c r="BQ39" s="26"/>
    </row>
    <row r="40" spans="1:69" ht="13.5" customHeight="1" x14ac:dyDescent="0.2">
      <c r="A40" s="25"/>
      <c r="B40" s="103">
        <f t="shared" si="1"/>
        <v>33</v>
      </c>
      <c r="C40" s="104"/>
      <c r="D40" s="93"/>
      <c r="E40" s="94"/>
      <c r="F40" s="94"/>
      <c r="G40" s="95"/>
      <c r="H40" s="105"/>
      <c r="I40" s="94"/>
      <c r="J40" s="94"/>
      <c r="K40" s="95"/>
      <c r="L40" s="93"/>
      <c r="M40" s="94"/>
      <c r="N40" s="95"/>
      <c r="O40" s="93"/>
      <c r="P40" s="95"/>
      <c r="Q40" s="93"/>
      <c r="R40" s="94"/>
      <c r="S40" s="94"/>
      <c r="T40" s="95"/>
      <c r="U40" s="93"/>
      <c r="V40" s="94"/>
      <c r="W40" s="94"/>
      <c r="X40" s="94"/>
      <c r="Y40" s="94"/>
      <c r="Z40" s="94"/>
      <c r="AA40" s="94"/>
      <c r="AB40" s="94"/>
      <c r="AC40" s="94"/>
      <c r="AD40" s="94"/>
      <c r="AE40" s="95"/>
      <c r="AF40" s="93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5"/>
      <c r="AY40" s="93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5"/>
      <c r="BQ40" s="26"/>
    </row>
    <row r="41" spans="1:69" ht="13.5" customHeight="1" x14ac:dyDescent="0.2">
      <c r="A41" s="25"/>
      <c r="B41" s="103">
        <f t="shared" si="1"/>
        <v>34</v>
      </c>
      <c r="C41" s="104"/>
      <c r="D41" s="93"/>
      <c r="E41" s="94"/>
      <c r="F41" s="94"/>
      <c r="G41" s="95"/>
      <c r="H41" s="105"/>
      <c r="I41" s="94"/>
      <c r="J41" s="94"/>
      <c r="K41" s="95"/>
      <c r="L41" s="93"/>
      <c r="M41" s="94"/>
      <c r="N41" s="95"/>
      <c r="O41" s="93"/>
      <c r="P41" s="95"/>
      <c r="Q41" s="93"/>
      <c r="R41" s="94"/>
      <c r="S41" s="94"/>
      <c r="T41" s="95"/>
      <c r="U41" s="93"/>
      <c r="V41" s="94"/>
      <c r="W41" s="94"/>
      <c r="X41" s="94"/>
      <c r="Y41" s="94"/>
      <c r="Z41" s="94"/>
      <c r="AA41" s="94"/>
      <c r="AB41" s="94"/>
      <c r="AC41" s="94"/>
      <c r="AD41" s="94"/>
      <c r="AE41" s="95"/>
      <c r="AF41" s="93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5"/>
      <c r="AY41" s="93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5"/>
      <c r="BQ41" s="26"/>
    </row>
    <row r="42" spans="1:69" ht="13.5" customHeight="1" x14ac:dyDescent="0.2">
      <c r="A42" s="25"/>
      <c r="B42" s="103">
        <f t="shared" si="1"/>
        <v>35</v>
      </c>
      <c r="C42" s="104"/>
      <c r="D42" s="93"/>
      <c r="E42" s="94"/>
      <c r="F42" s="94"/>
      <c r="G42" s="95"/>
      <c r="H42" s="105"/>
      <c r="I42" s="94"/>
      <c r="J42" s="94"/>
      <c r="K42" s="95"/>
      <c r="L42" s="93"/>
      <c r="M42" s="94"/>
      <c r="N42" s="95"/>
      <c r="O42" s="93"/>
      <c r="P42" s="95"/>
      <c r="Q42" s="93"/>
      <c r="R42" s="94"/>
      <c r="S42" s="94"/>
      <c r="T42" s="95"/>
      <c r="U42" s="93"/>
      <c r="V42" s="94"/>
      <c r="W42" s="94"/>
      <c r="X42" s="94"/>
      <c r="Y42" s="94"/>
      <c r="Z42" s="94"/>
      <c r="AA42" s="94"/>
      <c r="AB42" s="94"/>
      <c r="AC42" s="94"/>
      <c r="AD42" s="94"/>
      <c r="AE42" s="95"/>
      <c r="AF42" s="93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5"/>
      <c r="AY42" s="93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5"/>
      <c r="BQ42" s="26"/>
    </row>
    <row r="43" spans="1:69" ht="13.5" customHeight="1" x14ac:dyDescent="0.2">
      <c r="A43" s="25"/>
      <c r="B43" s="103">
        <f t="shared" si="1"/>
        <v>36</v>
      </c>
      <c r="C43" s="104"/>
      <c r="D43" s="93"/>
      <c r="E43" s="94"/>
      <c r="F43" s="94"/>
      <c r="G43" s="95"/>
      <c r="H43" s="105"/>
      <c r="I43" s="94"/>
      <c r="J43" s="94"/>
      <c r="K43" s="95"/>
      <c r="L43" s="93"/>
      <c r="M43" s="94"/>
      <c r="N43" s="95"/>
      <c r="O43" s="93"/>
      <c r="P43" s="95"/>
      <c r="Q43" s="93"/>
      <c r="R43" s="94"/>
      <c r="S43" s="94"/>
      <c r="T43" s="95"/>
      <c r="U43" s="93"/>
      <c r="V43" s="94"/>
      <c r="W43" s="94"/>
      <c r="X43" s="94"/>
      <c r="Y43" s="94"/>
      <c r="Z43" s="94"/>
      <c r="AA43" s="94"/>
      <c r="AB43" s="94"/>
      <c r="AC43" s="94"/>
      <c r="AD43" s="94"/>
      <c r="AE43" s="95"/>
      <c r="AF43" s="93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5"/>
      <c r="AY43" s="93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5"/>
      <c r="BQ43" s="26"/>
    </row>
    <row r="44" spans="1:69" ht="13.5" customHeight="1" x14ac:dyDescent="0.2">
      <c r="A44" s="25"/>
      <c r="B44" s="103">
        <f t="shared" si="1"/>
        <v>37</v>
      </c>
      <c r="C44" s="104"/>
      <c r="D44" s="93"/>
      <c r="E44" s="94"/>
      <c r="F44" s="94"/>
      <c r="G44" s="95"/>
      <c r="H44" s="105"/>
      <c r="I44" s="94"/>
      <c r="J44" s="94"/>
      <c r="K44" s="95"/>
      <c r="L44" s="93"/>
      <c r="M44" s="94"/>
      <c r="N44" s="95"/>
      <c r="O44" s="93"/>
      <c r="P44" s="95"/>
      <c r="Q44" s="93"/>
      <c r="R44" s="94"/>
      <c r="S44" s="94"/>
      <c r="T44" s="95"/>
      <c r="U44" s="93"/>
      <c r="V44" s="94"/>
      <c r="W44" s="94"/>
      <c r="X44" s="94"/>
      <c r="Y44" s="94"/>
      <c r="Z44" s="94"/>
      <c r="AA44" s="94"/>
      <c r="AB44" s="94"/>
      <c r="AC44" s="94"/>
      <c r="AD44" s="94"/>
      <c r="AE44" s="95"/>
      <c r="AF44" s="93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5"/>
      <c r="AY44" s="93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5"/>
      <c r="BQ44" s="26"/>
    </row>
    <row r="45" spans="1:69" ht="13.5" customHeight="1" x14ac:dyDescent="0.2">
      <c r="A45" s="25"/>
      <c r="B45" s="103">
        <f t="shared" si="1"/>
        <v>38</v>
      </c>
      <c r="C45" s="104"/>
      <c r="D45" s="93"/>
      <c r="E45" s="94"/>
      <c r="F45" s="94"/>
      <c r="G45" s="95"/>
      <c r="H45" s="105"/>
      <c r="I45" s="94"/>
      <c r="J45" s="94"/>
      <c r="K45" s="95"/>
      <c r="L45" s="93"/>
      <c r="M45" s="94"/>
      <c r="N45" s="95"/>
      <c r="O45" s="93"/>
      <c r="P45" s="95"/>
      <c r="Q45" s="93"/>
      <c r="R45" s="94"/>
      <c r="S45" s="94"/>
      <c r="T45" s="95"/>
      <c r="U45" s="93"/>
      <c r="V45" s="94"/>
      <c r="W45" s="94"/>
      <c r="X45" s="94"/>
      <c r="Y45" s="94"/>
      <c r="Z45" s="94"/>
      <c r="AA45" s="94"/>
      <c r="AB45" s="94"/>
      <c r="AC45" s="94"/>
      <c r="AD45" s="94"/>
      <c r="AE45" s="95"/>
      <c r="AF45" s="93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5"/>
      <c r="AY45" s="93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5"/>
      <c r="BQ45" s="26"/>
    </row>
    <row r="46" spans="1:69" ht="13.5" customHeight="1" x14ac:dyDescent="0.2">
      <c r="A46" s="25"/>
      <c r="B46" s="103">
        <f t="shared" si="1"/>
        <v>39</v>
      </c>
      <c r="C46" s="104"/>
      <c r="D46" s="93"/>
      <c r="E46" s="94"/>
      <c r="F46" s="94"/>
      <c r="G46" s="95"/>
      <c r="H46" s="105"/>
      <c r="I46" s="94"/>
      <c r="J46" s="94"/>
      <c r="K46" s="95"/>
      <c r="L46" s="93"/>
      <c r="M46" s="94"/>
      <c r="N46" s="95"/>
      <c r="O46" s="93"/>
      <c r="P46" s="95"/>
      <c r="Q46" s="93"/>
      <c r="R46" s="94"/>
      <c r="S46" s="94"/>
      <c r="T46" s="95"/>
      <c r="U46" s="93"/>
      <c r="V46" s="94"/>
      <c r="W46" s="94"/>
      <c r="X46" s="94"/>
      <c r="Y46" s="94"/>
      <c r="Z46" s="94"/>
      <c r="AA46" s="94"/>
      <c r="AB46" s="94"/>
      <c r="AC46" s="94"/>
      <c r="AD46" s="94"/>
      <c r="AE46" s="95"/>
      <c r="AF46" s="93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5"/>
      <c r="AY46" s="93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5"/>
      <c r="BQ46" s="26"/>
    </row>
    <row r="47" spans="1:69" ht="13.5" customHeight="1" x14ac:dyDescent="0.2">
      <c r="A47" s="25"/>
      <c r="B47" s="103">
        <f t="shared" si="1"/>
        <v>40</v>
      </c>
      <c r="C47" s="104"/>
      <c r="D47" s="93"/>
      <c r="E47" s="94"/>
      <c r="F47" s="94"/>
      <c r="G47" s="95"/>
      <c r="H47" s="105"/>
      <c r="I47" s="94"/>
      <c r="J47" s="94"/>
      <c r="K47" s="95"/>
      <c r="L47" s="93"/>
      <c r="M47" s="94"/>
      <c r="N47" s="95"/>
      <c r="O47" s="93"/>
      <c r="P47" s="95"/>
      <c r="Q47" s="93"/>
      <c r="R47" s="94"/>
      <c r="S47" s="94"/>
      <c r="T47" s="95"/>
      <c r="U47" s="93"/>
      <c r="V47" s="94"/>
      <c r="W47" s="94"/>
      <c r="X47" s="94"/>
      <c r="Y47" s="94"/>
      <c r="Z47" s="94"/>
      <c r="AA47" s="94"/>
      <c r="AB47" s="94"/>
      <c r="AC47" s="94"/>
      <c r="AD47" s="94"/>
      <c r="AE47" s="95"/>
      <c r="AF47" s="93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5"/>
      <c r="AY47" s="93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5"/>
      <c r="BQ47" s="26"/>
    </row>
    <row r="48" spans="1:69" ht="13.5" customHeight="1" x14ac:dyDescent="0.2">
      <c r="A48" s="25"/>
      <c r="B48" s="103">
        <f t="shared" si="1"/>
        <v>41</v>
      </c>
      <c r="C48" s="104"/>
      <c r="D48" s="93"/>
      <c r="E48" s="94"/>
      <c r="F48" s="94"/>
      <c r="G48" s="95"/>
      <c r="H48" s="105"/>
      <c r="I48" s="94"/>
      <c r="J48" s="94"/>
      <c r="K48" s="95"/>
      <c r="L48" s="93"/>
      <c r="M48" s="94"/>
      <c r="N48" s="95"/>
      <c r="O48" s="93"/>
      <c r="P48" s="95"/>
      <c r="Q48" s="93"/>
      <c r="R48" s="94"/>
      <c r="S48" s="94"/>
      <c r="T48" s="95"/>
      <c r="U48" s="93"/>
      <c r="V48" s="94"/>
      <c r="W48" s="94"/>
      <c r="X48" s="94"/>
      <c r="Y48" s="94"/>
      <c r="Z48" s="94"/>
      <c r="AA48" s="94"/>
      <c r="AB48" s="94"/>
      <c r="AC48" s="94"/>
      <c r="AD48" s="94"/>
      <c r="AE48" s="95"/>
      <c r="AF48" s="93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5"/>
      <c r="AY48" s="93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5"/>
      <c r="BQ48" s="26"/>
    </row>
    <row r="49" spans="1:69" ht="13.5" customHeight="1" x14ac:dyDescent="0.2">
      <c r="A49" s="25"/>
      <c r="B49" s="103">
        <f t="shared" si="1"/>
        <v>42</v>
      </c>
      <c r="C49" s="104"/>
      <c r="D49" s="93"/>
      <c r="E49" s="94"/>
      <c r="F49" s="94"/>
      <c r="G49" s="95"/>
      <c r="H49" s="105"/>
      <c r="I49" s="94"/>
      <c r="J49" s="94"/>
      <c r="K49" s="95"/>
      <c r="L49" s="93"/>
      <c r="M49" s="94"/>
      <c r="N49" s="95"/>
      <c r="O49" s="93"/>
      <c r="P49" s="95"/>
      <c r="Q49" s="93"/>
      <c r="R49" s="94"/>
      <c r="S49" s="94"/>
      <c r="T49" s="95"/>
      <c r="U49" s="93"/>
      <c r="V49" s="94"/>
      <c r="W49" s="94"/>
      <c r="X49" s="94"/>
      <c r="Y49" s="94"/>
      <c r="Z49" s="94"/>
      <c r="AA49" s="94"/>
      <c r="AB49" s="94"/>
      <c r="AC49" s="94"/>
      <c r="AD49" s="94"/>
      <c r="AE49" s="95"/>
      <c r="AF49" s="93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5"/>
      <c r="AY49" s="93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5"/>
      <c r="BQ49" s="26"/>
    </row>
    <row r="50" spans="1:69" ht="13.5" customHeight="1" x14ac:dyDescent="0.2">
      <c r="A50" s="25"/>
      <c r="B50" s="103">
        <f t="shared" si="1"/>
        <v>43</v>
      </c>
      <c r="C50" s="104"/>
      <c r="D50" s="93"/>
      <c r="E50" s="94"/>
      <c r="F50" s="94"/>
      <c r="G50" s="95"/>
      <c r="H50" s="105"/>
      <c r="I50" s="94"/>
      <c r="J50" s="94"/>
      <c r="K50" s="95"/>
      <c r="L50" s="93"/>
      <c r="M50" s="94"/>
      <c r="N50" s="95"/>
      <c r="O50" s="93"/>
      <c r="P50" s="95"/>
      <c r="Q50" s="93"/>
      <c r="R50" s="94"/>
      <c r="S50" s="94"/>
      <c r="T50" s="95"/>
      <c r="U50" s="93"/>
      <c r="V50" s="94"/>
      <c r="W50" s="94"/>
      <c r="X50" s="94"/>
      <c r="Y50" s="94"/>
      <c r="Z50" s="94"/>
      <c r="AA50" s="94"/>
      <c r="AB50" s="94"/>
      <c r="AC50" s="94"/>
      <c r="AD50" s="94"/>
      <c r="AE50" s="95"/>
      <c r="AF50" s="93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5"/>
      <c r="AY50" s="93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5"/>
      <c r="BQ50" s="26"/>
    </row>
    <row r="51" spans="1:69" ht="13.5" customHeight="1" x14ac:dyDescent="0.2">
      <c r="A51" s="25"/>
      <c r="B51" s="103">
        <f t="shared" si="1"/>
        <v>44</v>
      </c>
      <c r="C51" s="104"/>
      <c r="D51" s="93"/>
      <c r="E51" s="94"/>
      <c r="F51" s="94"/>
      <c r="G51" s="95"/>
      <c r="H51" s="105"/>
      <c r="I51" s="94"/>
      <c r="J51" s="94"/>
      <c r="K51" s="95"/>
      <c r="L51" s="93"/>
      <c r="M51" s="94"/>
      <c r="N51" s="95"/>
      <c r="O51" s="93"/>
      <c r="P51" s="95"/>
      <c r="Q51" s="93"/>
      <c r="R51" s="94"/>
      <c r="S51" s="94"/>
      <c r="T51" s="95"/>
      <c r="U51" s="93"/>
      <c r="V51" s="94"/>
      <c r="W51" s="94"/>
      <c r="X51" s="94"/>
      <c r="Y51" s="94"/>
      <c r="Z51" s="94"/>
      <c r="AA51" s="94"/>
      <c r="AB51" s="94"/>
      <c r="AC51" s="94"/>
      <c r="AD51" s="94"/>
      <c r="AE51" s="95"/>
      <c r="AF51" s="93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5"/>
      <c r="AY51" s="93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5"/>
      <c r="BQ51" s="26"/>
    </row>
    <row r="52" spans="1:69" ht="13.5" customHeight="1" x14ac:dyDescent="0.2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 x14ac:dyDescent="0.2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B032F-A91F-4A69-ACA2-E76CDEA6E6B8}">
  <dimension ref="A1:BB522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2"/>
  <cols>
    <col min="1" max="1" width="2.5546875" style="2" customWidth="1"/>
    <col min="2" max="53" width="2.5546875" style="1" customWidth="1"/>
    <col min="54" max="16384" width="9" style="1"/>
  </cols>
  <sheetData>
    <row r="1" spans="1:53" ht="13.5" customHeight="1" x14ac:dyDescent="0.2">
      <c r="A1" s="107" t="s">
        <v>11</v>
      </c>
      <c r="B1" s="108"/>
      <c r="C1" s="108"/>
      <c r="D1" s="108"/>
      <c r="E1" s="108"/>
      <c r="F1" s="108"/>
      <c r="G1" s="113" t="s">
        <v>2</v>
      </c>
      <c r="H1" s="114"/>
      <c r="I1" s="114"/>
      <c r="J1" s="114"/>
      <c r="K1" s="114"/>
      <c r="L1" s="114"/>
      <c r="M1" s="114"/>
      <c r="N1" s="114"/>
      <c r="O1" s="114"/>
      <c r="P1" s="114"/>
      <c r="Q1" s="115"/>
      <c r="R1" s="122" t="s">
        <v>33</v>
      </c>
      <c r="S1" s="123"/>
      <c r="T1" s="123"/>
      <c r="U1" s="123"/>
      <c r="V1" s="123"/>
      <c r="W1" s="123"/>
      <c r="X1" s="123"/>
      <c r="Y1" s="123"/>
      <c r="Z1" s="126"/>
      <c r="AA1" s="122" t="s">
        <v>34</v>
      </c>
      <c r="AB1" s="123"/>
      <c r="AC1" s="123"/>
      <c r="AD1" s="123"/>
      <c r="AE1" s="126"/>
      <c r="AF1" s="122" t="s">
        <v>35</v>
      </c>
      <c r="AG1" s="123"/>
      <c r="AH1" s="123"/>
      <c r="AI1" s="123"/>
      <c r="AJ1" s="123"/>
      <c r="AK1" s="122" t="s">
        <v>36</v>
      </c>
      <c r="AL1" s="123"/>
      <c r="AM1" s="123"/>
      <c r="AN1" s="123"/>
      <c r="AO1" s="122" t="s">
        <v>37</v>
      </c>
      <c r="AP1" s="123"/>
      <c r="AQ1" s="123"/>
      <c r="AR1" s="123"/>
      <c r="AS1" s="122" t="s">
        <v>38</v>
      </c>
      <c r="AT1" s="123"/>
      <c r="AU1" s="123"/>
      <c r="AV1" s="126"/>
      <c r="AW1" s="122" t="s">
        <v>39</v>
      </c>
      <c r="AX1" s="123"/>
      <c r="AY1" s="123"/>
      <c r="AZ1" s="126"/>
    </row>
    <row r="2" spans="1:53" ht="13.5" customHeight="1" x14ac:dyDescent="0.2">
      <c r="A2" s="109"/>
      <c r="B2" s="110"/>
      <c r="C2" s="110"/>
      <c r="D2" s="110"/>
      <c r="E2" s="110"/>
      <c r="F2" s="110"/>
      <c r="G2" s="116"/>
      <c r="H2" s="117"/>
      <c r="I2" s="117"/>
      <c r="J2" s="117"/>
      <c r="K2" s="117"/>
      <c r="L2" s="117"/>
      <c r="M2" s="117"/>
      <c r="N2" s="117"/>
      <c r="O2" s="117"/>
      <c r="P2" s="117"/>
      <c r="Q2" s="118"/>
      <c r="R2" s="124"/>
      <c r="S2" s="125"/>
      <c r="T2" s="125"/>
      <c r="U2" s="125"/>
      <c r="V2" s="125"/>
      <c r="W2" s="125"/>
      <c r="X2" s="125"/>
      <c r="Y2" s="125"/>
      <c r="Z2" s="127"/>
      <c r="AA2" s="124"/>
      <c r="AB2" s="125"/>
      <c r="AC2" s="125"/>
      <c r="AD2" s="125"/>
      <c r="AE2" s="127"/>
      <c r="AF2" s="124"/>
      <c r="AG2" s="125"/>
      <c r="AH2" s="125"/>
      <c r="AI2" s="125"/>
      <c r="AJ2" s="125"/>
      <c r="AK2" s="124"/>
      <c r="AL2" s="125"/>
      <c r="AM2" s="125"/>
      <c r="AN2" s="125"/>
      <c r="AO2" s="124"/>
      <c r="AP2" s="125"/>
      <c r="AQ2" s="125"/>
      <c r="AR2" s="125"/>
      <c r="AS2" s="124"/>
      <c r="AT2" s="125"/>
      <c r="AU2" s="125"/>
      <c r="AV2" s="127"/>
      <c r="AW2" s="124"/>
      <c r="AX2" s="125"/>
      <c r="AY2" s="125"/>
      <c r="AZ2" s="127"/>
    </row>
    <row r="3" spans="1:53" ht="13.5" customHeight="1" x14ac:dyDescent="0.2">
      <c r="A3" s="109"/>
      <c r="B3" s="110"/>
      <c r="C3" s="110"/>
      <c r="D3" s="110"/>
      <c r="E3" s="110"/>
      <c r="F3" s="110"/>
      <c r="G3" s="116"/>
      <c r="H3" s="117"/>
      <c r="I3" s="117"/>
      <c r="J3" s="117"/>
      <c r="K3" s="117"/>
      <c r="L3" s="117"/>
      <c r="M3" s="117"/>
      <c r="N3" s="117"/>
      <c r="O3" s="117"/>
      <c r="P3" s="117"/>
      <c r="Q3" s="118"/>
      <c r="R3" s="128" t="str">
        <f>変更履歴!T3</f>
        <v>テクノＵＭＧ</v>
      </c>
      <c r="S3" s="129"/>
      <c r="T3" s="129"/>
      <c r="U3" s="129"/>
      <c r="V3" s="129"/>
      <c r="W3" s="129"/>
      <c r="X3" s="129"/>
      <c r="Y3" s="129"/>
      <c r="Z3" s="132"/>
      <c r="AA3" s="128" t="str">
        <f>変更履歴!AH3</f>
        <v>TUG</v>
      </c>
      <c r="AB3" s="129"/>
      <c r="AC3" s="129"/>
      <c r="AD3" s="129"/>
      <c r="AE3" s="132"/>
      <c r="AF3" s="143" t="str">
        <f>変更履歴!AS3</f>
        <v>支払・支払明細</v>
      </c>
      <c r="AG3" s="144"/>
      <c r="AH3" s="144"/>
      <c r="AI3" s="144"/>
      <c r="AJ3" s="144"/>
      <c r="AK3" s="128" t="str">
        <f>変更履歴!BB3</f>
        <v>FJ)国光</v>
      </c>
      <c r="AL3" s="129"/>
      <c r="AM3" s="129"/>
      <c r="AN3" s="129"/>
      <c r="AO3" s="134">
        <f>変更履歴!BF3</f>
        <v>45877</v>
      </c>
      <c r="AP3" s="135"/>
      <c r="AQ3" s="135"/>
      <c r="AR3" s="135"/>
      <c r="AS3" s="128"/>
      <c r="AT3" s="129"/>
      <c r="AU3" s="129"/>
      <c r="AV3" s="129"/>
      <c r="AW3" s="134"/>
      <c r="AX3" s="135"/>
      <c r="AY3" s="135"/>
      <c r="AZ3" s="136"/>
    </row>
    <row r="4" spans="1:53" ht="13.5" customHeight="1" thickBot="1" x14ac:dyDescent="0.25">
      <c r="A4" s="111"/>
      <c r="B4" s="112"/>
      <c r="C4" s="112"/>
      <c r="D4" s="112"/>
      <c r="E4" s="112"/>
      <c r="F4" s="112"/>
      <c r="G4" s="119"/>
      <c r="H4" s="120"/>
      <c r="I4" s="120"/>
      <c r="J4" s="120"/>
      <c r="K4" s="120"/>
      <c r="L4" s="120"/>
      <c r="M4" s="120"/>
      <c r="N4" s="120"/>
      <c r="O4" s="120"/>
      <c r="P4" s="120"/>
      <c r="Q4" s="121"/>
      <c r="R4" s="130"/>
      <c r="S4" s="131"/>
      <c r="T4" s="131"/>
      <c r="U4" s="131"/>
      <c r="V4" s="131"/>
      <c r="W4" s="131"/>
      <c r="X4" s="131"/>
      <c r="Y4" s="131"/>
      <c r="Z4" s="133"/>
      <c r="AA4" s="130"/>
      <c r="AB4" s="131"/>
      <c r="AC4" s="131"/>
      <c r="AD4" s="131"/>
      <c r="AE4" s="133"/>
      <c r="AF4" s="145"/>
      <c r="AG4" s="146"/>
      <c r="AH4" s="146"/>
      <c r="AI4" s="146"/>
      <c r="AJ4" s="146"/>
      <c r="AK4" s="130"/>
      <c r="AL4" s="131"/>
      <c r="AM4" s="131"/>
      <c r="AN4" s="131"/>
      <c r="AO4" s="137"/>
      <c r="AP4" s="138"/>
      <c r="AQ4" s="138"/>
      <c r="AR4" s="138"/>
      <c r="AS4" s="130"/>
      <c r="AT4" s="131"/>
      <c r="AU4" s="131"/>
      <c r="AV4" s="131"/>
      <c r="AW4" s="137"/>
      <c r="AX4" s="138"/>
      <c r="AY4" s="138"/>
      <c r="AZ4" s="139"/>
    </row>
    <row r="5" spans="1:53" ht="13.5" customHeight="1" x14ac:dyDescent="0.2"/>
    <row r="6" spans="1:53" s="2" customFormat="1" ht="13.5" customHeight="1" x14ac:dyDescent="0.2">
      <c r="A6" s="147" t="s">
        <v>29</v>
      </c>
      <c r="B6" s="148"/>
      <c r="C6" s="148"/>
      <c r="D6" s="148"/>
      <c r="E6" s="148"/>
      <c r="F6" s="149"/>
      <c r="G6" s="150" t="s">
        <v>105</v>
      </c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2"/>
      <c r="AB6" s="147" t="s">
        <v>8</v>
      </c>
      <c r="AC6" s="148"/>
      <c r="AD6" s="148"/>
      <c r="AE6" s="148"/>
      <c r="AF6" s="148"/>
      <c r="AG6" s="149"/>
      <c r="AH6" s="150" t="s">
        <v>31</v>
      </c>
      <c r="AI6" s="151"/>
      <c r="AJ6" s="151"/>
      <c r="AK6" s="151"/>
      <c r="AL6" s="151"/>
      <c r="AM6" s="151"/>
      <c r="AN6" s="151"/>
      <c r="AO6" s="152"/>
      <c r="AP6" s="147" t="s">
        <v>0</v>
      </c>
      <c r="AQ6" s="148"/>
      <c r="AR6" s="148"/>
      <c r="AS6" s="148"/>
      <c r="AT6" s="148"/>
      <c r="AU6" s="149"/>
      <c r="AV6" s="140" t="s">
        <v>5</v>
      </c>
      <c r="AW6" s="141"/>
      <c r="AX6" s="141"/>
      <c r="AY6" s="141"/>
      <c r="AZ6" s="142"/>
    </row>
    <row r="7" spans="1:53" ht="13.5" customHeight="1" x14ac:dyDescent="0.2">
      <c r="A7" s="147" t="s">
        <v>12</v>
      </c>
      <c r="B7" s="148"/>
      <c r="C7" s="148"/>
      <c r="D7" s="148"/>
      <c r="E7" s="148"/>
      <c r="F7" s="149"/>
      <c r="G7" s="150" t="s">
        <v>106</v>
      </c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2"/>
      <c r="AB7" s="147" t="s">
        <v>13</v>
      </c>
      <c r="AC7" s="153"/>
      <c r="AD7" s="153"/>
      <c r="AE7" s="153"/>
      <c r="AF7" s="153"/>
      <c r="AG7" s="154"/>
      <c r="AH7" s="150"/>
      <c r="AI7" s="151"/>
      <c r="AJ7" s="151"/>
      <c r="AK7" s="151"/>
      <c r="AL7" s="151"/>
      <c r="AM7" s="151"/>
      <c r="AN7" s="151"/>
      <c r="AO7" s="151"/>
      <c r="AP7" s="151"/>
      <c r="AQ7" s="151"/>
      <c r="AR7" s="151"/>
      <c r="AS7" s="151"/>
      <c r="AT7" s="151"/>
      <c r="AU7" s="151"/>
      <c r="AV7" s="151"/>
      <c r="AW7" s="151"/>
      <c r="AX7" s="151"/>
      <c r="AY7" s="151"/>
      <c r="AZ7" s="152"/>
    </row>
    <row r="8" spans="1:53" ht="13.5" customHeight="1" x14ac:dyDescent="0.2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 x14ac:dyDescent="0.15">
      <c r="A9" s="155" t="s">
        <v>21</v>
      </c>
      <c r="B9" s="156"/>
      <c r="C9" s="156"/>
      <c r="D9" s="157"/>
      <c r="E9" s="42" t="s">
        <v>98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55" t="s">
        <v>20</v>
      </c>
      <c r="AJ9" s="164"/>
      <c r="AK9" s="165"/>
      <c r="AL9" s="38" t="s">
        <v>30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 x14ac:dyDescent="0.15">
      <c r="A10" s="158"/>
      <c r="B10" s="159"/>
      <c r="C10" s="159"/>
      <c r="D10" s="160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66"/>
      <c r="AJ10" s="167"/>
      <c r="AK10" s="168"/>
      <c r="AL10" s="39" t="s">
        <v>58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 x14ac:dyDescent="0.15">
      <c r="A11" s="161"/>
      <c r="B11" s="162"/>
      <c r="C11" s="162"/>
      <c r="D11" s="163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69"/>
      <c r="AJ11" s="170"/>
      <c r="AK11" s="171"/>
      <c r="AL11" s="39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 x14ac:dyDescent="0.15">
      <c r="A12" s="175" t="s">
        <v>43</v>
      </c>
      <c r="B12" s="176"/>
      <c r="C12" s="176"/>
      <c r="D12" s="177"/>
      <c r="E12" s="178" t="s">
        <v>44</v>
      </c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79"/>
      <c r="AU12" s="179"/>
      <c r="AV12" s="179"/>
      <c r="AW12" s="179"/>
      <c r="AX12" s="179"/>
      <c r="AY12" s="179"/>
      <c r="AZ12" s="180"/>
    </row>
    <row r="13" spans="1:53" ht="13.5" customHeight="1" x14ac:dyDescent="0.2">
      <c r="A13" s="181" t="s">
        <v>52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182"/>
      <c r="AR13" s="182"/>
      <c r="AS13" s="182"/>
      <c r="AT13" s="182"/>
      <c r="AU13" s="182"/>
      <c r="AV13" s="182"/>
      <c r="AW13" s="182"/>
      <c r="AX13" s="182"/>
      <c r="AY13" s="182"/>
      <c r="AZ13" s="183"/>
      <c r="BA13" s="37"/>
    </row>
    <row r="14" spans="1:53" ht="13.5" customHeight="1" x14ac:dyDescent="0.2">
      <c r="A14" s="66" t="s">
        <v>49</v>
      </c>
      <c r="B14" s="184" t="s">
        <v>45</v>
      </c>
      <c r="C14" s="184"/>
      <c r="D14" s="184"/>
      <c r="E14" s="184"/>
      <c r="F14" s="184"/>
      <c r="G14" s="184"/>
      <c r="H14" s="184"/>
      <c r="I14" s="184"/>
      <c r="J14" s="184"/>
      <c r="K14" s="184"/>
      <c r="L14" s="184" t="s">
        <v>46</v>
      </c>
      <c r="M14" s="184"/>
      <c r="N14" s="184"/>
      <c r="O14" s="184"/>
      <c r="P14" s="184"/>
      <c r="Q14" s="184"/>
      <c r="R14" s="184"/>
      <c r="S14" s="184"/>
      <c r="T14" s="184"/>
      <c r="U14" s="184"/>
      <c r="V14" s="184"/>
      <c r="W14" s="184"/>
      <c r="X14" s="184"/>
      <c r="Y14" s="184"/>
      <c r="Z14" s="184"/>
      <c r="AA14" s="184" t="s">
        <v>47</v>
      </c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  <c r="AR14" s="184"/>
      <c r="AS14" s="184"/>
      <c r="AT14" s="184"/>
      <c r="AU14" s="184"/>
      <c r="AV14" s="184"/>
      <c r="AW14" s="184" t="s">
        <v>48</v>
      </c>
      <c r="AX14" s="184"/>
      <c r="AY14" s="184"/>
      <c r="AZ14" s="184"/>
      <c r="BA14" s="37"/>
    </row>
    <row r="15" spans="1:53" ht="13.5" customHeight="1" x14ac:dyDescent="0.2">
      <c r="A15" s="67">
        <f t="shared" ref="A15:A27" si="0">ROW()-14</f>
        <v>1</v>
      </c>
      <c r="B15" s="63" t="s">
        <v>101</v>
      </c>
      <c r="C15" s="64"/>
      <c r="D15" s="64"/>
      <c r="E15" s="64"/>
      <c r="F15" s="64"/>
      <c r="G15" s="64"/>
      <c r="H15" s="64"/>
      <c r="I15" s="64"/>
      <c r="J15" s="64"/>
      <c r="K15" s="65"/>
      <c r="L15" s="63" t="s">
        <v>54</v>
      </c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 t="s">
        <v>53</v>
      </c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72" t="s">
        <v>51</v>
      </c>
      <c r="AX15" s="173"/>
      <c r="AY15" s="173"/>
      <c r="AZ15" s="174"/>
      <c r="BA15" s="37"/>
    </row>
    <row r="16" spans="1:53" ht="13.5" customHeight="1" x14ac:dyDescent="0.15">
      <c r="A16" s="67">
        <f t="shared" si="0"/>
        <v>2</v>
      </c>
      <c r="B16" s="63" t="s">
        <v>101</v>
      </c>
      <c r="C16" s="64"/>
      <c r="D16" s="64"/>
      <c r="E16" s="64"/>
      <c r="F16" s="64"/>
      <c r="G16" s="64"/>
      <c r="H16" s="64"/>
      <c r="I16" s="64"/>
      <c r="J16" s="64"/>
      <c r="K16" s="65"/>
      <c r="L16" s="63" t="s">
        <v>78</v>
      </c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 t="s">
        <v>67</v>
      </c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72" t="s">
        <v>51</v>
      </c>
      <c r="AX16" s="173"/>
      <c r="AY16" s="173"/>
      <c r="AZ16" s="174"/>
      <c r="BA16" s="9"/>
    </row>
    <row r="17" spans="1:54" ht="13.5" customHeight="1" x14ac:dyDescent="0.2">
      <c r="A17" s="67">
        <f t="shared" si="0"/>
        <v>3</v>
      </c>
      <c r="B17" s="63" t="s">
        <v>101</v>
      </c>
      <c r="C17" s="64"/>
      <c r="D17" s="64"/>
      <c r="E17" s="64"/>
      <c r="F17" s="64"/>
      <c r="G17" s="64"/>
      <c r="H17" s="64"/>
      <c r="I17" s="64"/>
      <c r="J17" s="64"/>
      <c r="K17" s="65"/>
      <c r="L17" s="63" t="s">
        <v>69</v>
      </c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 t="s">
        <v>68</v>
      </c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72" t="s">
        <v>50</v>
      </c>
      <c r="AX17" s="173"/>
      <c r="AY17" s="173"/>
      <c r="AZ17" s="174"/>
      <c r="BA17" s="37"/>
    </row>
    <row r="18" spans="1:54" ht="13.5" customHeight="1" x14ac:dyDescent="0.2">
      <c r="A18" s="67">
        <f t="shared" si="0"/>
        <v>4</v>
      </c>
      <c r="B18" s="63" t="s">
        <v>101</v>
      </c>
      <c r="C18" s="64"/>
      <c r="D18" s="64"/>
      <c r="E18" s="64"/>
      <c r="F18" s="64"/>
      <c r="G18" s="64"/>
      <c r="H18" s="64"/>
      <c r="I18" s="64"/>
      <c r="J18" s="64"/>
      <c r="K18" s="65"/>
      <c r="L18" s="63" t="s">
        <v>64</v>
      </c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5"/>
      <c r="AA18" s="63" t="s">
        <v>62</v>
      </c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172" t="s">
        <v>50</v>
      </c>
      <c r="AX18" s="173"/>
      <c r="AY18" s="173"/>
      <c r="AZ18" s="174"/>
      <c r="BA18" s="37"/>
    </row>
    <row r="19" spans="1:54" ht="13.5" customHeight="1" x14ac:dyDescent="0.15">
      <c r="A19" s="67">
        <f t="shared" si="0"/>
        <v>5</v>
      </c>
      <c r="B19" s="63" t="s">
        <v>101</v>
      </c>
      <c r="C19" s="64"/>
      <c r="D19" s="64"/>
      <c r="E19" s="64"/>
      <c r="F19" s="64"/>
      <c r="G19" s="64"/>
      <c r="H19" s="64"/>
      <c r="I19" s="64"/>
      <c r="J19" s="64"/>
      <c r="K19" s="65"/>
      <c r="L19" s="8" t="s">
        <v>65</v>
      </c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5"/>
      <c r="AA19" s="63" t="s">
        <v>63</v>
      </c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172" t="s">
        <v>50</v>
      </c>
      <c r="AX19" s="173"/>
      <c r="AY19" s="173"/>
      <c r="AZ19" s="174"/>
      <c r="BA19" s="9"/>
    </row>
    <row r="20" spans="1:54" ht="13.5" customHeight="1" x14ac:dyDescent="0.2">
      <c r="A20" s="67">
        <f t="shared" si="0"/>
        <v>6</v>
      </c>
      <c r="B20" s="63" t="s">
        <v>102</v>
      </c>
      <c r="C20" s="64"/>
      <c r="D20" s="64"/>
      <c r="E20" s="64"/>
      <c r="F20" s="64"/>
      <c r="G20" s="64"/>
      <c r="H20" s="64"/>
      <c r="I20" s="64"/>
      <c r="J20" s="64"/>
      <c r="K20" s="65"/>
      <c r="L20" s="63" t="s">
        <v>79</v>
      </c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5"/>
      <c r="AA20" s="63" t="s">
        <v>80</v>
      </c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172" t="s">
        <v>51</v>
      </c>
      <c r="AX20" s="173"/>
      <c r="AY20" s="173"/>
      <c r="AZ20" s="174"/>
      <c r="BA20" s="37"/>
    </row>
    <row r="21" spans="1:54" ht="13.5" customHeight="1" x14ac:dyDescent="0.2">
      <c r="A21" s="67">
        <f t="shared" si="0"/>
        <v>7</v>
      </c>
      <c r="B21" s="63" t="s">
        <v>102</v>
      </c>
      <c r="C21" s="64"/>
      <c r="D21" s="64"/>
      <c r="E21" s="64"/>
      <c r="F21" s="64"/>
      <c r="G21" s="64"/>
      <c r="H21" s="64"/>
      <c r="I21" s="64"/>
      <c r="J21" s="64"/>
      <c r="K21" s="65"/>
      <c r="L21" s="63" t="s">
        <v>54</v>
      </c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5"/>
      <c r="AA21" s="63" t="s">
        <v>53</v>
      </c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172" t="s">
        <v>51</v>
      </c>
      <c r="AX21" s="173"/>
      <c r="AY21" s="173"/>
      <c r="AZ21" s="174"/>
      <c r="BA21" s="37"/>
    </row>
    <row r="22" spans="1:54" ht="13.5" customHeight="1" x14ac:dyDescent="0.15">
      <c r="A22" s="67">
        <f t="shared" si="0"/>
        <v>8</v>
      </c>
      <c r="B22" s="63" t="s">
        <v>102</v>
      </c>
      <c r="C22" s="64"/>
      <c r="D22" s="64"/>
      <c r="E22" s="64"/>
      <c r="F22" s="64"/>
      <c r="G22" s="64"/>
      <c r="H22" s="64"/>
      <c r="I22" s="64"/>
      <c r="J22" s="64"/>
      <c r="K22" s="65"/>
      <c r="L22" s="63" t="s">
        <v>78</v>
      </c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5"/>
      <c r="AA22" s="63" t="s">
        <v>67</v>
      </c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172" t="s">
        <v>51</v>
      </c>
      <c r="AX22" s="173"/>
      <c r="AY22" s="173"/>
      <c r="AZ22" s="174"/>
      <c r="BA22" s="9"/>
    </row>
    <row r="23" spans="1:54" ht="13.5" customHeight="1" x14ac:dyDescent="0.15">
      <c r="A23" s="67">
        <f t="shared" si="0"/>
        <v>9</v>
      </c>
      <c r="B23" s="63" t="s">
        <v>102</v>
      </c>
      <c r="C23" s="64"/>
      <c r="D23" s="64"/>
      <c r="E23" s="64"/>
      <c r="F23" s="64"/>
      <c r="G23" s="64"/>
      <c r="H23" s="64"/>
      <c r="I23" s="64"/>
      <c r="J23" s="64"/>
      <c r="K23" s="65"/>
      <c r="L23" s="63" t="s">
        <v>81</v>
      </c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5"/>
      <c r="AA23" s="63" t="s">
        <v>82</v>
      </c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172" t="s">
        <v>51</v>
      </c>
      <c r="AX23" s="173"/>
      <c r="AY23" s="173"/>
      <c r="AZ23" s="174"/>
      <c r="BA23" s="9"/>
    </row>
    <row r="24" spans="1:54" ht="13.5" customHeight="1" x14ac:dyDescent="0.2">
      <c r="A24" s="67">
        <f t="shared" si="0"/>
        <v>10</v>
      </c>
      <c r="B24" s="63" t="s">
        <v>102</v>
      </c>
      <c r="C24" s="64"/>
      <c r="D24" s="64"/>
      <c r="E24" s="64"/>
      <c r="F24" s="64"/>
      <c r="G24" s="64"/>
      <c r="H24" s="64"/>
      <c r="I24" s="64"/>
      <c r="J24" s="64"/>
      <c r="K24" s="65"/>
      <c r="L24" s="63" t="s">
        <v>69</v>
      </c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5"/>
      <c r="AA24" s="63" t="s">
        <v>68</v>
      </c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172" t="s">
        <v>50</v>
      </c>
      <c r="AX24" s="173"/>
      <c r="AY24" s="173"/>
      <c r="AZ24" s="174"/>
      <c r="BA24" s="37"/>
    </row>
    <row r="25" spans="1:54" ht="13.5" customHeight="1" x14ac:dyDescent="0.2">
      <c r="A25" s="67">
        <f t="shared" si="0"/>
        <v>11</v>
      </c>
      <c r="B25" s="63" t="s">
        <v>102</v>
      </c>
      <c r="C25" s="64"/>
      <c r="D25" s="64"/>
      <c r="E25" s="64"/>
      <c r="F25" s="64"/>
      <c r="G25" s="64"/>
      <c r="H25" s="64"/>
      <c r="I25" s="64"/>
      <c r="J25" s="64"/>
      <c r="K25" s="65"/>
      <c r="L25" s="63" t="s">
        <v>64</v>
      </c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5"/>
      <c r="AA25" s="63" t="s">
        <v>62</v>
      </c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172" t="s">
        <v>50</v>
      </c>
      <c r="AX25" s="173"/>
      <c r="AY25" s="173"/>
      <c r="AZ25" s="174"/>
      <c r="BA25" s="37"/>
    </row>
    <row r="26" spans="1:54" ht="13.5" customHeight="1" x14ac:dyDescent="0.15">
      <c r="A26" s="67">
        <f t="shared" si="0"/>
        <v>12</v>
      </c>
      <c r="B26" s="63" t="s">
        <v>102</v>
      </c>
      <c r="C26" s="64"/>
      <c r="D26" s="64"/>
      <c r="E26" s="64"/>
      <c r="F26" s="64"/>
      <c r="G26" s="64"/>
      <c r="H26" s="64"/>
      <c r="I26" s="64"/>
      <c r="J26" s="64"/>
      <c r="K26" s="65"/>
      <c r="L26" s="8" t="s">
        <v>65</v>
      </c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5"/>
      <c r="AA26" s="63" t="s">
        <v>63</v>
      </c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172" t="s">
        <v>50</v>
      </c>
      <c r="AX26" s="173"/>
      <c r="AY26" s="173"/>
      <c r="AZ26" s="174"/>
      <c r="BA26" s="9"/>
    </row>
    <row r="27" spans="1:54" ht="13.5" customHeight="1" x14ac:dyDescent="0.2">
      <c r="A27" s="67">
        <f t="shared" si="0"/>
        <v>13</v>
      </c>
      <c r="B27" s="63"/>
      <c r="C27" s="64"/>
      <c r="D27" s="64"/>
      <c r="E27" s="64"/>
      <c r="F27" s="64"/>
      <c r="G27" s="64"/>
      <c r="H27" s="64"/>
      <c r="I27" s="64"/>
      <c r="J27" s="64"/>
      <c r="K27" s="65"/>
      <c r="L27" s="63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5"/>
      <c r="AA27" s="63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172"/>
      <c r="AX27" s="173"/>
      <c r="AY27" s="173"/>
      <c r="AZ27" s="174"/>
      <c r="BA27" s="37"/>
    </row>
    <row r="28" spans="1:54" ht="13.5" customHeight="1" x14ac:dyDescent="0.2">
      <c r="A28" s="147" t="s">
        <v>2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4"/>
      <c r="AK28" s="147" t="s">
        <v>1</v>
      </c>
      <c r="AL28" s="153"/>
      <c r="AM28" s="153"/>
      <c r="AN28" s="153"/>
      <c r="AO28" s="153"/>
      <c r="AP28" s="153"/>
      <c r="AQ28" s="153"/>
      <c r="AR28" s="153"/>
      <c r="AS28" s="153"/>
      <c r="AT28" s="153"/>
      <c r="AU28" s="153"/>
      <c r="AV28" s="153"/>
      <c r="AW28" s="153"/>
      <c r="AX28" s="153"/>
      <c r="AY28" s="153"/>
      <c r="AZ28" s="154"/>
    </row>
    <row r="29" spans="1:54" s="2" customFormat="1" ht="13.5" customHeight="1" x14ac:dyDescent="0.15">
      <c r="A29" s="6"/>
      <c r="B29" s="10"/>
      <c r="C29" s="10"/>
      <c r="D29" s="10"/>
      <c r="E29" s="10"/>
      <c r="F29" s="10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38"/>
      <c r="AE29" s="38"/>
      <c r="AF29" s="38"/>
      <c r="AG29" s="5"/>
      <c r="AH29" s="10"/>
      <c r="AI29" s="10"/>
      <c r="AJ29" s="11"/>
      <c r="AK29" s="5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5"/>
      <c r="BA29" s="36"/>
    </row>
    <row r="30" spans="1:54" s="2" customFormat="1" ht="13.5" customHeight="1" x14ac:dyDescent="0.15">
      <c r="A30" s="17"/>
      <c r="V30" s="1"/>
      <c r="W30" s="1"/>
      <c r="X30" s="1"/>
      <c r="Y30" s="1"/>
      <c r="Z30" s="1"/>
      <c r="AB30" s="39"/>
      <c r="AC30" s="39"/>
      <c r="AD30" s="39"/>
      <c r="AE30" s="1"/>
      <c r="AF30" s="1"/>
      <c r="AG30" s="1"/>
      <c r="AH30" s="1"/>
      <c r="AI30" s="1"/>
      <c r="AJ30" s="13"/>
      <c r="AK30" s="41" t="s">
        <v>73</v>
      </c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5"/>
      <c r="AZ30" s="48"/>
      <c r="BA30" s="37"/>
      <c r="BB30" s="1"/>
    </row>
    <row r="31" spans="1:54" ht="13.5" customHeight="1" x14ac:dyDescent="0.2">
      <c r="A31" s="7"/>
      <c r="D31" s="2"/>
      <c r="E31" s="2"/>
      <c r="F31" s="2"/>
      <c r="G31" s="2"/>
      <c r="H31" s="2"/>
      <c r="AJ31" s="14"/>
      <c r="AK31" s="41"/>
      <c r="AL31" s="54" t="s">
        <v>76</v>
      </c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48"/>
      <c r="BA31" s="37"/>
    </row>
    <row r="32" spans="1:54" ht="13.5" customHeight="1" x14ac:dyDescent="0.2">
      <c r="A32" s="7"/>
      <c r="K32" s="1" t="s">
        <v>32</v>
      </c>
      <c r="Y32" s="1" t="s">
        <v>42</v>
      </c>
      <c r="AJ32" s="13"/>
      <c r="AK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48"/>
      <c r="BA32" s="37"/>
    </row>
    <row r="33" spans="1:54" ht="13.5" customHeight="1" x14ac:dyDescent="0.2">
      <c r="A33" s="7"/>
      <c r="AJ33" s="14"/>
      <c r="AK33" s="54" t="s">
        <v>74</v>
      </c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48"/>
      <c r="BA33" s="37"/>
    </row>
    <row r="34" spans="1:54" ht="13.5" customHeight="1" x14ac:dyDescent="0.2">
      <c r="A34" s="7"/>
      <c r="AJ34" s="13"/>
      <c r="AK34" s="54"/>
      <c r="AL34" s="54" t="s">
        <v>71</v>
      </c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48"/>
      <c r="BA34" s="37"/>
    </row>
    <row r="35" spans="1:54" ht="13.5" customHeight="1" x14ac:dyDescent="0.2">
      <c r="A35" s="7"/>
      <c r="AJ35" s="14"/>
      <c r="AK35" s="54"/>
      <c r="AL35" s="54" t="s">
        <v>41</v>
      </c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48"/>
      <c r="BA35" s="37"/>
      <c r="BB35" s="54"/>
    </row>
    <row r="36" spans="1:54" ht="13.5" customHeight="1" x14ac:dyDescent="0.15">
      <c r="A36" s="40"/>
      <c r="AJ36" s="1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48"/>
      <c r="BA36" s="37"/>
      <c r="BB36" s="54"/>
    </row>
    <row r="37" spans="1:54" ht="13.5" customHeight="1" x14ac:dyDescent="0.2">
      <c r="A37" s="41"/>
      <c r="AJ37" s="13"/>
      <c r="AK37" s="54" t="s">
        <v>103</v>
      </c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48"/>
      <c r="BA37" s="37"/>
      <c r="BB37" s="54"/>
    </row>
    <row r="38" spans="1:54" ht="13.5" customHeight="1" x14ac:dyDescent="0.2">
      <c r="A38" s="41"/>
      <c r="AJ38" s="14"/>
      <c r="AK38" s="54" t="s">
        <v>40</v>
      </c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48"/>
      <c r="BA38" s="37"/>
      <c r="BB38" s="54"/>
    </row>
    <row r="39" spans="1:54" ht="13.5" customHeight="1" x14ac:dyDescent="0.15">
      <c r="A39" s="41"/>
      <c r="AG39" s="39"/>
      <c r="AJ39" s="14"/>
      <c r="AK39" s="54"/>
      <c r="AL39" s="1" t="s">
        <v>93</v>
      </c>
      <c r="AM39" s="54"/>
      <c r="AN39" s="54"/>
      <c r="AO39" s="54"/>
      <c r="AP39" s="54"/>
      <c r="AQ39" s="54"/>
      <c r="AR39" s="54"/>
      <c r="AS39" s="54"/>
      <c r="AT39" s="54"/>
      <c r="AY39" s="54"/>
      <c r="AZ39" s="56"/>
      <c r="BA39" s="37"/>
      <c r="BB39" s="54"/>
    </row>
    <row r="40" spans="1:54" ht="13.5" customHeight="1" x14ac:dyDescent="0.15">
      <c r="A40" s="41"/>
      <c r="AA40" s="39"/>
      <c r="AB40" s="39"/>
      <c r="AJ40" s="14"/>
      <c r="AK40" s="54"/>
      <c r="AL40" s="1" t="s">
        <v>83</v>
      </c>
      <c r="AM40" s="54"/>
      <c r="AO40" s="54"/>
      <c r="AP40" s="54"/>
      <c r="AQ40" s="54"/>
      <c r="AR40" s="54"/>
      <c r="AS40" s="54"/>
      <c r="AT40" s="54"/>
      <c r="AY40" s="54"/>
      <c r="AZ40" s="56"/>
      <c r="BA40" s="9"/>
      <c r="BB40" s="54"/>
    </row>
    <row r="41" spans="1:54" ht="13.5" customHeight="1" x14ac:dyDescent="0.15">
      <c r="A41" s="41"/>
      <c r="E41" s="1" t="s">
        <v>72</v>
      </c>
      <c r="AJ41" s="14"/>
      <c r="AK41" s="54"/>
      <c r="AM41" s="54"/>
      <c r="AO41" s="54"/>
      <c r="AP41" s="54"/>
      <c r="AQ41" s="54"/>
      <c r="AR41" s="54"/>
      <c r="AS41" s="54"/>
      <c r="AT41" s="54"/>
      <c r="AY41" s="54"/>
      <c r="AZ41" s="56"/>
      <c r="BA41" s="9"/>
      <c r="BB41" s="54"/>
    </row>
    <row r="42" spans="1:54" ht="13.5" customHeight="1" x14ac:dyDescent="0.15">
      <c r="A42" s="41"/>
      <c r="AF42" s="39"/>
      <c r="AJ42" s="14"/>
      <c r="AK42" s="54" t="s">
        <v>84</v>
      </c>
      <c r="AL42" s="54"/>
      <c r="AM42" s="54"/>
      <c r="AO42" s="54"/>
      <c r="AP42" s="54"/>
      <c r="AQ42" s="54"/>
      <c r="AR42" s="54"/>
      <c r="AS42" s="54"/>
      <c r="AT42" s="54"/>
      <c r="AY42" s="54"/>
      <c r="AZ42" s="56"/>
      <c r="BA42" s="9"/>
      <c r="BB42" s="54"/>
    </row>
    <row r="43" spans="1:54" ht="13.5" customHeight="1" x14ac:dyDescent="0.15">
      <c r="A43" s="41"/>
      <c r="K43" s="1" t="s">
        <v>75</v>
      </c>
      <c r="M43" s="39"/>
      <c r="N43" s="39"/>
      <c r="O43" s="39"/>
      <c r="P43" s="39"/>
      <c r="Q43" s="39"/>
      <c r="R43" s="39"/>
      <c r="S43" s="39"/>
      <c r="AC43" s="39"/>
      <c r="AD43" s="39"/>
      <c r="AE43" s="39"/>
      <c r="AJ43" s="14"/>
      <c r="AK43" s="54"/>
      <c r="AL43" s="1" t="s">
        <v>85</v>
      </c>
      <c r="AM43" s="54"/>
      <c r="AN43" s="54"/>
      <c r="AO43" s="54"/>
      <c r="AP43" s="54"/>
      <c r="AQ43" s="54"/>
      <c r="AR43" s="54"/>
      <c r="AS43" s="54"/>
      <c r="AT43" s="54"/>
      <c r="AY43" s="54"/>
      <c r="AZ43" s="56"/>
      <c r="BA43" s="9"/>
    </row>
    <row r="44" spans="1:54" ht="13.5" customHeight="1" x14ac:dyDescent="0.15">
      <c r="A44" s="41"/>
      <c r="M44" s="39"/>
      <c r="O44" s="39"/>
      <c r="P44" s="39"/>
      <c r="AJ44" s="14"/>
      <c r="AK44" s="54"/>
      <c r="AL44" s="1" t="s">
        <v>86</v>
      </c>
      <c r="AM44" s="54"/>
      <c r="AN44" s="54"/>
      <c r="AO44" s="54"/>
      <c r="AP44" s="54"/>
      <c r="AQ44" s="54"/>
      <c r="AR44" s="54"/>
      <c r="AS44" s="54"/>
      <c r="AT44" s="54"/>
      <c r="AY44" s="54"/>
      <c r="AZ44" s="56"/>
      <c r="BA44" s="37"/>
    </row>
    <row r="45" spans="1:54" ht="13.5" customHeight="1" x14ac:dyDescent="0.15">
      <c r="A45" s="41"/>
      <c r="M45" s="39"/>
      <c r="N45" s="39"/>
      <c r="O45" s="39"/>
      <c r="P45" s="39"/>
      <c r="AB45" s="39"/>
      <c r="AC45" s="39"/>
      <c r="AD45" s="39"/>
      <c r="AJ45" s="14"/>
      <c r="AK45" s="54"/>
      <c r="AL45" s="1" t="s">
        <v>87</v>
      </c>
      <c r="AM45" s="54"/>
      <c r="AN45" s="54"/>
      <c r="AO45" s="54"/>
      <c r="AP45" s="54"/>
      <c r="AQ45" s="54"/>
      <c r="AR45" s="54"/>
      <c r="AS45" s="54"/>
      <c r="AT45" s="54"/>
      <c r="AY45" s="54"/>
      <c r="AZ45" s="56"/>
      <c r="BA45" s="37"/>
    </row>
    <row r="46" spans="1:54" ht="13.5" customHeight="1" x14ac:dyDescent="0.15">
      <c r="A46" s="41"/>
      <c r="AA46" s="39"/>
      <c r="AB46" s="39"/>
      <c r="AC46" s="39"/>
      <c r="AD46" s="39"/>
      <c r="AJ46" s="14"/>
      <c r="AK46" s="54"/>
      <c r="AL46" s="54" t="s">
        <v>88</v>
      </c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4" ht="13.5" customHeight="1" x14ac:dyDescent="0.15">
      <c r="A47" s="41"/>
      <c r="AA47" s="39"/>
      <c r="AB47" s="39"/>
      <c r="AC47" s="39"/>
      <c r="AD47" s="39"/>
      <c r="AJ47" s="14"/>
      <c r="AK47" s="54"/>
      <c r="AL47" s="1" t="s">
        <v>89</v>
      </c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6"/>
      <c r="BA47" s="37"/>
    </row>
    <row r="48" spans="1:54" ht="13.5" customHeight="1" x14ac:dyDescent="0.15">
      <c r="A48" s="41"/>
      <c r="AA48" s="39"/>
      <c r="AB48" s="39"/>
      <c r="AC48" s="39"/>
      <c r="AD48" s="39"/>
      <c r="AJ48" s="14"/>
      <c r="AK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48"/>
      <c r="BA48" s="37"/>
    </row>
    <row r="49" spans="1:53" ht="13.5" customHeight="1" x14ac:dyDescent="0.15">
      <c r="A49" s="41"/>
      <c r="AA49" s="39"/>
      <c r="AB49" s="39"/>
      <c r="AC49" s="39"/>
      <c r="AD49" s="39"/>
      <c r="AJ49" s="14"/>
      <c r="AK49" s="54" t="s">
        <v>104</v>
      </c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47"/>
      <c r="AZ49" s="56"/>
      <c r="BA49" s="9"/>
    </row>
    <row r="50" spans="1:53" ht="13.5" customHeight="1" x14ac:dyDescent="0.15">
      <c r="A50" s="41"/>
      <c r="AA50" s="39"/>
      <c r="AB50" s="39"/>
      <c r="AC50" s="39"/>
      <c r="AD50" s="39"/>
      <c r="AJ50" s="14"/>
      <c r="AK50" s="54" t="s">
        <v>40</v>
      </c>
      <c r="AL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6"/>
      <c r="BA50" s="9"/>
    </row>
    <row r="51" spans="1:53" ht="13.5" customHeight="1" x14ac:dyDescent="0.15">
      <c r="A51" s="41"/>
      <c r="AA51" s="39"/>
      <c r="AB51" s="39"/>
      <c r="AC51" s="39"/>
      <c r="AD51" s="39"/>
      <c r="AJ51" s="14"/>
      <c r="AK51" s="54"/>
      <c r="AL51" s="1" t="s">
        <v>94</v>
      </c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6"/>
      <c r="BA51" s="37"/>
    </row>
    <row r="52" spans="1:53" ht="13.5" customHeight="1" x14ac:dyDescent="0.15">
      <c r="A52" s="41"/>
      <c r="AA52" s="39"/>
      <c r="AB52" s="39"/>
      <c r="AC52" s="39"/>
      <c r="AD52" s="39"/>
      <c r="AJ52" s="14"/>
      <c r="AK52" s="54"/>
      <c r="AL52" s="1" t="s">
        <v>70</v>
      </c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6"/>
      <c r="BA52" s="37"/>
    </row>
    <row r="53" spans="1:53" ht="13.5" customHeight="1" x14ac:dyDescent="0.15">
      <c r="A53" s="41"/>
      <c r="AA53" s="39"/>
      <c r="AB53" s="39"/>
      <c r="AC53" s="39"/>
      <c r="AD53" s="39"/>
      <c r="AJ53" s="14"/>
      <c r="AK53" s="54"/>
      <c r="AL53" s="1" t="s">
        <v>77</v>
      </c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6"/>
      <c r="BA53" s="37"/>
    </row>
    <row r="54" spans="1:53" ht="13.5" customHeight="1" x14ac:dyDescent="0.15">
      <c r="A54" s="41"/>
      <c r="AA54" s="39"/>
      <c r="AB54" s="39"/>
      <c r="AC54" s="39"/>
      <c r="AD54" s="39"/>
      <c r="AJ54" s="14"/>
      <c r="AK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6"/>
      <c r="BA54" s="37"/>
    </row>
    <row r="55" spans="1:53" ht="13.5" customHeight="1" x14ac:dyDescent="0.2">
      <c r="A55" s="41"/>
      <c r="AJ55" s="1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6"/>
      <c r="BA55" s="37"/>
    </row>
    <row r="56" spans="1:53" ht="13.5" customHeight="1" x14ac:dyDescent="0.15">
      <c r="A56" s="7"/>
      <c r="J56" s="39"/>
      <c r="K56" s="1" t="s">
        <v>90</v>
      </c>
      <c r="M56" s="39"/>
      <c r="N56" s="39"/>
      <c r="O56" s="39"/>
      <c r="P56" s="39"/>
      <c r="Q56" s="39"/>
      <c r="R56" s="39"/>
      <c r="S56" s="39"/>
      <c r="AJ56" s="1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6"/>
      <c r="BA56" s="37"/>
    </row>
    <row r="57" spans="1:53" ht="13.5" customHeight="1" x14ac:dyDescent="0.15">
      <c r="A57" s="7"/>
      <c r="D57" s="39"/>
      <c r="E57" s="39"/>
      <c r="J57" s="39"/>
      <c r="K57" s="39"/>
      <c r="M57" s="39"/>
      <c r="O57" s="39"/>
      <c r="P57" s="39"/>
      <c r="Q57" s="39"/>
      <c r="R57" s="39"/>
      <c r="S57" s="39"/>
      <c r="AJ57" s="1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47"/>
      <c r="AY57" s="54"/>
      <c r="AZ57" s="56"/>
      <c r="BA57" s="37"/>
    </row>
    <row r="58" spans="1:53" ht="13.5" customHeight="1" x14ac:dyDescent="0.15">
      <c r="A58" s="7"/>
      <c r="D58" s="39"/>
      <c r="E58" s="39"/>
      <c r="J58" s="39"/>
      <c r="K58" s="39"/>
      <c r="M58" s="39"/>
      <c r="N58" s="39"/>
      <c r="O58" s="39"/>
      <c r="P58" s="39"/>
      <c r="Q58" s="39"/>
      <c r="R58" s="39"/>
      <c r="S58" s="39"/>
      <c r="AJ58" s="14"/>
      <c r="AK58" s="54"/>
      <c r="AL58" s="54"/>
      <c r="AU58" s="54"/>
      <c r="AV58" s="54"/>
      <c r="AW58" s="54"/>
      <c r="AX58" s="54"/>
      <c r="AY58" s="54"/>
      <c r="AZ58" s="56"/>
      <c r="BA58" s="9"/>
    </row>
    <row r="59" spans="1:53" ht="13.5" customHeight="1" x14ac:dyDescent="0.15">
      <c r="A59" s="17"/>
      <c r="D59" s="39"/>
      <c r="E59" s="39"/>
      <c r="I59" s="39"/>
      <c r="K59" s="39"/>
      <c r="M59" s="39"/>
      <c r="N59" s="39"/>
      <c r="O59" s="39"/>
      <c r="P59" s="39"/>
      <c r="Q59" s="39"/>
      <c r="R59" s="39"/>
      <c r="S59" s="39"/>
      <c r="AE59" s="39"/>
      <c r="AJ59" s="14"/>
      <c r="AK59" s="54"/>
      <c r="AL59" s="54"/>
      <c r="AU59" s="54"/>
      <c r="AV59" s="54"/>
      <c r="AW59" s="54"/>
      <c r="AX59" s="54"/>
      <c r="AY59" s="54"/>
      <c r="AZ59" s="56"/>
      <c r="BA59" s="37"/>
    </row>
    <row r="60" spans="1:53" ht="13.5" customHeight="1" x14ac:dyDescent="0.15">
      <c r="A60" s="17"/>
      <c r="D60" s="2"/>
      <c r="F60" s="39"/>
      <c r="G60" s="39"/>
      <c r="H60" s="39"/>
      <c r="I60" s="39"/>
      <c r="M60" s="39"/>
      <c r="AJ60" s="14"/>
      <c r="AU60" s="54"/>
      <c r="AV60" s="54"/>
      <c r="AW60" s="54"/>
      <c r="AX60" s="54"/>
      <c r="AY60" s="54"/>
      <c r="AZ60" s="56"/>
      <c r="BA60" s="37"/>
    </row>
    <row r="61" spans="1:53" ht="13.5" customHeight="1" x14ac:dyDescent="0.15">
      <c r="A61" s="17"/>
      <c r="D61" s="2"/>
      <c r="F61" s="39"/>
      <c r="G61" s="39"/>
      <c r="H61" s="39"/>
      <c r="I61" s="39"/>
      <c r="M61" s="39"/>
      <c r="N61" s="39"/>
      <c r="AJ61" s="14"/>
      <c r="AU61" s="54"/>
      <c r="AV61" s="54"/>
      <c r="AW61" s="54"/>
      <c r="AX61" s="54"/>
      <c r="AY61" s="54"/>
      <c r="AZ61" s="56"/>
      <c r="BA61" s="37"/>
    </row>
    <row r="62" spans="1:53" ht="13.5" customHeight="1" x14ac:dyDescent="0.15">
      <c r="A62" s="17"/>
      <c r="D62" s="2"/>
      <c r="F62" s="39"/>
      <c r="G62" s="39"/>
      <c r="H62" s="39"/>
      <c r="J62" s="39"/>
      <c r="M62" s="39"/>
      <c r="N62" s="39"/>
      <c r="AJ62" s="14"/>
      <c r="AU62" s="54"/>
      <c r="AV62" s="54"/>
      <c r="AW62" s="54"/>
      <c r="AX62" s="54"/>
      <c r="AY62" s="54"/>
      <c r="AZ62" s="56"/>
      <c r="BA62" s="37"/>
    </row>
    <row r="63" spans="1:53" ht="13.5" customHeight="1" x14ac:dyDescent="0.15">
      <c r="A63" s="17"/>
      <c r="D63" s="39"/>
      <c r="E63" s="39"/>
      <c r="J63" s="39"/>
      <c r="K63" s="39"/>
      <c r="M63" s="39"/>
      <c r="N63" s="39"/>
      <c r="AJ63" s="14"/>
      <c r="AU63" s="54"/>
      <c r="AV63" s="54"/>
      <c r="AW63" s="54"/>
      <c r="AX63" s="54"/>
      <c r="AY63" s="54"/>
      <c r="AZ63" s="56"/>
      <c r="BA63" s="37"/>
    </row>
    <row r="64" spans="1:53" ht="13.5" customHeight="1" x14ac:dyDescent="0.15">
      <c r="A64" s="17"/>
      <c r="E64" s="1" t="s">
        <v>72</v>
      </c>
      <c r="K64" s="39"/>
      <c r="M64" s="39"/>
      <c r="N64" s="39"/>
      <c r="AJ64" s="14"/>
      <c r="AU64" s="54"/>
      <c r="AV64" s="54"/>
      <c r="AW64" s="54"/>
      <c r="AX64" s="54"/>
      <c r="AY64" s="54"/>
      <c r="AZ64" s="56"/>
      <c r="BA64" s="37"/>
    </row>
    <row r="65" spans="1:53" ht="13.5" customHeight="1" x14ac:dyDescent="0.2">
      <c r="A65" s="17"/>
      <c r="AJ65" s="14"/>
      <c r="AU65" s="54"/>
      <c r="AV65" s="54"/>
      <c r="AW65" s="54"/>
      <c r="AX65" s="54"/>
      <c r="AY65" s="54"/>
      <c r="AZ65" s="56"/>
      <c r="BA65" s="37"/>
    </row>
    <row r="66" spans="1:53" ht="13.5" customHeight="1" x14ac:dyDescent="0.15">
      <c r="A66" s="17"/>
      <c r="F66" s="39"/>
      <c r="K66" s="1" t="s">
        <v>91</v>
      </c>
      <c r="AJ66" s="14"/>
      <c r="AU66" s="54"/>
      <c r="AV66" s="54"/>
      <c r="AW66" s="54"/>
      <c r="AX66" s="54"/>
      <c r="AY66" s="54"/>
      <c r="AZ66" s="56"/>
      <c r="BA66" s="37"/>
    </row>
    <row r="67" spans="1:53" ht="13.5" customHeight="1" x14ac:dyDescent="0.2">
      <c r="A67" s="17"/>
      <c r="AJ67" s="14"/>
      <c r="AU67" s="54"/>
      <c r="AV67" s="54"/>
      <c r="AW67" s="54"/>
      <c r="AX67" s="54"/>
      <c r="AY67" s="54"/>
      <c r="AZ67" s="56"/>
      <c r="BA67" s="37"/>
    </row>
    <row r="68" spans="1:53" ht="13.5" customHeight="1" x14ac:dyDescent="0.15">
      <c r="A68" s="17"/>
      <c r="I68" s="39"/>
      <c r="J68" s="39"/>
      <c r="K68" s="39"/>
      <c r="L68" s="39"/>
      <c r="AJ68" s="14"/>
      <c r="AU68" s="54"/>
      <c r="AV68" s="54"/>
      <c r="AW68" s="54"/>
      <c r="AX68" s="54"/>
      <c r="AY68" s="54"/>
      <c r="AZ68" s="56"/>
      <c r="BA68" s="37"/>
    </row>
    <row r="69" spans="1:53" ht="13.5" customHeight="1" x14ac:dyDescent="0.15">
      <c r="A69" s="17"/>
      <c r="H69" s="39"/>
      <c r="I69" s="39"/>
      <c r="J69" s="39"/>
      <c r="K69" s="12"/>
      <c r="L69" s="39"/>
      <c r="O69" s="39"/>
      <c r="AJ69" s="14"/>
      <c r="AU69" s="54"/>
      <c r="AV69" s="54"/>
      <c r="AW69" s="54"/>
      <c r="AX69" s="54"/>
      <c r="AY69" s="54"/>
      <c r="AZ69" s="56"/>
      <c r="BA69" s="37"/>
    </row>
    <row r="70" spans="1:53" ht="13.5" customHeight="1" x14ac:dyDescent="0.15">
      <c r="A70" s="7"/>
      <c r="H70" s="39"/>
      <c r="I70" s="39"/>
      <c r="AJ70" s="14"/>
      <c r="AK70" s="57"/>
      <c r="AL70" s="57"/>
      <c r="AM70" s="57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 x14ac:dyDescent="0.15">
      <c r="A71" s="7"/>
      <c r="H71" s="39"/>
      <c r="I71" s="39"/>
      <c r="AJ71" s="14"/>
      <c r="AK71" s="57"/>
      <c r="AL71" s="57"/>
      <c r="AM71" s="57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 x14ac:dyDescent="0.15">
      <c r="A72" s="7"/>
      <c r="H72" s="39"/>
      <c r="I72" s="39"/>
      <c r="K72" s="12"/>
      <c r="AJ72" s="14"/>
      <c r="AK72" s="57"/>
      <c r="AL72" s="57"/>
      <c r="AM72" s="57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 x14ac:dyDescent="0.2">
      <c r="A73" s="7"/>
      <c r="AJ73" s="14"/>
      <c r="AK73" s="57"/>
      <c r="AL73" s="57"/>
      <c r="AM73" s="57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7"/>
    </row>
    <row r="74" spans="1:53" ht="13.5" customHeight="1" x14ac:dyDescent="0.2">
      <c r="A74" s="7"/>
      <c r="AJ74" s="14"/>
      <c r="AK74" s="57"/>
      <c r="AL74" s="57"/>
      <c r="AM74" s="57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 x14ac:dyDescent="0.15">
      <c r="A75" s="7"/>
      <c r="D75" s="39"/>
      <c r="E75" s="39"/>
      <c r="AJ75" s="14"/>
      <c r="AK75" s="57"/>
      <c r="AL75" s="57"/>
      <c r="AM75" s="57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 x14ac:dyDescent="0.15">
      <c r="A76" s="7"/>
      <c r="D76" s="39"/>
      <c r="E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 x14ac:dyDescent="0.15">
      <c r="A77" s="7"/>
      <c r="D77" s="39"/>
      <c r="E77" s="39"/>
      <c r="G77" s="39"/>
      <c r="P77" s="39"/>
      <c r="Q77" s="39"/>
      <c r="R77" s="39"/>
      <c r="S77" s="39"/>
      <c r="AJ77" s="1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 x14ac:dyDescent="0.15">
      <c r="A78" s="7"/>
      <c r="D78" s="39"/>
      <c r="E78" s="39"/>
      <c r="F78" s="39"/>
      <c r="H78" s="39"/>
      <c r="I78" s="39"/>
      <c r="O78" s="39"/>
      <c r="P78" s="39"/>
      <c r="Q78" s="39"/>
      <c r="R78" s="12"/>
      <c r="S78" s="39"/>
      <c r="AJ78" s="14"/>
      <c r="AK78" s="41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 x14ac:dyDescent="0.15">
      <c r="A79" s="7"/>
      <c r="D79" s="39"/>
      <c r="E79" s="39"/>
      <c r="F79" s="39"/>
      <c r="G79" s="39"/>
      <c r="H79" s="39"/>
      <c r="I79" s="39"/>
      <c r="O79" s="39"/>
      <c r="P79" s="39"/>
      <c r="AJ79" s="1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6"/>
      <c r="BA79" s="36"/>
    </row>
    <row r="80" spans="1:53" ht="13.5" customHeight="1" x14ac:dyDescent="0.15">
      <c r="A80" s="7"/>
      <c r="D80" s="39"/>
      <c r="E80" s="39"/>
      <c r="F80" s="39"/>
      <c r="G80" s="39"/>
      <c r="H80" s="39"/>
      <c r="O80" s="39"/>
      <c r="P80" s="39"/>
      <c r="AJ80" s="1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6"/>
      <c r="BA80" s="37"/>
    </row>
    <row r="81" spans="1:53" ht="13.5" customHeight="1" x14ac:dyDescent="0.15">
      <c r="A81" s="7"/>
      <c r="D81" s="39"/>
      <c r="E81" s="39"/>
      <c r="F81" s="39"/>
      <c r="G81" s="39"/>
      <c r="H81" s="39"/>
      <c r="I81" s="39"/>
      <c r="J81" s="39"/>
      <c r="K81" s="39"/>
      <c r="L81" s="39"/>
      <c r="O81" s="39"/>
      <c r="P81" s="39"/>
      <c r="R81" s="12"/>
      <c r="AJ81" s="1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6"/>
      <c r="BA81" s="37"/>
    </row>
    <row r="82" spans="1:53" ht="13.5" customHeight="1" x14ac:dyDescent="0.15">
      <c r="A82" s="7"/>
      <c r="D82" s="2"/>
      <c r="M82" s="39"/>
      <c r="N82" s="39"/>
      <c r="AJ82" s="1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6"/>
      <c r="BA82" s="37"/>
    </row>
    <row r="83" spans="1:53" ht="13.5" customHeight="1" x14ac:dyDescent="0.15">
      <c r="A83" s="7"/>
      <c r="D83" s="2"/>
      <c r="M83" s="39"/>
      <c r="N83" s="39"/>
      <c r="O83" s="39"/>
      <c r="P83" s="39"/>
      <c r="Q83" s="39"/>
      <c r="R83" s="12"/>
      <c r="S83" s="39"/>
      <c r="AA83" s="39"/>
      <c r="AC83" s="39"/>
      <c r="AD83" s="39"/>
      <c r="AJ83" s="1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6"/>
      <c r="BA83" s="37"/>
    </row>
    <row r="84" spans="1:53" ht="13.5" customHeight="1" x14ac:dyDescent="0.15">
      <c r="A84" s="7"/>
      <c r="D84" s="2"/>
      <c r="M84" s="39"/>
      <c r="N84" s="39"/>
      <c r="O84" s="39"/>
      <c r="P84" s="39"/>
      <c r="AJ84" s="1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6"/>
      <c r="BA84" s="37"/>
    </row>
    <row r="85" spans="1:53" ht="13.5" customHeight="1" x14ac:dyDescent="0.15">
      <c r="A85" s="7"/>
      <c r="M85" s="39"/>
      <c r="N85" s="39"/>
      <c r="O85" s="39"/>
      <c r="P85" s="39"/>
      <c r="AJ85" s="1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6"/>
      <c r="BA85" s="37"/>
    </row>
    <row r="86" spans="1:53" ht="13.5" customHeight="1" x14ac:dyDescent="0.15">
      <c r="A86" s="7"/>
      <c r="M86" s="39"/>
      <c r="N86" s="39"/>
      <c r="O86" s="39"/>
      <c r="P86" s="39"/>
      <c r="R86" s="12"/>
      <c r="AJ86" s="1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6"/>
      <c r="BA86" s="37"/>
    </row>
    <row r="87" spans="1:53" ht="13.5" customHeight="1" x14ac:dyDescent="0.15">
      <c r="A87" s="7"/>
      <c r="M87" s="39"/>
      <c r="N87" s="39"/>
      <c r="AJ87" s="1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6"/>
      <c r="BA87" s="37"/>
    </row>
    <row r="88" spans="1:53" ht="13.5" customHeight="1" x14ac:dyDescent="0.2">
      <c r="A88" s="8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6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68"/>
      <c r="BA88" s="37"/>
    </row>
    <row r="89" spans="1:53" ht="13.5" customHeight="1" x14ac:dyDescent="0.2">
      <c r="A89" s="1"/>
      <c r="B89" s="69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</row>
    <row r="90" spans="1:53" ht="13.5" customHeight="1" x14ac:dyDescent="0.2">
      <c r="A90" s="1"/>
      <c r="B90" s="69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</row>
    <row r="91" spans="1:53" ht="13.5" customHeight="1" x14ac:dyDescent="0.2">
      <c r="A91" s="1"/>
      <c r="B91" s="69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</row>
    <row r="92" spans="1:53" ht="13.5" customHeight="1" x14ac:dyDescent="0.2">
      <c r="A92" s="1"/>
      <c r="B92" s="69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</row>
    <row r="93" spans="1:53" ht="13.5" customHeight="1" x14ac:dyDescent="0.2">
      <c r="A93" s="1"/>
      <c r="B93" s="69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</row>
    <row r="94" spans="1:53" ht="13.5" customHeight="1" x14ac:dyDescent="0.2">
      <c r="A94" s="1"/>
      <c r="B94" s="69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</row>
    <row r="95" spans="1:53" ht="13.5" customHeight="1" x14ac:dyDescent="0.2">
      <c r="A95" s="1"/>
      <c r="B95" s="69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</row>
    <row r="96" spans="1:53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</sheetData>
  <mergeCells count="50">
    <mergeCell ref="AW27:AZ27"/>
    <mergeCell ref="A28:AJ28"/>
    <mergeCell ref="AK28:AZ28"/>
    <mergeCell ref="AW21:AZ21"/>
    <mergeCell ref="AW22:AZ22"/>
    <mergeCell ref="AW23:AZ23"/>
    <mergeCell ref="AW24:AZ24"/>
    <mergeCell ref="AW25:AZ25"/>
    <mergeCell ref="AW26:AZ26"/>
    <mergeCell ref="AW20:AZ20"/>
    <mergeCell ref="A12:D12"/>
    <mergeCell ref="E12:AZ12"/>
    <mergeCell ref="A13:AZ13"/>
    <mergeCell ref="B14:K14"/>
    <mergeCell ref="L14:Z14"/>
    <mergeCell ref="AA14:AV14"/>
    <mergeCell ref="AW14:AZ14"/>
    <mergeCell ref="AW15:AZ15"/>
    <mergeCell ref="AW16:AZ16"/>
    <mergeCell ref="AW17:AZ17"/>
    <mergeCell ref="AW18:AZ18"/>
    <mergeCell ref="AW19:AZ19"/>
    <mergeCell ref="A7:F7"/>
    <mergeCell ref="G7:AA7"/>
    <mergeCell ref="AB7:AG7"/>
    <mergeCell ref="AH7:AZ7"/>
    <mergeCell ref="A9:D11"/>
    <mergeCell ref="AI9:AK11"/>
    <mergeCell ref="A6:F6"/>
    <mergeCell ref="G6:AA6"/>
    <mergeCell ref="AB6:AG6"/>
    <mergeCell ref="AH6:AO6"/>
    <mergeCell ref="AP6:AU6"/>
    <mergeCell ref="AV6:AZ6"/>
    <mergeCell ref="AO1:AR2"/>
    <mergeCell ref="AS1:AV2"/>
    <mergeCell ref="AW1:AZ2"/>
    <mergeCell ref="R3:Z4"/>
    <mergeCell ref="AA3:AE4"/>
    <mergeCell ref="AF3:AJ4"/>
    <mergeCell ref="AK3:AN4"/>
    <mergeCell ref="AO3:AR4"/>
    <mergeCell ref="AS3:AV4"/>
    <mergeCell ref="AW3:AZ4"/>
    <mergeCell ref="AK1:AN2"/>
    <mergeCell ref="A1:F4"/>
    <mergeCell ref="G1:Q4"/>
    <mergeCell ref="R1:Z2"/>
    <mergeCell ref="AA1:AE2"/>
    <mergeCell ref="AF1:AJ2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2" x14ac:dyDescent="0.2"/>
  <cols>
    <col min="1" max="1" width="18.88671875" bestFit="1" customWidth="1"/>
    <col min="3" max="3" width="12.21875" bestFit="1" customWidth="1"/>
  </cols>
  <sheetData>
    <row r="1" spans="1:3" x14ac:dyDescent="0.2">
      <c r="A1" s="3" t="s">
        <v>8</v>
      </c>
      <c r="C1" s="3" t="s">
        <v>0</v>
      </c>
    </row>
    <row r="3" spans="1:3" x14ac:dyDescent="0.2">
      <c r="A3" t="s">
        <v>9</v>
      </c>
      <c r="C3" t="s">
        <v>7</v>
      </c>
    </row>
    <row r="4" spans="1:3" x14ac:dyDescent="0.2">
      <c r="A4" t="s">
        <v>10</v>
      </c>
      <c r="C4" t="s">
        <v>3</v>
      </c>
    </row>
    <row r="5" spans="1:3" x14ac:dyDescent="0.2">
      <c r="C5" t="s">
        <v>4</v>
      </c>
    </row>
    <row r="6" spans="1:3" x14ac:dyDescent="0.2">
      <c r="C6" t="s">
        <v>5</v>
      </c>
    </row>
    <row r="7" spans="1:3" x14ac:dyDescent="0.2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66667e-7ddf-48ee-81f6-fe1825af740a" xsi:nil="true"/>
    <lcf76f155ced4ddcb4097134ff3c332f xmlns="69cb980d-ece2-4836-b1eb-1194e87de84b">
      <Terms xmlns="http://schemas.microsoft.com/office/infopath/2007/PartnerControls"/>
    </lcf76f155ced4ddcb4097134ff3c332f>
    <_x30b3__x30e1__x30f3__x30c8_ xmlns="69cb980d-ece2-4836-b1eb-1194e87de84b" xsi:nil="true"/>
    <_x5bfe__x8c61__x30e6__x30fc__x30b6__x30fc_ xmlns="69cb980d-ece2-4836-b1eb-1194e87de84b" xsi:nil="true"/>
  </documentManagement>
</p:properties>
</file>

<file path=customXml/itemProps1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2F005F-FF73-46D9-8F5E-2CCF42F64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cb980d-ece2-4836-b1eb-1194e87de84b"/>
    <ds:schemaRef ds:uri="2066667e-7ddf-48ee-81f6-fe1825af7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C72110-D015-40AC-ACE2-B7541EEED7BE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69cb980d-ece2-4836-b1eb-1194e87de84b"/>
    <ds:schemaRef ds:uri="http://purl.org/dc/terms/"/>
    <ds:schemaRef ds:uri="http://schemas.openxmlformats.org/package/2006/metadata/core-properties"/>
    <ds:schemaRef ds:uri="2066667e-7ddf-48ee-81f6-fe1825af740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国光 千尋(kunimitsu.chihiro)</cp:lastModifiedBy>
  <cp:lastPrinted>2016-07-11T09:45:07Z</cp:lastPrinted>
  <dcterms:created xsi:type="dcterms:W3CDTF">2003-10-15T05:19:34Z</dcterms:created>
  <dcterms:modified xsi:type="dcterms:W3CDTF">2025-08-08T05:47:04Z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0x01010000C6B454662EFA4A98BA925FDA02C421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