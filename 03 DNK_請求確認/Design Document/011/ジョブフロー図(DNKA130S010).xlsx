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請求確認\DNK_デンカ\"/>
    </mc:Choice>
  </mc:AlternateContent>
  <xr:revisionPtr revIDLastSave="0" documentId="13_ncr:1_{CC42F500-1644-4EF3-8319-5A612E550706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ジョブフロー図!$A$1:$AZ$88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2" l="1"/>
  <c r="A20" i="12" l="1"/>
  <c r="A26" i="12"/>
  <c r="A25" i="12"/>
  <c r="A24" i="12"/>
  <c r="A23" i="12"/>
  <c r="A21" i="12"/>
  <c r="AF3" i="12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<sst xmlns="http://schemas.openxmlformats.org/spreadsheetml/2006/main" count="155" uniqueCount="109">
  <si>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</si>
  <si>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</si>
  <si>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</si>
  <si>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</si>
  <si>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</si>
  <si>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</si>
  <si>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</si>
  <si>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</si>
  <si>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</si>
  <si>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</si>
  <si>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</si>
  <si>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</si>
  <si>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</si>
  <si>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</si>
  <si>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</si>
  <si>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</si>
  <si>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</si>
  <si>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</si>
  <si>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</si>
  <si>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</si>
  <si>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</si>
  <si>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</si>
  <si>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</si>
  <si>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</si>
  <si>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</si>
  <si>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</si>
  <si>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</si>
  <si>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</si>
  <si>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</si>
  <si>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</si>
  <si>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</si>
  <si>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</si>
  <si>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</si>
  <si>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</si>
  <si>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</si>
  <si>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</si>
  <si>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</si>
  <si>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</si>
  <si>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</si>
  <si>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</si>
  <si>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</si>
  <si>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</si>
  <si>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</si>
  <si>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</si>
  <si>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</si>
  <si>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</si>
  <si>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</si>
  <si>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</si>
  <si>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</si>
  <si>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</si>
  <si>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</si>
  <si>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</si>
  <si>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</si>
  <si>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</si>
  <si>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</si>
  <si>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</si>
  <si>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</si>
  <si>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</si>
  <si>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</si>
  <si>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</si>
  <si>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</si>
  <si>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</si>
  <si>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</si>
  <si>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</si>
  <si>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</si>
  <si>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</si>
  <si>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</si>
  <si>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</si>
  <si>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</si>
  <si>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</si>
  <si>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</si>
  <si>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</si>
  <si>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</si>
  <si>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</si>
  <si>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</si>
  <si>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</si>
  <si>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</si>
  <si>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</si>
  <si>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</si>
  <si>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時刻起動</t>
    <rPh sb="0" eb="4">
      <t>ジコクキドウ</t>
    </rPh>
    <phoneticPr fontId="2"/>
  </si>
  <si>
    <t>$InputFile_MAP_FILE</t>
    <phoneticPr fontId="2"/>
  </si>
  <si>
    <t>インプットファイルのパス</t>
    <phoneticPr fontId="2"/>
  </si>
  <si>
    <t>EDI採番種別</t>
    <rPh sb="3" eb="7">
      <t>サイバンシュベツ</t>
    </rPh>
    <phoneticPr fontId="2"/>
  </si>
  <si>
    <t>EDI送信DB_請求確認から対象データの</t>
    <rPh sb="3" eb="5">
      <t>ソウシン</t>
    </rPh>
    <rPh sb="8" eb="12">
      <t>セイキュウカクニン</t>
    </rPh>
    <rPh sb="14" eb="16">
      <t>タイショウ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</si>
  <si>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</si>
  <si>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</si>
  <si>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</si>
  <si>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</si>
  <si>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</si>
  <si>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</si>
  <si>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</si>
  <si>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件数を取得し、件数ファイルを出力する。</t>
    <rPh sb="0" eb="2">
      <t>ケンスウ</t>
    </rPh>
    <rPh sb="3" eb="5">
      <t>シュトク</t>
    </rPh>
    <rPh sb="7" eb="9">
      <t>ケンスウ</t>
    </rPh>
    <rPh sb="14" eb="16">
      <t>シュツリョク</t>
    </rPh>
    <phoneticPr fontId="2"/>
  </si>
  <si>
    <t>4.</t>
    <phoneticPr fontId="2"/>
  </si>
  <si>
    <t>5.</t>
    <phoneticPr fontId="2"/>
  </si>
  <si>
    <t>請求確認</t>
    <rPh sb="0" eb="4">
      <t>セイキュウカクニン</t>
    </rPh>
    <phoneticPr fontId="2"/>
  </si>
  <si>
    <t>$$m_EDI_SAIBAN_SBT</t>
    <phoneticPr fontId="2"/>
  </si>
  <si>
    <t>$$m_DATA_KOKAN_ID</t>
    <phoneticPr fontId="2"/>
  </si>
  <si>
    <t>機能名称：デンカ_請求確認データ抽出</t>
    <rPh sb="0" eb="2">
      <t>キノウ</t>
    </rPh>
    <rPh sb="2" eb="4">
      <t>メイショウ</t>
    </rPh>
    <phoneticPr fontId="2"/>
  </si>
  <si>
    <t>ジョブフロー図(DNKA130S010)</t>
    <rPh sb="6" eb="7">
      <t>ズ</t>
    </rPh>
    <phoneticPr fontId="2"/>
  </si>
  <si>
    <t>FJ)カーマン</t>
    <phoneticPr fontId="2"/>
  </si>
  <si>
    <t>DNK</t>
  </si>
  <si>
    <t>デンカ</t>
    <phoneticPr fontId="2"/>
  </si>
  <si>
    <t>デンカ_請求確認データ抽出</t>
  </si>
  <si>
    <t>デンカ向けの連携ファイルを作成する。</t>
    <rPh sb="3" eb="4">
      <t>ム</t>
    </rPh>
    <phoneticPr fontId="2"/>
  </si>
  <si>
    <t>DNKA130S010</t>
  </si>
  <si>
    <t>p_t_DNK_請求確認_010</t>
    <rPh sb="8" eb="12">
      <t>セイキュウカクニン</t>
    </rPh>
    <phoneticPr fontId="2"/>
  </si>
  <si>
    <t>p_t_DNK_請求確認_020</t>
    <rPh sb="8" eb="12">
      <t>セイキュウカクニン</t>
    </rPh>
    <phoneticPr fontId="2"/>
  </si>
  <si>
    <t>3.wf_DNK_A130_210</t>
    <phoneticPr fontId="2"/>
  </si>
  <si>
    <t>5.wf_DNK_A130_220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</si>
</sst>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12" fillId="0" borderId="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64</xdr:row>
      <xdr:rowOff>0</xdr:rowOff>
    </xdr:from>
    <xdr:to>
      <xdr:col>20</xdr:col>
      <xdr:colOff>9525</xdr:colOff>
      <xdr:row>67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5" name="Group 195">
          <a:extLst>
            <a:ext uri="{FF2B5EF4-FFF2-40B4-BE49-F238E27FC236}">
              <a16:creationId xmlns:a16="http://schemas.microsoft.com/office/drawing/2014/main" id="{E91827AB-E2EC-4E47-85B3-D3AE89E39852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6" name="Line 196">
            <a:extLst>
              <a:ext uri="{FF2B5EF4-FFF2-40B4-BE49-F238E27FC236}">
                <a16:creationId xmlns:a16="http://schemas.microsoft.com/office/drawing/2014/main" id="{ED770FE9-C6CF-5BAC-95BA-5F026A23B5F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97">
            <a:extLst>
              <a:ext uri="{FF2B5EF4-FFF2-40B4-BE49-F238E27FC236}">
                <a16:creationId xmlns:a16="http://schemas.microsoft.com/office/drawing/2014/main" id="{192C0B34-DD5C-B008-76EB-FF9CA0C2BFB2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9B74ED92-C7AC-4B2F-825B-E5D9A1881CC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15" name="Text Box 93">
            <a:extLst>
              <a:ext uri="{FF2B5EF4-FFF2-40B4-BE49-F238E27FC236}">
                <a16:creationId xmlns:a16="http://schemas.microsoft.com/office/drawing/2014/main" id="{5B7AC6E5-B22C-E4F3-84BC-CF9332F4EE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18" name="Rectangle 95">
            <a:extLst>
              <a:ext uri="{FF2B5EF4-FFF2-40B4-BE49-F238E27FC236}">
                <a16:creationId xmlns:a16="http://schemas.microsoft.com/office/drawing/2014/main" id="{6DB6DE46-F98A-00C4-050B-C3FC1D605FD1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Text Box 93">
            <a:extLst>
              <a:ext uri="{FF2B5EF4-FFF2-40B4-BE49-F238E27FC236}">
                <a16:creationId xmlns:a16="http://schemas.microsoft.com/office/drawing/2014/main" id="{0AB32317-E18D-74CB-53DE-7D55DFC5BE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20" name="AutoShape 90">
          <a:extLst>
            <a:ext uri="{FF2B5EF4-FFF2-40B4-BE49-F238E27FC236}">
              <a16:creationId xmlns:a16="http://schemas.microsoft.com/office/drawing/2014/main" id="{DE0A378D-94C7-4103-8FEE-B06C75475E1C}"/>
            </a:ext>
          </a:extLst>
        </xdr:cNvPr>
        <xdr:cNvSpPr>
          <a:spLocks noChangeArrowheads="1"/>
        </xdr:cNvSpPr>
      </xdr:nvSpPr>
      <xdr:spPr bwMode="auto">
        <a:xfrm>
          <a:off x="3206408" y="6326499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(p_t_DNK_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21" name="AutoShape 513">
          <a:extLst>
            <a:ext uri="{FF2B5EF4-FFF2-40B4-BE49-F238E27FC236}">
              <a16:creationId xmlns:a16="http://schemas.microsoft.com/office/drawing/2014/main" id="{BE8A6629-A8A0-44FB-9A07-5CE2FAAD0121}"/>
            </a:ext>
          </a:extLst>
        </xdr:cNvPr>
        <xdr:cNvCxnSpPr>
          <a:cxnSpLocks noChangeShapeType="1"/>
          <a:stCxn id="20" idx="2"/>
          <a:endCxn id="3147" idx="0"/>
        </xdr:cNvCxnSpPr>
      </xdr:nvCxnSpPr>
      <xdr:spPr bwMode="auto">
        <a:xfrm rot="5400000">
          <a:off x="2935361" y="6261007"/>
          <a:ext cx="415107" cy="157479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B046721-55A2-4191-A9A8-B73843698331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24" name="Text Box 93">
            <a:extLst>
              <a:ext uri="{FF2B5EF4-FFF2-40B4-BE49-F238E27FC236}">
                <a16:creationId xmlns:a16="http://schemas.microsoft.com/office/drawing/2014/main" id="{16792286-4D63-B7A7-D5D1-1F15B9517B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25" name="Rectangle 95">
            <a:extLst>
              <a:ext uri="{FF2B5EF4-FFF2-40B4-BE49-F238E27FC236}">
                <a16:creationId xmlns:a16="http://schemas.microsoft.com/office/drawing/2014/main" id="{C3B33E01-2557-F81E-3EB2-117EC112099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Text Box 93">
            <a:extLst>
              <a:ext uri="{FF2B5EF4-FFF2-40B4-BE49-F238E27FC236}">
                <a16:creationId xmlns:a16="http://schemas.microsoft.com/office/drawing/2014/main" id="{4D31ABE1-AB38-86E5-496A-A327ED0448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27" name="AutoShape 108">
          <a:extLst>
            <a:ext uri="{FF2B5EF4-FFF2-40B4-BE49-F238E27FC236}">
              <a16:creationId xmlns:a16="http://schemas.microsoft.com/office/drawing/2014/main" id="{BC06EE72-92B9-41E4-ACF8-BA1E43E2B970}"/>
            </a:ext>
          </a:extLst>
        </xdr:cNvPr>
        <xdr:cNvCxnSpPr>
          <a:cxnSpLocks noChangeShapeType="1"/>
          <a:stCxn id="25" idx="2"/>
          <a:endCxn id="3147" idx="0"/>
        </xdr:cNvCxnSpPr>
      </xdr:nvCxnSpPr>
      <xdr:spPr bwMode="auto">
        <a:xfrm>
          <a:off x="2354096" y="5921575"/>
          <a:ext cx="1422" cy="13343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F67FE7C7-77DE-4A79-B37F-F120BD43440F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30" name="Text Box 93">
            <a:extLst>
              <a:ext uri="{FF2B5EF4-FFF2-40B4-BE49-F238E27FC236}">
                <a16:creationId xmlns:a16="http://schemas.microsoft.com/office/drawing/2014/main" id="{E6CBA3E8-DC77-F5CE-BE10-B29187022C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wf_DNK_A130_220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Rectangle 95">
            <a:extLst>
              <a:ext uri="{FF2B5EF4-FFF2-40B4-BE49-F238E27FC236}">
                <a16:creationId xmlns:a16="http://schemas.microsoft.com/office/drawing/2014/main" id="{26999DE9-2D8A-CA38-14E5-6407C538E1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6" name="Text Box 93">
            <a:extLst>
              <a:ext uri="{FF2B5EF4-FFF2-40B4-BE49-F238E27FC236}">
                <a16:creationId xmlns:a16="http://schemas.microsoft.com/office/drawing/2014/main" id="{1B16230D-D3F2-833C-48B7-483A912731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3137" name="AutoShape 90">
          <a:extLst>
            <a:ext uri="{FF2B5EF4-FFF2-40B4-BE49-F238E27FC236}">
              <a16:creationId xmlns:a16="http://schemas.microsoft.com/office/drawing/2014/main" id="{0F43B2E0-5EF5-4E25-BD36-DEB96A50CDA8}"/>
            </a:ext>
          </a:extLst>
        </xdr:cNvPr>
        <xdr:cNvSpPr>
          <a:spLocks noChangeArrowheads="1"/>
        </xdr:cNvSpPr>
      </xdr:nvSpPr>
      <xdr:spPr bwMode="auto">
        <a:xfrm>
          <a:off x="1731776" y="12474396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(DNKA130S02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3138" name="フレーム 52">
          <a:extLst>
            <a:ext uri="{FF2B5EF4-FFF2-40B4-BE49-F238E27FC236}">
              <a16:creationId xmlns:a16="http://schemas.microsoft.com/office/drawing/2014/main" id="{C5275F20-62DC-4A63-958C-321CE3DFD0AC}"/>
            </a:ext>
          </a:extLst>
        </xdr:cNvPr>
        <xdr:cNvSpPr>
          <a:spLocks noChangeArrowheads="1"/>
        </xdr:cNvSpPr>
      </xdr:nvSpPr>
      <xdr:spPr bwMode="auto">
        <a:xfrm>
          <a:off x="1457325" y="13655446"/>
          <a:ext cx="1809750" cy="67056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デンカ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3139" name="AutoShape 108">
          <a:extLst>
            <a:ext uri="{FF2B5EF4-FFF2-40B4-BE49-F238E27FC236}">
              <a16:creationId xmlns:a16="http://schemas.microsoft.com/office/drawing/2014/main" id="{28A5E519-6C60-46AD-BBD1-B6F3D247F088}"/>
            </a:ext>
          </a:extLst>
        </xdr:cNvPr>
        <xdr:cNvCxnSpPr>
          <a:cxnSpLocks noChangeShapeType="1"/>
          <a:stCxn id="3137" idx="2"/>
          <a:endCxn id="3138" idx="0"/>
        </xdr:cNvCxnSpPr>
      </xdr:nvCxnSpPr>
      <xdr:spPr bwMode="auto">
        <a:xfrm>
          <a:off x="2356061" y="12988746"/>
          <a:ext cx="6139" cy="666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166056</xdr:colOff>
      <xdr:row>68</xdr:row>
      <xdr:rowOff>73478</xdr:rowOff>
    </xdr:from>
    <xdr:to>
      <xdr:col>25</xdr:col>
      <xdr:colOff>181156</xdr:colOff>
      <xdr:row>71</xdr:row>
      <xdr:rowOff>82270</xdr:rowOff>
    </xdr:to>
    <xdr:sp macro="" textlink="">
      <xdr:nvSpPr>
        <xdr:cNvPr id="3140" name="AutoShape 176">
          <a:extLst>
            <a:ext uri="{FF2B5EF4-FFF2-40B4-BE49-F238E27FC236}">
              <a16:creationId xmlns:a16="http://schemas.microsoft.com/office/drawing/2014/main" id="{D9D821C7-C752-48D3-9BB6-C72820984762}"/>
            </a:ext>
          </a:extLst>
        </xdr:cNvPr>
        <xdr:cNvSpPr>
          <a:spLocks noChangeArrowheads="1"/>
        </xdr:cNvSpPr>
      </xdr:nvSpPr>
      <xdr:spPr bwMode="auto">
        <a:xfrm>
          <a:off x="3966531" y="117320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3141" name="AutoShape 108">
          <a:extLst>
            <a:ext uri="{FF2B5EF4-FFF2-40B4-BE49-F238E27FC236}">
              <a16:creationId xmlns:a16="http://schemas.microsoft.com/office/drawing/2014/main" id="{6EBBCEC2-BE76-4B56-A656-314B573D9F51}"/>
            </a:ext>
          </a:extLst>
        </xdr:cNvPr>
        <xdr:cNvCxnSpPr>
          <a:cxnSpLocks noChangeShapeType="1"/>
          <a:stCxn id="30" idx="2"/>
          <a:endCxn id="3137" idx="0"/>
        </xdr:cNvCxnSpPr>
      </xdr:nvCxnSpPr>
      <xdr:spPr bwMode="auto">
        <a:xfrm>
          <a:off x="2355517" y="11759862"/>
          <a:ext cx="544" cy="7145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85725</xdr:colOff>
      <xdr:row>71</xdr:row>
      <xdr:rowOff>28575</xdr:rowOff>
    </xdr:to>
    <xdr:cxnSp macro="">
      <xdr:nvCxnSpPr>
        <xdr:cNvPr id="3142" name="直線矢印コネクタ 3141">
          <a:extLst>
            <a:ext uri="{FF2B5EF4-FFF2-40B4-BE49-F238E27FC236}">
              <a16:creationId xmlns:a16="http://schemas.microsoft.com/office/drawing/2014/main" id="{6B579DA5-31B3-493B-9BFD-A3D2726B6CC6}"/>
            </a:ext>
          </a:extLst>
        </xdr:cNvPr>
        <xdr:cNvCxnSpPr/>
      </xdr:nvCxnSpPr>
      <xdr:spPr bwMode="auto">
        <a:xfrm>
          <a:off x="3253740" y="11780520"/>
          <a:ext cx="632460" cy="42100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3143" name="AutoShape 176">
          <a:extLst>
            <a:ext uri="{FF2B5EF4-FFF2-40B4-BE49-F238E27FC236}">
              <a16:creationId xmlns:a16="http://schemas.microsoft.com/office/drawing/2014/main" id="{D4A32850-6255-4325-B905-C0D002623F64}"/>
            </a:ext>
          </a:extLst>
        </xdr:cNvPr>
        <xdr:cNvSpPr>
          <a:spLocks noChangeArrowheads="1"/>
        </xdr:cNvSpPr>
      </xdr:nvSpPr>
      <xdr:spPr bwMode="auto">
        <a:xfrm>
          <a:off x="3630009" y="1293599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3144" name="グループ化 3143">
          <a:extLst>
            <a:ext uri="{FF2B5EF4-FFF2-40B4-BE49-F238E27FC236}">
              <a16:creationId xmlns:a16="http://schemas.microsoft.com/office/drawing/2014/main" id="{44302C85-0578-44B3-A893-70A077763ED2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3145" name="Text Box 93">
            <a:extLst>
              <a:ext uri="{FF2B5EF4-FFF2-40B4-BE49-F238E27FC236}">
                <a16:creationId xmlns:a16="http://schemas.microsoft.com/office/drawing/2014/main" id="{18B485E1-E404-8763-DBFB-0953F5EB7C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wf_DNK_A130_210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46" name="Rectangle 95">
            <a:extLst>
              <a:ext uri="{FF2B5EF4-FFF2-40B4-BE49-F238E27FC236}">
                <a16:creationId xmlns:a16="http://schemas.microsoft.com/office/drawing/2014/main" id="{695E4ADE-B09F-EA38-2E7B-4E306996FB5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7" name="Text Box 93">
            <a:extLst>
              <a:ext uri="{FF2B5EF4-FFF2-40B4-BE49-F238E27FC236}">
                <a16:creationId xmlns:a16="http://schemas.microsoft.com/office/drawing/2014/main" id="{CB537E22-7806-0C42-217F-2D57CFE525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48" name="AutoShape 108">
          <a:extLst>
            <a:ext uri="{FF2B5EF4-FFF2-40B4-BE49-F238E27FC236}">
              <a16:creationId xmlns:a16="http://schemas.microsoft.com/office/drawing/2014/main" id="{74FCBF98-16E2-4CE2-A891-CF86B6E0B899}"/>
            </a:ext>
          </a:extLst>
        </xdr:cNvPr>
        <xdr:cNvCxnSpPr>
          <a:cxnSpLocks noChangeShapeType="1"/>
          <a:stCxn id="3145" idx="2"/>
          <a:endCxn id="3166" idx="0"/>
        </xdr:cNvCxnSpPr>
      </xdr:nvCxnSpPr>
      <xdr:spPr bwMode="auto">
        <a:xfrm>
          <a:off x="2355517" y="7864137"/>
          <a:ext cx="4223" cy="49881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9" name="AutoShape 90">
          <a:extLst>
            <a:ext uri="{FF2B5EF4-FFF2-40B4-BE49-F238E27FC236}">
              <a16:creationId xmlns:a16="http://schemas.microsoft.com/office/drawing/2014/main" id="{9501DD34-AEBE-4CA9-B212-54061268F154}"/>
            </a:ext>
          </a:extLst>
        </xdr:cNvPr>
        <xdr:cNvSpPr>
          <a:spLocks noChangeArrowheads="1"/>
        </xdr:cNvSpPr>
      </xdr:nvSpPr>
      <xdr:spPr bwMode="auto">
        <a:xfrm>
          <a:off x="4930433" y="6324581"/>
          <a:ext cx="1447801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(p_t_DNK_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50" name="AutoShape 513">
          <a:extLst>
            <a:ext uri="{FF2B5EF4-FFF2-40B4-BE49-F238E27FC236}">
              <a16:creationId xmlns:a16="http://schemas.microsoft.com/office/drawing/2014/main" id="{4EA64910-0DC8-44D6-A2A3-26A494DE477A}"/>
            </a:ext>
          </a:extLst>
        </xdr:cNvPr>
        <xdr:cNvCxnSpPr>
          <a:cxnSpLocks noChangeShapeType="1"/>
          <a:stCxn id="15" idx="2"/>
          <a:endCxn id="3149" idx="0"/>
        </xdr:cNvCxnSpPr>
      </xdr:nvCxnSpPr>
      <xdr:spPr bwMode="auto">
        <a:xfrm rot="16200000" flipH="1">
          <a:off x="5061890" y="5732137"/>
          <a:ext cx="365736" cy="81915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51" name="AutoShape 513">
          <a:extLst>
            <a:ext uri="{FF2B5EF4-FFF2-40B4-BE49-F238E27FC236}">
              <a16:creationId xmlns:a16="http://schemas.microsoft.com/office/drawing/2014/main" id="{4969A4B0-783A-4C78-9EDA-3AC0A31C2D08}"/>
            </a:ext>
          </a:extLst>
        </xdr:cNvPr>
        <xdr:cNvCxnSpPr>
          <a:cxnSpLocks noChangeShapeType="1"/>
          <a:stCxn id="18" idx="2"/>
          <a:endCxn id="20" idx="0"/>
        </xdr:cNvCxnSpPr>
      </xdr:nvCxnSpPr>
      <xdr:spPr bwMode="auto">
        <a:xfrm rot="5400000">
          <a:off x="4198920" y="5690237"/>
          <a:ext cx="367652" cy="904874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152" name="AutoShape 513">
          <a:extLst>
            <a:ext uri="{FF2B5EF4-FFF2-40B4-BE49-F238E27FC236}">
              <a16:creationId xmlns:a16="http://schemas.microsoft.com/office/drawing/2014/main" id="{8DD4B730-C009-48C7-BCB7-25F5C07D2623}"/>
            </a:ext>
          </a:extLst>
        </xdr:cNvPr>
        <xdr:cNvCxnSpPr>
          <a:cxnSpLocks noChangeShapeType="1"/>
          <a:stCxn id="3149" idx="2"/>
          <a:endCxn id="31" idx="0"/>
        </xdr:cNvCxnSpPr>
      </xdr:nvCxnSpPr>
      <xdr:spPr bwMode="auto">
        <a:xfrm rot="5400000">
          <a:off x="1847505" y="7346943"/>
          <a:ext cx="4314844" cy="3298817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3153" name="Group 195">
          <a:extLst>
            <a:ext uri="{FF2B5EF4-FFF2-40B4-BE49-F238E27FC236}">
              <a16:creationId xmlns:a16="http://schemas.microsoft.com/office/drawing/2014/main" id="{570E18A4-05A1-4756-B12B-D1865DAA3C07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3154" name="Line 196">
            <a:extLst>
              <a:ext uri="{FF2B5EF4-FFF2-40B4-BE49-F238E27FC236}">
                <a16:creationId xmlns:a16="http://schemas.microsoft.com/office/drawing/2014/main" id="{EEAC9560-0E84-41AE-1162-EAA7FACA484E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55" name="Line 197">
            <a:extLst>
              <a:ext uri="{FF2B5EF4-FFF2-40B4-BE49-F238E27FC236}">
                <a16:creationId xmlns:a16="http://schemas.microsoft.com/office/drawing/2014/main" id="{26C2A255-086D-2670-2E1C-F4495613FCCF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3156" name="グループ化 3155">
          <a:extLst>
            <a:ext uri="{FF2B5EF4-FFF2-40B4-BE49-F238E27FC236}">
              <a16:creationId xmlns:a16="http://schemas.microsoft.com/office/drawing/2014/main" id="{DD978521-0ED9-4193-8EDD-52407D63B4DE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3157" name="Text Box 93">
            <a:extLst>
              <a:ext uri="{FF2B5EF4-FFF2-40B4-BE49-F238E27FC236}">
                <a16:creationId xmlns:a16="http://schemas.microsoft.com/office/drawing/2014/main" id="{3D393314-81DE-D0EF-4EE6-7195FBD370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3158" name="Rectangle 95">
            <a:extLst>
              <a:ext uri="{FF2B5EF4-FFF2-40B4-BE49-F238E27FC236}">
                <a16:creationId xmlns:a16="http://schemas.microsoft.com/office/drawing/2014/main" id="{8402EEE5-9293-36D3-C9F2-876888D82EF5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9" name="Text Box 93">
            <a:extLst>
              <a:ext uri="{FF2B5EF4-FFF2-40B4-BE49-F238E27FC236}">
                <a16:creationId xmlns:a16="http://schemas.microsoft.com/office/drawing/2014/main" id="{874E7FD3-64E1-FB3C-8818-D87B2F18ED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3160" name="AutoShape 576">
          <a:extLst>
            <a:ext uri="{FF2B5EF4-FFF2-40B4-BE49-F238E27FC236}">
              <a16:creationId xmlns:a16="http://schemas.microsoft.com/office/drawing/2014/main" id="{5E82ED9B-B4CA-452E-8F89-8E9A4AF69D82}"/>
            </a:ext>
          </a:extLst>
        </xdr:cNvPr>
        <xdr:cNvSpPr>
          <a:spLocks noChangeArrowheads="1"/>
        </xdr:cNvSpPr>
      </xdr:nvSpPr>
      <xdr:spPr bwMode="auto">
        <a:xfrm>
          <a:off x="3524250" y="10420350"/>
          <a:ext cx="714375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3161" name="AutoShape 513">
          <a:extLst>
            <a:ext uri="{FF2B5EF4-FFF2-40B4-BE49-F238E27FC236}">
              <a16:creationId xmlns:a16="http://schemas.microsoft.com/office/drawing/2014/main" id="{6C8509D8-FE22-466F-A951-6EFF9E55CF82}"/>
            </a:ext>
          </a:extLst>
        </xdr:cNvPr>
        <xdr:cNvCxnSpPr>
          <a:cxnSpLocks noChangeShapeType="1"/>
          <a:stCxn id="3158" idx="2"/>
          <a:endCxn id="3160" idx="0"/>
        </xdr:cNvCxnSpPr>
      </xdr:nvCxnSpPr>
      <xdr:spPr bwMode="auto">
        <a:xfrm rot="16200000" flipH="1">
          <a:off x="2934610" y="9472567"/>
          <a:ext cx="368690" cy="1526873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162" name="Rectangle 530">
          <a:extLst>
            <a:ext uri="{FF2B5EF4-FFF2-40B4-BE49-F238E27FC236}">
              <a16:creationId xmlns:a16="http://schemas.microsoft.com/office/drawing/2014/main" id="{EF38F83D-7CAA-4F1E-B5D6-4DE6CC6EB7F5}"/>
            </a:ext>
          </a:extLst>
        </xdr:cNvPr>
        <xdr:cNvSpPr>
          <a:spLocks noChangeArrowheads="1"/>
        </xdr:cNvSpPr>
      </xdr:nvSpPr>
      <xdr:spPr bwMode="auto">
        <a:xfrm>
          <a:off x="3200400" y="10010775"/>
          <a:ext cx="886665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163" name="Rectangle 530">
          <a:extLst>
            <a:ext uri="{FF2B5EF4-FFF2-40B4-BE49-F238E27FC236}">
              <a16:creationId xmlns:a16="http://schemas.microsoft.com/office/drawing/2014/main" id="{0811AD75-DF5A-4B06-B473-6D6411CC3C46}"/>
            </a:ext>
          </a:extLst>
        </xdr:cNvPr>
        <xdr:cNvSpPr>
          <a:spLocks noChangeArrowheads="1"/>
        </xdr:cNvSpPr>
      </xdr:nvSpPr>
      <xdr:spPr bwMode="auto">
        <a:xfrm>
          <a:off x="2381250" y="10544175"/>
          <a:ext cx="896190" cy="17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164" name="AutoShape 108">
          <a:extLst>
            <a:ext uri="{FF2B5EF4-FFF2-40B4-BE49-F238E27FC236}">
              <a16:creationId xmlns:a16="http://schemas.microsoft.com/office/drawing/2014/main" id="{A148949B-A0D1-4282-A83D-9ECAF5CBA8D0}"/>
            </a:ext>
          </a:extLst>
        </xdr:cNvPr>
        <xdr:cNvCxnSpPr>
          <a:cxnSpLocks noChangeShapeType="1"/>
          <a:stCxn id="3157" idx="2"/>
          <a:endCxn id="3136" idx="0"/>
        </xdr:cNvCxnSpPr>
      </xdr:nvCxnSpPr>
      <xdr:spPr bwMode="auto">
        <a:xfrm>
          <a:off x="2355517" y="10051658"/>
          <a:ext cx="1" cy="11095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3166" name="AutoShape 90">
          <a:extLst>
            <a:ext uri="{FF2B5EF4-FFF2-40B4-BE49-F238E27FC236}">
              <a16:creationId xmlns:a16="http://schemas.microsoft.com/office/drawing/2014/main" id="{E7610B74-DB7D-47A5-BEC5-BB6278F75FE1}"/>
            </a:ext>
          </a:extLst>
        </xdr:cNvPr>
        <xdr:cNvSpPr>
          <a:spLocks noChangeArrowheads="1"/>
        </xdr:cNvSpPr>
      </xdr:nvSpPr>
      <xdr:spPr bwMode="auto">
        <a:xfrm>
          <a:off x="1733550" y="8362950"/>
          <a:ext cx="125047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(DNKBA130S01001)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3167" name="AutoShape 108">
          <a:extLst>
            <a:ext uri="{FF2B5EF4-FFF2-40B4-BE49-F238E27FC236}">
              <a16:creationId xmlns:a16="http://schemas.microsoft.com/office/drawing/2014/main" id="{019BDEB7-7561-45F6-A06F-5E5C6AAFDF7B}"/>
            </a:ext>
          </a:extLst>
        </xdr:cNvPr>
        <xdr:cNvCxnSpPr>
          <a:cxnSpLocks noChangeShapeType="1"/>
          <a:stCxn id="3166" idx="2"/>
          <a:endCxn id="3159" idx="0"/>
        </xdr:cNvCxnSpPr>
      </xdr:nvCxnSpPr>
      <xdr:spPr bwMode="auto">
        <a:xfrm flipH="1">
          <a:off x="2355518" y="8877300"/>
          <a:ext cx="4222" cy="5694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164814</xdr:colOff>
      <xdr:row>72</xdr:row>
      <xdr:rowOff>20955</xdr:rowOff>
    </xdr:from>
    <xdr:to>
      <xdr:col>25</xdr:col>
      <xdr:colOff>179914</xdr:colOff>
      <xdr:row>75</xdr:row>
      <xdr:rowOff>29748</xdr:rowOff>
    </xdr:to>
    <xdr:sp macro="" textlink="">
      <xdr:nvSpPr>
        <xdr:cNvPr id="32" name="AutoShape 176">
          <a:extLst>
            <a:ext uri="{FF2B5EF4-FFF2-40B4-BE49-F238E27FC236}">
              <a16:creationId xmlns:a16="http://schemas.microsoft.com/office/drawing/2014/main" id="{0D9CC831-4654-43C5-825C-C8DE89152B46}"/>
            </a:ext>
          </a:extLst>
        </xdr:cNvPr>
        <xdr:cNvSpPr>
          <a:spLocks noChangeArrowheads="1"/>
        </xdr:cNvSpPr>
      </xdr:nvSpPr>
      <xdr:spPr bwMode="auto">
        <a:xfrm>
          <a:off x="3965289" y="12365355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16</xdr:col>
      <xdr:colOff>57150</xdr:colOff>
      <xdr:row>69</xdr:row>
      <xdr:rowOff>133350</xdr:rowOff>
    </xdr:from>
    <xdr:to>
      <xdr:col>19</xdr:col>
      <xdr:colOff>104775</xdr:colOff>
      <xdr:row>76</xdr:row>
      <xdr:rowOff>161925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3A00519-0202-F24E-1D5B-EBF841D84859}"/>
            </a:ext>
          </a:extLst>
        </xdr:cNvPr>
        <xdr:cNvCxnSpPr/>
      </xdr:nvCxnSpPr>
      <xdr:spPr bwMode="auto">
        <a:xfrm flipH="1" flipV="1">
          <a:off x="3257550" y="11963400"/>
          <a:ext cx="647700" cy="12287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98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97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45793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45793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99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101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100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94</v>
      </c>
      <c r="AT3" s="130"/>
      <c r="AU3" s="130"/>
      <c r="AV3" s="130"/>
      <c r="AW3" s="130"/>
      <c r="AX3" s="130"/>
      <c r="AY3" s="130"/>
      <c r="AZ3" s="130"/>
      <c r="BA3" s="133"/>
      <c r="BB3" s="129" t="s">
        <v>99</v>
      </c>
      <c r="BC3" s="130"/>
      <c r="BD3" s="130"/>
      <c r="BE3" s="133"/>
      <c r="BF3" s="135">
        <v>45793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56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57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60</v>
      </c>
      <c r="E8" s="95"/>
      <c r="F8" s="95"/>
      <c r="G8" s="96"/>
      <c r="H8" s="106">
        <v>45793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2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デンカ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DNK</v>
      </c>
      <c r="AB3" s="130"/>
      <c r="AC3" s="130"/>
      <c r="AD3" s="130"/>
      <c r="AE3" s="133"/>
      <c r="AF3" s="182" t="str">
        <f>変更履歴!AS3</f>
        <v>請求確認</v>
      </c>
      <c r="AG3" s="183"/>
      <c r="AH3" s="183"/>
      <c r="AI3" s="183"/>
      <c r="AJ3" s="183"/>
      <c r="AK3" s="129" t="str">
        <f>変更履歴!BB3</f>
        <v>FJ)カーマン</v>
      </c>
      <c r="AL3" s="130"/>
      <c r="AM3" s="130"/>
      <c r="AN3" s="130"/>
      <c r="AO3" s="135">
        <f>変更履歴!BF3</f>
        <v>45793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84"/>
      <c r="AG4" s="185"/>
      <c r="AH4" s="185"/>
      <c r="AI4" s="185"/>
      <c r="AJ4" s="185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104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79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102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103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72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43</v>
      </c>
      <c r="B12" s="177"/>
      <c r="C12" s="177"/>
      <c r="D12" s="178"/>
      <c r="E12" s="179" t="s">
        <v>44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49</v>
      </c>
      <c r="B14" s="147" t="s">
        <v>45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46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47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48</v>
      </c>
      <c r="AX14" s="147"/>
      <c r="AY14" s="147"/>
      <c r="AZ14" s="147"/>
      <c r="BA14" s="39"/>
    </row>
    <row r="15" spans="1:53" ht="13.5" customHeight="1" x14ac:dyDescent="0.15">
      <c r="A15" s="69">
        <f t="shared" ref="A15:A27" si="0">ROW()-14</f>
        <v>1</v>
      </c>
      <c r="B15" s="65" t="s">
        <v>105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51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105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96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67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51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105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69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68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50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105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50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105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50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106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80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81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51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 t="s">
        <v>106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 t="s">
        <v>51</v>
      </c>
      <c r="AX21" s="142"/>
      <c r="AY21" s="142"/>
      <c r="AZ21" s="143"/>
      <c r="BA21" s="39"/>
    </row>
    <row r="22" spans="1:54" ht="13.5" customHeight="1" x14ac:dyDescent="0.15">
      <c r="A22" s="69">
        <f t="shared" si="0"/>
        <v>8</v>
      </c>
      <c r="B22" s="65" t="s">
        <v>106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96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67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41" t="s">
        <v>51</v>
      </c>
      <c r="AX22" s="142"/>
      <c r="AY22" s="142"/>
      <c r="AZ22" s="143"/>
      <c r="BA22" s="11"/>
    </row>
    <row r="23" spans="1:54" ht="13.5" customHeight="1" x14ac:dyDescent="0.15">
      <c r="A23" s="69">
        <f t="shared" si="0"/>
        <v>9</v>
      </c>
      <c r="B23" s="65" t="s">
        <v>106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95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82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41" t="s">
        <v>51</v>
      </c>
      <c r="AX23" s="142"/>
      <c r="AY23" s="142"/>
      <c r="AZ23" s="143"/>
      <c r="BA23" s="11"/>
    </row>
    <row r="24" spans="1:54" ht="13.5" customHeight="1" x14ac:dyDescent="0.15">
      <c r="A24" s="69">
        <f t="shared" si="0"/>
        <v>10</v>
      </c>
      <c r="B24" s="65" t="s">
        <v>106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69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68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41" t="s">
        <v>50</v>
      </c>
      <c r="AX24" s="142"/>
      <c r="AY24" s="142"/>
      <c r="AZ24" s="143"/>
      <c r="BA24" s="39"/>
    </row>
    <row r="25" spans="1:54" ht="13.5" customHeight="1" x14ac:dyDescent="0.15">
      <c r="A25" s="69">
        <f t="shared" si="0"/>
        <v>11</v>
      </c>
      <c r="B25" s="65" t="s">
        <v>106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41" t="s">
        <v>50</v>
      </c>
      <c r="AX25" s="142"/>
      <c r="AY25" s="142"/>
      <c r="AZ25" s="143"/>
      <c r="BA25" s="39"/>
    </row>
    <row r="26" spans="1:54" ht="13.5" customHeight="1" x14ac:dyDescent="0.15">
      <c r="A26" s="69">
        <f t="shared" si="0"/>
        <v>12</v>
      </c>
      <c r="B26" s="65" t="s">
        <v>106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41" t="s">
        <v>50</v>
      </c>
      <c r="AX26" s="142"/>
      <c r="AY26" s="142"/>
      <c r="AZ26" s="143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41"/>
      <c r="AX27" s="142"/>
      <c r="AY27" s="142"/>
      <c r="AZ27" s="143"/>
      <c r="BA27" s="39"/>
    </row>
    <row r="28" spans="1:54" ht="13.5" customHeight="1" x14ac:dyDescent="0.15">
      <c r="A28" s="148" t="s">
        <v>2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48" t="s">
        <v>1</v>
      </c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50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74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77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75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71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107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83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91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73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76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85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86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87</v>
      </c>
      <c r="AM45" s="56"/>
      <c r="AN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108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90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70</v>
      </c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78</v>
      </c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92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K58" s="56"/>
      <c r="AL58" s="5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73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93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70"/>
      <c r="BA88" s="39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1"/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1"/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1"/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94" s="1"/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95" s="1"/>
      <c r="B95" s="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0:AZ20"/>
    <mergeCell ref="AW22:AZ22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0A9845-8092-4E80-A3B6-C2D2ACE7A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066667e-7ddf-48ee-81f6-fe1825af740a"/>
    <ds:schemaRef ds:uri="http://purl.org/dc/terms/"/>
    <ds:schemaRef ds:uri="69cb980d-ece2-4836-b1eb-1194e87de84b"/>
    <ds:schemaRef ds:uri="http://www.w3.org/XML/1998/namespace"/>
    <ds:schemaRef ds:uri="http://purl.org/dc/dcmitype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