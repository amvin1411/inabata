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hmadmukhli\Desktop\Fujitsu\03 Projects\03 Inabata\05 R60795\03 DNK_請求確認\DNKA130S010\"/>
    </mc:Choice>
  </mc:AlternateContent>
  <xr:revisionPtr revIDLastSave="0" documentId="13_ncr:1_{A1E99393-2707-4A3D-BB3E-066F1ABB76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請求確認_連携ファイル" sheetId="2" r:id="rId1"/>
    <sheet name="請求確認_連携ファイル_項目分割" sheetId="1" r:id="rId2"/>
  </sheets>
  <definedNames>
    <definedName name="_xlnm._FilterDatabase" localSheetId="0" hidden="1">請求確認_連携ファイル!$B$3:$D$3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9" i="1" l="1"/>
  <c r="K49" i="1"/>
  <c r="J49" i="1"/>
  <c r="I49" i="1"/>
  <c r="H49" i="1"/>
  <c r="G49" i="1"/>
  <c r="F49" i="1"/>
  <c r="E49" i="1"/>
  <c r="D49" i="1"/>
  <c r="C49" i="1"/>
  <c r="L48" i="1"/>
  <c r="K48" i="1"/>
  <c r="J48" i="1"/>
  <c r="I48" i="1"/>
  <c r="H48" i="1"/>
  <c r="G48" i="1"/>
  <c r="F48" i="1"/>
  <c r="E48" i="1"/>
  <c r="D48" i="1"/>
  <c r="C48" i="1"/>
  <c r="L47" i="1"/>
  <c r="K47" i="1"/>
  <c r="J47" i="1"/>
  <c r="I47" i="1"/>
  <c r="H47" i="1"/>
  <c r="G47" i="1"/>
  <c r="F47" i="1"/>
  <c r="E47" i="1"/>
  <c r="D47" i="1"/>
  <c r="C47" i="1"/>
  <c r="L46" i="1"/>
  <c r="K46" i="1"/>
  <c r="J46" i="1"/>
  <c r="I46" i="1"/>
  <c r="H46" i="1"/>
  <c r="G46" i="1"/>
  <c r="F46" i="1"/>
  <c r="E46" i="1"/>
  <c r="D46" i="1"/>
  <c r="C46" i="1"/>
  <c r="L45" i="1"/>
  <c r="K45" i="1"/>
  <c r="J45" i="1"/>
  <c r="I45" i="1"/>
  <c r="H45" i="1"/>
  <c r="G45" i="1"/>
  <c r="F45" i="1"/>
  <c r="E45" i="1"/>
  <c r="D45" i="1"/>
  <c r="C45" i="1"/>
  <c r="L44" i="1"/>
  <c r="K44" i="1"/>
  <c r="J44" i="1"/>
  <c r="I44" i="1"/>
  <c r="H44" i="1"/>
  <c r="G44" i="1"/>
  <c r="F44" i="1"/>
  <c r="E44" i="1"/>
  <c r="D44" i="1"/>
  <c r="C44" i="1"/>
  <c r="L43" i="1"/>
  <c r="K43" i="1"/>
  <c r="J43" i="1"/>
  <c r="I43" i="1"/>
  <c r="H43" i="1"/>
  <c r="G43" i="1"/>
  <c r="F43" i="1"/>
  <c r="E43" i="1"/>
  <c r="D43" i="1"/>
  <c r="C43" i="1"/>
  <c r="L42" i="1"/>
  <c r="K42" i="1"/>
  <c r="J42" i="1"/>
  <c r="I42" i="1"/>
  <c r="H42" i="1"/>
  <c r="G42" i="1"/>
  <c r="F42" i="1"/>
  <c r="E42" i="1"/>
  <c r="D42" i="1"/>
  <c r="C42" i="1"/>
  <c r="L41" i="1"/>
  <c r="K41" i="1"/>
  <c r="J41" i="1"/>
  <c r="I41" i="1"/>
  <c r="H41" i="1"/>
  <c r="G41" i="1"/>
  <c r="F41" i="1"/>
  <c r="E41" i="1"/>
  <c r="D41" i="1"/>
  <c r="C41" i="1"/>
  <c r="L40" i="1"/>
  <c r="K40" i="1"/>
  <c r="J40" i="1"/>
  <c r="I40" i="1"/>
  <c r="H40" i="1"/>
  <c r="G40" i="1"/>
  <c r="F40" i="1"/>
  <c r="E40" i="1"/>
  <c r="D40" i="1"/>
  <c r="C40" i="1"/>
  <c r="L39" i="1"/>
  <c r="K39" i="1"/>
  <c r="J39" i="1"/>
  <c r="I39" i="1"/>
  <c r="H39" i="1"/>
  <c r="G39" i="1"/>
  <c r="F39" i="1"/>
  <c r="E39" i="1"/>
  <c r="D39" i="1"/>
  <c r="C39" i="1"/>
  <c r="L38" i="1"/>
  <c r="K38" i="1"/>
  <c r="J38" i="1"/>
  <c r="I38" i="1"/>
  <c r="H38" i="1"/>
  <c r="G38" i="1"/>
  <c r="F38" i="1"/>
  <c r="E38" i="1"/>
  <c r="D38" i="1"/>
  <c r="C38" i="1"/>
  <c r="L37" i="1"/>
  <c r="K37" i="1"/>
  <c r="J37" i="1"/>
  <c r="I37" i="1"/>
  <c r="H37" i="1"/>
  <c r="G37" i="1"/>
  <c r="F37" i="1"/>
  <c r="E37" i="1"/>
  <c r="D37" i="1"/>
  <c r="C37" i="1"/>
  <c r="L36" i="1"/>
  <c r="K36" i="1"/>
  <c r="J36" i="1"/>
  <c r="I36" i="1"/>
  <c r="H36" i="1"/>
  <c r="G36" i="1"/>
  <c r="F36" i="1"/>
  <c r="E36" i="1"/>
  <c r="D36" i="1"/>
  <c r="C36" i="1"/>
  <c r="L35" i="1"/>
  <c r="K35" i="1"/>
  <c r="J35" i="1"/>
  <c r="I35" i="1"/>
  <c r="H35" i="1"/>
  <c r="G35" i="1"/>
  <c r="F35" i="1"/>
  <c r="E35" i="1"/>
  <c r="D35" i="1"/>
  <c r="C35" i="1"/>
  <c r="L34" i="1"/>
  <c r="K34" i="1"/>
  <c r="J34" i="1"/>
  <c r="I34" i="1"/>
  <c r="H34" i="1"/>
  <c r="G34" i="1"/>
  <c r="F34" i="1"/>
  <c r="E34" i="1"/>
  <c r="D34" i="1"/>
  <c r="C34" i="1"/>
  <c r="L33" i="1"/>
  <c r="K33" i="1"/>
  <c r="J33" i="1"/>
  <c r="I33" i="1"/>
  <c r="H33" i="1"/>
  <c r="G33" i="1"/>
  <c r="F33" i="1"/>
  <c r="E33" i="1"/>
  <c r="D33" i="1"/>
  <c r="C33" i="1"/>
  <c r="L32" i="1"/>
  <c r="K32" i="1"/>
  <c r="J32" i="1"/>
  <c r="I32" i="1"/>
  <c r="H32" i="1"/>
  <c r="G32" i="1"/>
  <c r="F32" i="1"/>
  <c r="E32" i="1"/>
  <c r="D32" i="1"/>
  <c r="C32" i="1"/>
  <c r="L31" i="1"/>
  <c r="K31" i="1"/>
  <c r="J31" i="1"/>
  <c r="I31" i="1"/>
  <c r="H31" i="1"/>
  <c r="G31" i="1"/>
  <c r="F31" i="1"/>
  <c r="E31" i="1"/>
  <c r="D31" i="1"/>
  <c r="C31" i="1"/>
  <c r="L30" i="1"/>
  <c r="K30" i="1"/>
  <c r="J30" i="1"/>
  <c r="I30" i="1"/>
  <c r="H30" i="1"/>
  <c r="G30" i="1"/>
  <c r="F30" i="1"/>
  <c r="E30" i="1"/>
  <c r="D30" i="1"/>
  <c r="C30" i="1"/>
  <c r="L29" i="1"/>
  <c r="K29" i="1"/>
  <c r="J29" i="1"/>
  <c r="I29" i="1"/>
  <c r="H29" i="1"/>
  <c r="G29" i="1"/>
  <c r="F29" i="1"/>
  <c r="E29" i="1"/>
  <c r="D29" i="1"/>
  <c r="C29" i="1"/>
  <c r="L28" i="1"/>
  <c r="K28" i="1"/>
  <c r="J28" i="1"/>
  <c r="I28" i="1"/>
  <c r="H28" i="1"/>
  <c r="G28" i="1"/>
  <c r="F28" i="1"/>
  <c r="E28" i="1"/>
  <c r="D28" i="1"/>
  <c r="C28" i="1"/>
  <c r="L27" i="1"/>
  <c r="K27" i="1"/>
  <c r="J27" i="1"/>
  <c r="I27" i="1"/>
  <c r="H27" i="1"/>
  <c r="G27" i="1"/>
  <c r="F27" i="1"/>
  <c r="E27" i="1"/>
  <c r="D27" i="1"/>
  <c r="C27" i="1"/>
  <c r="L26" i="1"/>
  <c r="K26" i="1"/>
  <c r="J26" i="1"/>
  <c r="I26" i="1"/>
  <c r="H26" i="1"/>
  <c r="G26" i="1"/>
  <c r="F26" i="1"/>
  <c r="E26" i="1"/>
  <c r="D26" i="1"/>
  <c r="C26" i="1"/>
  <c r="L25" i="1"/>
  <c r="K25" i="1"/>
  <c r="J25" i="1"/>
  <c r="I25" i="1"/>
  <c r="H25" i="1"/>
  <c r="G25" i="1"/>
  <c r="F25" i="1"/>
  <c r="E25" i="1"/>
  <c r="D25" i="1"/>
  <c r="C25" i="1"/>
  <c r="L24" i="1"/>
  <c r="K24" i="1"/>
  <c r="J24" i="1"/>
  <c r="I24" i="1"/>
  <c r="H24" i="1"/>
  <c r="G24" i="1"/>
  <c r="F24" i="1"/>
  <c r="E24" i="1"/>
  <c r="D24" i="1"/>
  <c r="C24" i="1"/>
  <c r="L23" i="1"/>
  <c r="K23" i="1"/>
  <c r="J23" i="1"/>
  <c r="I23" i="1"/>
  <c r="H23" i="1"/>
  <c r="G23" i="1"/>
  <c r="F23" i="1"/>
  <c r="E23" i="1"/>
  <c r="D23" i="1"/>
  <c r="C23" i="1"/>
  <c r="L22" i="1"/>
  <c r="K22" i="1"/>
  <c r="J22" i="1"/>
  <c r="I22" i="1"/>
  <c r="H22" i="1"/>
  <c r="G22" i="1"/>
  <c r="F22" i="1"/>
  <c r="E22" i="1"/>
  <c r="D22" i="1"/>
  <c r="C22" i="1"/>
  <c r="L21" i="1"/>
  <c r="K21" i="1"/>
  <c r="J21" i="1"/>
  <c r="I21" i="1"/>
  <c r="H21" i="1"/>
  <c r="G21" i="1"/>
  <c r="F21" i="1"/>
  <c r="E21" i="1"/>
  <c r="D21" i="1"/>
  <c r="C21" i="1"/>
  <c r="L20" i="1"/>
  <c r="K20" i="1"/>
  <c r="J20" i="1"/>
  <c r="I20" i="1"/>
  <c r="H20" i="1"/>
  <c r="G20" i="1"/>
  <c r="F20" i="1"/>
  <c r="E20" i="1"/>
  <c r="D20" i="1"/>
  <c r="C20" i="1"/>
  <c r="L19" i="1"/>
  <c r="K19" i="1"/>
  <c r="J19" i="1"/>
  <c r="I19" i="1"/>
  <c r="H19" i="1"/>
  <c r="G19" i="1"/>
  <c r="F19" i="1"/>
  <c r="E19" i="1"/>
  <c r="D19" i="1"/>
  <c r="C19" i="1"/>
  <c r="L18" i="1"/>
  <c r="K18" i="1"/>
  <c r="J18" i="1"/>
  <c r="I18" i="1"/>
  <c r="H18" i="1"/>
  <c r="G18" i="1"/>
  <c r="F18" i="1"/>
  <c r="E18" i="1"/>
  <c r="D18" i="1"/>
  <c r="C18" i="1"/>
  <c r="L17" i="1"/>
  <c r="K17" i="1"/>
  <c r="J17" i="1"/>
  <c r="I17" i="1"/>
  <c r="H17" i="1"/>
  <c r="G17" i="1"/>
  <c r="F17" i="1"/>
  <c r="E17" i="1"/>
  <c r="D17" i="1"/>
  <c r="C17" i="1"/>
  <c r="L16" i="1"/>
  <c r="K16" i="1"/>
  <c r="J16" i="1"/>
  <c r="I16" i="1"/>
  <c r="H16" i="1"/>
  <c r="G16" i="1"/>
  <c r="F16" i="1"/>
  <c r="E16" i="1"/>
  <c r="D16" i="1"/>
  <c r="C16" i="1"/>
  <c r="L15" i="1"/>
  <c r="K15" i="1"/>
  <c r="J15" i="1"/>
  <c r="I15" i="1"/>
  <c r="H15" i="1"/>
  <c r="G15" i="1"/>
  <c r="F15" i="1"/>
  <c r="E15" i="1"/>
  <c r="D15" i="1"/>
  <c r="C15" i="1"/>
  <c r="L14" i="1"/>
  <c r="K14" i="1"/>
  <c r="J14" i="1"/>
  <c r="I14" i="1"/>
  <c r="H14" i="1"/>
  <c r="G14" i="1"/>
  <c r="F14" i="1"/>
  <c r="E14" i="1"/>
  <c r="D14" i="1"/>
  <c r="C14" i="1"/>
  <c r="L13" i="1"/>
  <c r="K13" i="1"/>
  <c r="J13" i="1"/>
  <c r="I13" i="1"/>
  <c r="H13" i="1"/>
  <c r="G13" i="1"/>
  <c r="F13" i="1"/>
  <c r="E13" i="1"/>
  <c r="D13" i="1"/>
  <c r="C13" i="1"/>
  <c r="L12" i="1"/>
  <c r="K12" i="1"/>
  <c r="J12" i="1"/>
  <c r="I12" i="1"/>
  <c r="H12" i="1"/>
  <c r="G12" i="1"/>
  <c r="F12" i="1"/>
  <c r="E12" i="1"/>
  <c r="D12" i="1"/>
  <c r="C12" i="1"/>
  <c r="L11" i="1"/>
  <c r="K11" i="1"/>
  <c r="J11" i="1"/>
  <c r="I11" i="1"/>
  <c r="H11" i="1"/>
  <c r="G11" i="1"/>
  <c r="F11" i="1"/>
  <c r="E11" i="1"/>
  <c r="D11" i="1"/>
  <c r="C11" i="1"/>
  <c r="L10" i="1"/>
  <c r="K10" i="1"/>
  <c r="J10" i="1"/>
  <c r="I10" i="1"/>
  <c r="H10" i="1"/>
  <c r="G10" i="1"/>
  <c r="F10" i="1"/>
  <c r="E10" i="1"/>
  <c r="D10" i="1"/>
  <c r="C10" i="1"/>
  <c r="D9" i="1"/>
  <c r="C9" i="1"/>
  <c r="D8" i="1"/>
  <c r="C8" i="1"/>
  <c r="C7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E3" i="1"/>
  <c r="F3" i="1" s="1"/>
  <c r="G3" i="1" s="1"/>
  <c r="H3" i="1" s="1"/>
  <c r="I3" i="1" s="1"/>
  <c r="J3" i="1" s="1"/>
  <c r="K3" i="1" s="1"/>
  <c r="L3" i="1" s="1"/>
  <c r="L9" i="1" s="1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K8" i="1" l="1"/>
  <c r="L8" i="1"/>
  <c r="F9" i="1"/>
  <c r="E8" i="1"/>
  <c r="I9" i="1"/>
  <c r="F8" i="1"/>
  <c r="K9" i="1"/>
  <c r="J8" i="1"/>
  <c r="H8" i="1"/>
  <c r="G9" i="1"/>
  <c r="I8" i="1"/>
  <c r="H9" i="1"/>
  <c r="J9" i="1"/>
  <c r="G8" i="1"/>
  <c r="E9" i="1"/>
</calcChain>
</file>

<file path=xl/sharedStrings.xml><?xml version="1.0" encoding="utf-8"?>
<sst xmlns="http://schemas.openxmlformats.org/spreadsheetml/2006/main" count="36" uniqueCount="31">
  <si>
    <t>請求確認_連携ファイル出力確認</t>
    <rPh sb="11" eb="13">
      <t>シュツリョク</t>
    </rPh>
    <rPh sb="13" eb="15">
      <t>カクニン</t>
    </rPh>
    <phoneticPr fontId="3"/>
  </si>
  <si>
    <t>No.</t>
    <phoneticPr fontId="5"/>
  </si>
  <si>
    <t>テストNo</t>
    <phoneticPr fontId="6"/>
  </si>
  <si>
    <t>共通フォーマットデータ</t>
    <rPh sb="0" eb="2">
      <t>キョウツウ</t>
    </rPh>
    <phoneticPr fontId="5"/>
  </si>
  <si>
    <t>【テスト結果】</t>
    <rPh sb="4" eb="6">
      <t>ケッカ</t>
    </rPh>
    <phoneticPr fontId="6"/>
  </si>
  <si>
    <t>No34,35,39</t>
    <phoneticPr fontId="3"/>
  </si>
  <si>
    <t>項目分割</t>
    <rPh sb="0" eb="2">
      <t>コウモク</t>
    </rPh>
    <rPh sb="2" eb="4">
      <t>ブンカツ</t>
    </rPh>
    <phoneticPr fontId="5"/>
  </si>
  <si>
    <t>開始位置</t>
    <rPh sb="0" eb="2">
      <t>カイシ</t>
    </rPh>
    <rPh sb="2" eb="4">
      <t>イチ</t>
    </rPh>
    <phoneticPr fontId="5"/>
  </si>
  <si>
    <t>桁数</t>
    <rPh sb="0" eb="2">
      <t>ケタスウ</t>
    </rPh>
    <phoneticPr fontId="5"/>
  </si>
  <si>
    <t>テストNo</t>
    <phoneticPr fontId="5"/>
  </si>
  <si>
    <t>送信シーケンスNO</t>
    <phoneticPr fontId="1"/>
  </si>
  <si>
    <t>計上状況種別</t>
    <phoneticPr fontId="1"/>
  </si>
  <si>
    <t>エラーメッセージ(否認理由)</t>
    <rPh sb="9" eb="11">
      <t>ヒニン</t>
    </rPh>
    <rPh sb="11" eb="13">
      <t>リユウ</t>
    </rPh>
    <phoneticPr fontId="1"/>
  </si>
  <si>
    <t>受信シーケンスNO_1</t>
    <rPh sb="0" eb="2">
      <t>ジュシン</t>
    </rPh>
    <phoneticPr fontId="1"/>
  </si>
  <si>
    <t>送信データ削除区分</t>
    <phoneticPr fontId="3"/>
  </si>
  <si>
    <t>削除区分</t>
    <phoneticPr fontId="3"/>
  </si>
  <si>
    <t>受信シーケンスNO_2</t>
    <phoneticPr fontId="3"/>
  </si>
  <si>
    <t>相手先別データ</t>
    <phoneticPr fontId="1"/>
  </si>
  <si>
    <t>処理受付番号</t>
    <phoneticPr fontId="3"/>
  </si>
  <si>
    <t>DNKA130S01001を以下に貼り付ける</t>
    <rPh sb="14" eb="16">
      <t>イカ</t>
    </rPh>
    <rPh sb="17" eb="18">
      <t>ハ</t>
    </rPh>
    <rPh sb="19" eb="20">
      <t>ツ</t>
    </rPh>
    <phoneticPr fontId="6"/>
  </si>
  <si>
    <t>SND_SEQ_NO</t>
  </si>
  <si>
    <t>KEIJO_JOKYO_SBT</t>
  </si>
  <si>
    <t>ERR_MSG_HININ_RIYU</t>
  </si>
  <si>
    <t>RCV_SEQ_NO_1</t>
  </si>
  <si>
    <t>SND_DATA_DEL_KBN</t>
  </si>
  <si>
    <t>DEL_KBN</t>
  </si>
  <si>
    <t>RCV_SEQ_NO_2</t>
  </si>
  <si>
    <t>AITE_SAKI_BETSU_DATA</t>
  </si>
  <si>
    <t>FUNC_UKETSUKE_NO</t>
  </si>
  <si>
    <t xml:space="preserve">S5017087851****************************************************************************************************SA0544102100SA05441021#JPCA0102R1710101913000010114876000001171011706300901282                        3040TSM2                A0001916    A1713201T000000005001531460000000000                                               ４ｔ車迄可パレット不／注ＮＯ．０５００１５３01092051481706201102000010  PS1  AT01G200CFEC                                                          Ｇ２００Ｃ　５００ｋｇフレコン　　　　　　　　　　　　　　　　　　　　 7621H6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10000000178000KG  200000000040000000000000000 00000000000000000000000000A1713201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5740062072-870-8866072-870-7610170630              170630                                            新ＬＯＴ試験成績書添付／ＡＭ着希望　　　　　0000000000000                               0910564156000010                                                   0000000          00000030000000000000006000KG 00000030000000000000000000BAG       0000000500000000000053400000000005126400000000041011000000055365111 11 206291706290811754126900001                   MC00                                             大東市　　　　　　　　　　　　　　　　　　　                                2017020001323100110 1                                                      　　　　　　　　　　　　　　　　　　　　　　 JPY  0910564156000010                                                                                                                                                                                                                                                                                                                                                                                                                                                                                                                                                                                                                                                                                                                                                                                                                                                                                                                                                                                                                                                                                                                                                                                                                                                                                                                                                                                                                                                                                                                                                                                                                                                                                                                                                                                                                                                                                                                                                                                                                                                                                                                                                                                                                                                                                              631307    </t>
  </si>
  <si>
    <t xml:space="preserve">S5017087841****************************************************************************************************SA0544102200SA05441022#JPCA0102R1710101913000010114876000001171011706300901282                        3040TSM2                A0001916    A1713201T000000005001531480000000000                                               ４ｔ車迄可パレット不／注ＮＯ．０５００１５３01092051791706201105000010  PS2  AT03H350XFEC                                                          Ｈ３５０　５００ｋｇフレコン　　　　　　　　　　　　　　　　　　　　　 7614R3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10000000183000KG  200000000040000000000000000 00000000000000000000000000A1713201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5740062072-870-8866072-870-7610170630              170630                                            新ＬＯＴ試験成績書添付／ＡＭ着希望　　　　　0000000000000                               0910564157000010                                                   0000000          00000010000000000000002000KG 00000010000000000000000000BAG       0000000500000000000018300000000001756800000000014054000000018973411 11 206291706290811754127900001                   MC00                                             大東市　　　　　　　　　　　　　　　　　　　                                2017020001323200110 1                                                      　　　　　　　　　　　　　　　　　　　　　　 JPY  0910564157000010                                                                                                                                                                                                                                                                                                                                                                                                                                                                                                                                                                                                                                                                                                                                                                                                                                                                                                                                                                                                                                                                                                                                                                                                                                                                                                                                                                                                                                                                                                                                                                                                                                                                                                                                                                                                                                                                                                                                                                                                                                                                                                                                                                                                                                                                                              631307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</si>
</sst>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10" x14ac:knownFonts="1">
    <font>
      <sz val="11"/>
      <color theme="1"/>
      <name val="游ゴシック"/>
      <family val="2"/>
      <scheme val="minor"/>
    </font>
    <font>
      <sz val="9"/>
      <name val="ＭＳ Ｐゴシック"/>
      <family val="3"/>
      <charset val="128"/>
    </font>
    <font>
      <b/>
      <sz val="16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sz val="9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ゴシック"/>
      <family val="2"/>
      <charset val="128"/>
    </font>
    <font>
      <sz val="10"/>
      <color theme="1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b/>
      <sz val="9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7" fillId="0" borderId="0">
      <alignment vertical="center"/>
    </xf>
  </cellStyleXfs>
  <cellXfs count="22">
    <xf numFmtId="0" fontId="0" fillId="0" borderId="0" xfId="0"/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4" fillId="2" borderId="1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4" fillId="0" borderId="1" xfId="1" applyFont="1" applyBorder="1">
      <alignment vertical="center"/>
    </xf>
    <xf numFmtId="176" fontId="4" fillId="4" borderId="1" xfId="1" applyNumberFormat="1" applyFont="1" applyFill="1" applyBorder="1" applyAlignment="1">
      <alignment horizontal="center" vertical="center"/>
    </xf>
    <xf numFmtId="0" fontId="4" fillId="4" borderId="1" xfId="1" applyFont="1" applyFill="1" applyBorder="1">
      <alignment vertical="center"/>
    </xf>
    <xf numFmtId="176" fontId="4" fillId="0" borderId="1" xfId="1" applyNumberFormat="1" applyFont="1" applyBorder="1" applyAlignment="1">
      <alignment horizontal="center" vertical="center"/>
    </xf>
    <xf numFmtId="0" fontId="4" fillId="0" borderId="1" xfId="0" applyFont="1" applyBorder="1"/>
    <xf numFmtId="0" fontId="4" fillId="0" borderId="2" xfId="0" applyFont="1" applyBorder="1"/>
    <xf numFmtId="49" fontId="8" fillId="0" borderId="1" xfId="2" applyNumberFormat="1" applyFont="1" applyBorder="1">
      <alignment vertical="center"/>
    </xf>
    <xf numFmtId="0" fontId="9" fillId="0" borderId="0" xfId="1" applyFont="1">
      <alignment vertical="center"/>
    </xf>
    <xf numFmtId="0" fontId="4" fillId="2" borderId="3" xfId="1" applyFont="1" applyFill="1" applyBorder="1" applyAlignment="1">
      <alignment horizontal="center" vertical="center"/>
    </xf>
    <xf numFmtId="0" fontId="4" fillId="0" borderId="3" xfId="1" applyFont="1" applyBorder="1">
      <alignment vertical="center"/>
    </xf>
    <xf numFmtId="0" fontId="4" fillId="5" borderId="1" xfId="1" applyFont="1" applyFill="1" applyBorder="1" applyAlignment="1">
      <alignment vertical="center" wrapText="1"/>
    </xf>
    <xf numFmtId="0" fontId="4" fillId="0" borderId="2" xfId="1" applyFont="1" applyBorder="1">
      <alignment vertical="center"/>
    </xf>
    <xf numFmtId="176" fontId="4" fillId="4" borderId="2" xfId="1" applyNumberFormat="1" applyFont="1" applyFill="1" applyBorder="1" applyAlignment="1">
      <alignment horizontal="center" vertical="center"/>
    </xf>
    <xf numFmtId="0" fontId="4" fillId="4" borderId="2" xfId="1" applyFont="1" applyFill="1" applyBorder="1">
      <alignment vertical="center"/>
    </xf>
    <xf numFmtId="176" fontId="4" fillId="0" borderId="2" xfId="1" applyNumberFormat="1" applyFont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vertical="center" wrapText="1"/>
    </xf>
  </cellXfs>
  <cellStyles count="3">
    <cellStyle name="Normal" xfId="0" builtinId="0"/>
    <cellStyle name="標準 2" xfId="1" xr:uid="{7A6272CB-BA6F-4552-BFD7-7049E716670E}"/>
    <cellStyle name="標準 2 2" xfId="2" xr:uid="{F588DFD0-ADEF-4992-86BC-694FB4BA2F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6A464-8499-419B-8C00-B2C6A9A6533C}">
  <sheetPr>
    <tabColor theme="8" tint="0.39997558519241921"/>
  </sheetPr>
  <dimension ref="A1:D46"/>
  <sheetViews>
    <sheetView showGridLines="0" tabSelected="1" zoomScale="85" zoomScaleNormal="85" workbookViewId="0">
      <pane xSplit="3" ySplit="3" topLeftCell="D4" activePane="bottomRight" state="frozen"/>
      <selection pane="topRight" activeCell="D4" sqref="D4"/>
      <selection pane="bottomLeft" activeCell="D4" sqref="D4"/>
      <selection pane="bottomRight"/>
    </sheetView>
  </sheetViews>
  <sheetFormatPr defaultRowHeight="10.8" x14ac:dyDescent="0.45"/>
  <cols>
    <col min="1" max="1" width="2" style="2" customWidth="1"/>
    <col min="2" max="2" width="3.59765625" style="2" bestFit="1" customWidth="1"/>
    <col min="3" max="3" width="13.59765625" style="2" customWidth="1"/>
    <col min="4" max="4" width="36.3984375" style="2" customWidth="1"/>
    <col min="5" max="256" width="8.796875" style="2"/>
    <col min="257" max="257" width="2" style="2" customWidth="1"/>
    <col min="258" max="258" width="3.59765625" style="2" bestFit="1" customWidth="1"/>
    <col min="259" max="259" width="5.69921875" style="2" bestFit="1" customWidth="1"/>
    <col min="260" max="260" width="36.3984375" style="2" customWidth="1"/>
    <col min="261" max="512" width="8.796875" style="2"/>
    <col min="513" max="513" width="2" style="2" customWidth="1"/>
    <col min="514" max="514" width="3.59765625" style="2" bestFit="1" customWidth="1"/>
    <col min="515" max="515" width="5.69921875" style="2" bestFit="1" customWidth="1"/>
    <col min="516" max="516" width="36.3984375" style="2" customWidth="1"/>
    <col min="517" max="768" width="8.796875" style="2"/>
    <col min="769" max="769" width="2" style="2" customWidth="1"/>
    <col min="770" max="770" width="3.59765625" style="2" bestFit="1" customWidth="1"/>
    <col min="771" max="771" width="5.69921875" style="2" bestFit="1" customWidth="1"/>
    <col min="772" max="772" width="36.3984375" style="2" customWidth="1"/>
    <col min="773" max="1024" width="8.796875" style="2"/>
    <col min="1025" max="1025" width="2" style="2" customWidth="1"/>
    <col min="1026" max="1026" width="3.59765625" style="2" bestFit="1" customWidth="1"/>
    <col min="1027" max="1027" width="5.69921875" style="2" bestFit="1" customWidth="1"/>
    <col min="1028" max="1028" width="36.3984375" style="2" customWidth="1"/>
    <col min="1029" max="1280" width="8.796875" style="2"/>
    <col min="1281" max="1281" width="2" style="2" customWidth="1"/>
    <col min="1282" max="1282" width="3.59765625" style="2" bestFit="1" customWidth="1"/>
    <col min="1283" max="1283" width="5.69921875" style="2" bestFit="1" customWidth="1"/>
    <col min="1284" max="1284" width="36.3984375" style="2" customWidth="1"/>
    <col min="1285" max="1536" width="8.796875" style="2"/>
    <col min="1537" max="1537" width="2" style="2" customWidth="1"/>
    <col min="1538" max="1538" width="3.59765625" style="2" bestFit="1" customWidth="1"/>
    <col min="1539" max="1539" width="5.69921875" style="2" bestFit="1" customWidth="1"/>
    <col min="1540" max="1540" width="36.3984375" style="2" customWidth="1"/>
    <col min="1541" max="1792" width="8.796875" style="2"/>
    <col min="1793" max="1793" width="2" style="2" customWidth="1"/>
    <col min="1794" max="1794" width="3.59765625" style="2" bestFit="1" customWidth="1"/>
    <col min="1795" max="1795" width="5.69921875" style="2" bestFit="1" customWidth="1"/>
    <col min="1796" max="1796" width="36.3984375" style="2" customWidth="1"/>
    <col min="1797" max="2048" width="8.796875" style="2"/>
    <col min="2049" max="2049" width="2" style="2" customWidth="1"/>
    <col min="2050" max="2050" width="3.59765625" style="2" bestFit="1" customWidth="1"/>
    <col min="2051" max="2051" width="5.69921875" style="2" bestFit="1" customWidth="1"/>
    <col min="2052" max="2052" width="36.3984375" style="2" customWidth="1"/>
    <col min="2053" max="2304" width="8.796875" style="2"/>
    <col min="2305" max="2305" width="2" style="2" customWidth="1"/>
    <col min="2306" max="2306" width="3.59765625" style="2" bestFit="1" customWidth="1"/>
    <col min="2307" max="2307" width="5.69921875" style="2" bestFit="1" customWidth="1"/>
    <col min="2308" max="2308" width="36.3984375" style="2" customWidth="1"/>
    <col min="2309" max="2560" width="8.796875" style="2"/>
    <col min="2561" max="2561" width="2" style="2" customWidth="1"/>
    <col min="2562" max="2562" width="3.59765625" style="2" bestFit="1" customWidth="1"/>
    <col min="2563" max="2563" width="5.69921875" style="2" bestFit="1" customWidth="1"/>
    <col min="2564" max="2564" width="36.3984375" style="2" customWidth="1"/>
    <col min="2565" max="2816" width="8.796875" style="2"/>
    <col min="2817" max="2817" width="2" style="2" customWidth="1"/>
    <col min="2818" max="2818" width="3.59765625" style="2" bestFit="1" customWidth="1"/>
    <col min="2819" max="2819" width="5.69921875" style="2" bestFit="1" customWidth="1"/>
    <col min="2820" max="2820" width="36.3984375" style="2" customWidth="1"/>
    <col min="2821" max="3072" width="8.796875" style="2"/>
    <col min="3073" max="3073" width="2" style="2" customWidth="1"/>
    <col min="3074" max="3074" width="3.59765625" style="2" bestFit="1" customWidth="1"/>
    <col min="3075" max="3075" width="5.69921875" style="2" bestFit="1" customWidth="1"/>
    <col min="3076" max="3076" width="36.3984375" style="2" customWidth="1"/>
    <col min="3077" max="3328" width="8.796875" style="2"/>
    <col min="3329" max="3329" width="2" style="2" customWidth="1"/>
    <col min="3330" max="3330" width="3.59765625" style="2" bestFit="1" customWidth="1"/>
    <col min="3331" max="3331" width="5.69921875" style="2" bestFit="1" customWidth="1"/>
    <col min="3332" max="3332" width="36.3984375" style="2" customWidth="1"/>
    <col min="3333" max="3584" width="8.796875" style="2"/>
    <col min="3585" max="3585" width="2" style="2" customWidth="1"/>
    <col min="3586" max="3586" width="3.59765625" style="2" bestFit="1" customWidth="1"/>
    <col min="3587" max="3587" width="5.69921875" style="2" bestFit="1" customWidth="1"/>
    <col min="3588" max="3588" width="36.3984375" style="2" customWidth="1"/>
    <col min="3589" max="3840" width="8.796875" style="2"/>
    <col min="3841" max="3841" width="2" style="2" customWidth="1"/>
    <col min="3842" max="3842" width="3.59765625" style="2" bestFit="1" customWidth="1"/>
    <col min="3843" max="3843" width="5.69921875" style="2" bestFit="1" customWidth="1"/>
    <col min="3844" max="3844" width="36.3984375" style="2" customWidth="1"/>
    <col min="3845" max="4096" width="8.796875" style="2"/>
    <col min="4097" max="4097" width="2" style="2" customWidth="1"/>
    <col min="4098" max="4098" width="3.59765625" style="2" bestFit="1" customWidth="1"/>
    <col min="4099" max="4099" width="5.69921875" style="2" bestFit="1" customWidth="1"/>
    <col min="4100" max="4100" width="36.3984375" style="2" customWidth="1"/>
    <col min="4101" max="4352" width="8.796875" style="2"/>
    <col min="4353" max="4353" width="2" style="2" customWidth="1"/>
    <col min="4354" max="4354" width="3.59765625" style="2" bestFit="1" customWidth="1"/>
    <col min="4355" max="4355" width="5.69921875" style="2" bestFit="1" customWidth="1"/>
    <col min="4356" max="4356" width="36.3984375" style="2" customWidth="1"/>
    <col min="4357" max="4608" width="8.796875" style="2"/>
    <col min="4609" max="4609" width="2" style="2" customWidth="1"/>
    <col min="4610" max="4610" width="3.59765625" style="2" bestFit="1" customWidth="1"/>
    <col min="4611" max="4611" width="5.69921875" style="2" bestFit="1" customWidth="1"/>
    <col min="4612" max="4612" width="36.3984375" style="2" customWidth="1"/>
    <col min="4613" max="4864" width="8.796875" style="2"/>
    <col min="4865" max="4865" width="2" style="2" customWidth="1"/>
    <col min="4866" max="4866" width="3.59765625" style="2" bestFit="1" customWidth="1"/>
    <col min="4867" max="4867" width="5.69921875" style="2" bestFit="1" customWidth="1"/>
    <col min="4868" max="4868" width="36.3984375" style="2" customWidth="1"/>
    <col min="4869" max="5120" width="8.796875" style="2"/>
    <col min="5121" max="5121" width="2" style="2" customWidth="1"/>
    <col min="5122" max="5122" width="3.59765625" style="2" bestFit="1" customWidth="1"/>
    <col min="5123" max="5123" width="5.69921875" style="2" bestFit="1" customWidth="1"/>
    <col min="5124" max="5124" width="36.3984375" style="2" customWidth="1"/>
    <col min="5125" max="5376" width="8.796875" style="2"/>
    <col min="5377" max="5377" width="2" style="2" customWidth="1"/>
    <col min="5378" max="5378" width="3.59765625" style="2" bestFit="1" customWidth="1"/>
    <col min="5379" max="5379" width="5.69921875" style="2" bestFit="1" customWidth="1"/>
    <col min="5380" max="5380" width="36.3984375" style="2" customWidth="1"/>
    <col min="5381" max="5632" width="8.796875" style="2"/>
    <col min="5633" max="5633" width="2" style="2" customWidth="1"/>
    <col min="5634" max="5634" width="3.59765625" style="2" bestFit="1" customWidth="1"/>
    <col min="5635" max="5635" width="5.69921875" style="2" bestFit="1" customWidth="1"/>
    <col min="5636" max="5636" width="36.3984375" style="2" customWidth="1"/>
    <col min="5637" max="5888" width="8.796875" style="2"/>
    <col min="5889" max="5889" width="2" style="2" customWidth="1"/>
    <col min="5890" max="5890" width="3.59765625" style="2" bestFit="1" customWidth="1"/>
    <col min="5891" max="5891" width="5.69921875" style="2" bestFit="1" customWidth="1"/>
    <col min="5892" max="5892" width="36.3984375" style="2" customWidth="1"/>
    <col min="5893" max="6144" width="8.796875" style="2"/>
    <col min="6145" max="6145" width="2" style="2" customWidth="1"/>
    <col min="6146" max="6146" width="3.59765625" style="2" bestFit="1" customWidth="1"/>
    <col min="6147" max="6147" width="5.69921875" style="2" bestFit="1" customWidth="1"/>
    <col min="6148" max="6148" width="36.3984375" style="2" customWidth="1"/>
    <col min="6149" max="6400" width="8.796875" style="2"/>
    <col min="6401" max="6401" width="2" style="2" customWidth="1"/>
    <col min="6402" max="6402" width="3.59765625" style="2" bestFit="1" customWidth="1"/>
    <col min="6403" max="6403" width="5.69921875" style="2" bestFit="1" customWidth="1"/>
    <col min="6404" max="6404" width="36.3984375" style="2" customWidth="1"/>
    <col min="6405" max="6656" width="8.796875" style="2"/>
    <col min="6657" max="6657" width="2" style="2" customWidth="1"/>
    <col min="6658" max="6658" width="3.59765625" style="2" bestFit="1" customWidth="1"/>
    <col min="6659" max="6659" width="5.69921875" style="2" bestFit="1" customWidth="1"/>
    <col min="6660" max="6660" width="36.3984375" style="2" customWidth="1"/>
    <col min="6661" max="6912" width="8.796875" style="2"/>
    <col min="6913" max="6913" width="2" style="2" customWidth="1"/>
    <col min="6914" max="6914" width="3.59765625" style="2" bestFit="1" customWidth="1"/>
    <col min="6915" max="6915" width="5.69921875" style="2" bestFit="1" customWidth="1"/>
    <col min="6916" max="6916" width="36.3984375" style="2" customWidth="1"/>
    <col min="6917" max="7168" width="8.796875" style="2"/>
    <col min="7169" max="7169" width="2" style="2" customWidth="1"/>
    <col min="7170" max="7170" width="3.59765625" style="2" bestFit="1" customWidth="1"/>
    <col min="7171" max="7171" width="5.69921875" style="2" bestFit="1" customWidth="1"/>
    <col min="7172" max="7172" width="36.3984375" style="2" customWidth="1"/>
    <col min="7173" max="7424" width="8.796875" style="2"/>
    <col min="7425" max="7425" width="2" style="2" customWidth="1"/>
    <col min="7426" max="7426" width="3.59765625" style="2" bestFit="1" customWidth="1"/>
    <col min="7427" max="7427" width="5.69921875" style="2" bestFit="1" customWidth="1"/>
    <col min="7428" max="7428" width="36.3984375" style="2" customWidth="1"/>
    <col min="7429" max="7680" width="8.796875" style="2"/>
    <col min="7681" max="7681" width="2" style="2" customWidth="1"/>
    <col min="7682" max="7682" width="3.59765625" style="2" bestFit="1" customWidth="1"/>
    <col min="7683" max="7683" width="5.69921875" style="2" bestFit="1" customWidth="1"/>
    <col min="7684" max="7684" width="36.3984375" style="2" customWidth="1"/>
    <col min="7685" max="7936" width="8.796875" style="2"/>
    <col min="7937" max="7937" width="2" style="2" customWidth="1"/>
    <col min="7938" max="7938" width="3.59765625" style="2" bestFit="1" customWidth="1"/>
    <col min="7939" max="7939" width="5.69921875" style="2" bestFit="1" customWidth="1"/>
    <col min="7940" max="7940" width="36.3984375" style="2" customWidth="1"/>
    <col min="7941" max="8192" width="8.796875" style="2"/>
    <col min="8193" max="8193" width="2" style="2" customWidth="1"/>
    <col min="8194" max="8194" width="3.59765625" style="2" bestFit="1" customWidth="1"/>
    <col min="8195" max="8195" width="5.69921875" style="2" bestFit="1" customWidth="1"/>
    <col min="8196" max="8196" width="36.3984375" style="2" customWidth="1"/>
    <col min="8197" max="8448" width="8.796875" style="2"/>
    <col min="8449" max="8449" width="2" style="2" customWidth="1"/>
    <col min="8450" max="8450" width="3.59765625" style="2" bestFit="1" customWidth="1"/>
    <col min="8451" max="8451" width="5.69921875" style="2" bestFit="1" customWidth="1"/>
    <col min="8452" max="8452" width="36.3984375" style="2" customWidth="1"/>
    <col min="8453" max="8704" width="8.796875" style="2"/>
    <col min="8705" max="8705" width="2" style="2" customWidth="1"/>
    <col min="8706" max="8706" width="3.59765625" style="2" bestFit="1" customWidth="1"/>
    <col min="8707" max="8707" width="5.69921875" style="2" bestFit="1" customWidth="1"/>
    <col min="8708" max="8708" width="36.3984375" style="2" customWidth="1"/>
    <col min="8709" max="8960" width="8.796875" style="2"/>
    <col min="8961" max="8961" width="2" style="2" customWidth="1"/>
    <col min="8962" max="8962" width="3.59765625" style="2" bestFit="1" customWidth="1"/>
    <col min="8963" max="8963" width="5.69921875" style="2" bestFit="1" customWidth="1"/>
    <col min="8964" max="8964" width="36.3984375" style="2" customWidth="1"/>
    <col min="8965" max="9216" width="8.796875" style="2"/>
    <col min="9217" max="9217" width="2" style="2" customWidth="1"/>
    <col min="9218" max="9218" width="3.59765625" style="2" bestFit="1" customWidth="1"/>
    <col min="9219" max="9219" width="5.69921875" style="2" bestFit="1" customWidth="1"/>
    <col min="9220" max="9220" width="36.3984375" style="2" customWidth="1"/>
    <col min="9221" max="9472" width="8.796875" style="2"/>
    <col min="9473" max="9473" width="2" style="2" customWidth="1"/>
    <col min="9474" max="9474" width="3.59765625" style="2" bestFit="1" customWidth="1"/>
    <col min="9475" max="9475" width="5.69921875" style="2" bestFit="1" customWidth="1"/>
    <col min="9476" max="9476" width="36.3984375" style="2" customWidth="1"/>
    <col min="9477" max="9728" width="8.796875" style="2"/>
    <col min="9729" max="9729" width="2" style="2" customWidth="1"/>
    <col min="9730" max="9730" width="3.59765625" style="2" bestFit="1" customWidth="1"/>
    <col min="9731" max="9731" width="5.69921875" style="2" bestFit="1" customWidth="1"/>
    <col min="9732" max="9732" width="36.3984375" style="2" customWidth="1"/>
    <col min="9733" max="9984" width="8.796875" style="2"/>
    <col min="9985" max="9985" width="2" style="2" customWidth="1"/>
    <col min="9986" max="9986" width="3.59765625" style="2" bestFit="1" customWidth="1"/>
    <col min="9987" max="9987" width="5.69921875" style="2" bestFit="1" customWidth="1"/>
    <col min="9988" max="9988" width="36.3984375" style="2" customWidth="1"/>
    <col min="9989" max="10240" width="8.796875" style="2"/>
    <col min="10241" max="10241" width="2" style="2" customWidth="1"/>
    <col min="10242" max="10242" width="3.59765625" style="2" bestFit="1" customWidth="1"/>
    <col min="10243" max="10243" width="5.69921875" style="2" bestFit="1" customWidth="1"/>
    <col min="10244" max="10244" width="36.3984375" style="2" customWidth="1"/>
    <col min="10245" max="10496" width="8.796875" style="2"/>
    <col min="10497" max="10497" width="2" style="2" customWidth="1"/>
    <col min="10498" max="10498" width="3.59765625" style="2" bestFit="1" customWidth="1"/>
    <col min="10499" max="10499" width="5.69921875" style="2" bestFit="1" customWidth="1"/>
    <col min="10500" max="10500" width="36.3984375" style="2" customWidth="1"/>
    <col min="10501" max="10752" width="8.796875" style="2"/>
    <col min="10753" max="10753" width="2" style="2" customWidth="1"/>
    <col min="10754" max="10754" width="3.59765625" style="2" bestFit="1" customWidth="1"/>
    <col min="10755" max="10755" width="5.69921875" style="2" bestFit="1" customWidth="1"/>
    <col min="10756" max="10756" width="36.3984375" style="2" customWidth="1"/>
    <col min="10757" max="11008" width="8.796875" style="2"/>
    <col min="11009" max="11009" width="2" style="2" customWidth="1"/>
    <col min="11010" max="11010" width="3.59765625" style="2" bestFit="1" customWidth="1"/>
    <col min="11011" max="11011" width="5.69921875" style="2" bestFit="1" customWidth="1"/>
    <col min="11012" max="11012" width="36.3984375" style="2" customWidth="1"/>
    <col min="11013" max="11264" width="8.796875" style="2"/>
    <col min="11265" max="11265" width="2" style="2" customWidth="1"/>
    <col min="11266" max="11266" width="3.59765625" style="2" bestFit="1" customWidth="1"/>
    <col min="11267" max="11267" width="5.69921875" style="2" bestFit="1" customWidth="1"/>
    <col min="11268" max="11268" width="36.3984375" style="2" customWidth="1"/>
    <col min="11269" max="11520" width="8.796875" style="2"/>
    <col min="11521" max="11521" width="2" style="2" customWidth="1"/>
    <col min="11522" max="11522" width="3.59765625" style="2" bestFit="1" customWidth="1"/>
    <col min="11523" max="11523" width="5.69921875" style="2" bestFit="1" customWidth="1"/>
    <col min="11524" max="11524" width="36.3984375" style="2" customWidth="1"/>
    <col min="11525" max="11776" width="8.796875" style="2"/>
    <col min="11777" max="11777" width="2" style="2" customWidth="1"/>
    <col min="11778" max="11778" width="3.59765625" style="2" bestFit="1" customWidth="1"/>
    <col min="11779" max="11779" width="5.69921875" style="2" bestFit="1" customWidth="1"/>
    <col min="11780" max="11780" width="36.3984375" style="2" customWidth="1"/>
    <col min="11781" max="12032" width="8.796875" style="2"/>
    <col min="12033" max="12033" width="2" style="2" customWidth="1"/>
    <col min="12034" max="12034" width="3.59765625" style="2" bestFit="1" customWidth="1"/>
    <col min="12035" max="12035" width="5.69921875" style="2" bestFit="1" customWidth="1"/>
    <col min="12036" max="12036" width="36.3984375" style="2" customWidth="1"/>
    <col min="12037" max="12288" width="8.796875" style="2"/>
    <col min="12289" max="12289" width="2" style="2" customWidth="1"/>
    <col min="12290" max="12290" width="3.59765625" style="2" bestFit="1" customWidth="1"/>
    <col min="12291" max="12291" width="5.69921875" style="2" bestFit="1" customWidth="1"/>
    <col min="12292" max="12292" width="36.3984375" style="2" customWidth="1"/>
    <col min="12293" max="12544" width="8.796875" style="2"/>
    <col min="12545" max="12545" width="2" style="2" customWidth="1"/>
    <col min="12546" max="12546" width="3.59765625" style="2" bestFit="1" customWidth="1"/>
    <col min="12547" max="12547" width="5.69921875" style="2" bestFit="1" customWidth="1"/>
    <col min="12548" max="12548" width="36.3984375" style="2" customWidth="1"/>
    <col min="12549" max="12800" width="8.796875" style="2"/>
    <col min="12801" max="12801" width="2" style="2" customWidth="1"/>
    <col min="12802" max="12802" width="3.59765625" style="2" bestFit="1" customWidth="1"/>
    <col min="12803" max="12803" width="5.69921875" style="2" bestFit="1" customWidth="1"/>
    <col min="12804" max="12804" width="36.3984375" style="2" customWidth="1"/>
    <col min="12805" max="13056" width="8.796875" style="2"/>
    <col min="13057" max="13057" width="2" style="2" customWidth="1"/>
    <col min="13058" max="13058" width="3.59765625" style="2" bestFit="1" customWidth="1"/>
    <col min="13059" max="13059" width="5.69921875" style="2" bestFit="1" customWidth="1"/>
    <col min="13060" max="13060" width="36.3984375" style="2" customWidth="1"/>
    <col min="13061" max="13312" width="8.796875" style="2"/>
    <col min="13313" max="13313" width="2" style="2" customWidth="1"/>
    <col min="13314" max="13314" width="3.59765625" style="2" bestFit="1" customWidth="1"/>
    <col min="13315" max="13315" width="5.69921875" style="2" bestFit="1" customWidth="1"/>
    <col min="13316" max="13316" width="36.3984375" style="2" customWidth="1"/>
    <col min="13317" max="13568" width="8.796875" style="2"/>
    <col min="13569" max="13569" width="2" style="2" customWidth="1"/>
    <col min="13570" max="13570" width="3.59765625" style="2" bestFit="1" customWidth="1"/>
    <col min="13571" max="13571" width="5.69921875" style="2" bestFit="1" customWidth="1"/>
    <col min="13572" max="13572" width="36.3984375" style="2" customWidth="1"/>
    <col min="13573" max="13824" width="8.796875" style="2"/>
    <col min="13825" max="13825" width="2" style="2" customWidth="1"/>
    <col min="13826" max="13826" width="3.59765625" style="2" bestFit="1" customWidth="1"/>
    <col min="13827" max="13827" width="5.69921875" style="2" bestFit="1" customWidth="1"/>
    <col min="13828" max="13828" width="36.3984375" style="2" customWidth="1"/>
    <col min="13829" max="14080" width="8.796875" style="2"/>
    <col min="14081" max="14081" width="2" style="2" customWidth="1"/>
    <col min="14082" max="14082" width="3.59765625" style="2" bestFit="1" customWidth="1"/>
    <col min="14083" max="14083" width="5.69921875" style="2" bestFit="1" customWidth="1"/>
    <col min="14084" max="14084" width="36.3984375" style="2" customWidth="1"/>
    <col min="14085" max="14336" width="8.796875" style="2"/>
    <col min="14337" max="14337" width="2" style="2" customWidth="1"/>
    <col min="14338" max="14338" width="3.59765625" style="2" bestFit="1" customWidth="1"/>
    <col min="14339" max="14339" width="5.69921875" style="2" bestFit="1" customWidth="1"/>
    <col min="14340" max="14340" width="36.3984375" style="2" customWidth="1"/>
    <col min="14341" max="14592" width="8.796875" style="2"/>
    <col min="14593" max="14593" width="2" style="2" customWidth="1"/>
    <col min="14594" max="14594" width="3.59765625" style="2" bestFit="1" customWidth="1"/>
    <col min="14595" max="14595" width="5.69921875" style="2" bestFit="1" customWidth="1"/>
    <col min="14596" max="14596" width="36.3984375" style="2" customWidth="1"/>
    <col min="14597" max="14848" width="8.796875" style="2"/>
    <col min="14849" max="14849" width="2" style="2" customWidth="1"/>
    <col min="14850" max="14850" width="3.59765625" style="2" bestFit="1" customWidth="1"/>
    <col min="14851" max="14851" width="5.69921875" style="2" bestFit="1" customWidth="1"/>
    <col min="14852" max="14852" width="36.3984375" style="2" customWidth="1"/>
    <col min="14853" max="15104" width="8.796875" style="2"/>
    <col min="15105" max="15105" width="2" style="2" customWidth="1"/>
    <col min="15106" max="15106" width="3.59765625" style="2" bestFit="1" customWidth="1"/>
    <col min="15107" max="15107" width="5.69921875" style="2" bestFit="1" customWidth="1"/>
    <col min="15108" max="15108" width="36.3984375" style="2" customWidth="1"/>
    <col min="15109" max="15360" width="8.796875" style="2"/>
    <col min="15361" max="15361" width="2" style="2" customWidth="1"/>
    <col min="15362" max="15362" width="3.59765625" style="2" bestFit="1" customWidth="1"/>
    <col min="15363" max="15363" width="5.69921875" style="2" bestFit="1" customWidth="1"/>
    <col min="15364" max="15364" width="36.3984375" style="2" customWidth="1"/>
    <col min="15365" max="15616" width="8.796875" style="2"/>
    <col min="15617" max="15617" width="2" style="2" customWidth="1"/>
    <col min="15618" max="15618" width="3.59765625" style="2" bestFit="1" customWidth="1"/>
    <col min="15619" max="15619" width="5.69921875" style="2" bestFit="1" customWidth="1"/>
    <col min="15620" max="15620" width="36.3984375" style="2" customWidth="1"/>
    <col min="15621" max="15872" width="8.796875" style="2"/>
    <col min="15873" max="15873" width="2" style="2" customWidth="1"/>
    <col min="15874" max="15874" width="3.59765625" style="2" bestFit="1" customWidth="1"/>
    <col min="15875" max="15875" width="5.69921875" style="2" bestFit="1" customWidth="1"/>
    <col min="15876" max="15876" width="36.3984375" style="2" customWidth="1"/>
    <col min="15877" max="16128" width="8.796875" style="2"/>
    <col min="16129" max="16129" width="2" style="2" customWidth="1"/>
    <col min="16130" max="16130" width="3.59765625" style="2" bestFit="1" customWidth="1"/>
    <col min="16131" max="16131" width="5.69921875" style="2" bestFit="1" customWidth="1"/>
    <col min="16132" max="16132" width="36.3984375" style="2" customWidth="1"/>
    <col min="16133" max="16384" width="8.796875" style="2"/>
  </cols>
  <sheetData>
    <row r="1" spans="1:4" ht="19.2" x14ac:dyDescent="0.45">
      <c r="A1" s="1" t="s">
        <v>0</v>
      </c>
    </row>
    <row r="3" spans="1:4" x14ac:dyDescent="0.45">
      <c r="B3" s="3" t="s">
        <v>1</v>
      </c>
      <c r="C3" s="3" t="s">
        <v>2</v>
      </c>
      <c r="D3" s="4" t="s">
        <v>3</v>
      </c>
    </row>
    <row r="4" spans="1:4" x14ac:dyDescent="0.45">
      <c r="B4" s="5"/>
      <c r="C4" s="6" t="s">
        <v>4</v>
      </c>
      <c r="D4" s="7" t="s">
        <v>19</v>
      </c>
    </row>
    <row r="5" spans="1:4" x14ac:dyDescent="0.15">
      <c r="B5" s="5">
        <f>B4+1</f>
        <v>1</v>
      </c>
      <c r="C5" s="8" t="s">
        <v>5</v>
      </c>
      <c r="D5" s="9" t="s">
        <v>29</v>
      </c>
    </row>
    <row r="6" spans="1:4" x14ac:dyDescent="0.15">
      <c r="B6" s="5">
        <f t="shared" ref="B6:B46" si="0">B5+1</f>
        <v>2</v>
      </c>
      <c r="C6" s="8" t="s">
        <v>5</v>
      </c>
      <c r="D6" s="10" t="s">
        <v>30</v>
      </c>
    </row>
    <row r="7" spans="1:4" x14ac:dyDescent="0.15">
      <c r="B7" s="5">
        <f t="shared" si="0"/>
        <v>3</v>
      </c>
      <c r="C7" s="8" t="s">
        <v>5</v>
      </c>
      <c r="D7" s="10"/>
    </row>
    <row r="8" spans="1:4" x14ac:dyDescent="0.15">
      <c r="B8" s="5">
        <f t="shared" si="0"/>
        <v>4</v>
      </c>
      <c r="C8" s="8" t="s">
        <v>5</v>
      </c>
      <c r="D8" s="10"/>
    </row>
    <row r="9" spans="1:4" x14ac:dyDescent="0.15">
      <c r="B9" s="5">
        <f t="shared" si="0"/>
        <v>5</v>
      </c>
      <c r="C9" s="8" t="s">
        <v>5</v>
      </c>
      <c r="D9" s="10"/>
    </row>
    <row r="10" spans="1:4" x14ac:dyDescent="0.45">
      <c r="B10" s="5">
        <f t="shared" si="0"/>
        <v>6</v>
      </c>
      <c r="C10" s="8"/>
      <c r="D10" s="5"/>
    </row>
    <row r="11" spans="1:4" x14ac:dyDescent="0.45">
      <c r="B11" s="5">
        <f t="shared" si="0"/>
        <v>7</v>
      </c>
      <c r="C11" s="8"/>
      <c r="D11" s="5"/>
    </row>
    <row r="12" spans="1:4" x14ac:dyDescent="0.45">
      <c r="B12" s="5">
        <f t="shared" si="0"/>
        <v>8</v>
      </c>
      <c r="C12" s="8"/>
      <c r="D12" s="5"/>
    </row>
    <row r="13" spans="1:4" x14ac:dyDescent="0.45">
      <c r="B13" s="5">
        <f t="shared" si="0"/>
        <v>9</v>
      </c>
      <c r="C13" s="8"/>
      <c r="D13" s="5"/>
    </row>
    <row r="14" spans="1:4" x14ac:dyDescent="0.45">
      <c r="B14" s="5">
        <f t="shared" si="0"/>
        <v>10</v>
      </c>
      <c r="C14" s="8"/>
      <c r="D14" s="5"/>
    </row>
    <row r="15" spans="1:4" x14ac:dyDescent="0.45">
      <c r="B15" s="5">
        <f t="shared" si="0"/>
        <v>11</v>
      </c>
      <c r="C15" s="8"/>
      <c r="D15" s="11"/>
    </row>
    <row r="16" spans="1:4" x14ac:dyDescent="0.45">
      <c r="B16" s="5">
        <f t="shared" si="0"/>
        <v>12</v>
      </c>
      <c r="C16" s="8"/>
      <c r="D16" s="11"/>
    </row>
    <row r="17" spans="2:4" x14ac:dyDescent="0.45">
      <c r="B17" s="5">
        <f t="shared" si="0"/>
        <v>13</v>
      </c>
      <c r="C17" s="8"/>
      <c r="D17" s="11"/>
    </row>
    <row r="18" spans="2:4" x14ac:dyDescent="0.45">
      <c r="B18" s="5">
        <f t="shared" si="0"/>
        <v>14</v>
      </c>
      <c r="C18" s="8"/>
      <c r="D18" s="11"/>
    </row>
    <row r="19" spans="2:4" x14ac:dyDescent="0.45">
      <c r="B19" s="5">
        <f t="shared" si="0"/>
        <v>15</v>
      </c>
      <c r="C19" s="8"/>
      <c r="D19" s="5"/>
    </row>
    <row r="20" spans="2:4" x14ac:dyDescent="0.45">
      <c r="B20" s="5">
        <f t="shared" si="0"/>
        <v>16</v>
      </c>
      <c r="C20" s="8"/>
      <c r="D20" s="5"/>
    </row>
    <row r="21" spans="2:4" x14ac:dyDescent="0.45">
      <c r="B21" s="5">
        <f t="shared" si="0"/>
        <v>17</v>
      </c>
      <c r="C21" s="8"/>
      <c r="D21" s="5"/>
    </row>
    <row r="22" spans="2:4" x14ac:dyDescent="0.45">
      <c r="B22" s="5">
        <f t="shared" si="0"/>
        <v>18</v>
      </c>
      <c r="C22" s="8"/>
      <c r="D22" s="5"/>
    </row>
    <row r="23" spans="2:4" x14ac:dyDescent="0.45">
      <c r="B23" s="5">
        <f t="shared" si="0"/>
        <v>19</v>
      </c>
      <c r="C23" s="8"/>
      <c r="D23" s="5"/>
    </row>
    <row r="24" spans="2:4" x14ac:dyDescent="0.45">
      <c r="B24" s="5">
        <f t="shared" si="0"/>
        <v>20</v>
      </c>
      <c r="C24" s="8"/>
      <c r="D24" s="5"/>
    </row>
    <row r="25" spans="2:4" x14ac:dyDescent="0.45">
      <c r="B25" s="5">
        <f t="shared" si="0"/>
        <v>21</v>
      </c>
      <c r="C25" s="8"/>
      <c r="D25" s="5"/>
    </row>
    <row r="26" spans="2:4" x14ac:dyDescent="0.45">
      <c r="B26" s="5">
        <f t="shared" si="0"/>
        <v>22</v>
      </c>
      <c r="C26" s="8"/>
      <c r="D26" s="5"/>
    </row>
    <row r="27" spans="2:4" x14ac:dyDescent="0.45">
      <c r="B27" s="5">
        <f t="shared" si="0"/>
        <v>23</v>
      </c>
      <c r="C27" s="8"/>
      <c r="D27" s="5"/>
    </row>
    <row r="28" spans="2:4" x14ac:dyDescent="0.45">
      <c r="B28" s="5">
        <f t="shared" si="0"/>
        <v>24</v>
      </c>
      <c r="C28" s="8"/>
      <c r="D28" s="5"/>
    </row>
    <row r="29" spans="2:4" x14ac:dyDescent="0.45">
      <c r="B29" s="5">
        <f t="shared" si="0"/>
        <v>25</v>
      </c>
      <c r="C29" s="8"/>
      <c r="D29" s="5"/>
    </row>
    <row r="30" spans="2:4" x14ac:dyDescent="0.45">
      <c r="B30" s="5">
        <f t="shared" si="0"/>
        <v>26</v>
      </c>
      <c r="C30" s="8"/>
      <c r="D30" s="11"/>
    </row>
    <row r="31" spans="2:4" x14ac:dyDescent="0.45">
      <c r="B31" s="5">
        <f t="shared" si="0"/>
        <v>27</v>
      </c>
      <c r="C31" s="8"/>
      <c r="D31" s="11"/>
    </row>
    <row r="32" spans="2:4" x14ac:dyDescent="0.45">
      <c r="B32" s="5">
        <f t="shared" si="0"/>
        <v>28</v>
      </c>
      <c r="C32" s="8"/>
      <c r="D32" s="11"/>
    </row>
    <row r="33" spans="2:4" x14ac:dyDescent="0.45">
      <c r="B33" s="5">
        <f t="shared" si="0"/>
        <v>29</v>
      </c>
      <c r="C33" s="8"/>
      <c r="D33" s="11"/>
    </row>
    <row r="34" spans="2:4" x14ac:dyDescent="0.45">
      <c r="B34" s="5">
        <f t="shared" si="0"/>
        <v>30</v>
      </c>
      <c r="C34" s="8"/>
      <c r="D34" s="5"/>
    </row>
    <row r="35" spans="2:4" x14ac:dyDescent="0.45">
      <c r="B35" s="5">
        <f t="shared" si="0"/>
        <v>31</v>
      </c>
      <c r="C35" s="8"/>
      <c r="D35" s="5"/>
    </row>
    <row r="36" spans="2:4" x14ac:dyDescent="0.45">
      <c r="B36" s="5">
        <f t="shared" si="0"/>
        <v>32</v>
      </c>
      <c r="C36" s="8"/>
      <c r="D36" s="5"/>
    </row>
    <row r="37" spans="2:4" x14ac:dyDescent="0.45">
      <c r="B37" s="5">
        <f t="shared" si="0"/>
        <v>33</v>
      </c>
      <c r="C37" s="8"/>
      <c r="D37" s="5"/>
    </row>
    <row r="38" spans="2:4" x14ac:dyDescent="0.45">
      <c r="B38" s="5">
        <f t="shared" si="0"/>
        <v>34</v>
      </c>
      <c r="C38" s="8"/>
      <c r="D38" s="5"/>
    </row>
    <row r="39" spans="2:4" x14ac:dyDescent="0.45">
      <c r="B39" s="5">
        <f t="shared" si="0"/>
        <v>35</v>
      </c>
      <c r="C39" s="8"/>
      <c r="D39" s="5"/>
    </row>
    <row r="40" spans="2:4" x14ac:dyDescent="0.45">
      <c r="B40" s="5">
        <f t="shared" si="0"/>
        <v>36</v>
      </c>
      <c r="C40" s="8"/>
      <c r="D40" s="5"/>
    </row>
    <row r="41" spans="2:4" x14ac:dyDescent="0.45">
      <c r="B41" s="5">
        <f t="shared" si="0"/>
        <v>37</v>
      </c>
      <c r="C41" s="8"/>
      <c r="D41" s="5"/>
    </row>
    <row r="42" spans="2:4" x14ac:dyDescent="0.45">
      <c r="B42" s="5">
        <f t="shared" si="0"/>
        <v>38</v>
      </c>
      <c r="C42" s="8"/>
      <c r="D42" s="5"/>
    </row>
    <row r="43" spans="2:4" x14ac:dyDescent="0.45">
      <c r="B43" s="5">
        <f t="shared" si="0"/>
        <v>39</v>
      </c>
      <c r="C43" s="8"/>
      <c r="D43" s="5"/>
    </row>
    <row r="44" spans="2:4" x14ac:dyDescent="0.45">
      <c r="B44" s="5">
        <f t="shared" si="0"/>
        <v>40</v>
      </c>
      <c r="C44" s="8"/>
      <c r="D44" s="5"/>
    </row>
    <row r="45" spans="2:4" x14ac:dyDescent="0.45">
      <c r="B45" s="5">
        <f t="shared" si="0"/>
        <v>41</v>
      </c>
      <c r="C45" s="8"/>
      <c r="D45" s="5"/>
    </row>
    <row r="46" spans="2:4" x14ac:dyDescent="0.45">
      <c r="B46" s="5">
        <f t="shared" si="0"/>
        <v>42</v>
      </c>
      <c r="C46" s="8"/>
      <c r="D46" s="5"/>
    </row>
  </sheetData>
  <autoFilter ref="B3:D3" xr:uid="{00000000-0009-0000-0000-000007000000}"/>
  <phoneticPr fontId="3"/>
  <pageMargins left="0.75" right="0.75" top="1" bottom="1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zoomScale="85" zoomScaleNormal="85" workbookViewId="0"/>
  </sheetViews>
  <sheetFormatPr defaultRowHeight="10.8" customHeight="1" x14ac:dyDescent="0.45"/>
  <cols>
    <col min="1" max="1" width="8.5" bestFit="1" customWidth="1"/>
    <col min="2" max="2" width="3.8984375" bestFit="1" customWidth="1"/>
    <col min="3" max="3" width="13.19921875" bestFit="1" customWidth="1"/>
    <col min="4" max="4" width="9.59765625" bestFit="1" customWidth="1"/>
    <col min="5" max="5" width="8" bestFit="1" customWidth="1"/>
    <col min="6" max="6" width="90.8984375" bestFit="1" customWidth="1"/>
    <col min="7" max="7" width="9.59765625" bestFit="1" customWidth="1"/>
    <col min="8" max="9" width="8" bestFit="1" customWidth="1"/>
    <col min="10" max="10" width="9.59765625" bestFit="1" customWidth="1"/>
    <col min="11" max="11" width="255.69921875" bestFit="1" customWidth="1"/>
    <col min="12" max="12" width="9.59765625" bestFit="1" customWidth="1"/>
  </cols>
  <sheetData>
    <row r="1" spans="1:12" ht="10.8" customHeight="1" x14ac:dyDescent="0.45">
      <c r="A1" s="12" t="s">
        <v>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0.8" customHeight="1" x14ac:dyDescent="0.4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0.8" customHeight="1" x14ac:dyDescent="0.45">
      <c r="A3" s="2"/>
      <c r="B3" s="2"/>
      <c r="C3" s="13" t="s">
        <v>7</v>
      </c>
      <c r="D3" s="5">
        <v>1</v>
      </c>
      <c r="E3" s="5">
        <f>D4+D3</f>
        <v>11</v>
      </c>
      <c r="F3" s="5">
        <f t="shared" ref="F3:L3" si="0">E4+E3</f>
        <v>12</v>
      </c>
      <c r="G3" s="5">
        <f t="shared" si="0"/>
        <v>112</v>
      </c>
      <c r="H3" s="5">
        <f t="shared" si="0"/>
        <v>122</v>
      </c>
      <c r="I3" s="5">
        <f t="shared" si="0"/>
        <v>123</v>
      </c>
      <c r="J3" s="5">
        <f t="shared" si="0"/>
        <v>124</v>
      </c>
      <c r="K3" s="5">
        <f t="shared" si="0"/>
        <v>134</v>
      </c>
      <c r="L3" s="5">
        <f t="shared" si="0"/>
        <v>4134</v>
      </c>
    </row>
    <row r="4" spans="1:12" ht="10.8" customHeight="1" x14ac:dyDescent="0.45">
      <c r="A4" s="2"/>
      <c r="B4" s="2"/>
      <c r="C4" s="13" t="s">
        <v>8</v>
      </c>
      <c r="D4" s="14">
        <v>10</v>
      </c>
      <c r="E4" s="14">
        <v>1</v>
      </c>
      <c r="F4" s="14">
        <v>100</v>
      </c>
      <c r="G4" s="14">
        <v>10</v>
      </c>
      <c r="H4" s="14">
        <v>1</v>
      </c>
      <c r="I4" s="14">
        <v>1</v>
      </c>
      <c r="J4" s="14">
        <v>10</v>
      </c>
      <c r="K4" s="14">
        <v>4000</v>
      </c>
      <c r="L4" s="14">
        <v>10</v>
      </c>
    </row>
    <row r="5" spans="1:12" ht="10.8" customHeight="1" x14ac:dyDescent="0.45">
      <c r="A5" s="2"/>
      <c r="B5" s="3" t="s">
        <v>1</v>
      </c>
      <c r="C5" s="3" t="s">
        <v>9</v>
      </c>
      <c r="D5" s="15" t="s">
        <v>10</v>
      </c>
      <c r="E5" s="15" t="s">
        <v>11</v>
      </c>
      <c r="F5" s="15" t="s">
        <v>12</v>
      </c>
      <c r="G5" s="15" t="s">
        <v>13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</row>
    <row r="6" spans="1:12" ht="10.8" customHeight="1" x14ac:dyDescent="0.45">
      <c r="A6" s="2"/>
      <c r="B6" s="20"/>
      <c r="C6" s="20"/>
      <c r="D6" s="21" t="s">
        <v>20</v>
      </c>
      <c r="E6" s="21" t="s">
        <v>21</v>
      </c>
      <c r="F6" s="21" t="s">
        <v>22</v>
      </c>
      <c r="G6" s="21" t="s">
        <v>23</v>
      </c>
      <c r="H6" s="21" t="s">
        <v>24</v>
      </c>
      <c r="I6" s="21" t="s">
        <v>25</v>
      </c>
      <c r="J6" s="21" t="s">
        <v>26</v>
      </c>
      <c r="K6" s="21" t="s">
        <v>27</v>
      </c>
      <c r="L6" s="21" t="s">
        <v>28</v>
      </c>
    </row>
    <row r="7" spans="1:12" ht="10.8" customHeight="1" x14ac:dyDescent="0.45">
      <c r="A7" s="2"/>
      <c r="B7" s="16"/>
      <c r="C7" s="17" t="str">
        <f>IF(請求確認_連携ファイル!C4="","",請求確認_連携ファイル!C4)</f>
        <v>【テスト結果】</v>
      </c>
      <c r="D7" s="18"/>
      <c r="E7" s="18"/>
      <c r="F7" s="18"/>
      <c r="G7" s="18"/>
      <c r="H7" s="18"/>
      <c r="I7" s="18"/>
      <c r="J7" s="18"/>
      <c r="K7" s="18"/>
      <c r="L7" s="18"/>
    </row>
    <row r="8" spans="1:12" ht="10.8" customHeight="1" x14ac:dyDescent="0.45">
      <c r="A8" s="2"/>
      <c r="B8" s="16">
        <f>ROW()-6</f>
        <v>2</v>
      </c>
      <c r="C8" s="19" t="str">
        <f>IF(請求確認_連携ファイル!C5="","",請求確認_連携ファイル!C5)</f>
        <v>No34,35,39</v>
      </c>
      <c r="D8" s="16" t="str">
        <f>IF(請求確認_連携ファイル!$D5="","",MIDB(請求確認_連携ファイル!$D5,請求確認_連携ファイル_項目分割!D$3,請求確認_連携ファイル_項目分割!D$4))</f>
        <v>S501708785</v>
      </c>
      <c r="E8" s="16" t="str">
        <f>IF(請求確認_連携ファイル!$D5="","",MIDB(請求確認_連携ファイル!$D5,請求確認_連携ファイル_項目分割!E$3,請求確認_連携ファイル_項目分割!E$4))</f>
        <v>1</v>
      </c>
      <c r="F8" s="16" t="str">
        <f>IF(請求確認_連携ファイル!$D5="","",MIDB(請求確認_連携ファイル!$D5,請求確認_連携ファイル_項目分割!F$3,請求確認_連携ファイル_項目分割!F$4))</f>
        <v>****************************************************************************************************</v>
      </c>
      <c r="G8" s="16" t="str">
        <f>IF(請求確認_連携ファイル!$D5="","",MIDB(請求確認_連携ファイル!$D5,請求確認_連携ファイル_項目分割!G$3,請求確認_連携ファイル_項目分割!G$4))</f>
        <v>SA05441021</v>
      </c>
      <c r="H8" s="16" t="str">
        <f>IF(請求確認_連携ファイル!$D5="","",MIDB(請求確認_連携ファイル!$D5,請求確認_連携ファイル_項目分割!H$3,請求確認_連携ファイル_項目分割!H$4))</f>
        <v>0</v>
      </c>
      <c r="I8" s="16" t="str">
        <f>IF(請求確認_連携ファイル!$D5="","",MIDB(請求確認_連携ファイル!$D5,請求確認_連携ファイル_項目分割!I$3,請求確認_連携ファイル_項目分割!I$4))</f>
        <v>0</v>
      </c>
      <c r="J8" s="16" t="str">
        <f>IF(請求確認_連携ファイル!$D5="","",MIDB(請求確認_連携ファイル!$D5,請求確認_連携ファイル_項目分割!J$3,請求確認_連携ファイル_項目分割!J$4))</f>
        <v>SA05441021</v>
      </c>
      <c r="K8" s="16" t="str">
        <f>IF(請求確認_連携ファイル!$D5="","",MIDB(請求確認_連携ファイル!$D5,請求確認_連携ファイル_項目分割!K$3,請求確認_連携ファイル_項目分割!K$4))</f>
        <v xml:space="preserve">#JPCA0102R1710101913000010114876000001171011706300901282                        3040TSM2                A0001916    A1713201T000000005001531460000000000                                               ４ｔ車迄可パレット不／注ＮＯ．０５００１５３01092051481706201102000010  PS1  AT01G200CFEC                                                          Ｇ２００Ｃ　５００ｋｇフレコン　　　　　　　　　　　　　　　　　　　　 7621H6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10000000178000KG  200000000040000000000000000 00000000000000000000000000A1713201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5740062072-870-8866072-870-7610170630              170630                                            新ＬＯＴ試験成績書添付／ＡＭ着希望　　　　　0000000000000                               0910564156000010                                                   0000000          00000030000000000000006000KG 00000030000000000000000000BAG       0000000500000000000053400000000005126400000000041011000000055365111 11 206291706290811754126900001                   MC00                                             大東市　　　　　　　　　　　　　　　　　　　                                2017020001323100110 1                                                      　　　　　　　　　　　　　　　　　　　　　　 JPY  0910564156000010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L8" s="16" t="str">
        <f>IF(請求確認_連携ファイル!$D5="","",MIDB(請求確認_連携ファイル!$D5,請求確認_連携ファイル_項目分割!L$3,請求確認_連携ファイル_項目分割!L$4))</f>
        <v xml:space="preserve">631307    </v>
      </c>
    </row>
    <row r="9" spans="1:12" ht="10.8" customHeight="1" x14ac:dyDescent="0.45">
      <c r="A9" s="2"/>
      <c r="B9" s="16">
        <f t="shared" ref="B9:B49" si="1">ROW()-6</f>
        <v>3</v>
      </c>
      <c r="C9" s="19" t="str">
        <f>IF(請求確認_連携ファイル!C6="","",請求確認_連携ファイル!C6)</f>
        <v>No34,35,39</v>
      </c>
      <c r="D9" s="16" t="str">
        <f>IF(請求確認_連携ファイル!$D6="","",MIDB(請求確認_連携ファイル!$D6,請求確認_連携ファイル_項目分割!D$3,請求確認_連携ファイル_項目分割!D$4))</f>
        <v>S501708784</v>
      </c>
      <c r="E9" s="16" t="str">
        <f>IF(請求確認_連携ファイル!$D6="","",MIDB(請求確認_連携ファイル!$D6,請求確認_連携ファイル_項目分割!E$3,請求確認_連携ファイル_項目分割!E$4))</f>
        <v>1</v>
      </c>
      <c r="F9" s="16" t="str">
        <f>IF(請求確認_連携ファイル!$D6="","",MIDB(請求確認_連携ファイル!$D6,請求確認_連携ファイル_項目分割!F$3,請求確認_連携ファイル_項目分割!F$4))</f>
        <v>****************************************************************************************************</v>
      </c>
      <c r="G9" s="16" t="str">
        <f>IF(請求確認_連携ファイル!$D6="","",MIDB(請求確認_連携ファイル!$D6,請求確認_連携ファイル_項目分割!G$3,請求確認_連携ファイル_項目分割!G$4))</f>
        <v>SA05441022</v>
      </c>
      <c r="H9" s="16" t="str">
        <f>IF(請求確認_連携ファイル!$D6="","",MIDB(請求確認_連携ファイル!$D6,請求確認_連携ファイル_項目分割!H$3,請求確認_連携ファイル_項目分割!H$4))</f>
        <v>0</v>
      </c>
      <c r="I9" s="16" t="str">
        <f>IF(請求確認_連携ファイル!$D6="","",MIDB(請求確認_連携ファイル!$D6,請求確認_連携ファイル_項目分割!I$3,請求確認_連携ファイル_項目分割!I$4))</f>
        <v>0</v>
      </c>
      <c r="J9" s="16" t="str">
        <f>IF(請求確認_連携ファイル!$D6="","",MIDB(請求確認_連携ファイル!$D6,請求確認_連携ファイル_項目分割!J$3,請求確認_連携ファイル_項目分割!J$4))</f>
        <v>SA05441022</v>
      </c>
      <c r="K9" s="16" t="str">
        <f>IF(請求確認_連携ファイル!$D6="","",MIDB(請求確認_連携ファイル!$D6,請求確認_連携ファイル_項目分割!K$3,請求確認_連携ファイル_項目分割!K$4))</f>
        <v xml:space="preserve">#JPCA0102R1710101913000010114876000001171011706300901282                        3040TSM2                A0001916    A1713201T000000005001531480000000000                                               ４ｔ車迄可パレット不／注ＮＯ．０５００１５３01092051791706201105000010  PS2  AT03H350XFEC                                                          Ｈ３５０　５００ｋｇフレコン　　　　　　　　　　　　　　　　　　　　　 7614R3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10000000183000KG  200000000040000000000000000 00000000000000000000000000A1713201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5740062072-870-8866072-870-7610170630              170630                                            新ＬＯＴ試験成績書添付／ＡＭ着希望　　　　　0000000000000                               0910564157000010                                                   0000000          00000010000000000000002000KG 00000010000000000000000000BAG       0000000500000000000018300000000001756800000000014054000000018973411 11 206291706290811754127900001                   MC00                                             大東市　　　　　　　　　　　　　　　　　　　                                2017020001323200110 1                                                      　　　　　　　　　　　　　　　　　　　　　　 JPY  0910564157000010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L9" s="16" t="str">
        <f>IF(請求確認_連携ファイル!$D6="","",MIDB(請求確認_連携ファイル!$D6,請求確認_連携ファイル_項目分割!L$3,請求確認_連携ファイル_項目分割!L$4))</f>
        <v xml:space="preserve">631307    </v>
      </c>
    </row>
    <row r="10" spans="1:12" ht="10.8" customHeight="1" x14ac:dyDescent="0.45">
      <c r="A10" s="2"/>
      <c r="B10" s="16">
        <f t="shared" si="1"/>
        <v>4</v>
      </c>
      <c r="C10" s="19" t="str">
        <f>IF(請求確認_連携ファイル!C7="","",請求確認_連携ファイル!C7)</f>
        <v>No34,35,39</v>
      </c>
      <c r="D10" s="16" t="str">
        <f>IF(請求確認_連携ファイル!$D7="","",MIDB(請求確認_連携ファイル!$D7,請求確認_連携ファイル_項目分割!D$3,請求確認_連携ファイル_項目分割!D$4))</f>
        <v/>
      </c>
      <c r="E10" s="16" t="str">
        <f>IF(請求確認_連携ファイル!$D7="","",MIDB(請求確認_連携ファイル!$D7,請求確認_連携ファイル_項目分割!E$3,請求確認_連携ファイル_項目分割!E$4))</f>
        <v/>
      </c>
      <c r="F10" s="16" t="str">
        <f>IF(請求確認_連携ファイル!$D7="","",MIDB(請求確認_連携ファイル!$D7,請求確認_連携ファイル_項目分割!F$3,請求確認_連携ファイル_項目分割!F$4))</f>
        <v/>
      </c>
      <c r="G10" s="16" t="str">
        <f>IF(請求確認_連携ファイル!$D7="","",MIDB(請求確認_連携ファイル!$D7,請求確認_連携ファイル_項目分割!G$3,請求確認_連携ファイル_項目分割!G$4))</f>
        <v/>
      </c>
      <c r="H10" s="16" t="str">
        <f>IF(請求確認_連携ファイル!$D7="","",MIDB(請求確認_連携ファイル!$D7,請求確認_連携ファイル_項目分割!H$3,請求確認_連携ファイル_項目分割!H$4))</f>
        <v/>
      </c>
      <c r="I10" s="16" t="str">
        <f>IF(請求確認_連携ファイル!$D7="","",MIDB(請求確認_連携ファイル!$D7,請求確認_連携ファイル_項目分割!I$3,請求確認_連携ファイル_項目分割!I$4))</f>
        <v/>
      </c>
      <c r="J10" s="16" t="str">
        <f>IF(請求確認_連携ファイル!$D7="","",MIDB(請求確認_連携ファイル!$D7,請求確認_連携ファイル_項目分割!J$3,請求確認_連携ファイル_項目分割!J$4))</f>
        <v/>
      </c>
      <c r="K10" s="16" t="str">
        <f>IF(請求確認_連携ファイル!$D7="","",MIDB(請求確認_連携ファイル!$D7,請求確認_連携ファイル_項目分割!K$3,請求確認_連携ファイル_項目分割!K$4))</f>
        <v/>
      </c>
      <c r="L10" s="16" t="str">
        <f>IF(請求確認_連携ファイル!$D7="","",MIDB(請求確認_連携ファイル!$D7,請求確認_連携ファイル_項目分割!L$3,請求確認_連携ファイル_項目分割!L$4))</f>
        <v/>
      </c>
    </row>
    <row r="11" spans="1:12" ht="10.8" customHeight="1" x14ac:dyDescent="0.45">
      <c r="A11" s="2"/>
      <c r="B11" s="16">
        <f t="shared" si="1"/>
        <v>5</v>
      </c>
      <c r="C11" s="19" t="str">
        <f>IF(請求確認_連携ファイル!C8="","",請求確認_連携ファイル!C8)</f>
        <v>No34,35,39</v>
      </c>
      <c r="D11" s="16" t="str">
        <f>IF(請求確認_連携ファイル!$D8="","",MIDB(請求確認_連携ファイル!$D8,請求確認_連携ファイル_項目分割!D$3,請求確認_連携ファイル_項目分割!D$4))</f>
        <v/>
      </c>
      <c r="E11" s="16" t="str">
        <f>IF(請求確認_連携ファイル!$D8="","",MIDB(請求確認_連携ファイル!$D8,請求確認_連携ファイル_項目分割!E$3,請求確認_連携ファイル_項目分割!E$4))</f>
        <v/>
      </c>
      <c r="F11" s="16" t="str">
        <f>IF(請求確認_連携ファイル!$D8="","",MIDB(請求確認_連携ファイル!$D8,請求確認_連携ファイル_項目分割!F$3,請求確認_連携ファイル_項目分割!F$4))</f>
        <v/>
      </c>
      <c r="G11" s="16" t="str">
        <f>IF(請求確認_連携ファイル!$D8="","",MIDB(請求確認_連携ファイル!$D8,請求確認_連携ファイル_項目分割!G$3,請求確認_連携ファイル_項目分割!G$4))</f>
        <v/>
      </c>
      <c r="H11" s="16" t="str">
        <f>IF(請求確認_連携ファイル!$D8="","",MIDB(請求確認_連携ファイル!$D8,請求確認_連携ファイル_項目分割!H$3,請求確認_連携ファイル_項目分割!H$4))</f>
        <v/>
      </c>
      <c r="I11" s="16" t="str">
        <f>IF(請求確認_連携ファイル!$D8="","",MIDB(請求確認_連携ファイル!$D8,請求確認_連携ファイル_項目分割!I$3,請求確認_連携ファイル_項目分割!I$4))</f>
        <v/>
      </c>
      <c r="J11" s="16" t="str">
        <f>IF(請求確認_連携ファイル!$D8="","",MIDB(請求確認_連携ファイル!$D8,請求確認_連携ファイル_項目分割!J$3,請求確認_連携ファイル_項目分割!J$4))</f>
        <v/>
      </c>
      <c r="K11" s="16" t="str">
        <f>IF(請求確認_連携ファイル!$D8="","",MIDB(請求確認_連携ファイル!$D8,請求確認_連携ファイル_項目分割!K$3,請求確認_連携ファイル_項目分割!K$4))</f>
        <v/>
      </c>
      <c r="L11" s="16" t="str">
        <f>IF(請求確認_連携ファイル!$D8="","",MIDB(請求確認_連携ファイル!$D8,請求確認_連携ファイル_項目分割!L$3,請求確認_連携ファイル_項目分割!L$4))</f>
        <v/>
      </c>
    </row>
    <row r="12" spans="1:12" ht="10.8" customHeight="1" x14ac:dyDescent="0.45">
      <c r="A12" s="2"/>
      <c r="B12" s="16">
        <f t="shared" si="1"/>
        <v>6</v>
      </c>
      <c r="C12" s="19" t="str">
        <f>IF(請求確認_連携ファイル!C9="","",請求確認_連携ファイル!C9)</f>
        <v>No34,35,39</v>
      </c>
      <c r="D12" s="16" t="str">
        <f>IF(請求確認_連携ファイル!$D9="","",MIDB(請求確認_連携ファイル!$D9,請求確認_連携ファイル_項目分割!D$3,請求確認_連携ファイル_項目分割!D$4))</f>
        <v/>
      </c>
      <c r="E12" s="16" t="str">
        <f>IF(請求確認_連携ファイル!$D9="","",MIDB(請求確認_連携ファイル!$D9,請求確認_連携ファイル_項目分割!E$3,請求確認_連携ファイル_項目分割!E$4))</f>
        <v/>
      </c>
      <c r="F12" s="16" t="str">
        <f>IF(請求確認_連携ファイル!$D9="","",MIDB(請求確認_連携ファイル!$D9,請求確認_連携ファイル_項目分割!F$3,請求確認_連携ファイル_項目分割!F$4))</f>
        <v/>
      </c>
      <c r="G12" s="16" t="str">
        <f>IF(請求確認_連携ファイル!$D9="","",MIDB(請求確認_連携ファイル!$D9,請求確認_連携ファイル_項目分割!G$3,請求確認_連携ファイル_項目分割!G$4))</f>
        <v/>
      </c>
      <c r="H12" s="16" t="str">
        <f>IF(請求確認_連携ファイル!$D9="","",MIDB(請求確認_連携ファイル!$D9,請求確認_連携ファイル_項目分割!H$3,請求確認_連携ファイル_項目分割!H$4))</f>
        <v/>
      </c>
      <c r="I12" s="16" t="str">
        <f>IF(請求確認_連携ファイル!$D9="","",MIDB(請求確認_連携ファイル!$D9,請求確認_連携ファイル_項目分割!I$3,請求確認_連携ファイル_項目分割!I$4))</f>
        <v/>
      </c>
      <c r="J12" s="16" t="str">
        <f>IF(請求確認_連携ファイル!$D9="","",MIDB(請求確認_連携ファイル!$D9,請求確認_連携ファイル_項目分割!J$3,請求確認_連携ファイル_項目分割!J$4))</f>
        <v/>
      </c>
      <c r="K12" s="16" t="str">
        <f>IF(請求確認_連携ファイル!$D9="","",MIDB(請求確認_連携ファイル!$D9,請求確認_連携ファイル_項目分割!K$3,請求確認_連携ファイル_項目分割!K$4))</f>
        <v/>
      </c>
      <c r="L12" s="16" t="str">
        <f>IF(請求確認_連携ファイル!$D9="","",MIDB(請求確認_連携ファイル!$D9,請求確認_連携ファイル_項目分割!L$3,請求確認_連携ファイル_項目分割!L$4))</f>
        <v/>
      </c>
    </row>
    <row r="13" spans="1:12" ht="10.8" customHeight="1" x14ac:dyDescent="0.45">
      <c r="A13" s="2"/>
      <c r="B13" s="16">
        <f t="shared" si="1"/>
        <v>7</v>
      </c>
      <c r="C13" s="19" t="str">
        <f>IF(請求確認_連携ファイル!C10="","",請求確認_連携ファイル!C10)</f>
        <v/>
      </c>
      <c r="D13" s="16" t="str">
        <f>IF(請求確認_連携ファイル!$D10="","",MIDB(請求確認_連携ファイル!$D10,請求確認_連携ファイル_項目分割!D$3,請求確認_連携ファイル_項目分割!D$4))</f>
        <v/>
      </c>
      <c r="E13" s="16" t="str">
        <f>IF(請求確認_連携ファイル!$D10="","",MIDB(請求確認_連携ファイル!$D10,請求確認_連携ファイル_項目分割!E$3,請求確認_連携ファイル_項目分割!E$4))</f>
        <v/>
      </c>
      <c r="F13" s="16" t="str">
        <f>IF(請求確認_連携ファイル!$D10="","",MIDB(請求確認_連携ファイル!$D10,請求確認_連携ファイル_項目分割!F$3,請求確認_連携ファイル_項目分割!F$4))</f>
        <v/>
      </c>
      <c r="G13" s="16" t="str">
        <f>IF(請求確認_連携ファイル!$D10="","",MIDB(請求確認_連携ファイル!$D10,請求確認_連携ファイル_項目分割!G$3,請求確認_連携ファイル_項目分割!G$4))</f>
        <v/>
      </c>
      <c r="H13" s="16" t="str">
        <f>IF(請求確認_連携ファイル!$D10="","",MIDB(請求確認_連携ファイル!$D10,請求確認_連携ファイル_項目分割!H$3,請求確認_連携ファイル_項目分割!H$4))</f>
        <v/>
      </c>
      <c r="I13" s="16" t="str">
        <f>IF(請求確認_連携ファイル!$D10="","",MIDB(請求確認_連携ファイル!$D10,請求確認_連携ファイル_項目分割!I$3,請求確認_連携ファイル_項目分割!I$4))</f>
        <v/>
      </c>
      <c r="J13" s="16" t="str">
        <f>IF(請求確認_連携ファイル!$D10="","",MIDB(請求確認_連携ファイル!$D10,請求確認_連携ファイル_項目分割!J$3,請求確認_連携ファイル_項目分割!J$4))</f>
        <v/>
      </c>
      <c r="K13" s="16" t="str">
        <f>IF(請求確認_連携ファイル!$D10="","",MIDB(請求確認_連携ファイル!$D10,請求確認_連携ファイル_項目分割!K$3,請求確認_連携ファイル_項目分割!K$4))</f>
        <v/>
      </c>
      <c r="L13" s="16" t="str">
        <f>IF(請求確認_連携ファイル!$D10="","",MIDB(請求確認_連携ファイル!$D10,請求確認_連携ファイル_項目分割!L$3,請求確認_連携ファイル_項目分割!L$4))</f>
        <v/>
      </c>
    </row>
    <row r="14" spans="1:12" ht="10.8" customHeight="1" x14ac:dyDescent="0.45">
      <c r="A14" s="2"/>
      <c r="B14" s="16">
        <f t="shared" si="1"/>
        <v>8</v>
      </c>
      <c r="C14" s="19" t="str">
        <f>IF(請求確認_連携ファイル!C11="","",請求確認_連携ファイル!C11)</f>
        <v/>
      </c>
      <c r="D14" s="16" t="str">
        <f>IF(請求確認_連携ファイル!$D11="","",MIDB(請求確認_連携ファイル!$D11,請求確認_連携ファイル_項目分割!D$3,請求確認_連携ファイル_項目分割!D$4))</f>
        <v/>
      </c>
      <c r="E14" s="16" t="str">
        <f>IF(請求確認_連携ファイル!$D11="","",MIDB(請求確認_連携ファイル!$D11,請求確認_連携ファイル_項目分割!E$3,請求確認_連携ファイル_項目分割!E$4))</f>
        <v/>
      </c>
      <c r="F14" s="16" t="str">
        <f>IF(請求確認_連携ファイル!$D11="","",MIDB(請求確認_連携ファイル!$D11,請求確認_連携ファイル_項目分割!F$3,請求確認_連携ファイル_項目分割!F$4))</f>
        <v/>
      </c>
      <c r="G14" s="16" t="str">
        <f>IF(請求確認_連携ファイル!$D11="","",MIDB(請求確認_連携ファイル!$D11,請求確認_連携ファイル_項目分割!G$3,請求確認_連携ファイル_項目分割!G$4))</f>
        <v/>
      </c>
      <c r="H14" s="16" t="str">
        <f>IF(請求確認_連携ファイル!$D11="","",MIDB(請求確認_連携ファイル!$D11,請求確認_連携ファイル_項目分割!H$3,請求確認_連携ファイル_項目分割!H$4))</f>
        <v/>
      </c>
      <c r="I14" s="16" t="str">
        <f>IF(請求確認_連携ファイル!$D11="","",MIDB(請求確認_連携ファイル!$D11,請求確認_連携ファイル_項目分割!I$3,請求確認_連携ファイル_項目分割!I$4))</f>
        <v/>
      </c>
      <c r="J14" s="16" t="str">
        <f>IF(請求確認_連携ファイル!$D11="","",MIDB(請求確認_連携ファイル!$D11,請求確認_連携ファイル_項目分割!J$3,請求確認_連携ファイル_項目分割!J$4))</f>
        <v/>
      </c>
      <c r="K14" s="16" t="str">
        <f>IF(請求確認_連携ファイル!$D11="","",MIDB(請求確認_連携ファイル!$D11,請求確認_連携ファイル_項目分割!K$3,請求確認_連携ファイル_項目分割!K$4))</f>
        <v/>
      </c>
      <c r="L14" s="16" t="str">
        <f>IF(請求確認_連携ファイル!$D11="","",MIDB(請求確認_連携ファイル!$D11,請求確認_連携ファイル_項目分割!L$3,請求確認_連携ファイル_項目分割!L$4))</f>
        <v/>
      </c>
    </row>
    <row r="15" spans="1:12" ht="10.8" customHeight="1" x14ac:dyDescent="0.45">
      <c r="A15" s="2"/>
      <c r="B15" s="16">
        <f t="shared" si="1"/>
        <v>9</v>
      </c>
      <c r="C15" s="19" t="str">
        <f>IF(請求確認_連携ファイル!C12="","",請求確認_連携ファイル!C12)</f>
        <v/>
      </c>
      <c r="D15" s="16" t="str">
        <f>IF(請求確認_連携ファイル!$D12="","",MIDB(請求確認_連携ファイル!$D12,請求確認_連携ファイル_項目分割!D$3,請求確認_連携ファイル_項目分割!D$4))</f>
        <v/>
      </c>
      <c r="E15" s="16" t="str">
        <f>IF(請求確認_連携ファイル!$D12="","",MIDB(請求確認_連携ファイル!$D12,請求確認_連携ファイル_項目分割!E$3,請求確認_連携ファイル_項目分割!E$4))</f>
        <v/>
      </c>
      <c r="F15" s="16" t="str">
        <f>IF(請求確認_連携ファイル!$D12="","",MIDB(請求確認_連携ファイル!$D12,請求確認_連携ファイル_項目分割!F$3,請求確認_連携ファイル_項目分割!F$4))</f>
        <v/>
      </c>
      <c r="G15" s="16" t="str">
        <f>IF(請求確認_連携ファイル!$D12="","",MIDB(請求確認_連携ファイル!$D12,請求確認_連携ファイル_項目分割!G$3,請求確認_連携ファイル_項目分割!G$4))</f>
        <v/>
      </c>
      <c r="H15" s="16" t="str">
        <f>IF(請求確認_連携ファイル!$D12="","",MIDB(請求確認_連携ファイル!$D12,請求確認_連携ファイル_項目分割!H$3,請求確認_連携ファイル_項目分割!H$4))</f>
        <v/>
      </c>
      <c r="I15" s="16" t="str">
        <f>IF(請求確認_連携ファイル!$D12="","",MIDB(請求確認_連携ファイル!$D12,請求確認_連携ファイル_項目分割!I$3,請求確認_連携ファイル_項目分割!I$4))</f>
        <v/>
      </c>
      <c r="J15" s="16" t="str">
        <f>IF(請求確認_連携ファイル!$D12="","",MIDB(請求確認_連携ファイル!$D12,請求確認_連携ファイル_項目分割!J$3,請求確認_連携ファイル_項目分割!J$4))</f>
        <v/>
      </c>
      <c r="K15" s="16" t="str">
        <f>IF(請求確認_連携ファイル!$D12="","",MIDB(請求確認_連携ファイル!$D12,請求確認_連携ファイル_項目分割!K$3,請求確認_連携ファイル_項目分割!K$4))</f>
        <v/>
      </c>
      <c r="L15" s="16" t="str">
        <f>IF(請求確認_連携ファイル!$D12="","",MIDB(請求確認_連携ファイル!$D12,請求確認_連携ファイル_項目分割!L$3,請求確認_連携ファイル_項目分割!L$4))</f>
        <v/>
      </c>
    </row>
    <row r="16" spans="1:12" ht="10.8" customHeight="1" x14ac:dyDescent="0.45">
      <c r="A16" s="2"/>
      <c r="B16" s="16">
        <f t="shared" si="1"/>
        <v>10</v>
      </c>
      <c r="C16" s="19" t="str">
        <f>IF(請求確認_連携ファイル!C13="","",請求確認_連携ファイル!C13)</f>
        <v/>
      </c>
      <c r="D16" s="16" t="str">
        <f>IF(請求確認_連携ファイル!$D13="","",MIDB(請求確認_連携ファイル!$D13,請求確認_連携ファイル_項目分割!D$3,請求確認_連携ファイル_項目分割!D$4))</f>
        <v/>
      </c>
      <c r="E16" s="16" t="str">
        <f>IF(請求確認_連携ファイル!$D13="","",MIDB(請求確認_連携ファイル!$D13,請求確認_連携ファイル_項目分割!E$3,請求確認_連携ファイル_項目分割!E$4))</f>
        <v/>
      </c>
      <c r="F16" s="16" t="str">
        <f>IF(請求確認_連携ファイル!$D13="","",MIDB(請求確認_連携ファイル!$D13,請求確認_連携ファイル_項目分割!F$3,請求確認_連携ファイル_項目分割!F$4))</f>
        <v/>
      </c>
      <c r="G16" s="16" t="str">
        <f>IF(請求確認_連携ファイル!$D13="","",MIDB(請求確認_連携ファイル!$D13,請求確認_連携ファイル_項目分割!G$3,請求確認_連携ファイル_項目分割!G$4))</f>
        <v/>
      </c>
      <c r="H16" s="16" t="str">
        <f>IF(請求確認_連携ファイル!$D13="","",MIDB(請求確認_連携ファイル!$D13,請求確認_連携ファイル_項目分割!H$3,請求確認_連携ファイル_項目分割!H$4))</f>
        <v/>
      </c>
      <c r="I16" s="16" t="str">
        <f>IF(請求確認_連携ファイル!$D13="","",MIDB(請求確認_連携ファイル!$D13,請求確認_連携ファイル_項目分割!I$3,請求確認_連携ファイル_項目分割!I$4))</f>
        <v/>
      </c>
      <c r="J16" s="16" t="str">
        <f>IF(請求確認_連携ファイル!$D13="","",MIDB(請求確認_連携ファイル!$D13,請求確認_連携ファイル_項目分割!J$3,請求確認_連携ファイル_項目分割!J$4))</f>
        <v/>
      </c>
      <c r="K16" s="16" t="str">
        <f>IF(請求確認_連携ファイル!$D13="","",MIDB(請求確認_連携ファイル!$D13,請求確認_連携ファイル_項目分割!K$3,請求確認_連携ファイル_項目分割!K$4))</f>
        <v/>
      </c>
      <c r="L16" s="16" t="str">
        <f>IF(請求確認_連携ファイル!$D13="","",MIDB(請求確認_連携ファイル!$D13,請求確認_連携ファイル_項目分割!L$3,請求確認_連携ファイル_項目分割!L$4))</f>
        <v/>
      </c>
    </row>
    <row r="17" spans="1:12" ht="10.8" customHeight="1" x14ac:dyDescent="0.45">
      <c r="A17" s="2"/>
      <c r="B17" s="16">
        <f t="shared" si="1"/>
        <v>11</v>
      </c>
      <c r="C17" s="19" t="str">
        <f>IF(請求確認_連携ファイル!C14="","",請求確認_連携ファイル!C14)</f>
        <v/>
      </c>
      <c r="D17" s="16" t="str">
        <f>IF(請求確認_連携ファイル!$D14="","",MIDB(請求確認_連携ファイル!$D14,請求確認_連携ファイル_項目分割!D$3,請求確認_連携ファイル_項目分割!D$4))</f>
        <v/>
      </c>
      <c r="E17" s="16" t="str">
        <f>IF(請求確認_連携ファイル!$D14="","",MIDB(請求確認_連携ファイル!$D14,請求確認_連携ファイル_項目分割!E$3,請求確認_連携ファイル_項目分割!E$4))</f>
        <v/>
      </c>
      <c r="F17" s="16" t="str">
        <f>IF(請求確認_連携ファイル!$D14="","",MIDB(請求確認_連携ファイル!$D14,請求確認_連携ファイル_項目分割!F$3,請求確認_連携ファイル_項目分割!F$4))</f>
        <v/>
      </c>
      <c r="G17" s="16" t="str">
        <f>IF(請求確認_連携ファイル!$D14="","",MIDB(請求確認_連携ファイル!$D14,請求確認_連携ファイル_項目分割!G$3,請求確認_連携ファイル_項目分割!G$4))</f>
        <v/>
      </c>
      <c r="H17" s="16" t="str">
        <f>IF(請求確認_連携ファイル!$D14="","",MIDB(請求確認_連携ファイル!$D14,請求確認_連携ファイル_項目分割!H$3,請求確認_連携ファイル_項目分割!H$4))</f>
        <v/>
      </c>
      <c r="I17" s="16" t="str">
        <f>IF(請求確認_連携ファイル!$D14="","",MIDB(請求確認_連携ファイル!$D14,請求確認_連携ファイル_項目分割!I$3,請求確認_連携ファイル_項目分割!I$4))</f>
        <v/>
      </c>
      <c r="J17" s="16" t="str">
        <f>IF(請求確認_連携ファイル!$D14="","",MIDB(請求確認_連携ファイル!$D14,請求確認_連携ファイル_項目分割!J$3,請求確認_連携ファイル_項目分割!J$4))</f>
        <v/>
      </c>
      <c r="K17" s="16" t="str">
        <f>IF(請求確認_連携ファイル!$D14="","",MIDB(請求確認_連携ファイル!$D14,請求確認_連携ファイル_項目分割!K$3,請求確認_連携ファイル_項目分割!K$4))</f>
        <v/>
      </c>
      <c r="L17" s="16" t="str">
        <f>IF(請求確認_連携ファイル!$D14="","",MIDB(請求確認_連携ファイル!$D14,請求確認_連携ファイル_項目分割!L$3,請求確認_連携ファイル_項目分割!L$4))</f>
        <v/>
      </c>
    </row>
    <row r="18" spans="1:12" ht="10.8" customHeight="1" x14ac:dyDescent="0.45">
      <c r="A18" s="2"/>
      <c r="B18" s="16">
        <f t="shared" si="1"/>
        <v>12</v>
      </c>
      <c r="C18" s="19" t="str">
        <f>IF(請求確認_連携ファイル!C15="","",請求確認_連携ファイル!C15)</f>
        <v/>
      </c>
      <c r="D18" s="16" t="str">
        <f>IF(請求確認_連携ファイル!$D15="","",MIDB(請求確認_連携ファイル!$D15,請求確認_連携ファイル_項目分割!D$3,請求確認_連携ファイル_項目分割!D$4))</f>
        <v/>
      </c>
      <c r="E18" s="16" t="str">
        <f>IF(請求確認_連携ファイル!$D15="","",MIDB(請求確認_連携ファイル!$D15,請求確認_連携ファイル_項目分割!E$3,請求確認_連携ファイル_項目分割!E$4))</f>
        <v/>
      </c>
      <c r="F18" s="16" t="str">
        <f>IF(請求確認_連携ファイル!$D15="","",MIDB(請求確認_連携ファイル!$D15,請求確認_連携ファイル_項目分割!F$3,請求確認_連携ファイル_項目分割!F$4))</f>
        <v/>
      </c>
      <c r="G18" s="16" t="str">
        <f>IF(請求確認_連携ファイル!$D15="","",MIDB(請求確認_連携ファイル!$D15,請求確認_連携ファイル_項目分割!G$3,請求確認_連携ファイル_項目分割!G$4))</f>
        <v/>
      </c>
      <c r="H18" s="16" t="str">
        <f>IF(請求確認_連携ファイル!$D15="","",MIDB(請求確認_連携ファイル!$D15,請求確認_連携ファイル_項目分割!H$3,請求確認_連携ファイル_項目分割!H$4))</f>
        <v/>
      </c>
      <c r="I18" s="16" t="str">
        <f>IF(請求確認_連携ファイル!$D15="","",MIDB(請求確認_連携ファイル!$D15,請求確認_連携ファイル_項目分割!I$3,請求確認_連携ファイル_項目分割!I$4))</f>
        <v/>
      </c>
      <c r="J18" s="16" t="str">
        <f>IF(請求確認_連携ファイル!$D15="","",MIDB(請求確認_連携ファイル!$D15,請求確認_連携ファイル_項目分割!J$3,請求確認_連携ファイル_項目分割!J$4))</f>
        <v/>
      </c>
      <c r="K18" s="16" t="str">
        <f>IF(請求確認_連携ファイル!$D15="","",MIDB(請求確認_連携ファイル!$D15,請求確認_連携ファイル_項目分割!K$3,請求確認_連携ファイル_項目分割!K$4))</f>
        <v/>
      </c>
      <c r="L18" s="16" t="str">
        <f>IF(請求確認_連携ファイル!$D15="","",MIDB(請求確認_連携ファイル!$D15,請求確認_連携ファイル_項目分割!L$3,請求確認_連携ファイル_項目分割!L$4))</f>
        <v/>
      </c>
    </row>
    <row r="19" spans="1:12" ht="10.8" customHeight="1" x14ac:dyDescent="0.45">
      <c r="A19" s="2"/>
      <c r="B19" s="16">
        <f t="shared" si="1"/>
        <v>13</v>
      </c>
      <c r="C19" s="19" t="str">
        <f>IF(請求確認_連携ファイル!C16="","",請求確認_連携ファイル!C16)</f>
        <v/>
      </c>
      <c r="D19" s="16" t="str">
        <f>IF(請求確認_連携ファイル!$D16="","",MIDB(請求確認_連携ファイル!$D16,請求確認_連携ファイル_項目分割!D$3,請求確認_連携ファイル_項目分割!D$4))</f>
        <v/>
      </c>
      <c r="E19" s="16" t="str">
        <f>IF(請求確認_連携ファイル!$D16="","",MIDB(請求確認_連携ファイル!$D16,請求確認_連携ファイル_項目分割!E$3,請求確認_連携ファイル_項目分割!E$4))</f>
        <v/>
      </c>
      <c r="F19" s="16" t="str">
        <f>IF(請求確認_連携ファイル!$D16="","",MIDB(請求確認_連携ファイル!$D16,請求確認_連携ファイル_項目分割!F$3,請求確認_連携ファイル_項目分割!F$4))</f>
        <v/>
      </c>
      <c r="G19" s="16" t="str">
        <f>IF(請求確認_連携ファイル!$D16="","",MIDB(請求確認_連携ファイル!$D16,請求確認_連携ファイル_項目分割!G$3,請求確認_連携ファイル_項目分割!G$4))</f>
        <v/>
      </c>
      <c r="H19" s="16" t="str">
        <f>IF(請求確認_連携ファイル!$D16="","",MIDB(請求確認_連携ファイル!$D16,請求確認_連携ファイル_項目分割!H$3,請求確認_連携ファイル_項目分割!H$4))</f>
        <v/>
      </c>
      <c r="I19" s="16" t="str">
        <f>IF(請求確認_連携ファイル!$D16="","",MIDB(請求確認_連携ファイル!$D16,請求確認_連携ファイル_項目分割!I$3,請求確認_連携ファイル_項目分割!I$4))</f>
        <v/>
      </c>
      <c r="J19" s="16" t="str">
        <f>IF(請求確認_連携ファイル!$D16="","",MIDB(請求確認_連携ファイル!$D16,請求確認_連携ファイル_項目分割!J$3,請求確認_連携ファイル_項目分割!J$4))</f>
        <v/>
      </c>
      <c r="K19" s="16" t="str">
        <f>IF(請求確認_連携ファイル!$D16="","",MIDB(請求確認_連携ファイル!$D16,請求確認_連携ファイル_項目分割!K$3,請求確認_連携ファイル_項目分割!K$4))</f>
        <v/>
      </c>
      <c r="L19" s="16" t="str">
        <f>IF(請求確認_連携ファイル!$D16="","",MIDB(請求確認_連携ファイル!$D16,請求確認_連携ファイル_項目分割!L$3,請求確認_連携ファイル_項目分割!L$4))</f>
        <v/>
      </c>
    </row>
    <row r="20" spans="1:12" ht="10.8" customHeight="1" x14ac:dyDescent="0.45">
      <c r="A20" s="2"/>
      <c r="B20" s="16">
        <f t="shared" si="1"/>
        <v>14</v>
      </c>
      <c r="C20" s="19" t="str">
        <f>IF(請求確認_連携ファイル!C17="","",請求確認_連携ファイル!C17)</f>
        <v/>
      </c>
      <c r="D20" s="16" t="str">
        <f>IF(請求確認_連携ファイル!$D17="","",MIDB(請求確認_連携ファイル!$D17,請求確認_連携ファイル_項目分割!D$3,請求確認_連携ファイル_項目分割!D$4))</f>
        <v/>
      </c>
      <c r="E20" s="16" t="str">
        <f>IF(請求確認_連携ファイル!$D17="","",MIDB(請求確認_連携ファイル!$D17,請求確認_連携ファイル_項目分割!E$3,請求確認_連携ファイル_項目分割!E$4))</f>
        <v/>
      </c>
      <c r="F20" s="16" t="str">
        <f>IF(請求確認_連携ファイル!$D17="","",MIDB(請求確認_連携ファイル!$D17,請求確認_連携ファイル_項目分割!F$3,請求確認_連携ファイル_項目分割!F$4))</f>
        <v/>
      </c>
      <c r="G20" s="16" t="str">
        <f>IF(請求確認_連携ファイル!$D17="","",MIDB(請求確認_連携ファイル!$D17,請求確認_連携ファイル_項目分割!G$3,請求確認_連携ファイル_項目分割!G$4))</f>
        <v/>
      </c>
      <c r="H20" s="16" t="str">
        <f>IF(請求確認_連携ファイル!$D17="","",MIDB(請求確認_連携ファイル!$D17,請求確認_連携ファイル_項目分割!H$3,請求確認_連携ファイル_項目分割!H$4))</f>
        <v/>
      </c>
      <c r="I20" s="16" t="str">
        <f>IF(請求確認_連携ファイル!$D17="","",MIDB(請求確認_連携ファイル!$D17,請求確認_連携ファイル_項目分割!I$3,請求確認_連携ファイル_項目分割!I$4))</f>
        <v/>
      </c>
      <c r="J20" s="16" t="str">
        <f>IF(請求確認_連携ファイル!$D17="","",MIDB(請求確認_連携ファイル!$D17,請求確認_連携ファイル_項目分割!J$3,請求確認_連携ファイル_項目分割!J$4))</f>
        <v/>
      </c>
      <c r="K20" s="16" t="str">
        <f>IF(請求確認_連携ファイル!$D17="","",MIDB(請求確認_連携ファイル!$D17,請求確認_連携ファイル_項目分割!K$3,請求確認_連携ファイル_項目分割!K$4))</f>
        <v/>
      </c>
      <c r="L20" s="16" t="str">
        <f>IF(請求確認_連携ファイル!$D17="","",MIDB(請求確認_連携ファイル!$D17,請求確認_連携ファイル_項目分割!L$3,請求確認_連携ファイル_項目分割!L$4))</f>
        <v/>
      </c>
    </row>
    <row r="21" spans="1:12" ht="10.8" customHeight="1" x14ac:dyDescent="0.45">
      <c r="A21" s="2"/>
      <c r="B21" s="16">
        <f t="shared" si="1"/>
        <v>15</v>
      </c>
      <c r="C21" s="19" t="str">
        <f>IF(請求確認_連携ファイル!C18="","",請求確認_連携ファイル!C18)</f>
        <v/>
      </c>
      <c r="D21" s="16" t="str">
        <f>IF(請求確認_連携ファイル!$D18="","",MIDB(請求確認_連携ファイル!$D18,請求確認_連携ファイル_項目分割!D$3,請求確認_連携ファイル_項目分割!D$4))</f>
        <v/>
      </c>
      <c r="E21" s="16" t="str">
        <f>IF(請求確認_連携ファイル!$D18="","",MIDB(請求確認_連携ファイル!$D18,請求確認_連携ファイル_項目分割!E$3,請求確認_連携ファイル_項目分割!E$4))</f>
        <v/>
      </c>
      <c r="F21" s="16" t="str">
        <f>IF(請求確認_連携ファイル!$D18="","",MIDB(請求確認_連携ファイル!$D18,請求確認_連携ファイル_項目分割!F$3,請求確認_連携ファイル_項目分割!F$4))</f>
        <v/>
      </c>
      <c r="G21" s="16" t="str">
        <f>IF(請求確認_連携ファイル!$D18="","",MIDB(請求確認_連携ファイル!$D18,請求確認_連携ファイル_項目分割!G$3,請求確認_連携ファイル_項目分割!G$4))</f>
        <v/>
      </c>
      <c r="H21" s="16" t="str">
        <f>IF(請求確認_連携ファイル!$D18="","",MIDB(請求確認_連携ファイル!$D18,請求確認_連携ファイル_項目分割!H$3,請求確認_連携ファイル_項目分割!H$4))</f>
        <v/>
      </c>
      <c r="I21" s="16" t="str">
        <f>IF(請求確認_連携ファイル!$D18="","",MIDB(請求確認_連携ファイル!$D18,請求確認_連携ファイル_項目分割!I$3,請求確認_連携ファイル_項目分割!I$4))</f>
        <v/>
      </c>
      <c r="J21" s="16" t="str">
        <f>IF(請求確認_連携ファイル!$D18="","",MIDB(請求確認_連携ファイル!$D18,請求確認_連携ファイル_項目分割!J$3,請求確認_連携ファイル_項目分割!J$4))</f>
        <v/>
      </c>
      <c r="K21" s="16" t="str">
        <f>IF(請求確認_連携ファイル!$D18="","",MIDB(請求確認_連携ファイル!$D18,請求確認_連携ファイル_項目分割!K$3,請求確認_連携ファイル_項目分割!K$4))</f>
        <v/>
      </c>
      <c r="L21" s="16" t="str">
        <f>IF(請求確認_連携ファイル!$D18="","",MIDB(請求確認_連携ファイル!$D18,請求確認_連携ファイル_項目分割!L$3,請求確認_連携ファイル_項目分割!L$4))</f>
        <v/>
      </c>
    </row>
    <row r="22" spans="1:12" ht="10.8" customHeight="1" x14ac:dyDescent="0.45">
      <c r="A22" s="2"/>
      <c r="B22" s="16">
        <f t="shared" si="1"/>
        <v>16</v>
      </c>
      <c r="C22" s="19" t="str">
        <f>IF(請求確認_連携ファイル!C19="","",請求確認_連携ファイル!C19)</f>
        <v/>
      </c>
      <c r="D22" s="16" t="str">
        <f>IF(請求確認_連携ファイル!$D19="","",MIDB(請求確認_連携ファイル!$D19,請求確認_連携ファイル_項目分割!D$3,請求確認_連携ファイル_項目分割!D$4))</f>
        <v/>
      </c>
      <c r="E22" s="16" t="str">
        <f>IF(請求確認_連携ファイル!$D19="","",MIDB(請求確認_連携ファイル!$D19,請求確認_連携ファイル_項目分割!E$3,請求確認_連携ファイル_項目分割!E$4))</f>
        <v/>
      </c>
      <c r="F22" s="16" t="str">
        <f>IF(請求確認_連携ファイル!$D19="","",MIDB(請求確認_連携ファイル!$D19,請求確認_連携ファイル_項目分割!F$3,請求確認_連携ファイル_項目分割!F$4))</f>
        <v/>
      </c>
      <c r="G22" s="16" t="str">
        <f>IF(請求確認_連携ファイル!$D19="","",MIDB(請求確認_連携ファイル!$D19,請求確認_連携ファイル_項目分割!G$3,請求確認_連携ファイル_項目分割!G$4))</f>
        <v/>
      </c>
      <c r="H22" s="16" t="str">
        <f>IF(請求確認_連携ファイル!$D19="","",MIDB(請求確認_連携ファイル!$D19,請求確認_連携ファイル_項目分割!H$3,請求確認_連携ファイル_項目分割!H$4))</f>
        <v/>
      </c>
      <c r="I22" s="16" t="str">
        <f>IF(請求確認_連携ファイル!$D19="","",MIDB(請求確認_連携ファイル!$D19,請求確認_連携ファイル_項目分割!I$3,請求確認_連携ファイル_項目分割!I$4))</f>
        <v/>
      </c>
      <c r="J22" s="16" t="str">
        <f>IF(請求確認_連携ファイル!$D19="","",MIDB(請求確認_連携ファイル!$D19,請求確認_連携ファイル_項目分割!J$3,請求確認_連携ファイル_項目分割!J$4))</f>
        <v/>
      </c>
      <c r="K22" s="16" t="str">
        <f>IF(請求確認_連携ファイル!$D19="","",MIDB(請求確認_連携ファイル!$D19,請求確認_連携ファイル_項目分割!K$3,請求確認_連携ファイル_項目分割!K$4))</f>
        <v/>
      </c>
      <c r="L22" s="16" t="str">
        <f>IF(請求確認_連携ファイル!$D19="","",MIDB(請求確認_連携ファイル!$D19,請求確認_連携ファイル_項目分割!L$3,請求確認_連携ファイル_項目分割!L$4))</f>
        <v/>
      </c>
    </row>
    <row r="23" spans="1:12" ht="10.8" customHeight="1" x14ac:dyDescent="0.45">
      <c r="A23" s="2"/>
      <c r="B23" s="16">
        <f t="shared" si="1"/>
        <v>17</v>
      </c>
      <c r="C23" s="19" t="str">
        <f>IF(請求確認_連携ファイル!C20="","",請求確認_連携ファイル!C20)</f>
        <v/>
      </c>
      <c r="D23" s="16" t="str">
        <f>IF(請求確認_連携ファイル!$D20="","",MIDB(請求確認_連携ファイル!$D20,請求確認_連携ファイル_項目分割!D$3,請求確認_連携ファイル_項目分割!D$4))</f>
        <v/>
      </c>
      <c r="E23" s="16" t="str">
        <f>IF(請求確認_連携ファイル!$D20="","",MIDB(請求確認_連携ファイル!$D20,請求確認_連携ファイル_項目分割!E$3,請求確認_連携ファイル_項目分割!E$4))</f>
        <v/>
      </c>
      <c r="F23" s="16" t="str">
        <f>IF(請求確認_連携ファイル!$D20="","",MIDB(請求確認_連携ファイル!$D20,請求確認_連携ファイル_項目分割!F$3,請求確認_連携ファイル_項目分割!F$4))</f>
        <v/>
      </c>
      <c r="G23" s="16" t="str">
        <f>IF(請求確認_連携ファイル!$D20="","",MIDB(請求確認_連携ファイル!$D20,請求確認_連携ファイル_項目分割!G$3,請求確認_連携ファイル_項目分割!G$4))</f>
        <v/>
      </c>
      <c r="H23" s="16" t="str">
        <f>IF(請求確認_連携ファイル!$D20="","",MIDB(請求確認_連携ファイル!$D20,請求確認_連携ファイル_項目分割!H$3,請求確認_連携ファイル_項目分割!H$4))</f>
        <v/>
      </c>
      <c r="I23" s="16" t="str">
        <f>IF(請求確認_連携ファイル!$D20="","",MIDB(請求確認_連携ファイル!$D20,請求確認_連携ファイル_項目分割!I$3,請求確認_連携ファイル_項目分割!I$4))</f>
        <v/>
      </c>
      <c r="J23" s="16" t="str">
        <f>IF(請求確認_連携ファイル!$D20="","",MIDB(請求確認_連携ファイル!$D20,請求確認_連携ファイル_項目分割!J$3,請求確認_連携ファイル_項目分割!J$4))</f>
        <v/>
      </c>
      <c r="K23" s="16" t="str">
        <f>IF(請求確認_連携ファイル!$D20="","",MIDB(請求確認_連携ファイル!$D20,請求確認_連携ファイル_項目分割!K$3,請求確認_連携ファイル_項目分割!K$4))</f>
        <v/>
      </c>
      <c r="L23" s="16" t="str">
        <f>IF(請求確認_連携ファイル!$D20="","",MIDB(請求確認_連携ファイル!$D20,請求確認_連携ファイル_項目分割!L$3,請求確認_連携ファイル_項目分割!L$4))</f>
        <v/>
      </c>
    </row>
    <row r="24" spans="1:12" ht="10.8" customHeight="1" x14ac:dyDescent="0.45">
      <c r="A24" s="2"/>
      <c r="B24" s="16">
        <f t="shared" si="1"/>
        <v>18</v>
      </c>
      <c r="C24" s="19" t="str">
        <f>IF(請求確認_連携ファイル!C21="","",請求確認_連携ファイル!C21)</f>
        <v/>
      </c>
      <c r="D24" s="16" t="str">
        <f>IF(請求確認_連携ファイル!$D21="","",MIDB(請求確認_連携ファイル!$D21,請求確認_連携ファイル_項目分割!D$3,請求確認_連携ファイル_項目分割!D$4))</f>
        <v/>
      </c>
      <c r="E24" s="16" t="str">
        <f>IF(請求確認_連携ファイル!$D21="","",MIDB(請求確認_連携ファイル!$D21,請求確認_連携ファイル_項目分割!E$3,請求確認_連携ファイル_項目分割!E$4))</f>
        <v/>
      </c>
      <c r="F24" s="16" t="str">
        <f>IF(請求確認_連携ファイル!$D21="","",MIDB(請求確認_連携ファイル!$D21,請求確認_連携ファイル_項目分割!F$3,請求確認_連携ファイル_項目分割!F$4))</f>
        <v/>
      </c>
      <c r="G24" s="16" t="str">
        <f>IF(請求確認_連携ファイル!$D21="","",MIDB(請求確認_連携ファイル!$D21,請求確認_連携ファイル_項目分割!G$3,請求確認_連携ファイル_項目分割!G$4))</f>
        <v/>
      </c>
      <c r="H24" s="16" t="str">
        <f>IF(請求確認_連携ファイル!$D21="","",MIDB(請求確認_連携ファイル!$D21,請求確認_連携ファイル_項目分割!H$3,請求確認_連携ファイル_項目分割!H$4))</f>
        <v/>
      </c>
      <c r="I24" s="16" t="str">
        <f>IF(請求確認_連携ファイル!$D21="","",MIDB(請求確認_連携ファイル!$D21,請求確認_連携ファイル_項目分割!I$3,請求確認_連携ファイル_項目分割!I$4))</f>
        <v/>
      </c>
      <c r="J24" s="16" t="str">
        <f>IF(請求確認_連携ファイル!$D21="","",MIDB(請求確認_連携ファイル!$D21,請求確認_連携ファイル_項目分割!J$3,請求確認_連携ファイル_項目分割!J$4))</f>
        <v/>
      </c>
      <c r="K24" s="16" t="str">
        <f>IF(請求確認_連携ファイル!$D21="","",MIDB(請求確認_連携ファイル!$D21,請求確認_連携ファイル_項目分割!K$3,請求確認_連携ファイル_項目分割!K$4))</f>
        <v/>
      </c>
      <c r="L24" s="16" t="str">
        <f>IF(請求確認_連携ファイル!$D21="","",MIDB(請求確認_連携ファイル!$D21,請求確認_連携ファイル_項目分割!L$3,請求確認_連携ファイル_項目分割!L$4))</f>
        <v/>
      </c>
    </row>
    <row r="25" spans="1:12" ht="10.8" customHeight="1" x14ac:dyDescent="0.45">
      <c r="A25" s="2"/>
      <c r="B25" s="16">
        <f t="shared" si="1"/>
        <v>19</v>
      </c>
      <c r="C25" s="19" t="str">
        <f>IF(請求確認_連携ファイル!C22="","",請求確認_連携ファイル!C22)</f>
        <v/>
      </c>
      <c r="D25" s="16" t="str">
        <f>IF(請求確認_連携ファイル!$D22="","",MIDB(請求確認_連携ファイル!$D22,請求確認_連携ファイル_項目分割!D$3,請求確認_連携ファイル_項目分割!D$4))</f>
        <v/>
      </c>
      <c r="E25" s="16" t="str">
        <f>IF(請求確認_連携ファイル!$D22="","",MIDB(請求確認_連携ファイル!$D22,請求確認_連携ファイル_項目分割!E$3,請求確認_連携ファイル_項目分割!E$4))</f>
        <v/>
      </c>
      <c r="F25" s="16" t="str">
        <f>IF(請求確認_連携ファイル!$D22="","",MIDB(請求確認_連携ファイル!$D22,請求確認_連携ファイル_項目分割!F$3,請求確認_連携ファイル_項目分割!F$4))</f>
        <v/>
      </c>
      <c r="G25" s="16" t="str">
        <f>IF(請求確認_連携ファイル!$D22="","",MIDB(請求確認_連携ファイル!$D22,請求確認_連携ファイル_項目分割!G$3,請求確認_連携ファイル_項目分割!G$4))</f>
        <v/>
      </c>
      <c r="H25" s="16" t="str">
        <f>IF(請求確認_連携ファイル!$D22="","",MIDB(請求確認_連携ファイル!$D22,請求確認_連携ファイル_項目分割!H$3,請求確認_連携ファイル_項目分割!H$4))</f>
        <v/>
      </c>
      <c r="I25" s="16" t="str">
        <f>IF(請求確認_連携ファイル!$D22="","",MIDB(請求確認_連携ファイル!$D22,請求確認_連携ファイル_項目分割!I$3,請求確認_連携ファイル_項目分割!I$4))</f>
        <v/>
      </c>
      <c r="J25" s="16" t="str">
        <f>IF(請求確認_連携ファイル!$D22="","",MIDB(請求確認_連携ファイル!$D22,請求確認_連携ファイル_項目分割!J$3,請求確認_連携ファイル_項目分割!J$4))</f>
        <v/>
      </c>
      <c r="K25" s="16" t="str">
        <f>IF(請求確認_連携ファイル!$D22="","",MIDB(請求確認_連携ファイル!$D22,請求確認_連携ファイル_項目分割!K$3,請求確認_連携ファイル_項目分割!K$4))</f>
        <v/>
      </c>
      <c r="L25" s="16" t="str">
        <f>IF(請求確認_連携ファイル!$D22="","",MIDB(請求確認_連携ファイル!$D22,請求確認_連携ファイル_項目分割!L$3,請求確認_連携ファイル_項目分割!L$4))</f>
        <v/>
      </c>
    </row>
    <row r="26" spans="1:12" ht="10.8" customHeight="1" x14ac:dyDescent="0.45">
      <c r="A26" s="2"/>
      <c r="B26" s="16">
        <f t="shared" si="1"/>
        <v>20</v>
      </c>
      <c r="C26" s="19" t="str">
        <f>IF(請求確認_連携ファイル!C23="","",請求確認_連携ファイル!C23)</f>
        <v/>
      </c>
      <c r="D26" s="16" t="str">
        <f>IF(請求確認_連携ファイル!$D23="","",MIDB(請求確認_連携ファイル!$D23,請求確認_連携ファイル_項目分割!D$3,請求確認_連携ファイル_項目分割!D$4))</f>
        <v/>
      </c>
      <c r="E26" s="16" t="str">
        <f>IF(請求確認_連携ファイル!$D23="","",MIDB(請求確認_連携ファイル!$D23,請求確認_連携ファイル_項目分割!E$3,請求確認_連携ファイル_項目分割!E$4))</f>
        <v/>
      </c>
      <c r="F26" s="16" t="str">
        <f>IF(請求確認_連携ファイル!$D23="","",MIDB(請求確認_連携ファイル!$D23,請求確認_連携ファイル_項目分割!F$3,請求確認_連携ファイル_項目分割!F$4))</f>
        <v/>
      </c>
      <c r="G26" s="16" t="str">
        <f>IF(請求確認_連携ファイル!$D23="","",MIDB(請求確認_連携ファイル!$D23,請求確認_連携ファイル_項目分割!G$3,請求確認_連携ファイル_項目分割!G$4))</f>
        <v/>
      </c>
      <c r="H26" s="16" t="str">
        <f>IF(請求確認_連携ファイル!$D23="","",MIDB(請求確認_連携ファイル!$D23,請求確認_連携ファイル_項目分割!H$3,請求確認_連携ファイル_項目分割!H$4))</f>
        <v/>
      </c>
      <c r="I26" s="16" t="str">
        <f>IF(請求確認_連携ファイル!$D23="","",MIDB(請求確認_連携ファイル!$D23,請求確認_連携ファイル_項目分割!I$3,請求確認_連携ファイル_項目分割!I$4))</f>
        <v/>
      </c>
      <c r="J26" s="16" t="str">
        <f>IF(請求確認_連携ファイル!$D23="","",MIDB(請求確認_連携ファイル!$D23,請求確認_連携ファイル_項目分割!J$3,請求確認_連携ファイル_項目分割!J$4))</f>
        <v/>
      </c>
      <c r="K26" s="16" t="str">
        <f>IF(請求確認_連携ファイル!$D23="","",MIDB(請求確認_連携ファイル!$D23,請求確認_連携ファイル_項目分割!K$3,請求確認_連携ファイル_項目分割!K$4))</f>
        <v/>
      </c>
      <c r="L26" s="16" t="str">
        <f>IF(請求確認_連携ファイル!$D23="","",MIDB(請求確認_連携ファイル!$D23,請求確認_連携ファイル_項目分割!L$3,請求確認_連携ファイル_項目分割!L$4))</f>
        <v/>
      </c>
    </row>
    <row r="27" spans="1:12" ht="10.8" customHeight="1" x14ac:dyDescent="0.45">
      <c r="A27" s="2"/>
      <c r="B27" s="16">
        <f t="shared" si="1"/>
        <v>21</v>
      </c>
      <c r="C27" s="19" t="str">
        <f>IF(請求確認_連携ファイル!C24="","",請求確認_連携ファイル!C24)</f>
        <v/>
      </c>
      <c r="D27" s="16" t="str">
        <f>IF(請求確認_連携ファイル!$D24="","",MIDB(請求確認_連携ファイル!$D24,請求確認_連携ファイル_項目分割!D$3,請求確認_連携ファイル_項目分割!D$4))</f>
        <v/>
      </c>
      <c r="E27" s="16" t="str">
        <f>IF(請求確認_連携ファイル!$D24="","",MIDB(請求確認_連携ファイル!$D24,請求確認_連携ファイル_項目分割!E$3,請求確認_連携ファイル_項目分割!E$4))</f>
        <v/>
      </c>
      <c r="F27" s="16" t="str">
        <f>IF(請求確認_連携ファイル!$D24="","",MIDB(請求確認_連携ファイル!$D24,請求確認_連携ファイル_項目分割!F$3,請求確認_連携ファイル_項目分割!F$4))</f>
        <v/>
      </c>
      <c r="G27" s="16" t="str">
        <f>IF(請求確認_連携ファイル!$D24="","",MIDB(請求確認_連携ファイル!$D24,請求確認_連携ファイル_項目分割!G$3,請求確認_連携ファイル_項目分割!G$4))</f>
        <v/>
      </c>
      <c r="H27" s="16" t="str">
        <f>IF(請求確認_連携ファイル!$D24="","",MIDB(請求確認_連携ファイル!$D24,請求確認_連携ファイル_項目分割!H$3,請求確認_連携ファイル_項目分割!H$4))</f>
        <v/>
      </c>
      <c r="I27" s="16" t="str">
        <f>IF(請求確認_連携ファイル!$D24="","",MIDB(請求確認_連携ファイル!$D24,請求確認_連携ファイル_項目分割!I$3,請求確認_連携ファイル_項目分割!I$4))</f>
        <v/>
      </c>
      <c r="J27" s="16" t="str">
        <f>IF(請求確認_連携ファイル!$D24="","",MIDB(請求確認_連携ファイル!$D24,請求確認_連携ファイル_項目分割!J$3,請求確認_連携ファイル_項目分割!J$4))</f>
        <v/>
      </c>
      <c r="K27" s="16" t="str">
        <f>IF(請求確認_連携ファイル!$D24="","",MIDB(請求確認_連携ファイル!$D24,請求確認_連携ファイル_項目分割!K$3,請求確認_連携ファイル_項目分割!K$4))</f>
        <v/>
      </c>
      <c r="L27" s="16" t="str">
        <f>IF(請求確認_連携ファイル!$D24="","",MIDB(請求確認_連携ファイル!$D24,請求確認_連携ファイル_項目分割!L$3,請求確認_連携ファイル_項目分割!L$4))</f>
        <v/>
      </c>
    </row>
    <row r="28" spans="1:12" ht="10.8" customHeight="1" x14ac:dyDescent="0.45">
      <c r="A28" s="2"/>
      <c r="B28" s="16">
        <f t="shared" si="1"/>
        <v>22</v>
      </c>
      <c r="C28" s="19" t="str">
        <f>IF(請求確認_連携ファイル!C25="","",請求確認_連携ファイル!C25)</f>
        <v/>
      </c>
      <c r="D28" s="16" t="str">
        <f>IF(請求確認_連携ファイル!$D25="","",MIDB(請求確認_連携ファイル!$D25,請求確認_連携ファイル_項目分割!D$3,請求確認_連携ファイル_項目分割!D$4))</f>
        <v/>
      </c>
      <c r="E28" s="16" t="str">
        <f>IF(請求確認_連携ファイル!$D25="","",MIDB(請求確認_連携ファイル!$D25,請求確認_連携ファイル_項目分割!E$3,請求確認_連携ファイル_項目分割!E$4))</f>
        <v/>
      </c>
      <c r="F28" s="16" t="str">
        <f>IF(請求確認_連携ファイル!$D25="","",MIDB(請求確認_連携ファイル!$D25,請求確認_連携ファイル_項目分割!F$3,請求確認_連携ファイル_項目分割!F$4))</f>
        <v/>
      </c>
      <c r="G28" s="16" t="str">
        <f>IF(請求確認_連携ファイル!$D25="","",MIDB(請求確認_連携ファイル!$D25,請求確認_連携ファイル_項目分割!G$3,請求確認_連携ファイル_項目分割!G$4))</f>
        <v/>
      </c>
      <c r="H28" s="16" t="str">
        <f>IF(請求確認_連携ファイル!$D25="","",MIDB(請求確認_連携ファイル!$D25,請求確認_連携ファイル_項目分割!H$3,請求確認_連携ファイル_項目分割!H$4))</f>
        <v/>
      </c>
      <c r="I28" s="16" t="str">
        <f>IF(請求確認_連携ファイル!$D25="","",MIDB(請求確認_連携ファイル!$D25,請求確認_連携ファイル_項目分割!I$3,請求確認_連携ファイル_項目分割!I$4))</f>
        <v/>
      </c>
      <c r="J28" s="16" t="str">
        <f>IF(請求確認_連携ファイル!$D25="","",MIDB(請求確認_連携ファイル!$D25,請求確認_連携ファイル_項目分割!J$3,請求確認_連携ファイル_項目分割!J$4))</f>
        <v/>
      </c>
      <c r="K28" s="16" t="str">
        <f>IF(請求確認_連携ファイル!$D25="","",MIDB(請求確認_連携ファイル!$D25,請求確認_連携ファイル_項目分割!K$3,請求確認_連携ファイル_項目分割!K$4))</f>
        <v/>
      </c>
      <c r="L28" s="16" t="str">
        <f>IF(請求確認_連携ファイル!$D25="","",MIDB(請求確認_連携ファイル!$D25,請求確認_連携ファイル_項目分割!L$3,請求確認_連携ファイル_項目分割!L$4))</f>
        <v/>
      </c>
    </row>
    <row r="29" spans="1:12" ht="10.8" customHeight="1" x14ac:dyDescent="0.45">
      <c r="A29" s="2"/>
      <c r="B29" s="16">
        <f t="shared" si="1"/>
        <v>23</v>
      </c>
      <c r="C29" s="19" t="str">
        <f>IF(請求確認_連携ファイル!C26="","",請求確認_連携ファイル!C26)</f>
        <v/>
      </c>
      <c r="D29" s="16" t="str">
        <f>IF(請求確認_連携ファイル!$D26="","",MIDB(請求確認_連携ファイル!$D26,請求確認_連携ファイル_項目分割!D$3,請求確認_連携ファイル_項目分割!D$4))</f>
        <v/>
      </c>
      <c r="E29" s="16" t="str">
        <f>IF(請求確認_連携ファイル!$D26="","",MIDB(請求確認_連携ファイル!$D26,請求確認_連携ファイル_項目分割!E$3,請求確認_連携ファイル_項目分割!E$4))</f>
        <v/>
      </c>
      <c r="F29" s="16" t="str">
        <f>IF(請求確認_連携ファイル!$D26="","",MIDB(請求確認_連携ファイル!$D26,請求確認_連携ファイル_項目分割!F$3,請求確認_連携ファイル_項目分割!F$4))</f>
        <v/>
      </c>
      <c r="G29" s="16" t="str">
        <f>IF(請求確認_連携ファイル!$D26="","",MIDB(請求確認_連携ファイル!$D26,請求確認_連携ファイル_項目分割!G$3,請求確認_連携ファイル_項目分割!G$4))</f>
        <v/>
      </c>
      <c r="H29" s="16" t="str">
        <f>IF(請求確認_連携ファイル!$D26="","",MIDB(請求確認_連携ファイル!$D26,請求確認_連携ファイル_項目分割!H$3,請求確認_連携ファイル_項目分割!H$4))</f>
        <v/>
      </c>
      <c r="I29" s="16" t="str">
        <f>IF(請求確認_連携ファイル!$D26="","",MIDB(請求確認_連携ファイル!$D26,請求確認_連携ファイル_項目分割!I$3,請求確認_連携ファイル_項目分割!I$4))</f>
        <v/>
      </c>
      <c r="J29" s="16" t="str">
        <f>IF(請求確認_連携ファイル!$D26="","",MIDB(請求確認_連携ファイル!$D26,請求確認_連携ファイル_項目分割!J$3,請求確認_連携ファイル_項目分割!J$4))</f>
        <v/>
      </c>
      <c r="K29" s="16" t="str">
        <f>IF(請求確認_連携ファイル!$D26="","",MIDB(請求確認_連携ファイル!$D26,請求確認_連携ファイル_項目分割!K$3,請求確認_連携ファイル_項目分割!K$4))</f>
        <v/>
      </c>
      <c r="L29" s="16" t="str">
        <f>IF(請求確認_連携ファイル!$D26="","",MIDB(請求確認_連携ファイル!$D26,請求確認_連携ファイル_項目分割!L$3,請求確認_連携ファイル_項目分割!L$4))</f>
        <v/>
      </c>
    </row>
    <row r="30" spans="1:12" ht="10.8" customHeight="1" x14ac:dyDescent="0.45">
      <c r="A30" s="2"/>
      <c r="B30" s="16">
        <f t="shared" si="1"/>
        <v>24</v>
      </c>
      <c r="C30" s="19" t="str">
        <f>IF(請求確認_連携ファイル!C27="","",請求確認_連携ファイル!C27)</f>
        <v/>
      </c>
      <c r="D30" s="16" t="str">
        <f>IF(請求確認_連携ファイル!$D27="","",MIDB(請求確認_連携ファイル!$D27,請求確認_連携ファイル_項目分割!D$3,請求確認_連携ファイル_項目分割!D$4))</f>
        <v/>
      </c>
      <c r="E30" s="16" t="str">
        <f>IF(請求確認_連携ファイル!$D27="","",MIDB(請求確認_連携ファイル!$D27,請求確認_連携ファイル_項目分割!E$3,請求確認_連携ファイル_項目分割!E$4))</f>
        <v/>
      </c>
      <c r="F30" s="16" t="str">
        <f>IF(請求確認_連携ファイル!$D27="","",MIDB(請求確認_連携ファイル!$D27,請求確認_連携ファイル_項目分割!F$3,請求確認_連携ファイル_項目分割!F$4))</f>
        <v/>
      </c>
      <c r="G30" s="16" t="str">
        <f>IF(請求確認_連携ファイル!$D27="","",MIDB(請求確認_連携ファイル!$D27,請求確認_連携ファイル_項目分割!G$3,請求確認_連携ファイル_項目分割!G$4))</f>
        <v/>
      </c>
      <c r="H30" s="16" t="str">
        <f>IF(請求確認_連携ファイル!$D27="","",MIDB(請求確認_連携ファイル!$D27,請求確認_連携ファイル_項目分割!H$3,請求確認_連携ファイル_項目分割!H$4))</f>
        <v/>
      </c>
      <c r="I30" s="16" t="str">
        <f>IF(請求確認_連携ファイル!$D27="","",MIDB(請求確認_連携ファイル!$D27,請求確認_連携ファイル_項目分割!I$3,請求確認_連携ファイル_項目分割!I$4))</f>
        <v/>
      </c>
      <c r="J30" s="16" t="str">
        <f>IF(請求確認_連携ファイル!$D27="","",MIDB(請求確認_連携ファイル!$D27,請求確認_連携ファイル_項目分割!J$3,請求確認_連携ファイル_項目分割!J$4))</f>
        <v/>
      </c>
      <c r="K30" s="16" t="str">
        <f>IF(請求確認_連携ファイル!$D27="","",MIDB(請求確認_連携ファイル!$D27,請求確認_連携ファイル_項目分割!K$3,請求確認_連携ファイル_項目分割!K$4))</f>
        <v/>
      </c>
      <c r="L30" s="16" t="str">
        <f>IF(請求確認_連携ファイル!$D27="","",MIDB(請求確認_連携ファイル!$D27,請求確認_連携ファイル_項目分割!L$3,請求確認_連携ファイル_項目分割!L$4))</f>
        <v/>
      </c>
    </row>
    <row r="31" spans="1:12" ht="10.8" customHeight="1" x14ac:dyDescent="0.45">
      <c r="A31" s="2"/>
      <c r="B31" s="16">
        <f t="shared" si="1"/>
        <v>25</v>
      </c>
      <c r="C31" s="19" t="str">
        <f>IF(請求確認_連携ファイル!C28="","",請求確認_連携ファイル!C28)</f>
        <v/>
      </c>
      <c r="D31" s="16" t="str">
        <f>IF(請求確認_連携ファイル!$D28="","",MIDB(請求確認_連携ファイル!$D28,請求確認_連携ファイル_項目分割!D$3,請求確認_連携ファイル_項目分割!D$4))</f>
        <v/>
      </c>
      <c r="E31" s="16" t="str">
        <f>IF(請求確認_連携ファイル!$D28="","",MIDB(請求確認_連携ファイル!$D28,請求確認_連携ファイル_項目分割!E$3,請求確認_連携ファイル_項目分割!E$4))</f>
        <v/>
      </c>
      <c r="F31" s="16" t="str">
        <f>IF(請求確認_連携ファイル!$D28="","",MIDB(請求確認_連携ファイル!$D28,請求確認_連携ファイル_項目分割!F$3,請求確認_連携ファイル_項目分割!F$4))</f>
        <v/>
      </c>
      <c r="G31" s="16" t="str">
        <f>IF(請求確認_連携ファイル!$D28="","",MIDB(請求確認_連携ファイル!$D28,請求確認_連携ファイル_項目分割!G$3,請求確認_連携ファイル_項目分割!G$4))</f>
        <v/>
      </c>
      <c r="H31" s="16" t="str">
        <f>IF(請求確認_連携ファイル!$D28="","",MIDB(請求確認_連携ファイル!$D28,請求確認_連携ファイル_項目分割!H$3,請求確認_連携ファイル_項目分割!H$4))</f>
        <v/>
      </c>
      <c r="I31" s="16" t="str">
        <f>IF(請求確認_連携ファイル!$D28="","",MIDB(請求確認_連携ファイル!$D28,請求確認_連携ファイル_項目分割!I$3,請求確認_連携ファイル_項目分割!I$4))</f>
        <v/>
      </c>
      <c r="J31" s="16" t="str">
        <f>IF(請求確認_連携ファイル!$D28="","",MIDB(請求確認_連携ファイル!$D28,請求確認_連携ファイル_項目分割!J$3,請求確認_連携ファイル_項目分割!J$4))</f>
        <v/>
      </c>
      <c r="K31" s="16" t="str">
        <f>IF(請求確認_連携ファイル!$D28="","",MIDB(請求確認_連携ファイル!$D28,請求確認_連携ファイル_項目分割!K$3,請求確認_連携ファイル_項目分割!K$4))</f>
        <v/>
      </c>
      <c r="L31" s="16" t="str">
        <f>IF(請求確認_連携ファイル!$D28="","",MIDB(請求確認_連携ファイル!$D28,請求確認_連携ファイル_項目分割!L$3,請求確認_連携ファイル_項目分割!L$4))</f>
        <v/>
      </c>
    </row>
    <row r="32" spans="1:12" ht="10.8" customHeight="1" x14ac:dyDescent="0.45">
      <c r="A32" s="2"/>
      <c r="B32" s="16">
        <f t="shared" si="1"/>
        <v>26</v>
      </c>
      <c r="C32" s="19" t="str">
        <f>IF(請求確認_連携ファイル!C29="","",請求確認_連携ファイル!C29)</f>
        <v/>
      </c>
      <c r="D32" s="16" t="str">
        <f>IF(請求確認_連携ファイル!$D29="","",MIDB(請求確認_連携ファイル!$D29,請求確認_連携ファイル_項目分割!D$3,請求確認_連携ファイル_項目分割!D$4))</f>
        <v/>
      </c>
      <c r="E32" s="16" t="str">
        <f>IF(請求確認_連携ファイル!$D29="","",MIDB(請求確認_連携ファイル!$D29,請求確認_連携ファイル_項目分割!E$3,請求確認_連携ファイル_項目分割!E$4))</f>
        <v/>
      </c>
      <c r="F32" s="16" t="str">
        <f>IF(請求確認_連携ファイル!$D29="","",MIDB(請求確認_連携ファイル!$D29,請求確認_連携ファイル_項目分割!F$3,請求確認_連携ファイル_項目分割!F$4))</f>
        <v/>
      </c>
      <c r="G32" s="16" t="str">
        <f>IF(請求確認_連携ファイル!$D29="","",MIDB(請求確認_連携ファイル!$D29,請求確認_連携ファイル_項目分割!G$3,請求確認_連携ファイル_項目分割!G$4))</f>
        <v/>
      </c>
      <c r="H32" s="16" t="str">
        <f>IF(請求確認_連携ファイル!$D29="","",MIDB(請求確認_連携ファイル!$D29,請求確認_連携ファイル_項目分割!H$3,請求確認_連携ファイル_項目分割!H$4))</f>
        <v/>
      </c>
      <c r="I32" s="16" t="str">
        <f>IF(請求確認_連携ファイル!$D29="","",MIDB(請求確認_連携ファイル!$D29,請求確認_連携ファイル_項目分割!I$3,請求確認_連携ファイル_項目分割!I$4))</f>
        <v/>
      </c>
      <c r="J32" s="16" t="str">
        <f>IF(請求確認_連携ファイル!$D29="","",MIDB(請求確認_連携ファイル!$D29,請求確認_連携ファイル_項目分割!J$3,請求確認_連携ファイル_項目分割!J$4))</f>
        <v/>
      </c>
      <c r="K32" s="16" t="str">
        <f>IF(請求確認_連携ファイル!$D29="","",MIDB(請求確認_連携ファイル!$D29,請求確認_連携ファイル_項目分割!K$3,請求確認_連携ファイル_項目分割!K$4))</f>
        <v/>
      </c>
      <c r="L32" s="16" t="str">
        <f>IF(請求確認_連携ファイル!$D29="","",MIDB(請求確認_連携ファイル!$D29,請求確認_連携ファイル_項目分割!L$3,請求確認_連携ファイル_項目分割!L$4))</f>
        <v/>
      </c>
    </row>
    <row r="33" spans="1:12" ht="10.8" customHeight="1" x14ac:dyDescent="0.45">
      <c r="A33" s="2"/>
      <c r="B33" s="16">
        <f t="shared" si="1"/>
        <v>27</v>
      </c>
      <c r="C33" s="19" t="str">
        <f>IF(請求確認_連携ファイル!C30="","",請求確認_連携ファイル!C30)</f>
        <v/>
      </c>
      <c r="D33" s="16" t="str">
        <f>IF(請求確認_連携ファイル!$D30="","",MIDB(請求確認_連携ファイル!$D30,請求確認_連携ファイル_項目分割!D$3,請求確認_連携ファイル_項目分割!D$4))</f>
        <v/>
      </c>
      <c r="E33" s="16" t="str">
        <f>IF(請求確認_連携ファイル!$D30="","",MIDB(請求確認_連携ファイル!$D30,請求確認_連携ファイル_項目分割!E$3,請求確認_連携ファイル_項目分割!E$4))</f>
        <v/>
      </c>
      <c r="F33" s="16" t="str">
        <f>IF(請求確認_連携ファイル!$D30="","",MIDB(請求確認_連携ファイル!$D30,請求確認_連携ファイル_項目分割!F$3,請求確認_連携ファイル_項目分割!F$4))</f>
        <v/>
      </c>
      <c r="G33" s="16" t="str">
        <f>IF(請求確認_連携ファイル!$D30="","",MIDB(請求確認_連携ファイル!$D30,請求確認_連携ファイル_項目分割!G$3,請求確認_連携ファイル_項目分割!G$4))</f>
        <v/>
      </c>
      <c r="H33" s="16" t="str">
        <f>IF(請求確認_連携ファイル!$D30="","",MIDB(請求確認_連携ファイル!$D30,請求確認_連携ファイル_項目分割!H$3,請求確認_連携ファイル_項目分割!H$4))</f>
        <v/>
      </c>
      <c r="I33" s="16" t="str">
        <f>IF(請求確認_連携ファイル!$D30="","",MIDB(請求確認_連携ファイル!$D30,請求確認_連携ファイル_項目分割!I$3,請求確認_連携ファイル_項目分割!I$4))</f>
        <v/>
      </c>
      <c r="J33" s="16" t="str">
        <f>IF(請求確認_連携ファイル!$D30="","",MIDB(請求確認_連携ファイル!$D30,請求確認_連携ファイル_項目分割!J$3,請求確認_連携ファイル_項目分割!J$4))</f>
        <v/>
      </c>
      <c r="K33" s="16" t="str">
        <f>IF(請求確認_連携ファイル!$D30="","",MIDB(請求確認_連携ファイル!$D30,請求確認_連携ファイル_項目分割!K$3,請求確認_連携ファイル_項目分割!K$4))</f>
        <v/>
      </c>
      <c r="L33" s="16" t="str">
        <f>IF(請求確認_連携ファイル!$D30="","",MIDB(請求確認_連携ファイル!$D30,請求確認_連携ファイル_項目分割!L$3,請求確認_連携ファイル_項目分割!L$4))</f>
        <v/>
      </c>
    </row>
    <row r="34" spans="1:12" ht="10.8" customHeight="1" x14ac:dyDescent="0.45">
      <c r="A34" s="2"/>
      <c r="B34" s="16">
        <f t="shared" si="1"/>
        <v>28</v>
      </c>
      <c r="C34" s="19" t="str">
        <f>IF(請求確認_連携ファイル!C31="","",請求確認_連携ファイル!C31)</f>
        <v/>
      </c>
      <c r="D34" s="16" t="str">
        <f>IF(請求確認_連携ファイル!$D31="","",MIDB(請求確認_連携ファイル!$D31,請求確認_連携ファイル_項目分割!D$3,請求確認_連携ファイル_項目分割!D$4))</f>
        <v/>
      </c>
      <c r="E34" s="16" t="str">
        <f>IF(請求確認_連携ファイル!$D31="","",MIDB(請求確認_連携ファイル!$D31,請求確認_連携ファイル_項目分割!E$3,請求確認_連携ファイル_項目分割!E$4))</f>
        <v/>
      </c>
      <c r="F34" s="16" t="str">
        <f>IF(請求確認_連携ファイル!$D31="","",MIDB(請求確認_連携ファイル!$D31,請求確認_連携ファイル_項目分割!F$3,請求確認_連携ファイル_項目分割!F$4))</f>
        <v/>
      </c>
      <c r="G34" s="16" t="str">
        <f>IF(請求確認_連携ファイル!$D31="","",MIDB(請求確認_連携ファイル!$D31,請求確認_連携ファイル_項目分割!G$3,請求確認_連携ファイル_項目分割!G$4))</f>
        <v/>
      </c>
      <c r="H34" s="16" t="str">
        <f>IF(請求確認_連携ファイル!$D31="","",MIDB(請求確認_連携ファイル!$D31,請求確認_連携ファイル_項目分割!H$3,請求確認_連携ファイル_項目分割!H$4))</f>
        <v/>
      </c>
      <c r="I34" s="16" t="str">
        <f>IF(請求確認_連携ファイル!$D31="","",MIDB(請求確認_連携ファイル!$D31,請求確認_連携ファイル_項目分割!I$3,請求確認_連携ファイル_項目分割!I$4))</f>
        <v/>
      </c>
      <c r="J34" s="16" t="str">
        <f>IF(請求確認_連携ファイル!$D31="","",MIDB(請求確認_連携ファイル!$D31,請求確認_連携ファイル_項目分割!J$3,請求確認_連携ファイル_項目分割!J$4))</f>
        <v/>
      </c>
      <c r="K34" s="16" t="str">
        <f>IF(請求確認_連携ファイル!$D31="","",MIDB(請求確認_連携ファイル!$D31,請求確認_連携ファイル_項目分割!K$3,請求確認_連携ファイル_項目分割!K$4))</f>
        <v/>
      </c>
      <c r="L34" s="16" t="str">
        <f>IF(請求確認_連携ファイル!$D31="","",MIDB(請求確認_連携ファイル!$D31,請求確認_連携ファイル_項目分割!L$3,請求確認_連携ファイル_項目分割!L$4))</f>
        <v/>
      </c>
    </row>
    <row r="35" spans="1:12" ht="10.8" customHeight="1" x14ac:dyDescent="0.45">
      <c r="A35" s="2"/>
      <c r="B35" s="16">
        <f t="shared" si="1"/>
        <v>29</v>
      </c>
      <c r="C35" s="19" t="str">
        <f>IF(請求確認_連携ファイル!C32="","",請求確認_連携ファイル!C32)</f>
        <v/>
      </c>
      <c r="D35" s="16" t="str">
        <f>IF(請求確認_連携ファイル!$D32="","",MIDB(請求確認_連携ファイル!$D32,請求確認_連携ファイル_項目分割!D$3,請求確認_連携ファイル_項目分割!D$4))</f>
        <v/>
      </c>
      <c r="E35" s="16" t="str">
        <f>IF(請求確認_連携ファイル!$D32="","",MIDB(請求確認_連携ファイル!$D32,請求確認_連携ファイル_項目分割!E$3,請求確認_連携ファイル_項目分割!E$4))</f>
        <v/>
      </c>
      <c r="F35" s="16" t="str">
        <f>IF(請求確認_連携ファイル!$D32="","",MIDB(請求確認_連携ファイル!$D32,請求確認_連携ファイル_項目分割!F$3,請求確認_連携ファイル_項目分割!F$4))</f>
        <v/>
      </c>
      <c r="G35" s="16" t="str">
        <f>IF(請求確認_連携ファイル!$D32="","",MIDB(請求確認_連携ファイル!$D32,請求確認_連携ファイル_項目分割!G$3,請求確認_連携ファイル_項目分割!G$4))</f>
        <v/>
      </c>
      <c r="H35" s="16" t="str">
        <f>IF(請求確認_連携ファイル!$D32="","",MIDB(請求確認_連携ファイル!$D32,請求確認_連携ファイル_項目分割!H$3,請求確認_連携ファイル_項目分割!H$4))</f>
        <v/>
      </c>
      <c r="I35" s="16" t="str">
        <f>IF(請求確認_連携ファイル!$D32="","",MIDB(請求確認_連携ファイル!$D32,請求確認_連携ファイル_項目分割!I$3,請求確認_連携ファイル_項目分割!I$4))</f>
        <v/>
      </c>
      <c r="J35" s="16" t="str">
        <f>IF(請求確認_連携ファイル!$D32="","",MIDB(請求確認_連携ファイル!$D32,請求確認_連携ファイル_項目分割!J$3,請求確認_連携ファイル_項目分割!J$4))</f>
        <v/>
      </c>
      <c r="K35" s="16" t="str">
        <f>IF(請求確認_連携ファイル!$D32="","",MIDB(請求確認_連携ファイル!$D32,請求確認_連携ファイル_項目分割!K$3,請求確認_連携ファイル_項目分割!K$4))</f>
        <v/>
      </c>
      <c r="L35" s="16" t="str">
        <f>IF(請求確認_連携ファイル!$D32="","",MIDB(請求確認_連携ファイル!$D32,請求確認_連携ファイル_項目分割!L$3,請求確認_連携ファイル_項目分割!L$4))</f>
        <v/>
      </c>
    </row>
    <row r="36" spans="1:12" ht="10.8" customHeight="1" x14ac:dyDescent="0.45">
      <c r="A36" s="2"/>
      <c r="B36" s="16">
        <f t="shared" si="1"/>
        <v>30</v>
      </c>
      <c r="C36" s="19" t="str">
        <f>IF(請求確認_連携ファイル!C33="","",請求確認_連携ファイル!C33)</f>
        <v/>
      </c>
      <c r="D36" s="16" t="str">
        <f>IF(請求確認_連携ファイル!$D33="","",MIDB(請求確認_連携ファイル!$D33,請求確認_連携ファイル_項目分割!D$3,請求確認_連携ファイル_項目分割!D$4))</f>
        <v/>
      </c>
      <c r="E36" s="16" t="str">
        <f>IF(請求確認_連携ファイル!$D33="","",MIDB(請求確認_連携ファイル!$D33,請求確認_連携ファイル_項目分割!E$3,請求確認_連携ファイル_項目分割!E$4))</f>
        <v/>
      </c>
      <c r="F36" s="16" t="str">
        <f>IF(請求確認_連携ファイル!$D33="","",MIDB(請求確認_連携ファイル!$D33,請求確認_連携ファイル_項目分割!F$3,請求確認_連携ファイル_項目分割!F$4))</f>
        <v/>
      </c>
      <c r="G36" s="16" t="str">
        <f>IF(請求確認_連携ファイル!$D33="","",MIDB(請求確認_連携ファイル!$D33,請求確認_連携ファイル_項目分割!G$3,請求確認_連携ファイル_項目分割!G$4))</f>
        <v/>
      </c>
      <c r="H36" s="16" t="str">
        <f>IF(請求確認_連携ファイル!$D33="","",MIDB(請求確認_連携ファイル!$D33,請求確認_連携ファイル_項目分割!H$3,請求確認_連携ファイル_項目分割!H$4))</f>
        <v/>
      </c>
      <c r="I36" s="16" t="str">
        <f>IF(請求確認_連携ファイル!$D33="","",MIDB(請求確認_連携ファイル!$D33,請求確認_連携ファイル_項目分割!I$3,請求確認_連携ファイル_項目分割!I$4))</f>
        <v/>
      </c>
      <c r="J36" s="16" t="str">
        <f>IF(請求確認_連携ファイル!$D33="","",MIDB(請求確認_連携ファイル!$D33,請求確認_連携ファイル_項目分割!J$3,請求確認_連携ファイル_項目分割!J$4))</f>
        <v/>
      </c>
      <c r="K36" s="16" t="str">
        <f>IF(請求確認_連携ファイル!$D33="","",MIDB(請求確認_連携ファイル!$D33,請求確認_連携ファイル_項目分割!K$3,請求確認_連携ファイル_項目分割!K$4))</f>
        <v/>
      </c>
      <c r="L36" s="16" t="str">
        <f>IF(請求確認_連携ファイル!$D33="","",MIDB(請求確認_連携ファイル!$D33,請求確認_連携ファイル_項目分割!L$3,請求確認_連携ファイル_項目分割!L$4))</f>
        <v/>
      </c>
    </row>
    <row r="37" spans="1:12" ht="10.8" customHeight="1" x14ac:dyDescent="0.45">
      <c r="A37" s="2"/>
      <c r="B37" s="16">
        <f t="shared" si="1"/>
        <v>31</v>
      </c>
      <c r="C37" s="19" t="str">
        <f>IF(請求確認_連携ファイル!C34="","",請求確認_連携ファイル!C34)</f>
        <v/>
      </c>
      <c r="D37" s="16" t="str">
        <f>IF(請求確認_連携ファイル!$D34="","",MIDB(請求確認_連携ファイル!$D34,請求確認_連携ファイル_項目分割!D$3,請求確認_連携ファイル_項目分割!D$4))</f>
        <v/>
      </c>
      <c r="E37" s="16" t="str">
        <f>IF(請求確認_連携ファイル!$D34="","",MIDB(請求確認_連携ファイル!$D34,請求確認_連携ファイル_項目分割!E$3,請求確認_連携ファイル_項目分割!E$4))</f>
        <v/>
      </c>
      <c r="F37" s="16" t="str">
        <f>IF(請求確認_連携ファイル!$D34="","",MIDB(請求確認_連携ファイル!$D34,請求確認_連携ファイル_項目分割!F$3,請求確認_連携ファイル_項目分割!F$4))</f>
        <v/>
      </c>
      <c r="G37" s="16" t="str">
        <f>IF(請求確認_連携ファイル!$D34="","",MIDB(請求確認_連携ファイル!$D34,請求確認_連携ファイル_項目分割!G$3,請求確認_連携ファイル_項目分割!G$4))</f>
        <v/>
      </c>
      <c r="H37" s="16" t="str">
        <f>IF(請求確認_連携ファイル!$D34="","",MIDB(請求確認_連携ファイル!$D34,請求確認_連携ファイル_項目分割!H$3,請求確認_連携ファイル_項目分割!H$4))</f>
        <v/>
      </c>
      <c r="I37" s="16" t="str">
        <f>IF(請求確認_連携ファイル!$D34="","",MIDB(請求確認_連携ファイル!$D34,請求確認_連携ファイル_項目分割!I$3,請求確認_連携ファイル_項目分割!I$4))</f>
        <v/>
      </c>
      <c r="J37" s="16" t="str">
        <f>IF(請求確認_連携ファイル!$D34="","",MIDB(請求確認_連携ファイル!$D34,請求確認_連携ファイル_項目分割!J$3,請求確認_連携ファイル_項目分割!J$4))</f>
        <v/>
      </c>
      <c r="K37" s="16" t="str">
        <f>IF(請求確認_連携ファイル!$D34="","",MIDB(請求確認_連携ファイル!$D34,請求確認_連携ファイル_項目分割!K$3,請求確認_連携ファイル_項目分割!K$4))</f>
        <v/>
      </c>
      <c r="L37" s="16" t="str">
        <f>IF(請求確認_連携ファイル!$D34="","",MIDB(請求確認_連携ファイル!$D34,請求確認_連携ファイル_項目分割!L$3,請求確認_連携ファイル_項目分割!L$4))</f>
        <v/>
      </c>
    </row>
    <row r="38" spans="1:12" ht="10.8" customHeight="1" x14ac:dyDescent="0.45">
      <c r="A38" s="2"/>
      <c r="B38" s="16">
        <f t="shared" si="1"/>
        <v>32</v>
      </c>
      <c r="C38" s="19" t="str">
        <f>IF(請求確認_連携ファイル!C35="","",請求確認_連携ファイル!C35)</f>
        <v/>
      </c>
      <c r="D38" s="16" t="str">
        <f>IF(請求確認_連携ファイル!$D35="","",MIDB(請求確認_連携ファイル!$D35,請求確認_連携ファイル_項目分割!D$3,請求確認_連携ファイル_項目分割!D$4))</f>
        <v/>
      </c>
      <c r="E38" s="16" t="str">
        <f>IF(請求確認_連携ファイル!$D35="","",MIDB(請求確認_連携ファイル!$D35,請求確認_連携ファイル_項目分割!E$3,請求確認_連携ファイル_項目分割!E$4))</f>
        <v/>
      </c>
      <c r="F38" s="16" t="str">
        <f>IF(請求確認_連携ファイル!$D35="","",MIDB(請求確認_連携ファイル!$D35,請求確認_連携ファイル_項目分割!F$3,請求確認_連携ファイル_項目分割!F$4))</f>
        <v/>
      </c>
      <c r="G38" s="16" t="str">
        <f>IF(請求確認_連携ファイル!$D35="","",MIDB(請求確認_連携ファイル!$D35,請求確認_連携ファイル_項目分割!G$3,請求確認_連携ファイル_項目分割!G$4))</f>
        <v/>
      </c>
      <c r="H38" s="16" t="str">
        <f>IF(請求確認_連携ファイル!$D35="","",MIDB(請求確認_連携ファイル!$D35,請求確認_連携ファイル_項目分割!H$3,請求確認_連携ファイル_項目分割!H$4))</f>
        <v/>
      </c>
      <c r="I38" s="16" t="str">
        <f>IF(請求確認_連携ファイル!$D35="","",MIDB(請求確認_連携ファイル!$D35,請求確認_連携ファイル_項目分割!I$3,請求確認_連携ファイル_項目分割!I$4))</f>
        <v/>
      </c>
      <c r="J38" s="16" t="str">
        <f>IF(請求確認_連携ファイル!$D35="","",MIDB(請求確認_連携ファイル!$D35,請求確認_連携ファイル_項目分割!J$3,請求確認_連携ファイル_項目分割!J$4))</f>
        <v/>
      </c>
      <c r="K38" s="16" t="str">
        <f>IF(請求確認_連携ファイル!$D35="","",MIDB(請求確認_連携ファイル!$D35,請求確認_連携ファイル_項目分割!K$3,請求確認_連携ファイル_項目分割!K$4))</f>
        <v/>
      </c>
      <c r="L38" s="16" t="str">
        <f>IF(請求確認_連携ファイル!$D35="","",MIDB(請求確認_連携ファイル!$D35,請求確認_連携ファイル_項目分割!L$3,請求確認_連携ファイル_項目分割!L$4))</f>
        <v/>
      </c>
    </row>
    <row r="39" spans="1:12" ht="10.8" customHeight="1" x14ac:dyDescent="0.45">
      <c r="A39" s="2"/>
      <c r="B39" s="16">
        <f t="shared" si="1"/>
        <v>33</v>
      </c>
      <c r="C39" s="19" t="str">
        <f>IF(請求確認_連携ファイル!C36="","",請求確認_連携ファイル!C36)</f>
        <v/>
      </c>
      <c r="D39" s="16" t="str">
        <f>IF(請求確認_連携ファイル!$D36="","",MIDB(請求確認_連携ファイル!$D36,請求確認_連携ファイル_項目分割!D$3,請求確認_連携ファイル_項目分割!D$4))</f>
        <v/>
      </c>
      <c r="E39" s="16" t="str">
        <f>IF(請求確認_連携ファイル!$D36="","",MIDB(請求確認_連携ファイル!$D36,請求確認_連携ファイル_項目分割!E$3,請求確認_連携ファイル_項目分割!E$4))</f>
        <v/>
      </c>
      <c r="F39" s="16" t="str">
        <f>IF(請求確認_連携ファイル!$D36="","",MIDB(請求確認_連携ファイル!$D36,請求確認_連携ファイル_項目分割!F$3,請求確認_連携ファイル_項目分割!F$4))</f>
        <v/>
      </c>
      <c r="G39" s="16" t="str">
        <f>IF(請求確認_連携ファイル!$D36="","",MIDB(請求確認_連携ファイル!$D36,請求確認_連携ファイル_項目分割!G$3,請求確認_連携ファイル_項目分割!G$4))</f>
        <v/>
      </c>
      <c r="H39" s="16" t="str">
        <f>IF(請求確認_連携ファイル!$D36="","",MIDB(請求確認_連携ファイル!$D36,請求確認_連携ファイル_項目分割!H$3,請求確認_連携ファイル_項目分割!H$4))</f>
        <v/>
      </c>
      <c r="I39" s="16" t="str">
        <f>IF(請求確認_連携ファイル!$D36="","",MIDB(請求確認_連携ファイル!$D36,請求確認_連携ファイル_項目分割!I$3,請求確認_連携ファイル_項目分割!I$4))</f>
        <v/>
      </c>
      <c r="J39" s="16" t="str">
        <f>IF(請求確認_連携ファイル!$D36="","",MIDB(請求確認_連携ファイル!$D36,請求確認_連携ファイル_項目分割!J$3,請求確認_連携ファイル_項目分割!J$4))</f>
        <v/>
      </c>
      <c r="K39" s="16" t="str">
        <f>IF(請求確認_連携ファイル!$D36="","",MIDB(請求確認_連携ファイル!$D36,請求確認_連携ファイル_項目分割!K$3,請求確認_連携ファイル_項目分割!K$4))</f>
        <v/>
      </c>
      <c r="L39" s="16" t="str">
        <f>IF(請求確認_連携ファイル!$D36="","",MIDB(請求確認_連携ファイル!$D36,請求確認_連携ファイル_項目分割!L$3,請求確認_連携ファイル_項目分割!L$4))</f>
        <v/>
      </c>
    </row>
    <row r="40" spans="1:12" ht="10.8" customHeight="1" x14ac:dyDescent="0.45">
      <c r="A40" s="2"/>
      <c r="B40" s="16">
        <f t="shared" si="1"/>
        <v>34</v>
      </c>
      <c r="C40" s="19" t="str">
        <f>IF(請求確認_連携ファイル!C37="","",請求確認_連携ファイル!C37)</f>
        <v/>
      </c>
      <c r="D40" s="16" t="str">
        <f>IF(請求確認_連携ファイル!$D37="","",MIDB(請求確認_連携ファイル!$D37,請求確認_連携ファイル_項目分割!D$3,請求確認_連携ファイル_項目分割!D$4))</f>
        <v/>
      </c>
      <c r="E40" s="16" t="str">
        <f>IF(請求確認_連携ファイル!$D37="","",MIDB(請求確認_連携ファイル!$D37,請求確認_連携ファイル_項目分割!E$3,請求確認_連携ファイル_項目分割!E$4))</f>
        <v/>
      </c>
      <c r="F40" s="16" t="str">
        <f>IF(請求確認_連携ファイル!$D37="","",MIDB(請求確認_連携ファイル!$D37,請求確認_連携ファイル_項目分割!F$3,請求確認_連携ファイル_項目分割!F$4))</f>
        <v/>
      </c>
      <c r="G40" s="16" t="str">
        <f>IF(請求確認_連携ファイル!$D37="","",MIDB(請求確認_連携ファイル!$D37,請求確認_連携ファイル_項目分割!G$3,請求確認_連携ファイル_項目分割!G$4))</f>
        <v/>
      </c>
      <c r="H40" s="16" t="str">
        <f>IF(請求確認_連携ファイル!$D37="","",MIDB(請求確認_連携ファイル!$D37,請求確認_連携ファイル_項目分割!H$3,請求確認_連携ファイル_項目分割!H$4))</f>
        <v/>
      </c>
      <c r="I40" s="16" t="str">
        <f>IF(請求確認_連携ファイル!$D37="","",MIDB(請求確認_連携ファイル!$D37,請求確認_連携ファイル_項目分割!I$3,請求確認_連携ファイル_項目分割!I$4))</f>
        <v/>
      </c>
      <c r="J40" s="16" t="str">
        <f>IF(請求確認_連携ファイル!$D37="","",MIDB(請求確認_連携ファイル!$D37,請求確認_連携ファイル_項目分割!J$3,請求確認_連携ファイル_項目分割!J$4))</f>
        <v/>
      </c>
      <c r="K40" s="16" t="str">
        <f>IF(請求確認_連携ファイル!$D37="","",MIDB(請求確認_連携ファイル!$D37,請求確認_連携ファイル_項目分割!K$3,請求確認_連携ファイル_項目分割!K$4))</f>
        <v/>
      </c>
      <c r="L40" s="16" t="str">
        <f>IF(請求確認_連携ファイル!$D37="","",MIDB(請求確認_連携ファイル!$D37,請求確認_連携ファイル_項目分割!L$3,請求確認_連携ファイル_項目分割!L$4))</f>
        <v/>
      </c>
    </row>
    <row r="41" spans="1:12" ht="10.8" customHeight="1" x14ac:dyDescent="0.45">
      <c r="A41" s="2"/>
      <c r="B41" s="16">
        <f t="shared" si="1"/>
        <v>35</v>
      </c>
      <c r="C41" s="19" t="str">
        <f>IF(請求確認_連携ファイル!C38="","",請求確認_連携ファイル!C38)</f>
        <v/>
      </c>
      <c r="D41" s="16" t="str">
        <f>IF(請求確認_連携ファイル!$D38="","",MIDB(請求確認_連携ファイル!$D38,請求確認_連携ファイル_項目分割!D$3,請求確認_連携ファイル_項目分割!D$4))</f>
        <v/>
      </c>
      <c r="E41" s="16" t="str">
        <f>IF(請求確認_連携ファイル!$D38="","",MIDB(請求確認_連携ファイル!$D38,請求確認_連携ファイル_項目分割!E$3,請求確認_連携ファイル_項目分割!E$4))</f>
        <v/>
      </c>
      <c r="F41" s="16" t="str">
        <f>IF(請求確認_連携ファイル!$D38="","",MIDB(請求確認_連携ファイル!$D38,請求確認_連携ファイル_項目分割!F$3,請求確認_連携ファイル_項目分割!F$4))</f>
        <v/>
      </c>
      <c r="G41" s="16" t="str">
        <f>IF(請求確認_連携ファイル!$D38="","",MIDB(請求確認_連携ファイル!$D38,請求確認_連携ファイル_項目分割!G$3,請求確認_連携ファイル_項目分割!G$4))</f>
        <v/>
      </c>
      <c r="H41" s="16" t="str">
        <f>IF(請求確認_連携ファイル!$D38="","",MIDB(請求確認_連携ファイル!$D38,請求確認_連携ファイル_項目分割!H$3,請求確認_連携ファイル_項目分割!H$4))</f>
        <v/>
      </c>
      <c r="I41" s="16" t="str">
        <f>IF(請求確認_連携ファイル!$D38="","",MIDB(請求確認_連携ファイル!$D38,請求確認_連携ファイル_項目分割!I$3,請求確認_連携ファイル_項目分割!I$4))</f>
        <v/>
      </c>
      <c r="J41" s="16" t="str">
        <f>IF(請求確認_連携ファイル!$D38="","",MIDB(請求確認_連携ファイル!$D38,請求確認_連携ファイル_項目分割!J$3,請求確認_連携ファイル_項目分割!J$4))</f>
        <v/>
      </c>
      <c r="K41" s="16" t="str">
        <f>IF(請求確認_連携ファイル!$D38="","",MIDB(請求確認_連携ファイル!$D38,請求確認_連携ファイル_項目分割!K$3,請求確認_連携ファイル_項目分割!K$4))</f>
        <v/>
      </c>
      <c r="L41" s="16" t="str">
        <f>IF(請求確認_連携ファイル!$D38="","",MIDB(請求確認_連携ファイル!$D38,請求確認_連携ファイル_項目分割!L$3,請求確認_連携ファイル_項目分割!L$4))</f>
        <v/>
      </c>
    </row>
    <row r="42" spans="1:12" ht="10.8" customHeight="1" x14ac:dyDescent="0.45">
      <c r="A42" s="2"/>
      <c r="B42" s="16">
        <f t="shared" si="1"/>
        <v>36</v>
      </c>
      <c r="C42" s="19" t="str">
        <f>IF(請求確認_連携ファイル!C39="","",請求確認_連携ファイル!C39)</f>
        <v/>
      </c>
      <c r="D42" s="16" t="str">
        <f>IF(請求確認_連携ファイル!$D39="","",MIDB(請求確認_連携ファイル!$D39,請求確認_連携ファイル_項目分割!D$3,請求確認_連携ファイル_項目分割!D$4))</f>
        <v/>
      </c>
      <c r="E42" s="16" t="str">
        <f>IF(請求確認_連携ファイル!$D39="","",MIDB(請求確認_連携ファイル!$D39,請求確認_連携ファイル_項目分割!E$3,請求確認_連携ファイル_項目分割!E$4))</f>
        <v/>
      </c>
      <c r="F42" s="16" t="str">
        <f>IF(請求確認_連携ファイル!$D39="","",MIDB(請求確認_連携ファイル!$D39,請求確認_連携ファイル_項目分割!F$3,請求確認_連携ファイル_項目分割!F$4))</f>
        <v/>
      </c>
      <c r="G42" s="16" t="str">
        <f>IF(請求確認_連携ファイル!$D39="","",MIDB(請求確認_連携ファイル!$D39,請求確認_連携ファイル_項目分割!G$3,請求確認_連携ファイル_項目分割!G$4))</f>
        <v/>
      </c>
      <c r="H42" s="16" t="str">
        <f>IF(請求確認_連携ファイル!$D39="","",MIDB(請求確認_連携ファイル!$D39,請求確認_連携ファイル_項目分割!H$3,請求確認_連携ファイル_項目分割!H$4))</f>
        <v/>
      </c>
      <c r="I42" s="16" t="str">
        <f>IF(請求確認_連携ファイル!$D39="","",MIDB(請求確認_連携ファイル!$D39,請求確認_連携ファイル_項目分割!I$3,請求確認_連携ファイル_項目分割!I$4))</f>
        <v/>
      </c>
      <c r="J42" s="16" t="str">
        <f>IF(請求確認_連携ファイル!$D39="","",MIDB(請求確認_連携ファイル!$D39,請求確認_連携ファイル_項目分割!J$3,請求確認_連携ファイル_項目分割!J$4))</f>
        <v/>
      </c>
      <c r="K42" s="16" t="str">
        <f>IF(請求確認_連携ファイル!$D39="","",MIDB(請求確認_連携ファイル!$D39,請求確認_連携ファイル_項目分割!K$3,請求確認_連携ファイル_項目分割!K$4))</f>
        <v/>
      </c>
      <c r="L42" s="16" t="str">
        <f>IF(請求確認_連携ファイル!$D39="","",MIDB(請求確認_連携ファイル!$D39,請求確認_連携ファイル_項目分割!L$3,請求確認_連携ファイル_項目分割!L$4))</f>
        <v/>
      </c>
    </row>
    <row r="43" spans="1:12" ht="10.8" customHeight="1" x14ac:dyDescent="0.45">
      <c r="A43" s="2"/>
      <c r="B43" s="16">
        <f t="shared" si="1"/>
        <v>37</v>
      </c>
      <c r="C43" s="19" t="str">
        <f>IF(請求確認_連携ファイル!C40="","",請求確認_連携ファイル!C40)</f>
        <v/>
      </c>
      <c r="D43" s="16" t="str">
        <f>IF(請求確認_連携ファイル!$D40="","",MIDB(請求確認_連携ファイル!$D40,請求確認_連携ファイル_項目分割!D$3,請求確認_連携ファイル_項目分割!D$4))</f>
        <v/>
      </c>
      <c r="E43" s="16" t="str">
        <f>IF(請求確認_連携ファイル!$D40="","",MIDB(請求確認_連携ファイル!$D40,請求確認_連携ファイル_項目分割!E$3,請求確認_連携ファイル_項目分割!E$4))</f>
        <v/>
      </c>
      <c r="F43" s="16" t="str">
        <f>IF(請求確認_連携ファイル!$D40="","",MIDB(請求確認_連携ファイル!$D40,請求確認_連携ファイル_項目分割!F$3,請求確認_連携ファイル_項目分割!F$4))</f>
        <v/>
      </c>
      <c r="G43" s="16" t="str">
        <f>IF(請求確認_連携ファイル!$D40="","",MIDB(請求確認_連携ファイル!$D40,請求確認_連携ファイル_項目分割!G$3,請求確認_連携ファイル_項目分割!G$4))</f>
        <v/>
      </c>
      <c r="H43" s="16" t="str">
        <f>IF(請求確認_連携ファイル!$D40="","",MIDB(請求確認_連携ファイル!$D40,請求確認_連携ファイル_項目分割!H$3,請求確認_連携ファイル_項目分割!H$4))</f>
        <v/>
      </c>
      <c r="I43" s="16" t="str">
        <f>IF(請求確認_連携ファイル!$D40="","",MIDB(請求確認_連携ファイル!$D40,請求確認_連携ファイル_項目分割!I$3,請求確認_連携ファイル_項目分割!I$4))</f>
        <v/>
      </c>
      <c r="J43" s="16" t="str">
        <f>IF(請求確認_連携ファイル!$D40="","",MIDB(請求確認_連携ファイル!$D40,請求確認_連携ファイル_項目分割!J$3,請求確認_連携ファイル_項目分割!J$4))</f>
        <v/>
      </c>
      <c r="K43" s="16" t="str">
        <f>IF(請求確認_連携ファイル!$D40="","",MIDB(請求確認_連携ファイル!$D40,請求確認_連携ファイル_項目分割!K$3,請求確認_連携ファイル_項目分割!K$4))</f>
        <v/>
      </c>
      <c r="L43" s="16" t="str">
        <f>IF(請求確認_連携ファイル!$D40="","",MIDB(請求確認_連携ファイル!$D40,請求確認_連携ファイル_項目分割!L$3,請求確認_連携ファイル_項目分割!L$4))</f>
        <v/>
      </c>
    </row>
    <row r="44" spans="1:12" ht="10.8" customHeight="1" x14ac:dyDescent="0.45">
      <c r="A44" s="2"/>
      <c r="B44" s="16">
        <f t="shared" si="1"/>
        <v>38</v>
      </c>
      <c r="C44" s="19" t="str">
        <f>IF(請求確認_連携ファイル!C41="","",請求確認_連携ファイル!C41)</f>
        <v/>
      </c>
      <c r="D44" s="16" t="str">
        <f>IF(請求確認_連携ファイル!$D41="","",MIDB(請求確認_連携ファイル!$D41,請求確認_連携ファイル_項目分割!D$3,請求確認_連携ファイル_項目分割!D$4))</f>
        <v/>
      </c>
      <c r="E44" s="16" t="str">
        <f>IF(請求確認_連携ファイル!$D41="","",MIDB(請求確認_連携ファイル!$D41,請求確認_連携ファイル_項目分割!E$3,請求確認_連携ファイル_項目分割!E$4))</f>
        <v/>
      </c>
      <c r="F44" s="16" t="str">
        <f>IF(請求確認_連携ファイル!$D41="","",MIDB(請求確認_連携ファイル!$D41,請求確認_連携ファイル_項目分割!F$3,請求確認_連携ファイル_項目分割!F$4))</f>
        <v/>
      </c>
      <c r="G44" s="16" t="str">
        <f>IF(請求確認_連携ファイル!$D41="","",MIDB(請求確認_連携ファイル!$D41,請求確認_連携ファイル_項目分割!G$3,請求確認_連携ファイル_項目分割!G$4))</f>
        <v/>
      </c>
      <c r="H44" s="16" t="str">
        <f>IF(請求確認_連携ファイル!$D41="","",MIDB(請求確認_連携ファイル!$D41,請求確認_連携ファイル_項目分割!H$3,請求確認_連携ファイル_項目分割!H$4))</f>
        <v/>
      </c>
      <c r="I44" s="16" t="str">
        <f>IF(請求確認_連携ファイル!$D41="","",MIDB(請求確認_連携ファイル!$D41,請求確認_連携ファイル_項目分割!I$3,請求確認_連携ファイル_項目分割!I$4))</f>
        <v/>
      </c>
      <c r="J44" s="16" t="str">
        <f>IF(請求確認_連携ファイル!$D41="","",MIDB(請求確認_連携ファイル!$D41,請求確認_連携ファイル_項目分割!J$3,請求確認_連携ファイル_項目分割!J$4))</f>
        <v/>
      </c>
      <c r="K44" s="16" t="str">
        <f>IF(請求確認_連携ファイル!$D41="","",MIDB(請求確認_連携ファイル!$D41,請求確認_連携ファイル_項目分割!K$3,請求確認_連携ファイル_項目分割!K$4))</f>
        <v/>
      </c>
      <c r="L44" s="16" t="str">
        <f>IF(請求確認_連携ファイル!$D41="","",MIDB(請求確認_連携ファイル!$D41,請求確認_連携ファイル_項目分割!L$3,請求確認_連携ファイル_項目分割!L$4))</f>
        <v/>
      </c>
    </row>
    <row r="45" spans="1:12" ht="10.8" customHeight="1" x14ac:dyDescent="0.45">
      <c r="A45" s="2"/>
      <c r="B45" s="16">
        <f t="shared" si="1"/>
        <v>39</v>
      </c>
      <c r="C45" s="19" t="str">
        <f>IF(請求確認_連携ファイル!C42="","",請求確認_連携ファイル!C42)</f>
        <v/>
      </c>
      <c r="D45" s="16" t="str">
        <f>IF(請求確認_連携ファイル!$D42="","",MIDB(請求確認_連携ファイル!$D42,請求確認_連携ファイル_項目分割!D$3,請求確認_連携ファイル_項目分割!D$4))</f>
        <v/>
      </c>
      <c r="E45" s="16" t="str">
        <f>IF(請求確認_連携ファイル!$D42="","",MIDB(請求確認_連携ファイル!$D42,請求確認_連携ファイル_項目分割!E$3,請求確認_連携ファイル_項目分割!E$4))</f>
        <v/>
      </c>
      <c r="F45" s="16" t="str">
        <f>IF(請求確認_連携ファイル!$D42="","",MIDB(請求確認_連携ファイル!$D42,請求確認_連携ファイル_項目分割!F$3,請求確認_連携ファイル_項目分割!F$4))</f>
        <v/>
      </c>
      <c r="G45" s="16" t="str">
        <f>IF(請求確認_連携ファイル!$D42="","",MIDB(請求確認_連携ファイル!$D42,請求確認_連携ファイル_項目分割!G$3,請求確認_連携ファイル_項目分割!G$4))</f>
        <v/>
      </c>
      <c r="H45" s="16" t="str">
        <f>IF(請求確認_連携ファイル!$D42="","",MIDB(請求確認_連携ファイル!$D42,請求確認_連携ファイル_項目分割!H$3,請求確認_連携ファイル_項目分割!H$4))</f>
        <v/>
      </c>
      <c r="I45" s="16" t="str">
        <f>IF(請求確認_連携ファイル!$D42="","",MIDB(請求確認_連携ファイル!$D42,請求確認_連携ファイル_項目分割!I$3,請求確認_連携ファイル_項目分割!I$4))</f>
        <v/>
      </c>
      <c r="J45" s="16" t="str">
        <f>IF(請求確認_連携ファイル!$D42="","",MIDB(請求確認_連携ファイル!$D42,請求確認_連携ファイル_項目分割!J$3,請求確認_連携ファイル_項目分割!J$4))</f>
        <v/>
      </c>
      <c r="K45" s="16" t="str">
        <f>IF(請求確認_連携ファイル!$D42="","",MIDB(請求確認_連携ファイル!$D42,請求確認_連携ファイル_項目分割!K$3,請求確認_連携ファイル_項目分割!K$4))</f>
        <v/>
      </c>
      <c r="L45" s="16" t="str">
        <f>IF(請求確認_連携ファイル!$D42="","",MIDB(請求確認_連携ファイル!$D42,請求確認_連携ファイル_項目分割!L$3,請求確認_連携ファイル_項目分割!L$4))</f>
        <v/>
      </c>
    </row>
    <row r="46" spans="1:12" ht="10.8" customHeight="1" x14ac:dyDescent="0.45">
      <c r="A46" s="2"/>
      <c r="B46" s="16">
        <f t="shared" si="1"/>
        <v>40</v>
      </c>
      <c r="C46" s="19" t="str">
        <f>IF(請求確認_連携ファイル!C43="","",請求確認_連携ファイル!C43)</f>
        <v/>
      </c>
      <c r="D46" s="16" t="str">
        <f>IF(請求確認_連携ファイル!$D43="","",MIDB(請求確認_連携ファイル!$D43,請求確認_連携ファイル_項目分割!D$3,請求確認_連携ファイル_項目分割!D$4))</f>
        <v/>
      </c>
      <c r="E46" s="16" t="str">
        <f>IF(請求確認_連携ファイル!$D43="","",MIDB(請求確認_連携ファイル!$D43,請求確認_連携ファイル_項目分割!E$3,請求確認_連携ファイル_項目分割!E$4))</f>
        <v/>
      </c>
      <c r="F46" s="16" t="str">
        <f>IF(請求確認_連携ファイル!$D43="","",MIDB(請求確認_連携ファイル!$D43,請求確認_連携ファイル_項目分割!F$3,請求確認_連携ファイル_項目分割!F$4))</f>
        <v/>
      </c>
      <c r="G46" s="16" t="str">
        <f>IF(請求確認_連携ファイル!$D43="","",MIDB(請求確認_連携ファイル!$D43,請求確認_連携ファイル_項目分割!G$3,請求確認_連携ファイル_項目分割!G$4))</f>
        <v/>
      </c>
      <c r="H46" s="16" t="str">
        <f>IF(請求確認_連携ファイル!$D43="","",MIDB(請求確認_連携ファイル!$D43,請求確認_連携ファイル_項目分割!H$3,請求確認_連携ファイル_項目分割!H$4))</f>
        <v/>
      </c>
      <c r="I46" s="16" t="str">
        <f>IF(請求確認_連携ファイル!$D43="","",MIDB(請求確認_連携ファイル!$D43,請求確認_連携ファイル_項目分割!I$3,請求確認_連携ファイル_項目分割!I$4))</f>
        <v/>
      </c>
      <c r="J46" s="16" t="str">
        <f>IF(請求確認_連携ファイル!$D43="","",MIDB(請求確認_連携ファイル!$D43,請求確認_連携ファイル_項目分割!J$3,請求確認_連携ファイル_項目分割!J$4))</f>
        <v/>
      </c>
      <c r="K46" s="16" t="str">
        <f>IF(請求確認_連携ファイル!$D43="","",MIDB(請求確認_連携ファイル!$D43,請求確認_連携ファイル_項目分割!K$3,請求確認_連携ファイル_項目分割!K$4))</f>
        <v/>
      </c>
      <c r="L46" s="16" t="str">
        <f>IF(請求確認_連携ファイル!$D43="","",MIDB(請求確認_連携ファイル!$D43,請求確認_連携ファイル_項目分割!L$3,請求確認_連携ファイル_項目分割!L$4))</f>
        <v/>
      </c>
    </row>
    <row r="47" spans="1:12" ht="10.8" customHeight="1" x14ac:dyDescent="0.45">
      <c r="A47" s="2"/>
      <c r="B47" s="16">
        <f t="shared" si="1"/>
        <v>41</v>
      </c>
      <c r="C47" s="19" t="str">
        <f>IF(請求確認_連携ファイル!C44="","",請求確認_連携ファイル!C44)</f>
        <v/>
      </c>
      <c r="D47" s="16" t="str">
        <f>IF(請求確認_連携ファイル!$D44="","",MIDB(請求確認_連携ファイル!$D44,請求確認_連携ファイル_項目分割!D$3,請求確認_連携ファイル_項目分割!D$4))</f>
        <v/>
      </c>
      <c r="E47" s="16" t="str">
        <f>IF(請求確認_連携ファイル!$D44="","",MIDB(請求確認_連携ファイル!$D44,請求確認_連携ファイル_項目分割!E$3,請求確認_連携ファイル_項目分割!E$4))</f>
        <v/>
      </c>
      <c r="F47" s="16" t="str">
        <f>IF(請求確認_連携ファイル!$D44="","",MIDB(請求確認_連携ファイル!$D44,請求確認_連携ファイル_項目分割!F$3,請求確認_連携ファイル_項目分割!F$4))</f>
        <v/>
      </c>
      <c r="G47" s="16" t="str">
        <f>IF(請求確認_連携ファイル!$D44="","",MIDB(請求確認_連携ファイル!$D44,請求確認_連携ファイル_項目分割!G$3,請求確認_連携ファイル_項目分割!G$4))</f>
        <v/>
      </c>
      <c r="H47" s="16" t="str">
        <f>IF(請求確認_連携ファイル!$D44="","",MIDB(請求確認_連携ファイル!$D44,請求確認_連携ファイル_項目分割!H$3,請求確認_連携ファイル_項目分割!H$4))</f>
        <v/>
      </c>
      <c r="I47" s="16" t="str">
        <f>IF(請求確認_連携ファイル!$D44="","",MIDB(請求確認_連携ファイル!$D44,請求確認_連携ファイル_項目分割!I$3,請求確認_連携ファイル_項目分割!I$4))</f>
        <v/>
      </c>
      <c r="J47" s="16" t="str">
        <f>IF(請求確認_連携ファイル!$D44="","",MIDB(請求確認_連携ファイル!$D44,請求確認_連携ファイル_項目分割!J$3,請求確認_連携ファイル_項目分割!J$4))</f>
        <v/>
      </c>
      <c r="K47" s="16" t="str">
        <f>IF(請求確認_連携ファイル!$D44="","",MIDB(請求確認_連携ファイル!$D44,請求確認_連携ファイル_項目分割!K$3,請求確認_連携ファイル_項目分割!K$4))</f>
        <v/>
      </c>
      <c r="L47" s="16" t="str">
        <f>IF(請求確認_連携ファイル!$D44="","",MIDB(請求確認_連携ファイル!$D44,請求確認_連携ファイル_項目分割!L$3,請求確認_連携ファイル_項目分割!L$4))</f>
        <v/>
      </c>
    </row>
    <row r="48" spans="1:12" ht="10.8" customHeight="1" x14ac:dyDescent="0.45">
      <c r="A48" s="2"/>
      <c r="B48" s="16">
        <f t="shared" si="1"/>
        <v>42</v>
      </c>
      <c r="C48" s="19" t="str">
        <f>IF(請求確認_連携ファイル!C45="","",請求確認_連携ファイル!C45)</f>
        <v/>
      </c>
      <c r="D48" s="16" t="str">
        <f>IF(請求確認_連携ファイル!$D45="","",MIDB(請求確認_連携ファイル!$D45,請求確認_連携ファイル_項目分割!D$3,請求確認_連携ファイル_項目分割!D$4))</f>
        <v/>
      </c>
      <c r="E48" s="16" t="str">
        <f>IF(請求確認_連携ファイル!$D45="","",MIDB(請求確認_連携ファイル!$D45,請求確認_連携ファイル_項目分割!E$3,請求確認_連携ファイル_項目分割!E$4))</f>
        <v/>
      </c>
      <c r="F48" s="16" t="str">
        <f>IF(請求確認_連携ファイル!$D45="","",MIDB(請求確認_連携ファイル!$D45,請求確認_連携ファイル_項目分割!F$3,請求確認_連携ファイル_項目分割!F$4))</f>
        <v/>
      </c>
      <c r="G48" s="16" t="str">
        <f>IF(請求確認_連携ファイル!$D45="","",MIDB(請求確認_連携ファイル!$D45,請求確認_連携ファイル_項目分割!G$3,請求確認_連携ファイル_項目分割!G$4))</f>
        <v/>
      </c>
      <c r="H48" s="16" t="str">
        <f>IF(請求確認_連携ファイル!$D45="","",MIDB(請求確認_連携ファイル!$D45,請求確認_連携ファイル_項目分割!H$3,請求確認_連携ファイル_項目分割!H$4))</f>
        <v/>
      </c>
      <c r="I48" s="16" t="str">
        <f>IF(請求確認_連携ファイル!$D45="","",MIDB(請求確認_連携ファイル!$D45,請求確認_連携ファイル_項目分割!I$3,請求確認_連携ファイル_項目分割!I$4))</f>
        <v/>
      </c>
      <c r="J48" s="16" t="str">
        <f>IF(請求確認_連携ファイル!$D45="","",MIDB(請求確認_連携ファイル!$D45,請求確認_連携ファイル_項目分割!J$3,請求確認_連携ファイル_項目分割!J$4))</f>
        <v/>
      </c>
      <c r="K48" s="16" t="str">
        <f>IF(請求確認_連携ファイル!$D45="","",MIDB(請求確認_連携ファイル!$D45,請求確認_連携ファイル_項目分割!K$3,請求確認_連携ファイル_項目分割!K$4))</f>
        <v/>
      </c>
      <c r="L48" s="16" t="str">
        <f>IF(請求確認_連携ファイル!$D45="","",MIDB(請求確認_連携ファイル!$D45,請求確認_連携ファイル_項目分割!L$3,請求確認_連携ファイル_項目分割!L$4))</f>
        <v/>
      </c>
    </row>
    <row r="49" spans="1:12" ht="10.8" customHeight="1" x14ac:dyDescent="0.45">
      <c r="A49" s="2"/>
      <c r="B49" s="16">
        <f t="shared" si="1"/>
        <v>43</v>
      </c>
      <c r="C49" s="19" t="str">
        <f>IF(請求確認_連携ファイル!C46="","",請求確認_連携ファイル!C46)</f>
        <v/>
      </c>
      <c r="D49" s="16" t="str">
        <f>IF(請求確認_連携ファイル!$D46="","",MIDB(請求確認_連携ファイル!$D46,請求確認_連携ファイル_項目分割!D$3,請求確認_連携ファイル_項目分割!D$4))</f>
        <v/>
      </c>
      <c r="E49" s="16" t="str">
        <f>IF(請求確認_連携ファイル!$D46="","",MIDB(請求確認_連携ファイル!$D46,請求確認_連携ファイル_項目分割!E$3,請求確認_連携ファイル_項目分割!E$4))</f>
        <v/>
      </c>
      <c r="F49" s="16" t="str">
        <f>IF(請求確認_連携ファイル!$D46="","",MIDB(請求確認_連携ファイル!$D46,請求確認_連携ファイル_項目分割!F$3,請求確認_連携ファイル_項目分割!F$4))</f>
        <v/>
      </c>
      <c r="G49" s="16" t="str">
        <f>IF(請求確認_連携ファイル!$D46="","",MIDB(請求確認_連携ファイル!$D46,請求確認_連携ファイル_項目分割!G$3,請求確認_連携ファイル_項目分割!G$4))</f>
        <v/>
      </c>
      <c r="H49" s="16" t="str">
        <f>IF(請求確認_連携ファイル!$D46="","",MIDB(請求確認_連携ファイル!$D46,請求確認_連携ファイル_項目分割!H$3,請求確認_連携ファイル_項目分割!H$4))</f>
        <v/>
      </c>
      <c r="I49" s="16" t="str">
        <f>IF(請求確認_連携ファイル!$D46="","",MIDB(請求確認_連携ファイル!$D46,請求確認_連携ファイル_項目分割!I$3,請求確認_連携ファイル_項目分割!I$4))</f>
        <v/>
      </c>
      <c r="J49" s="16" t="str">
        <f>IF(請求確認_連携ファイル!$D46="","",MIDB(請求確認_連携ファイル!$D46,請求確認_連携ファイル_項目分割!J$3,請求確認_連携ファイル_項目分割!J$4))</f>
        <v/>
      </c>
      <c r="K49" s="16" t="str">
        <f>IF(請求確認_連携ファイル!$D46="","",MIDB(請求確認_連携ファイル!$D46,請求確認_連携ファイル_項目分割!K$3,請求確認_連携ファイル_項目分割!K$4))</f>
        <v/>
      </c>
      <c r="L49" s="16" t="str">
        <f>IF(請求確認_連携ファイル!$D46="","",MIDB(請求確認_連携ファイル!$D46,請求確認_連携ファイル_項目分割!L$3,請求確認_連携ファイル_項目分割!L$4))</f>
        <v/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請求確認_連携ファイル</vt:lpstr>
      <vt:lpstr>請求確認_連携ファイル_項目分割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Thaidi, Ahmad Mukhlisi Bin</dc:creator>
  <cp:lastModifiedBy>Abdullah Thaidi, Ahmad Mukhlisi Bin</cp:lastModifiedBy>
  <dcterms:created xsi:type="dcterms:W3CDTF">2015-06-05T18:17:20Z</dcterms:created>
  <dcterms:modified xsi:type="dcterms:W3CDTF">2025-08-05T03:04:34Z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2025-07-23T06:04:12Z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5ca9b035-f3be-4535-96e6-e622fe898e5d</vt:lpwstr>
  </property>
  <property fmtid="{D5CDD505-2E9C-101B-9397-08002B2CF9AE}" pid="8" name="MSIP_Label_a7295cc1-d279-42ac-ab4d-3b0f4fece050_ContentBits">
    <vt:lpwstr>0</vt:lpwstr>
  </property>
  <property fmtid="{D5CDD505-2E9C-101B-9397-08002B2CF9AE}" pid="9" name="MSIP_Label_a7295cc1-d279-42ac-ab4d-3b0f4fece050_Tag">
    <vt:lpwstr>10, 3, 0, 1</vt:lpwstr>
  </property>
</Properties>
</file>