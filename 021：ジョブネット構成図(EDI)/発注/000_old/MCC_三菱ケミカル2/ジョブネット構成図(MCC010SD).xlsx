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21：ジョブネット構成図(EDI)/発注/MCC_三菱ケミカル2/"/>
    </mc:Choice>
  </mc:AlternateContent>
  <xr:revisionPtr revIDLastSave="170" documentId="8_{77843477-43E1-49EF-A16D-1F279DD8D114}" xr6:coauthVersionLast="47" xr6:coauthVersionMax="47" xr10:uidLastSave="{5B24EEFF-6116-4663-A1D8-DB2C99FB971B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<sst xmlns="http://schemas.openxmlformats.org/spreadsheetml/2006/main" count="53" uniqueCount="41">
  <si>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</si>
  <si>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</si>
  <si>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</si>
  <si>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</si>
  <si>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</si>
  <si>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</si>
  <si>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</si>
  <si>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</si>
  <si>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</si>
  <si>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</si>
  <si>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</si>
  <si>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</si>
  <si>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</si>
  <si>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</si>
  <si>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</si>
  <si>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</si>
  <si>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</si>
  <si>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</si>
  <si>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</si>
  <si>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</si>
  <si>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</si>
  <si>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</si>
  <si>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</si>
  <si>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</si>
  <si>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</si>
  <si>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</si>
  <si>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</si>
  <si>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</si>
  <si>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</si>
  <si>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</si>
  <si>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</si>
  <si>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</si>
  <si>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</si>
  <si>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</si>
  <si>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</si>
  <si>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</si>
  <si>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ジョブネット構成図(MCC010SD)</t>
    <rPh sb="6" eb="9">
      <t>コウセイズ</t>
    </rPh>
    <phoneticPr fontId="2"/>
  </si>
  <si>
    <t>MCC</t>
  </si>
  <si>
    <t>三菱ケミカル2</t>
  </si>
  <si>
    <t>MCC010SD</t>
  </si>
  <si>
    <t>三菱ケミカル2_発注</t>
    <rPh sb="8" eb="10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</si>
</sst>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三菱ケミカル</a:t>
          </a: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66224" y="196215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三菱ケミカル</a:t>
            </a:r>
            <a:r>
              <a:rPr lang="en-US" altLang="ja-JP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MCCA050S010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086994" y="196405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三菱ケミカル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2_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MCCA050S020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MCC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三菱ケミカル</a:t>
            </a:r>
            <a:r>
              <a:rPr lang="en-US" altLang="ja-JP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MCC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MCC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8541451" y="196405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三菱ケミカル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2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MCC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 x14ac:dyDescent="0.1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 x14ac:dyDescent="0.15">
      <c r="A10" s="37" t="s">
        <v>36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 x14ac:dyDescent="0.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 x14ac:dyDescent="0.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 x14ac:dyDescent="0.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 x14ac:dyDescent="0.1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 x14ac:dyDescent="0.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 x14ac:dyDescent="0.15">
      <c r="A17" s="47" t="s">
        <v>30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39">
        <v>45790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x14ac:dyDescent="0.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 x14ac:dyDescent="0.15">
      <c r="A24" s="63" t="s">
        <v>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 x14ac:dyDescent="0.1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 x14ac:dyDescent="0.15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15">
      <c r="V29" s="54"/>
      <c r="W29" s="55"/>
      <c r="X29" s="55"/>
      <c r="Y29" s="55"/>
      <c r="Z29" s="56"/>
      <c r="AA29" s="43">
        <v>45790</v>
      </c>
      <c r="AB29" s="44"/>
      <c r="AC29" s="44"/>
      <c r="AD29" s="44"/>
      <c r="AE29" s="45"/>
    </row>
    <row r="30" spans="1:52" x14ac:dyDescent="0.15">
      <c r="V30" s="57"/>
      <c r="W30" s="58"/>
      <c r="X30" s="58"/>
      <c r="Y30" s="58"/>
      <c r="Z30" s="59"/>
      <c r="AA30" s="48" t="s">
        <v>35</v>
      </c>
      <c r="AB30" s="49"/>
      <c r="AC30" s="49"/>
      <c r="AD30" s="49"/>
      <c r="AE30" s="50"/>
    </row>
    <row r="31" spans="1:52" x14ac:dyDescent="0.15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 x14ac:dyDescent="0.15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 x14ac:dyDescent="0.15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 x14ac:dyDescent="0.15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activeCell="H8" sqref="H8:K8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91" t="s">
        <v>5</v>
      </c>
      <c r="B1" s="92"/>
      <c r="C1" s="92"/>
      <c r="D1" s="92"/>
      <c r="E1" s="92"/>
      <c r="F1" s="97" t="s">
        <v>6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7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8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9</v>
      </c>
      <c r="AT1" s="79"/>
      <c r="AU1" s="79"/>
      <c r="AV1" s="79"/>
      <c r="AW1" s="79"/>
      <c r="AX1" s="79"/>
      <c r="AY1" s="79"/>
      <c r="AZ1" s="79"/>
      <c r="BA1" s="80"/>
      <c r="BB1" s="78" t="s">
        <v>10</v>
      </c>
      <c r="BC1" s="79"/>
      <c r="BD1" s="79"/>
      <c r="BE1" s="80"/>
      <c r="BF1" s="78" t="s">
        <v>11</v>
      </c>
      <c r="BG1" s="79"/>
      <c r="BH1" s="79"/>
      <c r="BI1" s="80"/>
      <c r="BJ1" s="78" t="s">
        <v>12</v>
      </c>
      <c r="BK1" s="79"/>
      <c r="BL1" s="79"/>
      <c r="BM1" s="80"/>
      <c r="BN1" s="78" t="s">
        <v>13</v>
      </c>
      <c r="BO1" s="79"/>
      <c r="BP1" s="79"/>
      <c r="BQ1" s="80"/>
    </row>
    <row r="2" spans="1:69" ht="13.5" customHeight="1" x14ac:dyDescent="0.15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 x14ac:dyDescent="0.15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38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6" t="s">
        <v>37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10"/>
      <c r="AS3" s="106" t="s">
        <v>33</v>
      </c>
      <c r="AT3" s="107"/>
      <c r="AU3" s="107"/>
      <c r="AV3" s="107"/>
      <c r="AW3" s="107"/>
      <c r="AX3" s="107"/>
      <c r="AY3" s="107"/>
      <c r="AZ3" s="107"/>
      <c r="BA3" s="110"/>
      <c r="BB3" s="106" t="s">
        <v>35</v>
      </c>
      <c r="BC3" s="107"/>
      <c r="BD3" s="107"/>
      <c r="BE3" s="110"/>
      <c r="BF3" s="112">
        <v>45790</v>
      </c>
      <c r="BG3" s="113"/>
      <c r="BH3" s="113"/>
      <c r="BI3" s="114"/>
      <c r="BJ3" s="106"/>
      <c r="BK3" s="107"/>
      <c r="BL3" s="107"/>
      <c r="BM3" s="110"/>
      <c r="BN3" s="112"/>
      <c r="BO3" s="113"/>
      <c r="BP3" s="113"/>
      <c r="BQ3" s="114"/>
    </row>
    <row r="4" spans="1:69" ht="13.5" customHeight="1" thickBot="1" x14ac:dyDescent="0.2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8"/>
      <c r="AI4" s="109"/>
      <c r="AJ4" s="109"/>
      <c r="AK4" s="109"/>
      <c r="AL4" s="109"/>
      <c r="AM4" s="109"/>
      <c r="AN4" s="109"/>
      <c r="AO4" s="109"/>
      <c r="AP4" s="109"/>
      <c r="AQ4" s="109"/>
      <c r="AR4" s="111"/>
      <c r="AS4" s="108"/>
      <c r="AT4" s="109"/>
      <c r="AU4" s="109"/>
      <c r="AV4" s="109"/>
      <c r="AW4" s="109"/>
      <c r="AX4" s="109"/>
      <c r="AY4" s="109"/>
      <c r="AZ4" s="109"/>
      <c r="BA4" s="111"/>
      <c r="BB4" s="108"/>
      <c r="BC4" s="109"/>
      <c r="BD4" s="109"/>
      <c r="BE4" s="111"/>
      <c r="BF4" s="115"/>
      <c r="BG4" s="116"/>
      <c r="BH4" s="116"/>
      <c r="BI4" s="117"/>
      <c r="BJ4" s="108"/>
      <c r="BK4" s="109"/>
      <c r="BL4" s="109"/>
      <c r="BM4" s="111"/>
      <c r="BN4" s="115"/>
      <c r="BO4" s="116"/>
      <c r="BP4" s="116"/>
      <c r="BQ4" s="117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7" t="s">
        <v>14</v>
      </c>
      <c r="C7" s="87"/>
      <c r="D7" s="84" t="s">
        <v>15</v>
      </c>
      <c r="E7" s="85"/>
      <c r="F7" s="85"/>
      <c r="G7" s="86"/>
      <c r="H7" s="87" t="s">
        <v>16</v>
      </c>
      <c r="I7" s="87"/>
      <c r="J7" s="87"/>
      <c r="K7" s="87"/>
      <c r="L7" s="87" t="s">
        <v>17</v>
      </c>
      <c r="M7" s="87"/>
      <c r="N7" s="87"/>
      <c r="O7" s="84" t="s">
        <v>18</v>
      </c>
      <c r="P7" s="86"/>
      <c r="Q7" s="88" t="s">
        <v>19</v>
      </c>
      <c r="R7" s="89"/>
      <c r="S7" s="89"/>
      <c r="T7" s="90"/>
      <c r="U7" s="84" t="s">
        <v>20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21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22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 x14ac:dyDescent="0.15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45790</v>
      </c>
      <c r="I8" s="65"/>
      <c r="J8" s="65"/>
      <c r="K8" s="66"/>
      <c r="L8" s="64" t="s">
        <v>35</v>
      </c>
      <c r="M8" s="65"/>
      <c r="N8" s="66"/>
      <c r="O8" s="64" t="s">
        <v>23</v>
      </c>
      <c r="P8" s="66"/>
      <c r="Q8" s="64" t="s">
        <v>32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24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31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 x14ac:dyDescent="0.15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22" t="s">
        <v>5</v>
      </c>
      <c r="B1" s="123"/>
      <c r="C1" s="123"/>
      <c r="D1" s="123"/>
      <c r="E1" s="123"/>
      <c r="F1" s="123"/>
      <c r="G1" s="97" t="s">
        <v>6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7</v>
      </c>
      <c r="S1" s="79"/>
      <c r="T1" s="79"/>
      <c r="U1" s="79"/>
      <c r="V1" s="79"/>
      <c r="W1" s="79"/>
      <c r="X1" s="79"/>
      <c r="Y1" s="79"/>
      <c r="Z1" s="80"/>
      <c r="AA1" s="78" t="s">
        <v>8</v>
      </c>
      <c r="AB1" s="79"/>
      <c r="AC1" s="79"/>
      <c r="AD1" s="79"/>
      <c r="AE1" s="80"/>
      <c r="AF1" s="78" t="s">
        <v>9</v>
      </c>
      <c r="AG1" s="79"/>
      <c r="AH1" s="79"/>
      <c r="AI1" s="79"/>
      <c r="AJ1" s="79"/>
      <c r="AK1" s="78" t="s">
        <v>10</v>
      </c>
      <c r="AL1" s="79"/>
      <c r="AM1" s="79"/>
      <c r="AN1" s="79"/>
      <c r="AO1" s="78" t="s">
        <v>11</v>
      </c>
      <c r="AP1" s="79"/>
      <c r="AQ1" s="79"/>
      <c r="AR1" s="79"/>
      <c r="AS1" s="78" t="s">
        <v>12</v>
      </c>
      <c r="AT1" s="79"/>
      <c r="AU1" s="79"/>
      <c r="AV1" s="80"/>
      <c r="AW1" s="78" t="s">
        <v>13</v>
      </c>
      <c r="AX1" s="79"/>
      <c r="AY1" s="79"/>
      <c r="AZ1" s="80"/>
    </row>
    <row r="2" spans="1:52" x14ac:dyDescent="0.15">
      <c r="A2" s="124"/>
      <c r="B2" s="125"/>
      <c r="C2" s="125"/>
      <c r="D2" s="125"/>
      <c r="E2" s="125"/>
      <c r="F2" s="125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 x14ac:dyDescent="0.15">
      <c r="A3" s="124"/>
      <c r="B3" s="125"/>
      <c r="C3" s="125"/>
      <c r="D3" s="125"/>
      <c r="E3" s="125"/>
      <c r="F3" s="125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三菱ケミカル2</v>
      </c>
      <c r="S3" s="107"/>
      <c r="T3" s="107"/>
      <c r="U3" s="107"/>
      <c r="V3" s="107"/>
      <c r="W3" s="107"/>
      <c r="X3" s="107"/>
      <c r="Y3" s="107"/>
      <c r="Z3" s="110"/>
      <c r="AA3" s="106" t="str">
        <f>変更履歴!AH3</f>
        <v>MCC</v>
      </c>
      <c r="AB3" s="107"/>
      <c r="AC3" s="107"/>
      <c r="AD3" s="107"/>
      <c r="AE3" s="110"/>
      <c r="AF3" s="106" t="s">
        <v>34</v>
      </c>
      <c r="AG3" s="107"/>
      <c r="AH3" s="107"/>
      <c r="AI3" s="107"/>
      <c r="AJ3" s="107"/>
      <c r="AK3" s="106" t="s">
        <v>35</v>
      </c>
      <c r="AL3" s="107"/>
      <c r="AM3" s="107"/>
      <c r="AN3" s="107"/>
      <c r="AO3" s="112">
        <v>45790</v>
      </c>
      <c r="AP3" s="113"/>
      <c r="AQ3" s="113"/>
      <c r="AR3" s="113"/>
      <c r="AS3" s="106"/>
      <c r="AT3" s="107"/>
      <c r="AU3" s="107"/>
      <c r="AV3" s="110"/>
      <c r="AW3" s="112"/>
      <c r="AX3" s="113"/>
      <c r="AY3" s="113"/>
      <c r="AZ3" s="114"/>
    </row>
    <row r="4" spans="1:52" ht="14.25" thickBot="1" x14ac:dyDescent="0.2">
      <c r="A4" s="126"/>
      <c r="B4" s="127"/>
      <c r="C4" s="127"/>
      <c r="D4" s="127"/>
      <c r="E4" s="127"/>
      <c r="F4" s="127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11"/>
      <c r="AA4" s="108"/>
      <c r="AB4" s="109"/>
      <c r="AC4" s="109"/>
      <c r="AD4" s="109"/>
      <c r="AE4" s="111"/>
      <c r="AF4" s="108"/>
      <c r="AG4" s="109"/>
      <c r="AH4" s="109"/>
      <c r="AI4" s="109"/>
      <c r="AJ4" s="109"/>
      <c r="AK4" s="108"/>
      <c r="AL4" s="109"/>
      <c r="AM4" s="109"/>
      <c r="AN4" s="109"/>
      <c r="AO4" s="115"/>
      <c r="AP4" s="116"/>
      <c r="AQ4" s="116"/>
      <c r="AR4" s="116"/>
      <c r="AS4" s="108"/>
      <c r="AT4" s="109"/>
      <c r="AU4" s="109"/>
      <c r="AV4" s="111"/>
      <c r="AW4" s="115"/>
      <c r="AX4" s="116"/>
      <c r="AY4" s="116"/>
      <c r="AZ4" s="117"/>
    </row>
    <row r="5" spans="1:52" s="9" customFormat="1" ht="13.5" customHeight="1" x14ac:dyDescent="0.15"/>
    <row r="6" spans="1:52" s="9" customFormat="1" ht="13.5" customHeight="1" x14ac:dyDescent="0.15">
      <c r="A6" s="121" t="s">
        <v>25</v>
      </c>
      <c r="B6" s="121"/>
      <c r="C6" s="121"/>
      <c r="D6" s="121"/>
      <c r="E6" s="121"/>
      <c r="F6" s="121"/>
      <c r="G6" s="64" t="s">
        <v>39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1" t="s">
        <v>26</v>
      </c>
      <c r="B7" s="121"/>
      <c r="C7" s="121"/>
      <c r="D7" s="121"/>
      <c r="E7" s="121"/>
      <c r="F7" s="121"/>
      <c r="G7" s="64" t="s">
        <v>40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21" t="s">
        <v>27</v>
      </c>
      <c r="B8" s="121"/>
      <c r="C8" s="121"/>
      <c r="D8" s="121"/>
      <c r="E8" s="121"/>
      <c r="F8" s="121"/>
      <c r="G8" s="64" t="s">
        <v>28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8" t="s">
        <v>29</v>
      </c>
      <c r="B9" s="119"/>
      <c r="C9" s="119"/>
      <c r="D9" s="119"/>
      <c r="E9" s="119"/>
      <c r="F9" s="119"/>
      <c r="G9" s="119"/>
      <c r="H9" s="1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1ABB61D-5C12-46E9-BB21-C9646A20E7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2025-06-09T07:36:27Z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