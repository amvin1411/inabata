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hmadmukhli\Desktop\Fujitsu\03 Projects\03 Inabata\05 R60795\z_Doc2\PT spec creation\"/>
    </mc:Choice>
  </mc:AlternateContent>
  <xr:revisionPtr revIDLastSave="0" documentId="13_ncr:1_{327E7BE7-6F9B-473C-B4C6-D605966E6ED3}" xr6:coauthVersionLast="47" xr6:coauthVersionMax="47" xr10:uidLastSave="{00000000-0000-0000-0000-000000000000}"/>
  <bookViews>
    <workbookView xWindow="0" yWindow="360" windowWidth="23256" windowHeight="12456" activeTab="2" xr2:uid="{00000000-000D-0000-FFFF-FFFF00000000}"/>
  </bookViews>
  <sheets>
    <sheet name="PTspec2" sheetId="9" r:id="rId1"/>
    <sheet name="PTspec1" sheetId="7" r:id="rId2"/>
    <sheet name="PTspec3" sheetId="10" r:id="rId3"/>
    <sheet name="PTspec4" sheetId="8" r:id="rId4"/>
    <sheet name="PTspec2 (2)" sheetId="11" r:id="rId5"/>
  </sheets>
  <definedNames>
    <definedName name="VLOOKUP" localSheetId="4">'PTspec2 (2)'!$D$2</definedName>
    <definedName name="VLOOKUP" localSheetId="2">PTspec3!$C$2</definedName>
    <definedName name="VLOOKUP">PTspec2!$D$2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2" i="7" l="1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30" i="7" l="1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D27" i="11" l="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2" i="11"/>
  <c r="C128" i="10" l="1"/>
  <c r="C129" i="10"/>
  <c r="C130" i="10"/>
  <c r="C131" i="10"/>
  <c r="C132" i="10"/>
  <c r="C133" i="10"/>
  <c r="C134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2" i="10"/>
  <c r="D3" i="9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2" i="9"/>
  <c r="G2" i="7"/>
  <c r="H4" i="8" a="1"/>
  <c r="H4" i="8" s="1"/>
  <c r="H5" i="8" a="1"/>
  <c r="H5" i="8" s="1"/>
  <c r="H6" i="8" a="1"/>
  <c r="H6" i="8" s="1"/>
  <c r="H7" i="8" a="1"/>
  <c r="H7" i="8" s="1"/>
  <c r="H8" i="8" a="1"/>
  <c r="H8" i="8" s="1"/>
  <c r="H9" i="8" a="1"/>
  <c r="H9" i="8" s="1"/>
  <c r="H10" i="8" a="1"/>
  <c r="H10" i="8"/>
  <c r="H11" i="8" a="1"/>
  <c r="H11" i="8" s="1"/>
  <c r="H12" i="8" a="1"/>
  <c r="H12" i="8" s="1"/>
  <c r="H13" i="8" a="1"/>
  <c r="H13" i="8" s="1"/>
  <c r="H14" i="8" a="1"/>
  <c r="H14" i="8"/>
  <c r="H15" i="8" a="1"/>
  <c r="H15" i="8" s="1"/>
  <c r="H16" i="8" a="1"/>
  <c r="H16" i="8" s="1"/>
  <c r="H17" i="8" a="1"/>
  <c r="H17" i="8" s="1"/>
  <c r="H18" i="8" a="1"/>
  <c r="H18" i="8"/>
  <c r="H19" i="8" a="1"/>
  <c r="H19" i="8" s="1"/>
  <c r="H20" i="8" a="1"/>
  <c r="H20" i="8" s="1"/>
  <c r="H21" i="8" a="1"/>
  <c r="H21" i="8" s="1"/>
  <c r="H22" i="8" a="1"/>
  <c r="H22" i="8"/>
  <c r="H23" i="8" a="1"/>
  <c r="H23" i="8" s="1"/>
  <c r="H24" i="8" a="1"/>
  <c r="H24" i="8" s="1"/>
  <c r="H25" i="8" a="1"/>
  <c r="H25" i="8" s="1"/>
  <c r="H26" i="8" a="1"/>
  <c r="H26" i="8"/>
  <c r="H27" i="8" a="1"/>
  <c r="H27" i="8" s="1"/>
  <c r="H28" i="8" a="1"/>
  <c r="H28" i="8" s="1"/>
  <c r="H29" i="8" a="1"/>
  <c r="H29" i="8" s="1"/>
  <c r="H30" i="8" a="1"/>
  <c r="H30" i="8"/>
  <c r="H31" i="8" a="1"/>
  <c r="H31" i="8" s="1"/>
  <c r="H32" i="8" a="1"/>
  <c r="H32" i="8" s="1"/>
  <c r="H33" i="8" a="1"/>
  <c r="H33" i="8" s="1"/>
  <c r="H34" i="8" a="1"/>
  <c r="H34" i="8" s="1"/>
  <c r="H35" i="8" a="1"/>
  <c r="H35" i="8" s="1"/>
  <c r="H36" i="8" a="1"/>
  <c r="H36" i="8" s="1"/>
  <c r="H37" i="8" a="1"/>
  <c r="H37" i="8" s="1"/>
  <c r="H38" i="8" a="1"/>
  <c r="H38" i="8" s="1"/>
  <c r="H39" i="8" a="1"/>
  <c r="H39" i="8" s="1"/>
  <c r="H40" i="8" a="1"/>
  <c r="H40" i="8" s="1"/>
  <c r="H41" i="8" a="1"/>
  <c r="H41" i="8" s="1"/>
  <c r="H42" i="8" a="1"/>
  <c r="H42" i="8" s="1"/>
  <c r="H43" i="8" a="1"/>
  <c r="H43" i="8" s="1"/>
  <c r="H44" i="8" a="1"/>
  <c r="H44" i="8" s="1"/>
  <c r="H45" i="8" a="1"/>
  <c r="H45" i="8" s="1"/>
  <c r="H46" i="8" a="1"/>
  <c r="H46" i="8" s="1"/>
  <c r="H47" i="8" a="1"/>
  <c r="H47" i="8" s="1"/>
  <c r="H48" i="8" a="1"/>
  <c r="H48" i="8" s="1"/>
  <c r="H49" i="8" a="1"/>
  <c r="H49" i="8" s="1"/>
  <c r="H50" i="8" a="1"/>
  <c r="H50" i="8" s="1"/>
  <c r="H51" i="8" a="1"/>
  <c r="H51" i="8" s="1"/>
  <c r="H52" i="8" a="1"/>
  <c r="H52" i="8" s="1"/>
  <c r="H53" i="8" a="1"/>
  <c r="H53" i="8" s="1"/>
  <c r="H54" i="8" a="1"/>
  <c r="H54" i="8" s="1"/>
  <c r="H55" i="8" a="1"/>
  <c r="H55" i="8" s="1"/>
  <c r="H56" i="8" a="1"/>
  <c r="H56" i="8" s="1"/>
  <c r="H57" i="8" a="1"/>
  <c r="H57" i="8" s="1"/>
  <c r="H58" i="8" a="1"/>
  <c r="H58" i="8" s="1"/>
  <c r="H59" i="8" a="1"/>
  <c r="H59" i="8" s="1"/>
  <c r="H60" i="8" a="1"/>
  <c r="H60" i="8" s="1"/>
  <c r="H61" i="8" a="1"/>
  <c r="H61" i="8" s="1"/>
  <c r="H62" i="8" a="1"/>
  <c r="H62" i="8" s="1"/>
  <c r="H63" i="8" a="1"/>
  <c r="H63" i="8" s="1"/>
  <c r="H64" i="8" a="1"/>
  <c r="H64" i="8" s="1"/>
  <c r="H65" i="8" a="1"/>
  <c r="H65" i="8" s="1"/>
  <c r="H66" i="8" a="1"/>
  <c r="H66" i="8" s="1"/>
  <c r="H67" i="8" a="1"/>
  <c r="H67" i="8" s="1"/>
  <c r="H68" i="8" a="1"/>
  <c r="H68" i="8" s="1"/>
  <c r="H69" i="8" a="1"/>
  <c r="H69" i="8" s="1"/>
  <c r="H70" i="8" a="1"/>
  <c r="H70" i="8" s="1"/>
  <c r="H71" i="8" a="1"/>
  <c r="H71" i="8" s="1"/>
  <c r="H72" i="8" a="1"/>
  <c r="H72" i="8" s="1"/>
  <c r="H73" i="8" a="1"/>
  <c r="H73" i="8" s="1"/>
  <c r="H74" i="8" a="1"/>
  <c r="H74" i="8" s="1"/>
  <c r="H75" i="8" a="1"/>
  <c r="H75" i="8" s="1"/>
  <c r="H76" i="8" a="1"/>
  <c r="H76" i="8" s="1"/>
  <c r="H77" i="8" a="1"/>
  <c r="H77" i="8" s="1"/>
  <c r="H78" i="8" a="1"/>
  <c r="H78" i="8" s="1"/>
  <c r="H79" i="8" a="1"/>
  <c r="H79" i="8" s="1"/>
  <c r="H80" i="8" a="1"/>
  <c r="H80" i="8" s="1"/>
  <c r="H81" i="8" a="1"/>
  <c r="H81" i="8" s="1"/>
  <c r="H82" i="8" a="1"/>
  <c r="H82" i="8" s="1"/>
  <c r="H83" i="8" a="1"/>
  <c r="H83" i="8" s="1"/>
  <c r="H84" i="8" a="1"/>
  <c r="H84" i="8" s="1"/>
  <c r="H85" i="8" a="1"/>
  <c r="H85" i="8" s="1"/>
  <c r="H86" i="8" a="1"/>
  <c r="H86" i="8" s="1"/>
  <c r="H87" i="8" a="1"/>
  <c r="H87" i="8" s="1"/>
  <c r="H88" i="8" a="1"/>
  <c r="H88" i="8" s="1"/>
  <c r="H89" i="8" a="1"/>
  <c r="H89" i="8" s="1"/>
  <c r="H90" i="8" a="1"/>
  <c r="H90" i="8" s="1"/>
  <c r="H91" i="8" a="1"/>
  <c r="H91" i="8" s="1"/>
  <c r="H92" i="8" a="1"/>
  <c r="H92" i="8" s="1"/>
  <c r="H93" i="8" a="1"/>
  <c r="H93" i="8" s="1"/>
  <c r="H94" i="8" a="1"/>
  <c r="H94" i="8" s="1"/>
  <c r="H95" i="8" a="1"/>
  <c r="H95" i="8" s="1"/>
  <c r="H96" i="8" a="1"/>
  <c r="H96" i="8" s="1"/>
  <c r="H97" i="8" a="1"/>
  <c r="H97" i="8" s="1"/>
  <c r="H98" i="8" a="1"/>
  <c r="H98" i="8" s="1"/>
  <c r="H99" i="8" a="1"/>
  <c r="H99" i="8" s="1"/>
  <c r="H100" i="8" a="1"/>
  <c r="H100" i="8" s="1"/>
  <c r="H101" i="8" a="1"/>
  <c r="H101" i="8" s="1"/>
  <c r="H102" i="8" a="1"/>
  <c r="H102" i="8" s="1"/>
  <c r="H103" i="8" a="1"/>
  <c r="H103" i="8" s="1"/>
  <c r="H104" i="8" a="1"/>
  <c r="H104" i="8" s="1"/>
  <c r="H105" i="8" a="1"/>
  <c r="H105" i="8" s="1"/>
  <c r="H106" i="8" a="1"/>
  <c r="H106" i="8" s="1"/>
  <c r="H107" i="8" a="1"/>
  <c r="H107" i="8" s="1"/>
  <c r="H108" i="8" a="1"/>
  <c r="H108" i="8" s="1"/>
  <c r="H109" i="8" a="1"/>
  <c r="H109" i="8" s="1"/>
  <c r="H110" i="8" a="1"/>
  <c r="H110" i="8" s="1"/>
  <c r="H111" i="8" a="1"/>
  <c r="H111" i="8" s="1"/>
  <c r="H112" i="8" a="1"/>
  <c r="H112" i="8" s="1"/>
  <c r="H113" i="8" a="1"/>
  <c r="H113" i="8" s="1"/>
  <c r="H114" i="8" a="1"/>
  <c r="H114" i="8" s="1"/>
  <c r="H115" i="8" a="1"/>
  <c r="H115" i="8" s="1"/>
  <c r="H116" i="8" a="1"/>
  <c r="H116" i="8" s="1"/>
  <c r="H117" i="8" a="1"/>
  <c r="H117" i="8" s="1"/>
  <c r="H118" i="8" a="1"/>
  <c r="H118" i="8" s="1"/>
  <c r="H119" i="8" a="1"/>
  <c r="H119" i="8" s="1"/>
  <c r="H120" i="8" a="1"/>
  <c r="H120" i="8" s="1"/>
  <c r="H121" i="8" a="1"/>
  <c r="H121" i="8" s="1"/>
  <c r="H122" i="8" a="1"/>
  <c r="H122" i="8" s="1"/>
  <c r="H123" i="8" a="1"/>
  <c r="H123" i="8" s="1"/>
  <c r="H124" i="8" a="1"/>
  <c r="H124" i="8" s="1"/>
  <c r="H125" i="8" a="1"/>
  <c r="H125" i="8" s="1"/>
  <c r="H126" i="8" a="1"/>
  <c r="H126" i="8" s="1"/>
  <c r="H127" i="8" a="1"/>
  <c r="H127" i="8" s="1"/>
  <c r="H128" i="8" a="1"/>
  <c r="H128" i="8" s="1"/>
  <c r="H129" i="8" a="1"/>
  <c r="H129" i="8" s="1"/>
  <c r="H130" i="8" a="1"/>
  <c r="H130" i="8" s="1"/>
  <c r="H3" i="8" a="1"/>
  <c r="H3" i="8" s="1"/>
  <c r="H2" i="8" a="1"/>
  <c r="H2" i="8" s="1"/>
  <c r="E4" i="8"/>
  <c r="F4" i="8"/>
  <c r="G4" i="8"/>
  <c r="E5" i="8"/>
  <c r="F5" i="8"/>
  <c r="G5" i="8"/>
  <c r="E6" i="8"/>
  <c r="F6" i="8"/>
  <c r="G6" i="8"/>
  <c r="E7" i="8"/>
  <c r="F7" i="8"/>
  <c r="G7" i="8"/>
  <c r="E8" i="8"/>
  <c r="F8" i="8"/>
  <c r="G8" i="8"/>
  <c r="E9" i="8"/>
  <c r="F9" i="8"/>
  <c r="G9" i="8"/>
  <c r="E10" i="8"/>
  <c r="F10" i="8"/>
  <c r="G10" i="8"/>
  <c r="E11" i="8"/>
  <c r="F11" i="8"/>
  <c r="G11" i="8"/>
  <c r="E12" i="8"/>
  <c r="F12" i="8"/>
  <c r="G12" i="8"/>
  <c r="E13" i="8"/>
  <c r="F13" i="8"/>
  <c r="G13" i="8"/>
  <c r="E14" i="8"/>
  <c r="F14" i="8"/>
  <c r="G14" i="8"/>
  <c r="E15" i="8"/>
  <c r="F15" i="8"/>
  <c r="G15" i="8"/>
  <c r="E16" i="8"/>
  <c r="F16" i="8"/>
  <c r="G16" i="8"/>
  <c r="E17" i="8"/>
  <c r="F17" i="8"/>
  <c r="G17" i="8"/>
  <c r="E18" i="8"/>
  <c r="F18" i="8"/>
  <c r="G18" i="8"/>
  <c r="E19" i="8"/>
  <c r="F19" i="8"/>
  <c r="G19" i="8"/>
  <c r="E20" i="8"/>
  <c r="F20" i="8"/>
  <c r="G20" i="8"/>
  <c r="E21" i="8"/>
  <c r="F21" i="8"/>
  <c r="G21" i="8"/>
  <c r="E22" i="8"/>
  <c r="F22" i="8"/>
  <c r="G22" i="8"/>
  <c r="E23" i="8"/>
  <c r="F23" i="8"/>
  <c r="G23" i="8"/>
  <c r="E24" i="8"/>
  <c r="F24" i="8"/>
  <c r="G24" i="8"/>
  <c r="E25" i="8"/>
  <c r="F25" i="8"/>
  <c r="G25" i="8"/>
  <c r="E26" i="8"/>
  <c r="F26" i="8"/>
  <c r="G26" i="8"/>
  <c r="E27" i="8"/>
  <c r="F27" i="8"/>
  <c r="G27" i="8"/>
  <c r="E28" i="8"/>
  <c r="F28" i="8"/>
  <c r="G28" i="8"/>
  <c r="E29" i="8"/>
  <c r="F29" i="8"/>
  <c r="G29" i="8"/>
  <c r="E30" i="8"/>
  <c r="F30" i="8"/>
  <c r="G30" i="8"/>
  <c r="E31" i="8"/>
  <c r="F31" i="8"/>
  <c r="G31" i="8"/>
  <c r="E32" i="8"/>
  <c r="F32" i="8"/>
  <c r="G32" i="8"/>
  <c r="E33" i="8"/>
  <c r="F33" i="8"/>
  <c r="G33" i="8"/>
  <c r="E34" i="8"/>
  <c r="F34" i="8"/>
  <c r="G34" i="8"/>
  <c r="E35" i="8"/>
  <c r="F35" i="8"/>
  <c r="G35" i="8"/>
  <c r="E36" i="8"/>
  <c r="F36" i="8"/>
  <c r="G36" i="8"/>
  <c r="E37" i="8"/>
  <c r="F37" i="8"/>
  <c r="G37" i="8"/>
  <c r="E38" i="8"/>
  <c r="F38" i="8"/>
  <c r="G38" i="8"/>
  <c r="E39" i="8"/>
  <c r="F39" i="8"/>
  <c r="G39" i="8"/>
  <c r="E40" i="8"/>
  <c r="F40" i="8"/>
  <c r="G40" i="8"/>
  <c r="E41" i="8"/>
  <c r="F41" i="8"/>
  <c r="G41" i="8"/>
  <c r="E42" i="8"/>
  <c r="F42" i="8"/>
  <c r="G42" i="8"/>
  <c r="E43" i="8"/>
  <c r="F43" i="8"/>
  <c r="G43" i="8"/>
  <c r="E44" i="8"/>
  <c r="F44" i="8"/>
  <c r="G44" i="8"/>
  <c r="E45" i="8"/>
  <c r="F45" i="8"/>
  <c r="G45" i="8"/>
  <c r="E46" i="8"/>
  <c r="F46" i="8"/>
  <c r="G46" i="8"/>
  <c r="E47" i="8"/>
  <c r="F47" i="8"/>
  <c r="G47" i="8"/>
  <c r="E48" i="8"/>
  <c r="F48" i="8"/>
  <c r="G48" i="8"/>
  <c r="E49" i="8"/>
  <c r="F49" i="8"/>
  <c r="G49" i="8"/>
  <c r="E50" i="8"/>
  <c r="F50" i="8"/>
  <c r="G50" i="8"/>
  <c r="E51" i="8"/>
  <c r="F51" i="8"/>
  <c r="G51" i="8"/>
  <c r="E52" i="8"/>
  <c r="F52" i="8"/>
  <c r="G52" i="8"/>
  <c r="E53" i="8"/>
  <c r="F53" i="8"/>
  <c r="G53" i="8"/>
  <c r="E54" i="8"/>
  <c r="F54" i="8"/>
  <c r="G54" i="8"/>
  <c r="E55" i="8"/>
  <c r="F55" i="8"/>
  <c r="G55" i="8"/>
  <c r="E56" i="8"/>
  <c r="F56" i="8"/>
  <c r="G56" i="8"/>
  <c r="E57" i="8"/>
  <c r="F57" i="8"/>
  <c r="G57" i="8"/>
  <c r="E58" i="8"/>
  <c r="F58" i="8"/>
  <c r="G58" i="8"/>
  <c r="E59" i="8"/>
  <c r="F59" i="8"/>
  <c r="G59" i="8"/>
  <c r="E60" i="8"/>
  <c r="F60" i="8"/>
  <c r="G60" i="8"/>
  <c r="E61" i="8"/>
  <c r="F61" i="8"/>
  <c r="G61" i="8"/>
  <c r="E62" i="8"/>
  <c r="F62" i="8"/>
  <c r="G62" i="8"/>
  <c r="E63" i="8"/>
  <c r="F63" i="8"/>
  <c r="G63" i="8"/>
  <c r="E64" i="8"/>
  <c r="F64" i="8"/>
  <c r="G64" i="8"/>
  <c r="E65" i="8"/>
  <c r="F65" i="8"/>
  <c r="G65" i="8"/>
  <c r="E66" i="8"/>
  <c r="F66" i="8"/>
  <c r="G66" i="8"/>
  <c r="E67" i="8"/>
  <c r="F67" i="8"/>
  <c r="G67" i="8"/>
  <c r="E68" i="8"/>
  <c r="F68" i="8"/>
  <c r="G68" i="8"/>
  <c r="E69" i="8"/>
  <c r="F69" i="8"/>
  <c r="G69" i="8"/>
  <c r="E70" i="8"/>
  <c r="F70" i="8"/>
  <c r="G70" i="8"/>
  <c r="E71" i="8"/>
  <c r="F71" i="8"/>
  <c r="G71" i="8"/>
  <c r="E72" i="8"/>
  <c r="F72" i="8"/>
  <c r="G72" i="8"/>
  <c r="E73" i="8"/>
  <c r="F73" i="8"/>
  <c r="G73" i="8"/>
  <c r="E74" i="8"/>
  <c r="F74" i="8"/>
  <c r="G74" i="8"/>
  <c r="E75" i="8"/>
  <c r="F75" i="8"/>
  <c r="G75" i="8"/>
  <c r="E76" i="8"/>
  <c r="F76" i="8"/>
  <c r="G76" i="8"/>
  <c r="E77" i="8"/>
  <c r="F77" i="8"/>
  <c r="G77" i="8"/>
  <c r="E78" i="8"/>
  <c r="F78" i="8"/>
  <c r="G78" i="8"/>
  <c r="E79" i="8"/>
  <c r="F79" i="8"/>
  <c r="G79" i="8"/>
  <c r="E80" i="8"/>
  <c r="F80" i="8"/>
  <c r="G80" i="8"/>
  <c r="E81" i="8"/>
  <c r="F81" i="8"/>
  <c r="G81" i="8"/>
  <c r="E82" i="8"/>
  <c r="F82" i="8"/>
  <c r="G82" i="8"/>
  <c r="E83" i="8"/>
  <c r="F83" i="8"/>
  <c r="G83" i="8"/>
  <c r="E84" i="8"/>
  <c r="F84" i="8"/>
  <c r="G84" i="8"/>
  <c r="E85" i="8"/>
  <c r="F85" i="8"/>
  <c r="G85" i="8"/>
  <c r="E86" i="8"/>
  <c r="F86" i="8"/>
  <c r="G86" i="8"/>
  <c r="E87" i="8"/>
  <c r="F87" i="8"/>
  <c r="G87" i="8"/>
  <c r="E88" i="8"/>
  <c r="F88" i="8"/>
  <c r="G88" i="8"/>
  <c r="E89" i="8"/>
  <c r="F89" i="8"/>
  <c r="G89" i="8"/>
  <c r="E90" i="8"/>
  <c r="F90" i="8"/>
  <c r="G90" i="8"/>
  <c r="E91" i="8"/>
  <c r="F91" i="8"/>
  <c r="G91" i="8"/>
  <c r="E92" i="8"/>
  <c r="F92" i="8"/>
  <c r="G92" i="8"/>
  <c r="E93" i="8"/>
  <c r="F93" i="8"/>
  <c r="G93" i="8"/>
  <c r="E94" i="8"/>
  <c r="F94" i="8"/>
  <c r="G94" i="8"/>
  <c r="E95" i="8"/>
  <c r="F95" i="8"/>
  <c r="G95" i="8"/>
  <c r="E96" i="8"/>
  <c r="F96" i="8"/>
  <c r="G96" i="8"/>
  <c r="E97" i="8"/>
  <c r="F97" i="8"/>
  <c r="G97" i="8"/>
  <c r="E98" i="8"/>
  <c r="F98" i="8"/>
  <c r="G98" i="8"/>
  <c r="E99" i="8"/>
  <c r="F99" i="8"/>
  <c r="G99" i="8"/>
  <c r="E100" i="8"/>
  <c r="F100" i="8"/>
  <c r="G100" i="8"/>
  <c r="E101" i="8"/>
  <c r="F101" i="8"/>
  <c r="G101" i="8"/>
  <c r="E102" i="8"/>
  <c r="F102" i="8"/>
  <c r="G102" i="8"/>
  <c r="E103" i="8"/>
  <c r="F103" i="8"/>
  <c r="G103" i="8"/>
  <c r="E104" i="8"/>
  <c r="F104" i="8"/>
  <c r="G104" i="8"/>
  <c r="E105" i="8"/>
  <c r="F105" i="8"/>
  <c r="G105" i="8"/>
  <c r="E106" i="8"/>
  <c r="F106" i="8"/>
  <c r="G106" i="8"/>
  <c r="E107" i="8"/>
  <c r="F107" i="8"/>
  <c r="G107" i="8"/>
  <c r="E108" i="8"/>
  <c r="F108" i="8"/>
  <c r="G108" i="8"/>
  <c r="E109" i="8"/>
  <c r="F109" i="8"/>
  <c r="G109" i="8"/>
  <c r="E110" i="8"/>
  <c r="F110" i="8"/>
  <c r="G110" i="8"/>
  <c r="E111" i="8"/>
  <c r="F111" i="8"/>
  <c r="G111" i="8"/>
  <c r="E112" i="8"/>
  <c r="F112" i="8"/>
  <c r="G112" i="8"/>
  <c r="E113" i="8"/>
  <c r="F113" i="8"/>
  <c r="G113" i="8"/>
  <c r="E114" i="8"/>
  <c r="F114" i="8"/>
  <c r="G114" i="8"/>
  <c r="E115" i="8"/>
  <c r="F115" i="8"/>
  <c r="G115" i="8"/>
  <c r="E116" i="8"/>
  <c r="F116" i="8"/>
  <c r="G116" i="8"/>
  <c r="E117" i="8"/>
  <c r="F117" i="8"/>
  <c r="G117" i="8"/>
  <c r="E118" i="8"/>
  <c r="F118" i="8"/>
  <c r="G118" i="8"/>
  <c r="E119" i="8"/>
  <c r="F119" i="8"/>
  <c r="G119" i="8"/>
  <c r="E120" i="8"/>
  <c r="F120" i="8"/>
  <c r="G120" i="8"/>
  <c r="E121" i="8"/>
  <c r="F121" i="8"/>
  <c r="G121" i="8"/>
  <c r="E122" i="8"/>
  <c r="F122" i="8"/>
  <c r="G122" i="8"/>
  <c r="E123" i="8"/>
  <c r="F123" i="8"/>
  <c r="G123" i="8"/>
  <c r="E124" i="8"/>
  <c r="F124" i="8"/>
  <c r="G124" i="8"/>
  <c r="E125" i="8"/>
  <c r="F125" i="8"/>
  <c r="G125" i="8"/>
  <c r="E126" i="8"/>
  <c r="F126" i="8"/>
  <c r="G126" i="8"/>
  <c r="E127" i="8"/>
  <c r="F127" i="8"/>
  <c r="G127" i="8"/>
  <c r="E128" i="8"/>
  <c r="F128" i="8"/>
  <c r="G128" i="8"/>
  <c r="E129" i="8"/>
  <c r="F129" i="8"/>
  <c r="G129" i="8"/>
  <c r="E130" i="8"/>
  <c r="F130" i="8"/>
  <c r="G130" i="8"/>
  <c r="E3" i="8"/>
  <c r="F3" i="8"/>
  <c r="G3" i="8"/>
  <c r="G2" i="8"/>
  <c r="F2" i="8"/>
  <c r="E2" i="8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<sst xmlns="http://schemas.openxmlformats.org/spreadsheetml/2006/main" count="627" uniqueCount="470">
  <si>
    <t>FILLER</t>
  </si>
  <si>
    <t>"△"</t>
  </si>
  <si>
    <t>"JPCA0102"</t>
  </si>
  <si>
    <t>"S"</t>
  </si>
  <si>
    <t>"1720"</t>
  </si>
  <si>
    <t>"101913000010"</t>
  </si>
  <si>
    <t>"114876000001"</t>
  </si>
  <si>
    <t>△*4</t>
  </si>
  <si>
    <t>△*6</t>
  </si>
  <si>
    <t>△*10</t>
  </si>
  <si>
    <t>△*44</t>
  </si>
  <si>
    <t>□*22</t>
  </si>
  <si>
    <t>△*5</t>
  </si>
  <si>
    <t>△*70</t>
  </si>
  <si>
    <t>□*35</t>
  </si>
  <si>
    <t>△*12</t>
  </si>
  <si>
    <t>△*40</t>
  </si>
  <si>
    <t>□*20</t>
  </si>
  <si>
    <t>△*15</t>
  </si>
  <si>
    <t>0</t>
  </si>
  <si>
    <t>△*3</t>
  </si>
  <si>
    <t>△*2</t>
  </si>
  <si>
    <t>△*74</t>
  </si>
  <si>
    <t>□*37</t>
  </si>
  <si>
    <t>△*11</t>
  </si>
  <si>
    <t>△*7</t>
  </si>
  <si>
    <t>△*30</t>
  </si>
  <si>
    <t>△*25</t>
  </si>
  <si>
    <t>△*20</t>
  </si>
  <si>
    <t>□*15</t>
  </si>
  <si>
    <t>△*67</t>
  </si>
  <si>
    <t>"△"</t>
    <phoneticPr fontId="1"/>
  </si>
  <si>
    <t>送信シーケンスNO</t>
  </si>
  <si>
    <t>データ交換ID</t>
  </si>
  <si>
    <t>仕入先組織コード</t>
  </si>
  <si>
    <t>発注入力担当者コード</t>
  </si>
  <si>
    <t>発注担当者FAX番号</t>
  </si>
  <si>
    <t>発注処理種別</t>
  </si>
  <si>
    <t>EDI_取引条件番号</t>
  </si>
  <si>
    <t>EDI_契約番号</t>
  </si>
  <si>
    <t>EDI_適用開始年月日</t>
  </si>
  <si>
    <t>EDI_メーカ取引区分</t>
  </si>
  <si>
    <t>EDI_メーカ発注者コード（送信用）</t>
  </si>
  <si>
    <t>EDI_メーカ受注者コード（送信用）</t>
  </si>
  <si>
    <t>EDI_メーカ支払者コード（送信用）</t>
  </si>
  <si>
    <t>EDI_メーカ組織コード</t>
  </si>
  <si>
    <t>発注番号</t>
  </si>
  <si>
    <t>発注行番号</t>
  </si>
  <si>
    <t>EDI_メーカ受注番号</t>
  </si>
  <si>
    <t>EDI_販売先注文番号</t>
  </si>
  <si>
    <t>EDI_メーカ２次店コード（送信用）</t>
  </si>
  <si>
    <t>EDI_メーカ２次店コード</t>
  </si>
  <si>
    <t>EDI_メーカ２次店名(カナ)</t>
  </si>
  <si>
    <t>EDI_メーカ２次店名(漢字)</t>
  </si>
  <si>
    <t>EDI_メーカ３次店名(漢字)</t>
  </si>
  <si>
    <t>EDI_メーカ納入先コード（送信用）</t>
  </si>
  <si>
    <t>EDI_メーカ納入先コード</t>
  </si>
  <si>
    <t>EDI_メーカ納入先名(カナ)</t>
  </si>
  <si>
    <t>EDI_メーカ納入先名(漢字)</t>
  </si>
  <si>
    <t>EDI_メーカ納入先住所(カナ)</t>
  </si>
  <si>
    <t>EDI_メーカ納入先住所(漢字)</t>
  </si>
  <si>
    <t>EDI_メーカ納入先支社名(漢字)</t>
  </si>
  <si>
    <t>EDI_メーカ納入先都道府県</t>
  </si>
  <si>
    <t>EDI_メーカ納入先住所1</t>
  </si>
  <si>
    <t>EDI_メーカ納入先住所2</t>
  </si>
  <si>
    <t>EDI_メーカ納入先郵便番号</t>
  </si>
  <si>
    <t>EDI_メーカ納入先電話番号</t>
  </si>
  <si>
    <t>EDI_メーカ納入先FAX番号</t>
  </si>
  <si>
    <t>EDI_メーカ納入先地区コード</t>
  </si>
  <si>
    <t>希望納期</t>
  </si>
  <si>
    <t>発注数量</t>
  </si>
  <si>
    <t>発注単価</t>
  </si>
  <si>
    <t>発注金額</t>
  </si>
  <si>
    <t>EDI_個数</t>
  </si>
  <si>
    <t>仕入単位コード</t>
  </si>
  <si>
    <t>EDI_口銭区分</t>
  </si>
  <si>
    <t>EDI_口銭単価</t>
  </si>
  <si>
    <t>EDI_メーカ商品コード</t>
  </si>
  <si>
    <t>EDI_メーカ商品名(カナ)</t>
  </si>
  <si>
    <t>EDI_メーカ商品名(漢字)</t>
  </si>
  <si>
    <t>EDI_グレード</t>
  </si>
  <si>
    <t>EDI_容量</t>
  </si>
  <si>
    <t>EDI_メーカ数量単位コード</t>
  </si>
  <si>
    <t>EDI_メーカ数量単位名</t>
  </si>
  <si>
    <t>EDI_メーカ単価単位コード</t>
  </si>
  <si>
    <t>EDI_メーカ単価単位名</t>
  </si>
  <si>
    <t>EDI_メーカ荷姿コード</t>
  </si>
  <si>
    <t>EDI_メーカ荷姿名(カナ)</t>
  </si>
  <si>
    <t>EDI_納入コメント</t>
  </si>
  <si>
    <t>EDI_発注コメント</t>
  </si>
  <si>
    <t>EDI_納品コメント</t>
  </si>
  <si>
    <t>EDI_備考</t>
  </si>
  <si>
    <t>EDI_特記事項</t>
  </si>
  <si>
    <t>EDI_配送指示</t>
  </si>
  <si>
    <t>EDI_納入要件</t>
  </si>
  <si>
    <t>EDI_メーカ受注者情報</t>
  </si>
  <si>
    <t>EDI_メーカ受渡条件コード</t>
  </si>
  <si>
    <t>EDI_決済条件</t>
  </si>
  <si>
    <t>EDI_緊急オーダーコード</t>
  </si>
  <si>
    <t>EDI_輸送便コード</t>
  </si>
  <si>
    <t>EDI_納入希望時刻コード</t>
  </si>
  <si>
    <t>EDI_納入希望時刻名称</t>
  </si>
  <si>
    <t>EDI_納入希望時刻条件コード</t>
  </si>
  <si>
    <t>EDI_LOT NO条件コード</t>
  </si>
  <si>
    <t>EDI_ロット区分</t>
  </si>
  <si>
    <t>EDI_ロット番号</t>
  </si>
  <si>
    <t>EDI_メーカ国内・輸出区分</t>
  </si>
  <si>
    <t>EDI_数量確定区分</t>
  </si>
  <si>
    <t>EDI_単価区分</t>
  </si>
  <si>
    <t>EDI_課税区分</t>
  </si>
  <si>
    <t>EDI_オーダ区分</t>
  </si>
  <si>
    <t>EDI_予備欄</t>
  </si>
  <si>
    <t>EDI_予備欄(漢字)</t>
  </si>
  <si>
    <t>IK自由使用欄1</t>
  </si>
  <si>
    <t>登録年月日</t>
  </si>
  <si>
    <t>修正年月日</t>
  </si>
  <si>
    <t>発注入力時刻</t>
  </si>
  <si>
    <t>発注修正時刻</t>
  </si>
  <si>
    <t>削除区分</t>
  </si>
  <si>
    <t>処理受付番号</t>
  </si>
  <si>
    <t>EDI_メーカ扱店コード</t>
  </si>
  <si>
    <t>EDI_メーカ需要家コード（送信用）</t>
  </si>
  <si>
    <t>EDI_メーカ需要家コード</t>
  </si>
  <si>
    <t>EDI_メーカ需要家名(カナ)</t>
  </si>
  <si>
    <t>EDI_メーカ需要家名(漢字)</t>
  </si>
  <si>
    <t>EDI_メーカ需要家支店名(漢字)</t>
  </si>
  <si>
    <t>Transmission sequence NO</t>
  </si>
  <si>
    <t>Data Exchange ID</t>
  </si>
  <si>
    <t>Supplier Organization Code</t>
  </si>
  <si>
    <t>Order Entry Contact Code</t>
  </si>
  <si>
    <t>Order Entry Person's Fax Number</t>
  </si>
  <si>
    <t>Order Processing Type</t>
  </si>
  <si>
    <t>EDI_Transaction Condition Number</t>
  </si>
  <si>
    <t>EDI_Contract Number</t>
  </si>
  <si>
    <t>EDI_Application_Start_Date</t>
  </si>
  <si>
    <t>EDI_Manufacturer Transaction Classification</t>
  </si>
  <si>
    <t>EDI_Manufacturer Ordering Code (for transmission)</t>
  </si>
  <si>
    <t>EDI_Payer code of manufacturer (for transmission)</t>
  </si>
  <si>
    <t>EDI_Manufacturer Organization Code</t>
  </si>
  <si>
    <t>Order Number</t>
  </si>
  <si>
    <t>Order line number</t>
  </si>
  <si>
    <t>EDI_Manufacturer Order No.</t>
  </si>
  <si>
    <t>EDI_Distributor Order No.</t>
  </si>
  <si>
    <t>EDI_manufacturer store code</t>
  </si>
  <si>
    <t>EDI_manufacturer's consumer code (for transmission)</t>
  </si>
  <si>
    <t>EDI_Manufacturer Customer Code</t>
  </si>
  <si>
    <t>EDI_Maker Customer Name (for transmission)</t>
  </si>
  <si>
    <t>EDI_Manufacturer Customer Name (Kanji)</t>
  </si>
  <si>
    <t>EDI_Manufacturer Customer's Branch Name (Kanji)</t>
  </si>
  <si>
    <t>EDI_Manufacturer's secondary store code (for transmission)</t>
  </si>
  <si>
    <t>EDI_Manufacturer's secondary store code</t>
  </si>
  <si>
    <t>EDI_Manufacturer's secondary store name (Kana)</t>
  </si>
  <si>
    <t>EDI_Manufacturer's secondary store name (Kanji)</t>
  </si>
  <si>
    <t>EDI_name of tertiary store of manufacturer (Kanji)</t>
  </si>
  <si>
    <t>EDI_Manufacturer's delivery address code (for transmission)</t>
  </si>
  <si>
    <t>EDI_Manufacturer code</t>
  </si>
  <si>
    <t>EDI_Manufacturer name</t>
  </si>
  <si>
    <t>EDI_Manufacturer's name (Kanji)</t>
  </si>
  <si>
    <t>EDI_Manufacturer's Delivery Address</t>
  </si>
  <si>
    <t>EDI_Manufacturer's Delivery Address (Kanji)</t>
  </si>
  <si>
    <t>EDI_Manufacturer's Branch Office Name (Kanji)</t>
  </si>
  <si>
    <t>EDI_Prefecture of manufacturer's delivery address</t>
  </si>
  <si>
    <t>EDI_Manufacturer Address 1</t>
  </si>
  <si>
    <t>EDI_ Manufacturer's Address 2</t>
  </si>
  <si>
    <t>EDI_ Manufacturer's Zip Code</t>
  </si>
  <si>
    <t>EDI_ Manufacturer's Phone Number</t>
  </si>
  <si>
    <t>EDI_FAX number of manufacturer's delivery address</t>
  </si>
  <si>
    <t>EDI_District code of manufacturer's delivery address</t>
  </si>
  <si>
    <t>Desired delivery date</t>
  </si>
  <si>
    <t>Order quantity</t>
  </si>
  <si>
    <t>Order unit price</t>
  </si>
  <si>
    <t>Order amount</t>
  </si>
  <si>
    <t>EDI_Quantity</t>
  </si>
  <si>
    <t>Purchase unit code</t>
  </si>
  <si>
    <t>EDI_Unit Price Classification</t>
  </si>
  <si>
    <t>EDI_Unit Price</t>
  </si>
  <si>
    <t>EDI_Manufacturer Product Code</t>
  </si>
  <si>
    <t>EDI_Manufacturer Product Name</t>
  </si>
  <si>
    <t>EDI_Manufacturer Product Name (Kanji)</t>
  </si>
  <si>
    <t>EDI_Grade</t>
  </si>
  <si>
    <t>EDI_Capacity</t>
  </si>
  <si>
    <t>EDI_Manufacturer Quantity Unit Code</t>
  </si>
  <si>
    <t>EDI_Manufacturer unit price code</t>
  </si>
  <si>
    <t>EDI_Manufacturer unit price name</t>
  </si>
  <si>
    <t>EDI_Manufacturer's packing code</t>
  </si>
  <si>
    <t>EDI_Delivery comment</t>
  </si>
  <si>
    <t>EDI_Order comment</t>
  </si>
  <si>
    <t>EDI_Remarks</t>
  </si>
  <si>
    <t>EDI_Special Note</t>
  </si>
  <si>
    <t>EDI_Delivery Instructions</t>
  </si>
  <si>
    <t>EDI_Delivery Requirements</t>
  </si>
  <si>
    <t>EDI_Order Receiver Information</t>
  </si>
  <si>
    <t>EDI_Manufacturer Delivery Condition Code</t>
  </si>
  <si>
    <t>EDI_Settlement Condition</t>
  </si>
  <si>
    <t>EDI_Urgent Order Code</t>
  </si>
  <si>
    <t>EDI_Shipment Code</t>
  </si>
  <si>
    <t>EDI_Required Delivery Time Code</t>
  </si>
  <si>
    <t>EDI_Required Delivery Time Name</t>
  </si>
  <si>
    <t>EDI_Required Delivery Time Condition Code</t>
  </si>
  <si>
    <t>EDI_LOT NO condition code</t>
  </si>
  <si>
    <t>EDI_Lot Classification</t>
  </si>
  <si>
    <t>EDI_LOT NO.</t>
  </si>
  <si>
    <t>EDI_Manufacturer domestic/export classification</t>
  </si>
  <si>
    <t>EDI_Quantity Classification</t>
  </si>
  <si>
    <t>EDI Unit Price Classification</t>
  </si>
  <si>
    <t>EDI_Tax Classification</t>
  </si>
  <si>
    <t>EDI_Order Classification</t>
  </si>
  <si>
    <t>EDI_Reserve Column</t>
  </si>
  <si>
    <t>EDI_Fill-in-the-blanks (Kanji)</t>
  </si>
  <si>
    <t>IK free use column 1</t>
  </si>
  <si>
    <t>Registration date</t>
  </si>
  <si>
    <t>Revision date</t>
  </si>
  <si>
    <t>Order Entry Time</t>
  </si>
  <si>
    <t>Order modification time</t>
  </si>
  <si>
    <t>Deletion classification</t>
  </si>
  <si>
    <t>Processing Receipt Number</t>
  </si>
  <si>
    <t>EDI_機能カテゴリコード</t>
  </si>
  <si>
    <t>仕入先コード</t>
  </si>
  <si>
    <t>販区</t>
  </si>
  <si>
    <t>金種</t>
  </si>
  <si>
    <t>締切年月日</t>
  </si>
  <si>
    <t>満期日</t>
  </si>
  <si>
    <t>銀行コード</t>
  </si>
  <si>
    <t>支店コード</t>
  </si>
  <si>
    <t>支店名(カナ)</t>
  </si>
  <si>
    <t>振込先口座種別</t>
  </si>
  <si>
    <t>EDI_今回支払金額</t>
  </si>
  <si>
    <t>送信データ削除区分</t>
  </si>
  <si>
    <t>受信シーケンスNO_2</t>
  </si>
  <si>
    <t>確定仕入責任組織コード(旧)</t>
  </si>
  <si>
    <t>起算日</t>
  </si>
  <si>
    <t>本支店コード</t>
  </si>
  <si>
    <t>銀行名(カナ)</t>
  </si>
  <si>
    <t>振込先口座NO</t>
  </si>
  <si>
    <t>支払年月日</t>
  </si>
  <si>
    <t>受信シーケンスNO</t>
  </si>
  <si>
    <t>JPCA_EDI請求金額</t>
  </si>
  <si>
    <t>相手先別データ</t>
  </si>
  <si>
    <t>SND_SEQ_NO</t>
  </si>
  <si>
    <t>DATA_KOKAN_ID</t>
  </si>
  <si>
    <t>EDI_KINO_CATEGORY_CD</t>
  </si>
  <si>
    <t>SUP_CD</t>
  </si>
  <si>
    <t>HAN_KBN</t>
  </si>
  <si>
    <t>KISAN_D</t>
  </si>
  <si>
    <t>KINSHU</t>
  </si>
  <si>
    <t>HONSHITEN_CD</t>
  </si>
  <si>
    <t>SHIMEKIRI_YMD</t>
  </si>
  <si>
    <t>MANKI_D</t>
  </si>
  <si>
    <t>BANK_CD</t>
  </si>
  <si>
    <t>SHITEN_CD</t>
  </si>
  <si>
    <t>BANK_NMK</t>
  </si>
  <si>
    <t>SHITEN_NMK</t>
  </si>
  <si>
    <t>FURIKOMI_KOZA_SBT</t>
  </si>
  <si>
    <t>FURIKOMI_KOZA_NO</t>
  </si>
  <si>
    <t>EDI_KONKAI_PAY_GAKU</t>
  </si>
  <si>
    <t>PAY_YMD</t>
  </si>
  <si>
    <t>SND_DATA_DEL_KBN</t>
  </si>
  <si>
    <t>RCV_SEQ_NO</t>
  </si>
  <si>
    <t>FUNC_UKETSUKE_NO</t>
  </si>
  <si>
    <t>DEL_KBN</t>
  </si>
  <si>
    <t>RCV_SEQ_NO_2</t>
  </si>
  <si>
    <t>CONFIRM_SIR_SKNIN_SSHK_CD_OLD</t>
  </si>
  <si>
    <t>JPCA_EDI_SEIKYU_GAKU</t>
  </si>
  <si>
    <t>AITE_SAKI_BETSU_DATA</t>
  </si>
  <si>
    <t>販売先_ファイル識別キー</t>
    <rPh sb="0" eb="3">
      <t>ハンバイサキ</t>
    </rPh>
    <phoneticPr fontId="2"/>
  </si>
  <si>
    <t>レコード連番</t>
  </si>
  <si>
    <t>ファイル作成済区分</t>
  </si>
  <si>
    <t>取引先略称ID</t>
  </si>
  <si>
    <t>EDI受信ファイルID</t>
  </si>
  <si>
    <t>EIAJ_情報区分</t>
  </si>
  <si>
    <t>EIAJ_データ処理No</t>
  </si>
  <si>
    <t>EIAJ_発注者コード</t>
  </si>
  <si>
    <t>EIAJ_受注者コード</t>
  </si>
  <si>
    <t>EIAJ_発注部門コード</t>
  </si>
  <si>
    <t>EIAJ_EDI注文番号</t>
  </si>
  <si>
    <t>EIAJ_製造番号</t>
  </si>
  <si>
    <t>EIAJ_訂正コード</t>
  </si>
  <si>
    <t>EIAJ_コック区分</t>
  </si>
  <si>
    <t>EIAJ_注文年月日</t>
  </si>
  <si>
    <t>EIAJ_EDI単位</t>
  </si>
  <si>
    <t>EIAJ_単価</t>
  </si>
  <si>
    <t>EIAJ_単価区分</t>
  </si>
  <si>
    <t>EIAJ_注文数量(受注数量)</t>
  </si>
  <si>
    <t>EIAJ_注文金額(受注金額)</t>
  </si>
  <si>
    <t>EIAJ_支給区分</t>
  </si>
  <si>
    <t>EIAJ_購買担当</t>
  </si>
  <si>
    <t>EIAJ_品名(品名仕様)</t>
  </si>
  <si>
    <t>EIAJ_受注者品名コード</t>
  </si>
  <si>
    <t>EIAJ_発注者品名コード</t>
  </si>
  <si>
    <t>EIAJ_直納区分</t>
  </si>
  <si>
    <t>EIAJ_受渡場所</t>
  </si>
  <si>
    <t>EIAJ_検査区分</t>
  </si>
  <si>
    <t>EIAJ_納入指示有無区分</t>
  </si>
  <si>
    <t>EIAJ_納期</t>
  </si>
  <si>
    <t>EIAJ_納入指示数量</t>
  </si>
  <si>
    <t>EIAJ_納入No</t>
  </si>
  <si>
    <t>EIAJ_合計納入数量</t>
  </si>
  <si>
    <t>EIAJ_納入数量(出荷数量)</t>
  </si>
  <si>
    <t>EIAJ_不足数量</t>
  </si>
  <si>
    <t>EIAJ_不良数量</t>
  </si>
  <si>
    <t>EIAJ_検収単価</t>
  </si>
  <si>
    <t>EIAJ_EDI検収金額</t>
  </si>
  <si>
    <t>EIAJ_検収数量</t>
  </si>
  <si>
    <t>EIAJ_検収日</t>
  </si>
  <si>
    <t>EIAJ_検収区分</t>
  </si>
  <si>
    <t>EIAJ_取引符号区分</t>
  </si>
  <si>
    <t>EIAJ_課税区分</t>
  </si>
  <si>
    <t>EIAJ_EDI消費税額</t>
  </si>
  <si>
    <t>EIAJ_合計額</t>
  </si>
  <si>
    <t>EIAJ_計画番号</t>
  </si>
  <si>
    <t>EIAJ_決済条件区分</t>
  </si>
  <si>
    <t>EIAJ_計上月度</t>
  </si>
  <si>
    <t>EIAJ_納品キー番号</t>
  </si>
  <si>
    <t>EIAJ_発注者用バーコード情報</t>
  </si>
  <si>
    <t>EIAJ_発注者用備考</t>
  </si>
  <si>
    <t>EIAJ_変更注文区分1</t>
  </si>
  <si>
    <t>EIAJ_変更注文区分2</t>
  </si>
  <si>
    <t>EIAJ_変更注文区分3</t>
  </si>
  <si>
    <t>EIAJ_EDI取引区分</t>
  </si>
  <si>
    <t>EIAJ_EDI通貨コード</t>
  </si>
  <si>
    <t>EIAJ_支払ID</t>
  </si>
  <si>
    <t>EIAJ_支払内容別金額</t>
  </si>
  <si>
    <t>EIAJ_支払方法区分</t>
  </si>
  <si>
    <t>EIAJ_支払日</t>
  </si>
  <si>
    <t>IK自由使用欄2</t>
  </si>
  <si>
    <t>IK自由使用欄3</t>
  </si>
  <si>
    <t>IK自由使用欄4</t>
  </si>
  <si>
    <t>商品名追記</t>
  </si>
  <si>
    <t>受注年月日</t>
  </si>
  <si>
    <t>商品対比相手コード1</t>
  </si>
  <si>
    <t>商品対比相手コード2</t>
  </si>
  <si>
    <t>商品対比相手コード3</t>
  </si>
  <si>
    <t>商品対比相手コード4</t>
  </si>
  <si>
    <t>販売先対比相手コード1</t>
  </si>
  <si>
    <t>販売先対比相手コード2</t>
  </si>
  <si>
    <t>販売先対比相手コード3</t>
  </si>
  <si>
    <t>販売先対比相手コード4</t>
  </si>
  <si>
    <t>作成日時</t>
  </si>
  <si>
    <t>作成ユーザ</t>
  </si>
  <si>
    <t>作成処理</t>
  </si>
  <si>
    <t>最新更新日時</t>
  </si>
  <si>
    <t>最新更新ユーザ</t>
  </si>
  <si>
    <t>最新更新処理</t>
  </si>
  <si>
    <t>更新回数</t>
  </si>
  <si>
    <t>HAN_FILE_SHIKIBETSU_KEY</t>
  </si>
  <si>
    <t>RECORD_REMBAN</t>
  </si>
  <si>
    <t>FILE_CREATE_ZUMI_KBN</t>
  </si>
  <si>
    <t>TORIHIKI_NMR_ID</t>
  </si>
  <si>
    <t>EDI_RCV_FILE_ID</t>
  </si>
  <si>
    <t>EIAJ_INF_KBN</t>
  </si>
  <si>
    <t>EIAJ_DATA_FUNC_NO</t>
  </si>
  <si>
    <t>EIAJ_HACSHA_CD</t>
  </si>
  <si>
    <t>EIAJ_JUC_CD</t>
  </si>
  <si>
    <t>EIAJ_HAC_BMN_CD</t>
  </si>
  <si>
    <t>EIAJ_EDI_CHUMON_NO</t>
  </si>
  <si>
    <t>EIAJ_SEIZO_NO</t>
  </si>
  <si>
    <t>EIAJ_TEISEI_CD</t>
  </si>
  <si>
    <t>EIAJ_KOCK_KBN</t>
  </si>
  <si>
    <t>EIAJ_CHUMON_YMD</t>
  </si>
  <si>
    <t>EIAJ_EDI_UNIT</t>
  </si>
  <si>
    <t>EIAJ_TANK</t>
  </si>
  <si>
    <t>EIAJ_TANK_KBN</t>
  </si>
  <si>
    <t>EIAJ_CHUMON_SU_JUC_SU</t>
  </si>
  <si>
    <t>EIAJ_CHUMON_GAKU_JUC_GAKU</t>
  </si>
  <si>
    <t>EIAJ_SHIKYU_KBN</t>
  </si>
  <si>
    <t>EIAJ_KOBAI_TANTO</t>
  </si>
  <si>
    <t>EIAJ_ITEM_NM_ITEM_SHIYO</t>
  </si>
  <si>
    <t>EIAJ_JUC_ITEM_NM_CD</t>
  </si>
  <si>
    <t>EIAJ_HACSHA_ITEM_NM_CD</t>
  </si>
  <si>
    <t>EIAJ_CHOKUNO_KBN</t>
  </si>
  <si>
    <t>EIAJ_UKEWATASHI_BASHO</t>
  </si>
  <si>
    <t>EIAJ_KENSA_KBN</t>
  </si>
  <si>
    <t>EIAJ_NONYU_SHIJI_UMU_KBN</t>
  </si>
  <si>
    <t>EIAJ_NOKI</t>
  </si>
  <si>
    <t>EIAJ_NONYU_SHIJI_SU</t>
  </si>
  <si>
    <t>EIAJ_NONYU_NO</t>
  </si>
  <si>
    <t>EIAJ_TOTAL_NONYU_SU</t>
  </si>
  <si>
    <t>EIAJ_NONYU_SU_SHUKKA_SU</t>
  </si>
  <si>
    <t>EIAJ_FUSOKU_SU</t>
  </si>
  <si>
    <t>EIAJ_FURYO_SU</t>
  </si>
  <si>
    <t>EIAJ_KENSHU_TANK</t>
  </si>
  <si>
    <t>EIAJ_EDI_KENSHU_GAKU</t>
  </si>
  <si>
    <t>EIAJ_KENSHU_SU</t>
  </si>
  <si>
    <t>EIAJ_KENSHU_D</t>
  </si>
  <si>
    <t>EIAJ_KENSHU_KBN</t>
  </si>
  <si>
    <t>EIAJ_TORIHIKI_FUGO_KBN</t>
  </si>
  <si>
    <t>EIAJ_KAZEI_KBN</t>
  </si>
  <si>
    <t>EIAJ_EDI_SHOHIZEI_GAKU</t>
  </si>
  <si>
    <t>EIAJ_TOTAL_GAKU</t>
  </si>
  <si>
    <t>EIAJ_PLAN_NO</t>
  </si>
  <si>
    <t>EIAJ_KESSAI_JOKEN_KBN</t>
  </si>
  <si>
    <t>EIAJ_KEIJO_GETSUDO</t>
  </si>
  <si>
    <t>EIAJ_NOHIN_KEY_NO</t>
  </si>
  <si>
    <t>EIAJ_HACSHA_BAR_CD_INF</t>
  </si>
  <si>
    <t>EIAJ_HACSHA_NOTE</t>
  </si>
  <si>
    <t>EIAJ_HENKO_CHUMON_KBN1</t>
  </si>
  <si>
    <t>EIAJ_HENKO_CHUMON_KBN2</t>
  </si>
  <si>
    <t>EIAJ_HENKO_CHUMON_KBN3</t>
  </si>
  <si>
    <t>EIAJ_EDI_TORIHIKI_KBN</t>
  </si>
  <si>
    <t>EIAJ_EDI_TSUKA_CD</t>
  </si>
  <si>
    <t>EIAJ_PAY_ID</t>
  </si>
  <si>
    <t>EIAJ_PAY_NAIYO_GAKU</t>
  </si>
  <si>
    <t>EIAJ_PAY_HOHO_KBN</t>
  </si>
  <si>
    <t>EIAJ_PAY_D</t>
  </si>
  <si>
    <t>IK_FREE_SPACE1</t>
  </si>
  <si>
    <t>IK_FREE_SPACE2</t>
  </si>
  <si>
    <t>IK_FREE_SPACE3</t>
  </si>
  <si>
    <t>IK_FREE_SPACE4</t>
  </si>
  <si>
    <t>ITEM_NM_TSUIKI</t>
  </si>
  <si>
    <t>JUC_YMD</t>
  </si>
  <si>
    <t>ITEM_TAIHI_AITE_CD1</t>
  </si>
  <si>
    <t>ITEM_TAIHI_AITE_CD2</t>
  </si>
  <si>
    <t>ITEM_TAIHI_AITE_CD3</t>
  </si>
  <si>
    <t>ITEM_TAIHI_AITE_CD4</t>
  </si>
  <si>
    <t>HAN_TAIHI_AITE_CD1</t>
  </si>
  <si>
    <t>HAN_TAIHI_AITE_CD2</t>
  </si>
  <si>
    <t>HAN_TAIHI_AITE_CD3</t>
  </si>
  <si>
    <t>HAN_TAIHI_AITE_CD4</t>
  </si>
  <si>
    <t>CREATE_DT</t>
  </si>
  <si>
    <t>CREATE_USR</t>
  </si>
  <si>
    <t>CREATE_FUNC</t>
  </si>
  <si>
    <t>NEW_UPDATE_DT</t>
  </si>
  <si>
    <t>NEW_UPDATE_USR</t>
  </si>
  <si>
    <t>NEW_UPDATE_FUNC</t>
  </si>
  <si>
    <t>UPDATE_CNT</t>
  </si>
  <si>
    <t>"PNAB0101"＋システム年月日時分秒ミリ秒(YYYYMMDDHHMISSFFF)</t>
    <rPh sb="15" eb="18">
      <t>ネンガッピ</t>
    </rPh>
    <rPh sb="18" eb="19">
      <t>ジ</t>
    </rPh>
    <rPh sb="19" eb="21">
      <t>フンビョウ</t>
    </rPh>
    <rPh sb="23" eb="24">
      <t>ビョウ</t>
    </rPh>
    <phoneticPr fontId="2"/>
  </si>
  <si>
    <t>00001からの連番</t>
    <rPh sb="8" eb="10">
      <t>レンバン</t>
    </rPh>
    <phoneticPr fontId="2"/>
  </si>
  <si>
    <t>"0"&lt;未処理&gt;</t>
    <rPh sb="4" eb="7">
      <t>ミショリ</t>
    </rPh>
    <phoneticPr fontId="2"/>
  </si>
  <si>
    <t>"PNA"</t>
  </si>
  <si>
    <t>"005580"</t>
  </si>
  <si>
    <t>"PNAB0101"</t>
  </si>
  <si>
    <t>△23</t>
  </si>
  <si>
    <t>△8</t>
  </si>
  <si>
    <t>0&lt;未設定&gt;</t>
    <rPh sb="2" eb="5">
      <t>ミセッテイ</t>
    </rPh>
    <phoneticPr fontId="2"/>
  </si>
  <si>
    <t>△1</t>
  </si>
  <si>
    <t>△10</t>
  </si>
  <si>
    <t>△3</t>
  </si>
  <si>
    <t>"20" + [納期]</t>
  </si>
  <si>
    <t>△6</t>
  </si>
  <si>
    <t>△25</t>
  </si>
  <si>
    <t>△50</t>
  </si>
  <si>
    <t>△2</t>
  </si>
  <si>
    <t>△20</t>
  </si>
  <si>
    <t>△200</t>
  </si>
  <si>
    <t>△100</t>
  </si>
  <si>
    <t>[発注者コード]を右側トリム + "△" + [発注者品名コ－ド]</t>
    <rPh sb="9" eb="11">
      <t>ミギガワ</t>
    </rPh>
    <phoneticPr fontId="2"/>
  </si>
  <si>
    <t>[発注者コード] + [発注者部門コード]</t>
  </si>
  <si>
    <t>「３．１．相手先別データレイアウト」シート参照</t>
  </si>
  <si>
    <t>"0"&lt;未削除&gt;</t>
    <rPh sb="5" eb="7">
      <t>サクジョ</t>
    </rPh>
    <phoneticPr fontId="2"/>
  </si>
  <si>
    <t>システム年月日時分秒(YYYY/MM/DD HH:MI:SS)</t>
    <rPh sb="4" eb="7">
      <t>ネンガッピ</t>
    </rPh>
    <rPh sb="7" eb="8">
      <t>ジ</t>
    </rPh>
    <rPh sb="8" eb="10">
      <t>フンビョウ</t>
    </rPh>
    <phoneticPr fontId="2"/>
  </si>
  <si>
    <t>"EDI"</t>
  </si>
  <si>
    <t>"m_CMN_販売先受信_共通フォーマット登録_010"</t>
    <rPh sb="7" eb="10">
      <t>ハンバイサキ</t>
    </rPh>
    <rPh sb="10" eb="12">
      <t>ジュシン</t>
    </rPh>
    <phoneticPr fontId="2"/>
  </si>
  <si>
    <t>No.78と同じ</t>
    <rPh sb="6" eb="7">
      <t>オナ</t>
    </rPh>
    <phoneticPr fontId="2"/>
  </si>
  <si>
    <t>No.79と同じ</t>
    <rPh sb="6" eb="7">
      <t>オナ</t>
    </rPh>
    <phoneticPr fontId="2"/>
  </si>
  <si>
    <t>No.80と同じ</t>
    <rPh sb="6" eb="7">
      <t>オナ</t>
    </rPh>
    <phoneticPr fontId="2"/>
  </si>
  <si>
    <t>[情報区分]</t>
  </si>
  <si>
    <t>[データ処理No]</t>
  </si>
  <si>
    <t>[発注者コード]</t>
  </si>
  <si>
    <t>[受注者コード]</t>
  </si>
  <si>
    <t>[発注部門コード]</t>
  </si>
  <si>
    <t>[製造番号]</t>
  </si>
  <si>
    <t>[訂正コード]</t>
  </si>
  <si>
    <t>[コック区分]</t>
  </si>
  <si>
    <t>[単位]</t>
  </si>
  <si>
    <t>[購買担当]</t>
  </si>
  <si>
    <t>[品名（品名仕様）]</t>
  </si>
  <si>
    <t>[受注者品名コード]</t>
  </si>
  <si>
    <t>[発注者品名コード]</t>
  </si>
  <si>
    <t>[所要計画数量]</t>
  </si>
  <si>
    <t>[計画番号]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</si>
</sst>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9"/>
      <name val="ＭＳ 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2" fillId="2" borderId="1" xfId="0" applyFont="1" applyFill="1" applyBorder="1" applyAlignment="1">
      <alignment vertical="center"/>
    </xf>
    <xf numFmtId="49" fontId="2" fillId="0" borderId="1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49" fontId="2" fillId="0" borderId="1" xfId="0" quotePrefix="1" applyNumberFormat="1" applyFont="1" applyBorder="1" applyAlignment="1">
      <alignment vertical="top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/>
    </xf>
    <xf numFmtId="49" fontId="4" fillId="0" borderId="1" xfId="0" applyNumberFormat="1" applyFont="1" applyBorder="1" applyAlignment="1">
      <alignment vertical="top" wrapText="1"/>
    </xf>
    <xf numFmtId="0" fontId="2" fillId="2" borderId="3" xfId="0" applyFont="1" applyFill="1" applyBorder="1" applyAlignment="1">
      <alignment vertical="center"/>
    </xf>
  </cellXfs>
  <cellStyles count="2">
    <cellStyle name="Normal" xfId="0" builtinId="0"/>
    <cellStyle name="標準_Sheet1 2" xfId="1" xr:uid="{5B337061-78EE-498B-9D51-A4F2E6C71C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1AD2-6CB2-4BED-9FB3-535359A8E64F}">
  <dimension ref="A2:D96"/>
  <sheetViews>
    <sheetView zoomScale="85" zoomScaleNormal="85" workbookViewId="0">
      <selection activeCell="C4" sqref="C4"/>
    </sheetView>
  </sheetViews>
  <sheetFormatPr defaultRowHeight="18" x14ac:dyDescent="0.45"/>
  <cols>
    <col min="1" max="1" width="8.796875" style="4"/>
    <col min="2" max="2" width="32.19921875" style="4" customWidth="1"/>
    <col min="3" max="3" width="55" style="4" bestFit="1" customWidth="1"/>
    <col min="4" max="4" width="31.3984375" style="4" customWidth="1"/>
    <col min="5" max="16384" width="8.796875" style="4"/>
  </cols>
  <sheetData>
    <row r="2" spans="1:4" ht="72" x14ac:dyDescent="0.45">
      <c r="A2" s="5">
        <v>1</v>
      </c>
      <c r="B2" s="5" t="s">
        <v>32</v>
      </c>
      <c r="C2" s="5" t="s">
        <v>126</v>
      </c>
      <c r="D2" s="6" t="str">
        <f>"[EDI送信DB_発注."&amp;B2&amp;"]
/[EDI Transmission DB_ Order."&amp;C2&amp;"]"</f>
        <v>[EDI送信DB_発注.送信シーケンスNO]
/[EDI Transmission DB_ Order.Transmission sequence NO]</v>
      </c>
    </row>
    <row r="3" spans="1:4" ht="72" x14ac:dyDescent="0.45">
      <c r="A3" s="5">
        <v>2</v>
      </c>
      <c r="B3" s="5" t="s">
        <v>33</v>
      </c>
      <c r="C3" s="5" t="s">
        <v>127</v>
      </c>
      <c r="D3" s="6" t="str">
        <f t="shared" ref="D3:D66" si="0">"[EDI送信DB_発注."&amp;B3&amp;"]
/[EDI Transmission DB_ Order."&amp;C3&amp;"]"</f>
        <v>[EDI送信DB_発注.データ交換ID]
/[EDI Transmission DB_ Order.Data Exchange ID]</v>
      </c>
    </row>
    <row r="4" spans="1:4" ht="72" x14ac:dyDescent="0.45">
      <c r="A4" s="5">
        <v>3</v>
      </c>
      <c r="B4" s="5" t="s">
        <v>34</v>
      </c>
      <c r="C4" s="5" t="s">
        <v>128</v>
      </c>
      <c r="D4" s="6" t="str">
        <f t="shared" si="0"/>
        <v>[EDI送信DB_発注.仕入先組織コード]
/[EDI Transmission DB_ Order.Supplier Organization Code]</v>
      </c>
    </row>
    <row r="5" spans="1:4" ht="90" x14ac:dyDescent="0.45">
      <c r="A5" s="5">
        <v>4</v>
      </c>
      <c r="B5" s="5" t="s">
        <v>35</v>
      </c>
      <c r="C5" s="5" t="s">
        <v>129</v>
      </c>
      <c r="D5" s="6" t="str">
        <f t="shared" si="0"/>
        <v>[EDI送信DB_発注.発注入力担当者コード]
/[EDI Transmission DB_ Order.Order Entry Contact Code]</v>
      </c>
    </row>
    <row r="6" spans="1:4" ht="90" x14ac:dyDescent="0.45">
      <c r="A6" s="5">
        <v>5</v>
      </c>
      <c r="B6" s="5" t="s">
        <v>36</v>
      </c>
      <c r="C6" s="5" t="s">
        <v>130</v>
      </c>
      <c r="D6" s="6" t="str">
        <f t="shared" si="0"/>
        <v>[EDI送信DB_発注.発注担当者FAX番号]
/[EDI Transmission DB_ Order.Order Entry Person's Fax Number]</v>
      </c>
    </row>
    <row r="7" spans="1:4" ht="72" x14ac:dyDescent="0.45">
      <c r="A7" s="5">
        <v>6</v>
      </c>
      <c r="B7" s="5" t="s">
        <v>37</v>
      </c>
      <c r="C7" s="5" t="s">
        <v>131</v>
      </c>
      <c r="D7" s="6" t="str">
        <f t="shared" si="0"/>
        <v>[EDI送信DB_発注.発注処理種別]
/[EDI Transmission DB_ Order.Order Processing Type]</v>
      </c>
    </row>
    <row r="8" spans="1:4" ht="90" x14ac:dyDescent="0.45">
      <c r="A8" s="5">
        <v>7</v>
      </c>
      <c r="B8" s="5" t="s">
        <v>38</v>
      </c>
      <c r="C8" s="5" t="s">
        <v>132</v>
      </c>
      <c r="D8" s="6" t="str">
        <f t="shared" si="0"/>
        <v>[EDI送信DB_発注.EDI_取引条件番号]
/[EDI Transmission DB_ Order.EDI_Transaction Condition Number]</v>
      </c>
    </row>
    <row r="9" spans="1:4" ht="72" x14ac:dyDescent="0.45">
      <c r="A9" s="5">
        <v>8</v>
      </c>
      <c r="B9" s="5" t="s">
        <v>39</v>
      </c>
      <c r="C9" s="5" t="s">
        <v>133</v>
      </c>
      <c r="D9" s="6" t="str">
        <f t="shared" si="0"/>
        <v>[EDI送信DB_発注.EDI_契約番号]
/[EDI Transmission DB_ Order.EDI_Contract Number]</v>
      </c>
    </row>
    <row r="10" spans="1:4" ht="90" x14ac:dyDescent="0.45">
      <c r="A10" s="5">
        <v>9</v>
      </c>
      <c r="B10" s="5" t="s">
        <v>40</v>
      </c>
      <c r="C10" s="5" t="s">
        <v>134</v>
      </c>
      <c r="D10" s="6" t="str">
        <f t="shared" si="0"/>
        <v>[EDI送信DB_発注.EDI_適用開始年月日]
/[EDI Transmission DB_ Order.EDI_Application_Start_Date]</v>
      </c>
    </row>
    <row r="11" spans="1:4" ht="108" x14ac:dyDescent="0.45">
      <c r="A11" s="5">
        <v>10</v>
      </c>
      <c r="B11" s="5" t="s">
        <v>41</v>
      </c>
      <c r="C11" s="5" t="s">
        <v>135</v>
      </c>
      <c r="D11" s="6" t="str">
        <f t="shared" si="0"/>
        <v>[EDI送信DB_発注.EDI_メーカ取引区分]
/[EDI Transmission DB_ Order.EDI_Manufacturer Transaction Classification]</v>
      </c>
    </row>
    <row r="12" spans="1:4" ht="108" x14ac:dyDescent="0.45">
      <c r="A12" s="5">
        <v>11</v>
      </c>
      <c r="B12" s="5" t="s">
        <v>42</v>
      </c>
      <c r="C12" s="5" t="s">
        <v>136</v>
      </c>
      <c r="D12" s="6" t="str">
        <f t="shared" si="0"/>
        <v>[EDI送信DB_発注.EDI_メーカ発注者コード（送信用）]
/[EDI Transmission DB_ Order.EDI_Manufacturer Ordering Code (for transmission)]</v>
      </c>
    </row>
    <row r="13" spans="1:4" ht="108" x14ac:dyDescent="0.45">
      <c r="A13" s="5">
        <v>12</v>
      </c>
      <c r="B13" s="5" t="s">
        <v>43</v>
      </c>
      <c r="C13" s="5" t="s">
        <v>136</v>
      </c>
      <c r="D13" s="6" t="str">
        <f t="shared" si="0"/>
        <v>[EDI送信DB_発注.EDI_メーカ受注者コード（送信用）]
/[EDI Transmission DB_ Order.EDI_Manufacturer Ordering Code (for transmission)]</v>
      </c>
    </row>
    <row r="14" spans="1:4" ht="108" x14ac:dyDescent="0.45">
      <c r="A14" s="5">
        <v>13</v>
      </c>
      <c r="B14" s="5" t="s">
        <v>44</v>
      </c>
      <c r="C14" s="5" t="s">
        <v>137</v>
      </c>
      <c r="D14" s="6" t="str">
        <f t="shared" si="0"/>
        <v>[EDI送信DB_発注.EDI_メーカ支払者コード（送信用）]
/[EDI Transmission DB_ Order.EDI_Payer code of manufacturer (for transmission)]</v>
      </c>
    </row>
    <row r="15" spans="1:4" ht="108" x14ac:dyDescent="0.45">
      <c r="A15" s="5">
        <v>14</v>
      </c>
      <c r="B15" s="5" t="s">
        <v>45</v>
      </c>
      <c r="C15" s="5" t="s">
        <v>138</v>
      </c>
      <c r="D15" s="6" t="str">
        <f t="shared" si="0"/>
        <v>[EDI送信DB_発注.EDI_メーカ組織コード]
/[EDI Transmission DB_ Order.EDI_Manufacturer Organization Code]</v>
      </c>
    </row>
    <row r="16" spans="1:4" ht="72" x14ac:dyDescent="0.45">
      <c r="A16" s="5">
        <v>15</v>
      </c>
      <c r="B16" s="5" t="s">
        <v>46</v>
      </c>
      <c r="C16" s="5" t="s">
        <v>139</v>
      </c>
      <c r="D16" s="6" t="str">
        <f t="shared" si="0"/>
        <v>[EDI送信DB_発注.発注番号]
/[EDI Transmission DB_ Order.Order Number]</v>
      </c>
    </row>
    <row r="17" spans="1:4" ht="72" x14ac:dyDescent="0.45">
      <c r="A17" s="5">
        <v>16</v>
      </c>
      <c r="B17" s="5" t="s">
        <v>47</v>
      </c>
      <c r="C17" s="5" t="s">
        <v>140</v>
      </c>
      <c r="D17" s="6" t="str">
        <f t="shared" si="0"/>
        <v>[EDI送信DB_発注.発注行番号]
/[EDI Transmission DB_ Order.Order line number]</v>
      </c>
    </row>
    <row r="18" spans="1:4" ht="90" x14ac:dyDescent="0.45">
      <c r="A18" s="5">
        <v>17</v>
      </c>
      <c r="B18" s="5" t="s">
        <v>48</v>
      </c>
      <c r="C18" s="5" t="s">
        <v>141</v>
      </c>
      <c r="D18" s="6" t="str">
        <f t="shared" si="0"/>
        <v>[EDI送信DB_発注.EDI_メーカ受注番号]
/[EDI Transmission DB_ Order.EDI_Manufacturer Order No.]</v>
      </c>
    </row>
    <row r="19" spans="1:4" ht="90" x14ac:dyDescent="0.45">
      <c r="A19" s="5">
        <v>18</v>
      </c>
      <c r="B19" s="5" t="s">
        <v>49</v>
      </c>
      <c r="C19" s="5" t="s">
        <v>142</v>
      </c>
      <c r="D19" s="6" t="str">
        <f t="shared" si="0"/>
        <v>[EDI送信DB_発注.EDI_販売先注文番号]
/[EDI Transmission DB_ Order.EDI_Distributor Order No.]</v>
      </c>
    </row>
    <row r="20" spans="1:4" ht="90" x14ac:dyDescent="0.45">
      <c r="A20" s="5">
        <v>19</v>
      </c>
      <c r="B20" s="5" t="s">
        <v>120</v>
      </c>
      <c r="C20" s="5" t="s">
        <v>143</v>
      </c>
      <c r="D20" s="6" t="str">
        <f t="shared" si="0"/>
        <v>[EDI送信DB_発注.EDI_メーカ扱店コード]
/[EDI Transmission DB_ Order.EDI_manufacturer store code]</v>
      </c>
    </row>
    <row r="21" spans="1:4" ht="108" x14ac:dyDescent="0.45">
      <c r="A21" s="5">
        <v>20</v>
      </c>
      <c r="B21" s="5" t="s">
        <v>121</v>
      </c>
      <c r="C21" s="5" t="s">
        <v>144</v>
      </c>
      <c r="D21" s="6" t="str">
        <f t="shared" si="0"/>
        <v>[EDI送信DB_発注.EDI_メーカ需要家コード（送信用）]
/[EDI Transmission DB_ Order.EDI_manufacturer's consumer code (for transmission)]</v>
      </c>
    </row>
    <row r="22" spans="1:4" ht="108" x14ac:dyDescent="0.45">
      <c r="A22" s="5">
        <v>21</v>
      </c>
      <c r="B22" s="5" t="s">
        <v>122</v>
      </c>
      <c r="C22" s="5" t="s">
        <v>145</v>
      </c>
      <c r="D22" s="6" t="str">
        <f t="shared" si="0"/>
        <v>[EDI送信DB_発注.EDI_メーカ需要家コード]
/[EDI Transmission DB_ Order.EDI_Manufacturer Customer Code]</v>
      </c>
    </row>
    <row r="23" spans="1:4" ht="108" x14ac:dyDescent="0.45">
      <c r="A23" s="5">
        <v>22</v>
      </c>
      <c r="B23" s="5" t="s">
        <v>123</v>
      </c>
      <c r="C23" s="5" t="s">
        <v>146</v>
      </c>
      <c r="D23" s="6" t="str">
        <f t="shared" si="0"/>
        <v>[EDI送信DB_発注.EDI_メーカ需要家名(カナ)]
/[EDI Transmission DB_ Order.EDI_Maker Customer Name (for transmission)]</v>
      </c>
    </row>
    <row r="24" spans="1:4" ht="108" x14ac:dyDescent="0.45">
      <c r="A24" s="5">
        <v>23</v>
      </c>
      <c r="B24" s="5" t="s">
        <v>124</v>
      </c>
      <c r="C24" s="5" t="s">
        <v>147</v>
      </c>
      <c r="D24" s="6" t="str">
        <f t="shared" si="0"/>
        <v>[EDI送信DB_発注.EDI_メーカ需要家名(漢字)]
/[EDI Transmission DB_ Order.EDI_Manufacturer Customer Name (Kanji)]</v>
      </c>
    </row>
    <row r="25" spans="1:4" ht="108" x14ac:dyDescent="0.45">
      <c r="A25" s="5">
        <v>24</v>
      </c>
      <c r="B25" s="5" t="s">
        <v>125</v>
      </c>
      <c r="C25" s="5" t="s">
        <v>148</v>
      </c>
      <c r="D25" s="6" t="str">
        <f t="shared" si="0"/>
        <v>[EDI送信DB_発注.EDI_メーカ需要家支店名(漢字)]
/[EDI Transmission DB_ Order.EDI_Manufacturer Customer's Branch Name (Kanji)]</v>
      </c>
    </row>
    <row r="26" spans="1:4" ht="108" x14ac:dyDescent="0.45">
      <c r="A26" s="5">
        <v>25</v>
      </c>
      <c r="B26" s="5" t="s">
        <v>50</v>
      </c>
      <c r="C26" s="5" t="s">
        <v>149</v>
      </c>
      <c r="D26" s="6" t="str">
        <f t="shared" si="0"/>
        <v>[EDI送信DB_発注.EDI_メーカ２次店コード（送信用）]
/[EDI Transmission DB_ Order.EDI_Manufacturer's secondary store code (for transmission)]</v>
      </c>
    </row>
    <row r="27" spans="1:4" ht="108" x14ac:dyDescent="0.45">
      <c r="A27" s="5">
        <v>26</v>
      </c>
      <c r="B27" s="5" t="s">
        <v>51</v>
      </c>
      <c r="C27" s="5" t="s">
        <v>150</v>
      </c>
      <c r="D27" s="6" t="str">
        <f t="shared" si="0"/>
        <v>[EDI送信DB_発注.EDI_メーカ２次店コード]
/[EDI Transmission DB_ Order.EDI_Manufacturer's secondary store code]</v>
      </c>
    </row>
    <row r="28" spans="1:4" ht="108" x14ac:dyDescent="0.45">
      <c r="A28" s="5">
        <v>27</v>
      </c>
      <c r="B28" s="5" t="s">
        <v>52</v>
      </c>
      <c r="C28" s="5" t="s">
        <v>151</v>
      </c>
      <c r="D28" s="6" t="str">
        <f t="shared" si="0"/>
        <v>[EDI送信DB_発注.EDI_メーカ２次店名(カナ)]
/[EDI Transmission DB_ Order.EDI_Manufacturer's secondary store name (Kana)]</v>
      </c>
    </row>
    <row r="29" spans="1:4" ht="108" x14ac:dyDescent="0.45">
      <c r="A29" s="5">
        <v>28</v>
      </c>
      <c r="B29" s="5" t="s">
        <v>53</v>
      </c>
      <c r="C29" s="5" t="s">
        <v>152</v>
      </c>
      <c r="D29" s="6" t="str">
        <f t="shared" si="0"/>
        <v>[EDI送信DB_発注.EDI_メーカ２次店名(漢字)]
/[EDI Transmission DB_ Order.EDI_Manufacturer's secondary store name (Kanji)]</v>
      </c>
    </row>
    <row r="30" spans="1:4" ht="108" x14ac:dyDescent="0.45">
      <c r="A30" s="5">
        <v>29</v>
      </c>
      <c r="B30" s="5" t="s">
        <v>54</v>
      </c>
      <c r="C30" s="5" t="s">
        <v>153</v>
      </c>
      <c r="D30" s="6" t="str">
        <f t="shared" si="0"/>
        <v>[EDI送信DB_発注.EDI_メーカ３次店名(漢字)]
/[EDI Transmission DB_ Order.EDI_name of tertiary store of manufacturer (Kanji)]</v>
      </c>
    </row>
    <row r="31" spans="1:4" ht="108" x14ac:dyDescent="0.45">
      <c r="A31" s="5">
        <v>30</v>
      </c>
      <c r="B31" s="5" t="s">
        <v>55</v>
      </c>
      <c r="C31" s="5" t="s">
        <v>154</v>
      </c>
      <c r="D31" s="6" t="str">
        <f t="shared" si="0"/>
        <v>[EDI送信DB_発注.EDI_メーカ納入先コード（送信用）]
/[EDI Transmission DB_ Order.EDI_Manufacturer's delivery address code (for transmission)]</v>
      </c>
    </row>
    <row r="32" spans="1:4" ht="90" x14ac:dyDescent="0.45">
      <c r="A32" s="5">
        <v>31</v>
      </c>
      <c r="B32" s="5" t="s">
        <v>56</v>
      </c>
      <c r="C32" s="5" t="s">
        <v>155</v>
      </c>
      <c r="D32" s="6" t="str">
        <f t="shared" si="0"/>
        <v>[EDI送信DB_発注.EDI_メーカ納入先コード]
/[EDI Transmission DB_ Order.EDI_Manufacturer code]</v>
      </c>
    </row>
    <row r="33" spans="1:4" ht="90" x14ac:dyDescent="0.45">
      <c r="A33" s="5">
        <v>32</v>
      </c>
      <c r="B33" s="5" t="s">
        <v>57</v>
      </c>
      <c r="C33" s="5" t="s">
        <v>156</v>
      </c>
      <c r="D33" s="6" t="str">
        <f t="shared" si="0"/>
        <v>[EDI送信DB_発注.EDI_メーカ納入先名(カナ)]
/[EDI Transmission DB_ Order.EDI_Manufacturer name]</v>
      </c>
    </row>
    <row r="34" spans="1:4" ht="108" x14ac:dyDescent="0.45">
      <c r="A34" s="5">
        <v>33</v>
      </c>
      <c r="B34" s="5" t="s">
        <v>58</v>
      </c>
      <c r="C34" s="5" t="s">
        <v>157</v>
      </c>
      <c r="D34" s="6" t="str">
        <f t="shared" si="0"/>
        <v>[EDI送信DB_発注.EDI_メーカ納入先名(漢字)]
/[EDI Transmission DB_ Order.EDI_Manufacturer's name (Kanji)]</v>
      </c>
    </row>
    <row r="35" spans="1:4" ht="108" x14ac:dyDescent="0.45">
      <c r="A35" s="5">
        <v>34</v>
      </c>
      <c r="B35" s="5" t="s">
        <v>59</v>
      </c>
      <c r="C35" s="5" t="s">
        <v>158</v>
      </c>
      <c r="D35" s="6" t="str">
        <f t="shared" si="0"/>
        <v>[EDI送信DB_発注.EDI_メーカ納入先住所(カナ)]
/[EDI Transmission DB_ Order.EDI_Manufacturer's Delivery Address]</v>
      </c>
    </row>
    <row r="36" spans="1:4" ht="108" x14ac:dyDescent="0.45">
      <c r="A36" s="5">
        <v>35</v>
      </c>
      <c r="B36" s="5" t="s">
        <v>60</v>
      </c>
      <c r="C36" s="5" t="s">
        <v>159</v>
      </c>
      <c r="D36" s="6" t="str">
        <f t="shared" si="0"/>
        <v>[EDI送信DB_発注.EDI_メーカ納入先住所(漢字)]
/[EDI Transmission DB_ Order.EDI_Manufacturer's Delivery Address (Kanji)]</v>
      </c>
    </row>
    <row r="37" spans="1:4" ht="108" x14ac:dyDescent="0.45">
      <c r="A37" s="5">
        <v>36</v>
      </c>
      <c r="B37" s="5" t="s">
        <v>61</v>
      </c>
      <c r="C37" s="5" t="s">
        <v>160</v>
      </c>
      <c r="D37" s="6" t="str">
        <f t="shared" si="0"/>
        <v>[EDI送信DB_発注.EDI_メーカ納入先支社名(漢字)]
/[EDI Transmission DB_ Order.EDI_Manufacturer's Branch Office Name (Kanji)]</v>
      </c>
    </row>
    <row r="38" spans="1:4" ht="108" x14ac:dyDescent="0.45">
      <c r="A38" s="5">
        <v>37</v>
      </c>
      <c r="B38" s="5" t="s">
        <v>62</v>
      </c>
      <c r="C38" s="5" t="s">
        <v>161</v>
      </c>
      <c r="D38" s="6" t="str">
        <f t="shared" si="0"/>
        <v>[EDI送信DB_発注.EDI_メーカ納入先都道府県]
/[EDI Transmission DB_ Order.EDI_Prefecture of manufacturer's delivery address]</v>
      </c>
    </row>
    <row r="39" spans="1:4" ht="90" x14ac:dyDescent="0.45">
      <c r="A39" s="5">
        <v>38</v>
      </c>
      <c r="B39" s="5" t="s">
        <v>63</v>
      </c>
      <c r="C39" s="5" t="s">
        <v>162</v>
      </c>
      <c r="D39" s="6" t="str">
        <f t="shared" si="0"/>
        <v>[EDI送信DB_発注.EDI_メーカ納入先住所1]
/[EDI Transmission DB_ Order.EDI_Manufacturer Address 1]</v>
      </c>
    </row>
    <row r="40" spans="1:4" ht="90" x14ac:dyDescent="0.45">
      <c r="A40" s="5">
        <v>39</v>
      </c>
      <c r="B40" s="5" t="s">
        <v>64</v>
      </c>
      <c r="C40" s="5" t="s">
        <v>163</v>
      </c>
      <c r="D40" s="6" t="str">
        <f t="shared" si="0"/>
        <v>[EDI送信DB_発注.EDI_メーカ納入先住所2]
/[EDI Transmission DB_ Order.EDI_ Manufacturer's Address 2]</v>
      </c>
    </row>
    <row r="41" spans="1:4" ht="90" x14ac:dyDescent="0.45">
      <c r="A41" s="5">
        <v>40</v>
      </c>
      <c r="B41" s="5" t="s">
        <v>65</v>
      </c>
      <c r="C41" s="5" t="s">
        <v>164</v>
      </c>
      <c r="D41" s="6" t="str">
        <f t="shared" si="0"/>
        <v>[EDI送信DB_発注.EDI_メーカ納入先郵便番号]
/[EDI Transmission DB_ Order.EDI_ Manufacturer's Zip Code]</v>
      </c>
    </row>
    <row r="42" spans="1:4" ht="90" x14ac:dyDescent="0.45">
      <c r="A42" s="5">
        <v>41</v>
      </c>
      <c r="B42" s="5" t="s">
        <v>66</v>
      </c>
      <c r="C42" s="5" t="s">
        <v>165</v>
      </c>
      <c r="D42" s="6" t="str">
        <f t="shared" si="0"/>
        <v>[EDI送信DB_発注.EDI_メーカ納入先電話番号]
/[EDI Transmission DB_ Order.EDI_ Manufacturer's Phone Number]</v>
      </c>
    </row>
    <row r="43" spans="1:4" ht="108" x14ac:dyDescent="0.45">
      <c r="A43" s="5">
        <v>42</v>
      </c>
      <c r="B43" s="5" t="s">
        <v>67</v>
      </c>
      <c r="C43" s="5" t="s">
        <v>166</v>
      </c>
      <c r="D43" s="6" t="str">
        <f t="shared" si="0"/>
        <v>[EDI送信DB_発注.EDI_メーカ納入先FAX番号]
/[EDI Transmission DB_ Order.EDI_FAX number of manufacturer's delivery address]</v>
      </c>
    </row>
    <row r="44" spans="1:4" ht="108" x14ac:dyDescent="0.45">
      <c r="A44" s="5">
        <v>43</v>
      </c>
      <c r="B44" s="5" t="s">
        <v>68</v>
      </c>
      <c r="C44" s="5" t="s">
        <v>167</v>
      </c>
      <c r="D44" s="6" t="str">
        <f t="shared" si="0"/>
        <v>[EDI送信DB_発注.EDI_メーカ納入先地区コード]
/[EDI Transmission DB_ Order.EDI_District code of manufacturer's delivery address]</v>
      </c>
    </row>
    <row r="45" spans="1:4" ht="72" x14ac:dyDescent="0.45">
      <c r="A45" s="5">
        <v>44</v>
      </c>
      <c r="B45" s="5" t="s">
        <v>69</v>
      </c>
      <c r="C45" s="5" t="s">
        <v>168</v>
      </c>
      <c r="D45" s="6" t="str">
        <f t="shared" si="0"/>
        <v>[EDI送信DB_発注.希望納期]
/[EDI Transmission DB_ Order.Desired delivery date]</v>
      </c>
    </row>
    <row r="46" spans="1:4" ht="72" x14ac:dyDescent="0.45">
      <c r="A46" s="5">
        <v>45</v>
      </c>
      <c r="B46" s="5" t="s">
        <v>70</v>
      </c>
      <c r="C46" s="5" t="s">
        <v>169</v>
      </c>
      <c r="D46" s="6" t="str">
        <f t="shared" si="0"/>
        <v>[EDI送信DB_発注.発注数量]
/[EDI Transmission DB_ Order.Order quantity]</v>
      </c>
    </row>
    <row r="47" spans="1:4" ht="72" x14ac:dyDescent="0.45">
      <c r="A47" s="5">
        <v>46</v>
      </c>
      <c r="B47" s="5" t="s">
        <v>71</v>
      </c>
      <c r="C47" s="5" t="s">
        <v>170</v>
      </c>
      <c r="D47" s="6" t="str">
        <f t="shared" si="0"/>
        <v>[EDI送信DB_発注.発注単価]
/[EDI Transmission DB_ Order.Order unit price]</v>
      </c>
    </row>
    <row r="48" spans="1:4" ht="72" x14ac:dyDescent="0.45">
      <c r="A48" s="5">
        <v>47</v>
      </c>
      <c r="B48" s="5" t="s">
        <v>72</v>
      </c>
      <c r="C48" s="5" t="s">
        <v>171</v>
      </c>
      <c r="D48" s="6" t="str">
        <f t="shared" si="0"/>
        <v>[EDI送信DB_発注.発注金額]
/[EDI Transmission DB_ Order.Order amount]</v>
      </c>
    </row>
    <row r="49" spans="1:4" ht="72" x14ac:dyDescent="0.45">
      <c r="A49" s="5">
        <v>48</v>
      </c>
      <c r="B49" s="5" t="s">
        <v>73</v>
      </c>
      <c r="C49" s="5" t="s">
        <v>172</v>
      </c>
      <c r="D49" s="6" t="str">
        <f t="shared" si="0"/>
        <v>[EDI送信DB_発注.EDI_個数]
/[EDI Transmission DB_ Order.EDI_Quantity]</v>
      </c>
    </row>
    <row r="50" spans="1:4" ht="72" x14ac:dyDescent="0.45">
      <c r="A50" s="5">
        <v>49</v>
      </c>
      <c r="B50" s="5" t="s">
        <v>74</v>
      </c>
      <c r="C50" s="5" t="s">
        <v>173</v>
      </c>
      <c r="D50" s="6" t="str">
        <f t="shared" si="0"/>
        <v>[EDI送信DB_発注.仕入単位コード]
/[EDI Transmission DB_ Order.Purchase unit code]</v>
      </c>
    </row>
    <row r="51" spans="1:4" ht="72" x14ac:dyDescent="0.45">
      <c r="A51" s="5">
        <v>50</v>
      </c>
      <c r="B51" s="5" t="s">
        <v>75</v>
      </c>
      <c r="C51" s="5" t="s">
        <v>174</v>
      </c>
      <c r="D51" s="6" t="str">
        <f t="shared" si="0"/>
        <v>[EDI送信DB_発注.EDI_口銭区分]
/[EDI Transmission DB_ Order.EDI_Unit Price Classification]</v>
      </c>
    </row>
    <row r="52" spans="1:4" ht="72" x14ac:dyDescent="0.45">
      <c r="A52" s="5">
        <v>51</v>
      </c>
      <c r="B52" s="5" t="s">
        <v>76</v>
      </c>
      <c r="C52" s="5" t="s">
        <v>175</v>
      </c>
      <c r="D52" s="6" t="str">
        <f t="shared" si="0"/>
        <v>[EDI送信DB_発注.EDI_口銭単価]
/[EDI Transmission DB_ Order.EDI_Unit Price]</v>
      </c>
    </row>
    <row r="53" spans="1:4" ht="108" x14ac:dyDescent="0.45">
      <c r="A53" s="5">
        <v>52</v>
      </c>
      <c r="B53" s="5" t="s">
        <v>77</v>
      </c>
      <c r="C53" s="5" t="s">
        <v>176</v>
      </c>
      <c r="D53" s="6" t="str">
        <f t="shared" si="0"/>
        <v>[EDI送信DB_発注.EDI_メーカ商品コード]
/[EDI Transmission DB_ Order.EDI_Manufacturer Product Code]</v>
      </c>
    </row>
    <row r="54" spans="1:4" ht="108" x14ac:dyDescent="0.45">
      <c r="A54" s="5">
        <v>53</v>
      </c>
      <c r="B54" s="5" t="s">
        <v>78</v>
      </c>
      <c r="C54" s="5" t="s">
        <v>177</v>
      </c>
      <c r="D54" s="6" t="str">
        <f t="shared" si="0"/>
        <v>[EDI送信DB_発注.EDI_メーカ商品名(カナ)]
/[EDI Transmission DB_ Order.EDI_Manufacturer Product Name]</v>
      </c>
    </row>
    <row r="55" spans="1:4" ht="108" x14ac:dyDescent="0.45">
      <c r="A55" s="5">
        <v>54</v>
      </c>
      <c r="B55" s="5" t="s">
        <v>79</v>
      </c>
      <c r="C55" s="5" t="s">
        <v>178</v>
      </c>
      <c r="D55" s="6" t="str">
        <f t="shared" si="0"/>
        <v>[EDI送信DB_発注.EDI_メーカ商品名(漢字)]
/[EDI Transmission DB_ Order.EDI_Manufacturer Product Name (Kanji)]</v>
      </c>
    </row>
    <row r="56" spans="1:4" ht="72" x14ac:dyDescent="0.45">
      <c r="A56" s="5">
        <v>55</v>
      </c>
      <c r="B56" s="5" t="s">
        <v>80</v>
      </c>
      <c r="C56" s="5" t="s">
        <v>179</v>
      </c>
      <c r="D56" s="6" t="str">
        <f t="shared" si="0"/>
        <v>[EDI送信DB_発注.EDI_グレード]
/[EDI Transmission DB_ Order.EDI_Grade]</v>
      </c>
    </row>
    <row r="57" spans="1:4" ht="72" x14ac:dyDescent="0.45">
      <c r="A57" s="5">
        <v>56</v>
      </c>
      <c r="B57" s="5" t="s">
        <v>81</v>
      </c>
      <c r="C57" s="5" t="s">
        <v>180</v>
      </c>
      <c r="D57" s="6" t="str">
        <f t="shared" si="0"/>
        <v>[EDI送信DB_発注.EDI_容量]
/[EDI Transmission DB_ Order.EDI_Capacity]</v>
      </c>
    </row>
    <row r="58" spans="1:4" ht="108" x14ac:dyDescent="0.45">
      <c r="A58" s="5">
        <v>57</v>
      </c>
      <c r="B58" s="5" t="s">
        <v>82</v>
      </c>
      <c r="C58" s="5" t="s">
        <v>181</v>
      </c>
      <c r="D58" s="6" t="str">
        <f t="shared" si="0"/>
        <v>[EDI送信DB_発注.EDI_メーカ数量単位コード]
/[EDI Transmission DB_ Order.EDI_Manufacturer Quantity Unit Code]</v>
      </c>
    </row>
    <row r="59" spans="1:4" ht="108" x14ac:dyDescent="0.45">
      <c r="A59" s="5">
        <v>58</v>
      </c>
      <c r="B59" s="5" t="s">
        <v>83</v>
      </c>
      <c r="C59" s="5" t="s">
        <v>181</v>
      </c>
      <c r="D59" s="6" t="str">
        <f t="shared" si="0"/>
        <v>[EDI送信DB_発注.EDI_メーカ数量単位名]
/[EDI Transmission DB_ Order.EDI_Manufacturer Quantity Unit Code]</v>
      </c>
    </row>
    <row r="60" spans="1:4" ht="108" x14ac:dyDescent="0.45">
      <c r="A60" s="5">
        <v>59</v>
      </c>
      <c r="B60" s="5" t="s">
        <v>84</v>
      </c>
      <c r="C60" s="5" t="s">
        <v>182</v>
      </c>
      <c r="D60" s="6" t="str">
        <f t="shared" si="0"/>
        <v>[EDI送信DB_発注.EDI_メーカ単価単位コード]
/[EDI Transmission DB_ Order.EDI_Manufacturer unit price code]</v>
      </c>
    </row>
    <row r="61" spans="1:4" ht="108" x14ac:dyDescent="0.45">
      <c r="A61" s="5">
        <v>60</v>
      </c>
      <c r="B61" s="5" t="s">
        <v>85</v>
      </c>
      <c r="C61" s="5" t="s">
        <v>183</v>
      </c>
      <c r="D61" s="6" t="str">
        <f t="shared" si="0"/>
        <v>[EDI送信DB_発注.EDI_メーカ単価単位名]
/[EDI Transmission DB_ Order.EDI_Manufacturer unit price name]</v>
      </c>
    </row>
    <row r="62" spans="1:4" ht="108" x14ac:dyDescent="0.45">
      <c r="A62" s="5">
        <v>61</v>
      </c>
      <c r="B62" s="5" t="s">
        <v>86</v>
      </c>
      <c r="C62" s="5" t="s">
        <v>184</v>
      </c>
      <c r="D62" s="6" t="str">
        <f t="shared" si="0"/>
        <v>[EDI送信DB_発注.EDI_メーカ荷姿コード]
/[EDI Transmission DB_ Order.EDI_Manufacturer's packing code]</v>
      </c>
    </row>
    <row r="63" spans="1:4" ht="108" x14ac:dyDescent="0.45">
      <c r="A63" s="5">
        <v>62</v>
      </c>
      <c r="B63" s="5" t="s">
        <v>87</v>
      </c>
      <c r="C63" s="5" t="s">
        <v>184</v>
      </c>
      <c r="D63" s="6" t="str">
        <f t="shared" si="0"/>
        <v>[EDI送信DB_発注.EDI_メーカ荷姿名(カナ)]
/[EDI Transmission DB_ Order.EDI_Manufacturer's packing code]</v>
      </c>
    </row>
    <row r="64" spans="1:4" ht="72" x14ac:dyDescent="0.45">
      <c r="A64" s="5">
        <v>63</v>
      </c>
      <c r="B64" s="5" t="s">
        <v>88</v>
      </c>
      <c r="C64" s="5" t="s">
        <v>185</v>
      </c>
      <c r="D64" s="6" t="str">
        <f t="shared" si="0"/>
        <v>[EDI送信DB_発注.EDI_納入コメント]
/[EDI Transmission DB_ Order.EDI_Delivery comment]</v>
      </c>
    </row>
    <row r="65" spans="1:4" ht="72" x14ac:dyDescent="0.45">
      <c r="A65" s="5">
        <v>64</v>
      </c>
      <c r="B65" s="5" t="s">
        <v>89</v>
      </c>
      <c r="C65" s="5" t="s">
        <v>186</v>
      </c>
      <c r="D65" s="6" t="str">
        <f t="shared" si="0"/>
        <v>[EDI送信DB_発注.EDI_発注コメント]
/[EDI Transmission DB_ Order.EDI_Order comment]</v>
      </c>
    </row>
    <row r="66" spans="1:4" ht="72" x14ac:dyDescent="0.45">
      <c r="A66" s="5">
        <v>65</v>
      </c>
      <c r="B66" s="5" t="s">
        <v>90</v>
      </c>
      <c r="C66" s="5" t="s">
        <v>185</v>
      </c>
      <c r="D66" s="6" t="str">
        <f t="shared" si="0"/>
        <v>[EDI送信DB_発注.EDI_納品コメント]
/[EDI Transmission DB_ Order.EDI_Delivery comment]</v>
      </c>
    </row>
    <row r="67" spans="1:4" ht="72" x14ac:dyDescent="0.45">
      <c r="A67" s="5">
        <v>66</v>
      </c>
      <c r="B67" s="5" t="s">
        <v>91</v>
      </c>
      <c r="C67" s="5" t="s">
        <v>187</v>
      </c>
      <c r="D67" s="6" t="str">
        <f t="shared" ref="D67:D96" si="1">"[EDI送信DB_発注."&amp;B67&amp;"]
/[EDI Transmission DB_ Order."&amp;C67&amp;"]"</f>
        <v>[EDI送信DB_発注.EDI_備考]
/[EDI Transmission DB_ Order.EDI_Remarks]</v>
      </c>
    </row>
    <row r="68" spans="1:4" ht="72" x14ac:dyDescent="0.45">
      <c r="A68" s="5">
        <v>67</v>
      </c>
      <c r="B68" s="5" t="s">
        <v>92</v>
      </c>
      <c r="C68" s="5" t="s">
        <v>188</v>
      </c>
      <c r="D68" s="6" t="str">
        <f t="shared" si="1"/>
        <v>[EDI送信DB_発注.EDI_特記事項]
/[EDI Transmission DB_ Order.EDI_Special Note]</v>
      </c>
    </row>
    <row r="69" spans="1:4" ht="72" x14ac:dyDescent="0.45">
      <c r="A69" s="5">
        <v>68</v>
      </c>
      <c r="B69" s="5" t="s">
        <v>93</v>
      </c>
      <c r="C69" s="5" t="s">
        <v>189</v>
      </c>
      <c r="D69" s="6" t="str">
        <f t="shared" si="1"/>
        <v>[EDI送信DB_発注.EDI_配送指示]
/[EDI Transmission DB_ Order.EDI_Delivery Instructions]</v>
      </c>
    </row>
    <row r="70" spans="1:4" ht="72" x14ac:dyDescent="0.45">
      <c r="A70" s="5">
        <v>69</v>
      </c>
      <c r="B70" s="5" t="s">
        <v>94</v>
      </c>
      <c r="C70" s="5" t="s">
        <v>190</v>
      </c>
      <c r="D70" s="6" t="str">
        <f t="shared" si="1"/>
        <v>[EDI送信DB_発注.EDI_納入要件]
/[EDI Transmission DB_ Order.EDI_Delivery Requirements]</v>
      </c>
    </row>
    <row r="71" spans="1:4" ht="108" x14ac:dyDescent="0.45">
      <c r="A71" s="5">
        <v>70</v>
      </c>
      <c r="B71" s="5" t="s">
        <v>95</v>
      </c>
      <c r="C71" s="5" t="s">
        <v>191</v>
      </c>
      <c r="D71" s="6" t="str">
        <f t="shared" si="1"/>
        <v>[EDI送信DB_発注.EDI_メーカ受注者情報]
/[EDI Transmission DB_ Order.EDI_Order Receiver Information]</v>
      </c>
    </row>
    <row r="72" spans="1:4" ht="108" x14ac:dyDescent="0.45">
      <c r="A72" s="5">
        <v>71</v>
      </c>
      <c r="B72" s="5" t="s">
        <v>96</v>
      </c>
      <c r="C72" s="5" t="s">
        <v>192</v>
      </c>
      <c r="D72" s="6" t="str">
        <f t="shared" si="1"/>
        <v>[EDI送信DB_発注.EDI_メーカ受渡条件コード]
/[EDI Transmission DB_ Order.EDI_Manufacturer Delivery Condition Code]</v>
      </c>
    </row>
    <row r="73" spans="1:4" ht="72" x14ac:dyDescent="0.45">
      <c r="A73" s="5">
        <v>72</v>
      </c>
      <c r="B73" s="5" t="s">
        <v>97</v>
      </c>
      <c r="C73" s="5" t="s">
        <v>193</v>
      </c>
      <c r="D73" s="6" t="str">
        <f t="shared" si="1"/>
        <v>[EDI送信DB_発注.EDI_決済条件]
/[EDI Transmission DB_ Order.EDI_Settlement Condition]</v>
      </c>
    </row>
    <row r="74" spans="1:4" ht="90" x14ac:dyDescent="0.45">
      <c r="A74" s="5">
        <v>73</v>
      </c>
      <c r="B74" s="5" t="s">
        <v>98</v>
      </c>
      <c r="C74" s="5" t="s">
        <v>194</v>
      </c>
      <c r="D74" s="6" t="str">
        <f t="shared" si="1"/>
        <v>[EDI送信DB_発注.EDI_緊急オーダーコード]
/[EDI Transmission DB_ Order.EDI_Urgent Order Code]</v>
      </c>
    </row>
    <row r="75" spans="1:4" ht="72" x14ac:dyDescent="0.45">
      <c r="A75" s="5">
        <v>74</v>
      </c>
      <c r="B75" s="5" t="s">
        <v>99</v>
      </c>
      <c r="C75" s="5" t="s">
        <v>195</v>
      </c>
      <c r="D75" s="6" t="str">
        <f t="shared" si="1"/>
        <v>[EDI送信DB_発注.EDI_輸送便コード]
/[EDI Transmission DB_ Order.EDI_Shipment Code]</v>
      </c>
    </row>
    <row r="76" spans="1:4" ht="108" x14ac:dyDescent="0.45">
      <c r="A76" s="5">
        <v>75</v>
      </c>
      <c r="B76" s="5" t="s">
        <v>100</v>
      </c>
      <c r="C76" s="5" t="s">
        <v>196</v>
      </c>
      <c r="D76" s="6" t="str">
        <f t="shared" si="1"/>
        <v>[EDI送信DB_発注.EDI_納入希望時刻コード]
/[EDI Transmission DB_ Order.EDI_Required Delivery Time Code]</v>
      </c>
    </row>
    <row r="77" spans="1:4" ht="108" x14ac:dyDescent="0.45">
      <c r="A77" s="5">
        <v>76</v>
      </c>
      <c r="B77" s="5" t="s">
        <v>101</v>
      </c>
      <c r="C77" s="5" t="s">
        <v>197</v>
      </c>
      <c r="D77" s="6" t="str">
        <f t="shared" si="1"/>
        <v>[EDI送信DB_発注.EDI_納入希望時刻名称]
/[EDI Transmission DB_ Order.EDI_Required Delivery Time Name]</v>
      </c>
    </row>
    <row r="78" spans="1:4" ht="108" x14ac:dyDescent="0.45">
      <c r="A78" s="5">
        <v>77</v>
      </c>
      <c r="B78" s="5" t="s">
        <v>102</v>
      </c>
      <c r="C78" s="5" t="s">
        <v>198</v>
      </c>
      <c r="D78" s="6" t="str">
        <f t="shared" si="1"/>
        <v>[EDI送信DB_発注.EDI_納入希望時刻条件コード]
/[EDI Transmission DB_ Order.EDI_Required Delivery Time Condition Code]</v>
      </c>
    </row>
    <row r="79" spans="1:4" ht="90" x14ac:dyDescent="0.45">
      <c r="A79" s="5">
        <v>78</v>
      </c>
      <c r="B79" s="5" t="s">
        <v>103</v>
      </c>
      <c r="C79" s="5" t="s">
        <v>199</v>
      </c>
      <c r="D79" s="6" t="str">
        <f t="shared" si="1"/>
        <v>[EDI送信DB_発注.EDI_LOT NO条件コード]
/[EDI Transmission DB_ Order.EDI_LOT NO condition code]</v>
      </c>
    </row>
    <row r="80" spans="1:4" ht="72" x14ac:dyDescent="0.45">
      <c r="A80" s="5">
        <v>79</v>
      </c>
      <c r="B80" s="5" t="s">
        <v>104</v>
      </c>
      <c r="C80" s="5" t="s">
        <v>200</v>
      </c>
      <c r="D80" s="6" t="str">
        <f t="shared" si="1"/>
        <v>[EDI送信DB_発注.EDI_ロット区分]
/[EDI Transmission DB_ Order.EDI_Lot Classification]</v>
      </c>
    </row>
    <row r="81" spans="1:4" ht="72" x14ac:dyDescent="0.45">
      <c r="A81" s="5">
        <v>80</v>
      </c>
      <c r="B81" s="5" t="s">
        <v>105</v>
      </c>
      <c r="C81" s="5" t="s">
        <v>201</v>
      </c>
      <c r="D81" s="6" t="str">
        <f t="shared" si="1"/>
        <v>[EDI送信DB_発注.EDI_ロット番号]
/[EDI Transmission DB_ Order.EDI_LOT NO.]</v>
      </c>
    </row>
    <row r="82" spans="1:4" ht="108" x14ac:dyDescent="0.45">
      <c r="A82" s="5">
        <v>81</v>
      </c>
      <c r="B82" s="5" t="s">
        <v>106</v>
      </c>
      <c r="C82" s="5" t="s">
        <v>202</v>
      </c>
      <c r="D82" s="6" t="str">
        <f t="shared" si="1"/>
        <v>[EDI送信DB_発注.EDI_メーカ国内・輸出区分]
/[EDI Transmission DB_ Order.EDI_Manufacturer domestic/export classification]</v>
      </c>
    </row>
    <row r="83" spans="1:4" ht="72" x14ac:dyDescent="0.45">
      <c r="A83" s="5">
        <v>82</v>
      </c>
      <c r="B83" s="5" t="s">
        <v>107</v>
      </c>
      <c r="C83" s="5" t="s">
        <v>203</v>
      </c>
      <c r="D83" s="6" t="str">
        <f t="shared" si="1"/>
        <v>[EDI送信DB_発注.EDI_数量確定区分]
/[EDI Transmission DB_ Order.EDI_Quantity Classification]</v>
      </c>
    </row>
    <row r="84" spans="1:4" ht="72" x14ac:dyDescent="0.45">
      <c r="A84" s="5">
        <v>83</v>
      </c>
      <c r="B84" s="5" t="s">
        <v>108</v>
      </c>
      <c r="C84" s="5" t="s">
        <v>204</v>
      </c>
      <c r="D84" s="6" t="str">
        <f t="shared" si="1"/>
        <v>[EDI送信DB_発注.EDI_単価区分]
/[EDI Transmission DB_ Order.EDI Unit Price Classification]</v>
      </c>
    </row>
    <row r="85" spans="1:4" ht="72" x14ac:dyDescent="0.45">
      <c r="A85" s="5">
        <v>84</v>
      </c>
      <c r="B85" s="5" t="s">
        <v>109</v>
      </c>
      <c r="C85" s="5" t="s">
        <v>205</v>
      </c>
      <c r="D85" s="6" t="str">
        <f t="shared" si="1"/>
        <v>[EDI送信DB_発注.EDI_課税区分]
/[EDI Transmission DB_ Order.EDI_Tax Classification]</v>
      </c>
    </row>
    <row r="86" spans="1:4" ht="72" x14ac:dyDescent="0.45">
      <c r="A86" s="5">
        <v>85</v>
      </c>
      <c r="B86" s="5" t="s">
        <v>110</v>
      </c>
      <c r="C86" s="5" t="s">
        <v>206</v>
      </c>
      <c r="D86" s="6" t="str">
        <f t="shared" si="1"/>
        <v>[EDI送信DB_発注.EDI_オーダ区分]
/[EDI Transmission DB_ Order.EDI_Order Classification]</v>
      </c>
    </row>
    <row r="87" spans="1:4" ht="72" x14ac:dyDescent="0.45">
      <c r="A87" s="5">
        <v>86</v>
      </c>
      <c r="B87" s="5" t="s">
        <v>111</v>
      </c>
      <c r="C87" s="5" t="s">
        <v>207</v>
      </c>
      <c r="D87" s="6" t="str">
        <f t="shared" si="1"/>
        <v>[EDI送信DB_発注.EDI_予備欄]
/[EDI Transmission DB_ Order.EDI_Reserve Column]</v>
      </c>
    </row>
    <row r="88" spans="1:4" ht="72" x14ac:dyDescent="0.45">
      <c r="A88" s="5">
        <v>87</v>
      </c>
      <c r="B88" s="5" t="s">
        <v>112</v>
      </c>
      <c r="C88" s="5" t="s">
        <v>208</v>
      </c>
      <c r="D88" s="6" t="str">
        <f t="shared" si="1"/>
        <v>[EDI送信DB_発注.EDI_予備欄(漢字)]
/[EDI Transmission DB_ Order.EDI_Fill-in-the-blanks (Kanji)]</v>
      </c>
    </row>
    <row r="89" spans="1:4" ht="72" x14ac:dyDescent="0.45">
      <c r="A89" s="5">
        <v>88</v>
      </c>
      <c r="B89" s="5" t="s">
        <v>113</v>
      </c>
      <c r="C89" s="5" t="s">
        <v>209</v>
      </c>
      <c r="D89" s="6" t="str">
        <f t="shared" si="1"/>
        <v>[EDI送信DB_発注.IK自由使用欄1]
/[EDI Transmission DB_ Order.IK free use column 1]</v>
      </c>
    </row>
    <row r="90" spans="1:4" ht="72" x14ac:dyDescent="0.45">
      <c r="A90" s="5">
        <v>89</v>
      </c>
      <c r="B90" s="5" t="s">
        <v>114</v>
      </c>
      <c r="C90" s="5" t="s">
        <v>210</v>
      </c>
      <c r="D90" s="6" t="str">
        <f t="shared" si="1"/>
        <v>[EDI送信DB_発注.登録年月日]
/[EDI Transmission DB_ Order.Registration date]</v>
      </c>
    </row>
    <row r="91" spans="1:4" ht="72" x14ac:dyDescent="0.45">
      <c r="A91" s="5">
        <v>90</v>
      </c>
      <c r="B91" s="5" t="s">
        <v>115</v>
      </c>
      <c r="C91" s="5" t="s">
        <v>211</v>
      </c>
      <c r="D91" s="6" t="str">
        <f t="shared" si="1"/>
        <v>[EDI送信DB_発注.修正年月日]
/[EDI Transmission DB_ Order.Revision date]</v>
      </c>
    </row>
    <row r="92" spans="1:4" ht="72" x14ac:dyDescent="0.45">
      <c r="A92" s="5">
        <v>91</v>
      </c>
      <c r="B92" s="5" t="s">
        <v>116</v>
      </c>
      <c r="C92" s="5" t="s">
        <v>212</v>
      </c>
      <c r="D92" s="6" t="str">
        <f t="shared" si="1"/>
        <v>[EDI送信DB_発注.発注入力時刻]
/[EDI Transmission DB_ Order.Order Entry Time]</v>
      </c>
    </row>
    <row r="93" spans="1:4" ht="72" x14ac:dyDescent="0.45">
      <c r="A93" s="5">
        <v>92</v>
      </c>
      <c r="B93" s="5" t="s">
        <v>117</v>
      </c>
      <c r="C93" s="5" t="s">
        <v>213</v>
      </c>
      <c r="D93" s="6" t="str">
        <f t="shared" si="1"/>
        <v>[EDI送信DB_発注.発注修正時刻]
/[EDI Transmission DB_ Order.Order modification time]</v>
      </c>
    </row>
    <row r="94" spans="1:4" ht="72" x14ac:dyDescent="0.45">
      <c r="A94" s="5">
        <v>93</v>
      </c>
      <c r="B94" s="5" t="s">
        <v>118</v>
      </c>
      <c r="C94" s="5" t="s">
        <v>214</v>
      </c>
      <c r="D94" s="6" t="str">
        <f t="shared" si="1"/>
        <v>[EDI送信DB_発注.削除区分]
/[EDI Transmission DB_ Order.Deletion classification]</v>
      </c>
    </row>
    <row r="95" spans="1:4" ht="72" x14ac:dyDescent="0.45">
      <c r="A95" s="5">
        <v>94</v>
      </c>
      <c r="B95" s="5" t="s">
        <v>119</v>
      </c>
      <c r="C95" s="5" t="s">
        <v>215</v>
      </c>
      <c r="D95" s="6" t="str">
        <f t="shared" si="1"/>
        <v>[EDI送信DB_発注.処理受付番号]
/[EDI Transmission DB_ Order.Processing Receipt Number]</v>
      </c>
    </row>
    <row r="96" spans="1:4" ht="72" x14ac:dyDescent="0.45">
      <c r="A96" s="5">
        <v>95</v>
      </c>
      <c r="B96" s="5" t="s">
        <v>0</v>
      </c>
      <c r="C96" s="5" t="s">
        <v>0</v>
      </c>
      <c r="D96" s="6" t="str">
        <f t="shared" si="1"/>
        <v>[EDI送信DB_発注.FILLER]
/[EDI Transmission DB_ Order.FILLER]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1C74-7C31-4D3C-9A60-0F2F0635CA76}">
  <dimension ref="A2:G134"/>
  <sheetViews>
    <sheetView topLeftCell="A77" zoomScale="70" zoomScaleNormal="70" workbookViewId="0">
      <selection activeCell="G83" sqref="G83"/>
    </sheetView>
  </sheetViews>
  <sheetFormatPr defaultRowHeight="18" x14ac:dyDescent="0.45"/>
  <cols>
    <col min="2" max="2" width="25.5" bestFit="1" customWidth="1"/>
    <col min="3" max="3" width="37.59765625" bestFit="1" customWidth="1"/>
    <col min="4" max="4" width="3.5" bestFit="1" customWidth="1"/>
    <col min="7" max="7" width="77.59765625" bestFit="1" customWidth="1"/>
  </cols>
  <sheetData>
    <row r="2" spans="1:7" ht="54" x14ac:dyDescent="0.45">
      <c r="A2" s="1">
        <v>1</v>
      </c>
      <c r="B2" s="19" t="s">
        <v>264</v>
      </c>
      <c r="C2" s="7" t="s">
        <v>344</v>
      </c>
      <c r="D2" s="13">
        <v>25</v>
      </c>
      <c r="E2" s="1">
        <v>1</v>
      </c>
      <c r="F2" s="1"/>
      <c r="G2" s="2" t="str">
        <f>B2&amp;"("&amp;E2&amp;"バイト目から"&amp;D2&amp;"バイト)
/"&amp;C2&amp;"("&amp;D2&amp;" bytes from the "&amp;E2&amp;"th byte)"</f>
        <v>販売先_ファイル識別キー(1バイト目から25バイト)
/HAN_FILE_SHIKIBETSU_KEY(25 bytes from the 1th byte)</v>
      </c>
    </row>
    <row r="3" spans="1:7" ht="54" x14ac:dyDescent="0.45">
      <c r="A3" s="1">
        <v>2</v>
      </c>
      <c r="B3" s="7" t="s">
        <v>265</v>
      </c>
      <c r="C3" s="7" t="s">
        <v>345</v>
      </c>
      <c r="D3" s="13">
        <v>5</v>
      </c>
      <c r="E3" s="1">
        <v>26</v>
      </c>
      <c r="F3" s="1"/>
      <c r="G3" s="2" t="str">
        <f>B3&amp;"("&amp;E3&amp;"バイト目から"&amp;D3&amp;"バイト)
/"&amp;C3&amp;"("&amp;D3&amp;" bytes from the "&amp;E3&amp;"th byte)"</f>
        <v>レコード連番(26バイト目から5バイト)
/RECORD_REMBAN(5 bytes from the 26th byte)</v>
      </c>
    </row>
    <row r="4" spans="1:7" ht="54" x14ac:dyDescent="0.45">
      <c r="A4" s="1">
        <v>3</v>
      </c>
      <c r="B4" s="7" t="s">
        <v>266</v>
      </c>
      <c r="C4" s="7" t="s">
        <v>346</v>
      </c>
      <c r="D4" s="13">
        <v>1</v>
      </c>
      <c r="E4" s="1">
        <v>31</v>
      </c>
      <c r="F4" s="1"/>
      <c r="G4" s="2" t="str">
        <f t="shared" ref="G4:G67" si="0">B4&amp;"("&amp;E4&amp;"バイト目から"&amp;D4&amp;"バイト)
/"&amp;C4&amp;"("&amp;D4&amp;" bytes from the "&amp;E4&amp;"th byte)"</f>
        <v>ファイル作成済区分(31バイト目から1バイト)
/FILE_CREATE_ZUMI_KBN(1 bytes from the 31th byte)</v>
      </c>
    </row>
    <row r="5" spans="1:7" ht="54" x14ac:dyDescent="0.45">
      <c r="A5" s="1">
        <v>4</v>
      </c>
      <c r="B5" s="7" t="s">
        <v>267</v>
      </c>
      <c r="C5" s="7" t="s">
        <v>347</v>
      </c>
      <c r="D5" s="13">
        <v>3</v>
      </c>
      <c r="E5" s="1">
        <v>32</v>
      </c>
      <c r="F5" s="1"/>
      <c r="G5" s="2" t="str">
        <f t="shared" si="0"/>
        <v>取引先略称ID(32バイト目から3バイト)
/TORIHIKI_NMR_ID(3 bytes from the 32th byte)</v>
      </c>
    </row>
    <row r="6" spans="1:7" ht="54" x14ac:dyDescent="0.45">
      <c r="A6" s="1">
        <v>5</v>
      </c>
      <c r="B6" s="7" t="s">
        <v>33</v>
      </c>
      <c r="C6" s="7" t="s">
        <v>239</v>
      </c>
      <c r="D6" s="13">
        <v>6</v>
      </c>
      <c r="E6" s="1">
        <v>35</v>
      </c>
      <c r="F6" s="1"/>
      <c r="G6" s="2" t="str">
        <f t="shared" si="0"/>
        <v>データ交換ID(35バイト目から6バイト)
/DATA_KOKAN_ID(6 bytes from the 35th byte)</v>
      </c>
    </row>
    <row r="7" spans="1:7" ht="54" x14ac:dyDescent="0.45">
      <c r="A7" s="1">
        <v>6</v>
      </c>
      <c r="B7" s="7" t="s">
        <v>268</v>
      </c>
      <c r="C7" s="7" t="s">
        <v>348</v>
      </c>
      <c r="D7" s="13">
        <v>8</v>
      </c>
      <c r="E7" s="1">
        <v>41</v>
      </c>
      <c r="F7" s="1"/>
      <c r="G7" s="2" t="str">
        <f t="shared" si="0"/>
        <v>EDI受信ファイルID(41バイト目から8バイト)
/EDI_RCV_FILE_ID(8 bytes from the 41th byte)</v>
      </c>
    </row>
    <row r="8" spans="1:7" ht="54" x14ac:dyDescent="0.45">
      <c r="A8" s="1">
        <v>7</v>
      </c>
      <c r="B8" s="7" t="s">
        <v>269</v>
      </c>
      <c r="C8" s="7" t="s">
        <v>349</v>
      </c>
      <c r="D8" s="13">
        <v>4</v>
      </c>
      <c r="E8" s="1">
        <v>49</v>
      </c>
      <c r="F8" s="1"/>
      <c r="G8" s="2" t="str">
        <f t="shared" si="0"/>
        <v>EIAJ_情報区分(49バイト目から4バイト)
/EIAJ_INF_KBN(4 bytes from the 49th byte)</v>
      </c>
    </row>
    <row r="9" spans="1:7" ht="54" x14ac:dyDescent="0.45">
      <c r="A9" s="1">
        <v>8</v>
      </c>
      <c r="B9" s="7" t="s">
        <v>270</v>
      </c>
      <c r="C9" s="7" t="s">
        <v>350</v>
      </c>
      <c r="D9" s="13">
        <v>5</v>
      </c>
      <c r="E9" s="1">
        <v>53</v>
      </c>
      <c r="F9" s="1"/>
      <c r="G9" s="2" t="str">
        <f t="shared" si="0"/>
        <v>EIAJ_データ処理No(53バイト目から5バイト)
/EIAJ_DATA_FUNC_NO(5 bytes from the 53th byte)</v>
      </c>
    </row>
    <row r="10" spans="1:7" ht="54" x14ac:dyDescent="0.45">
      <c r="A10" s="1">
        <v>9</v>
      </c>
      <c r="B10" s="7" t="s">
        <v>271</v>
      </c>
      <c r="C10" s="7" t="s">
        <v>351</v>
      </c>
      <c r="D10" s="13">
        <v>12</v>
      </c>
      <c r="E10" s="1">
        <v>58</v>
      </c>
      <c r="F10" s="1"/>
      <c r="G10" s="2" t="str">
        <f t="shared" si="0"/>
        <v>EIAJ_発注者コード(58バイト目から12バイト)
/EIAJ_HACSHA_CD(12 bytes from the 58th byte)</v>
      </c>
    </row>
    <row r="11" spans="1:7" ht="54" x14ac:dyDescent="0.45">
      <c r="A11" s="1">
        <v>10</v>
      </c>
      <c r="B11" s="7" t="s">
        <v>272</v>
      </c>
      <c r="C11" s="7" t="s">
        <v>352</v>
      </c>
      <c r="D11" s="13">
        <v>12</v>
      </c>
      <c r="E11" s="1">
        <v>70</v>
      </c>
      <c r="F11" s="1"/>
      <c r="G11" s="2" t="str">
        <f t="shared" si="0"/>
        <v>EIAJ_受注者コード(70バイト目から12バイト)
/EIAJ_JUC_CD(12 bytes from the 70th byte)</v>
      </c>
    </row>
    <row r="12" spans="1:7" ht="54" x14ac:dyDescent="0.45">
      <c r="A12" s="1">
        <v>11</v>
      </c>
      <c r="B12" s="7" t="s">
        <v>273</v>
      </c>
      <c r="C12" s="7" t="s">
        <v>353</v>
      </c>
      <c r="D12" s="13">
        <v>8</v>
      </c>
      <c r="E12" s="1">
        <v>82</v>
      </c>
      <c r="F12" s="1"/>
      <c r="G12" s="2" t="str">
        <f t="shared" si="0"/>
        <v>EIAJ_発注部門コード(82バイト目から8バイト)
/EIAJ_HAC_BMN_CD(8 bytes from the 82th byte)</v>
      </c>
    </row>
    <row r="13" spans="1:7" ht="54" x14ac:dyDescent="0.45">
      <c r="A13" s="1">
        <v>12</v>
      </c>
      <c r="B13" s="7" t="s">
        <v>274</v>
      </c>
      <c r="C13" s="7" t="s">
        <v>354</v>
      </c>
      <c r="D13" s="13">
        <v>23</v>
      </c>
      <c r="E13" s="1">
        <v>90</v>
      </c>
      <c r="F13" s="1"/>
      <c r="G13" s="2" t="str">
        <f t="shared" si="0"/>
        <v>EIAJ_EDI注文番号(90バイト目から23バイト)
/EIAJ_EDI_CHUMON_NO(23 bytes from the 90th byte)</v>
      </c>
    </row>
    <row r="14" spans="1:7" ht="54" x14ac:dyDescent="0.45">
      <c r="A14" s="1">
        <v>13</v>
      </c>
      <c r="B14" s="7" t="s">
        <v>275</v>
      </c>
      <c r="C14" s="7" t="s">
        <v>355</v>
      </c>
      <c r="D14" s="13">
        <v>19</v>
      </c>
      <c r="E14" s="1">
        <v>113</v>
      </c>
      <c r="F14" s="1"/>
      <c r="G14" s="2" t="str">
        <f t="shared" si="0"/>
        <v>EIAJ_製造番号(113バイト目から19バイト)
/EIAJ_SEIZO_NO(19 bytes from the 113th byte)</v>
      </c>
    </row>
    <row r="15" spans="1:7" ht="54" x14ac:dyDescent="0.45">
      <c r="A15" s="1">
        <v>14</v>
      </c>
      <c r="B15" s="7" t="s">
        <v>276</v>
      </c>
      <c r="C15" s="7" t="s">
        <v>356</v>
      </c>
      <c r="D15" s="13">
        <v>1</v>
      </c>
      <c r="E15" s="1">
        <v>132</v>
      </c>
      <c r="F15" s="1"/>
      <c r="G15" s="2" t="str">
        <f t="shared" si="0"/>
        <v>EIAJ_訂正コード(132バイト目から1バイト)
/EIAJ_TEISEI_CD(1 bytes from the 132th byte)</v>
      </c>
    </row>
    <row r="16" spans="1:7" ht="54" x14ac:dyDescent="0.45">
      <c r="A16" s="1">
        <v>15</v>
      </c>
      <c r="B16" s="7" t="s">
        <v>277</v>
      </c>
      <c r="C16" s="7" t="s">
        <v>357</v>
      </c>
      <c r="D16" s="13">
        <v>1</v>
      </c>
      <c r="E16" s="1">
        <v>133</v>
      </c>
      <c r="F16" s="1"/>
      <c r="G16" s="2" t="str">
        <f t="shared" si="0"/>
        <v>EIAJ_コック区分(133バイト目から1バイト)
/EIAJ_KOCK_KBN(1 bytes from the 133th byte)</v>
      </c>
    </row>
    <row r="17" spans="1:7" ht="54" x14ac:dyDescent="0.45">
      <c r="A17" s="1">
        <v>16</v>
      </c>
      <c r="B17" s="7" t="s">
        <v>278</v>
      </c>
      <c r="C17" s="7" t="s">
        <v>358</v>
      </c>
      <c r="D17" s="13">
        <v>8</v>
      </c>
      <c r="E17" s="1">
        <v>134</v>
      </c>
      <c r="F17" s="1"/>
      <c r="G17" s="2" t="str">
        <f t="shared" si="0"/>
        <v>EIAJ_注文年月日(134バイト目から8バイト)
/EIAJ_CHUMON_YMD(8 bytes from the 134th byte)</v>
      </c>
    </row>
    <row r="18" spans="1:7" ht="54" x14ac:dyDescent="0.45">
      <c r="A18" s="1">
        <v>17</v>
      </c>
      <c r="B18" s="7" t="s">
        <v>279</v>
      </c>
      <c r="C18" s="7" t="s">
        <v>359</v>
      </c>
      <c r="D18" s="13">
        <v>3</v>
      </c>
      <c r="E18" s="1">
        <v>142</v>
      </c>
      <c r="F18" s="1"/>
      <c r="G18" s="2" t="str">
        <f t="shared" si="0"/>
        <v>EIAJ_EDI単位(142バイト目から3バイト)
/EIAJ_EDI_UNIT(3 bytes from the 142th byte)</v>
      </c>
    </row>
    <row r="19" spans="1:7" ht="54" x14ac:dyDescent="0.45">
      <c r="A19" s="1">
        <v>18</v>
      </c>
      <c r="B19" s="7" t="s">
        <v>280</v>
      </c>
      <c r="C19" s="7" t="s">
        <v>360</v>
      </c>
      <c r="D19" s="13">
        <v>13</v>
      </c>
      <c r="E19" s="1">
        <v>145</v>
      </c>
      <c r="F19" s="1"/>
      <c r="G19" s="2" t="str">
        <f t="shared" si="0"/>
        <v>EIAJ_単価(145バイト目から13バイト)
/EIAJ_TANK(13 bytes from the 145th byte)</v>
      </c>
    </row>
    <row r="20" spans="1:7" ht="54" x14ac:dyDescent="0.45">
      <c r="A20" s="1">
        <v>19</v>
      </c>
      <c r="B20" s="7" t="s">
        <v>281</v>
      </c>
      <c r="C20" s="7" t="s">
        <v>361</v>
      </c>
      <c r="D20" s="13">
        <v>1</v>
      </c>
      <c r="E20" s="1">
        <v>158</v>
      </c>
      <c r="F20" s="1"/>
      <c r="G20" s="2" t="str">
        <f t="shared" si="0"/>
        <v>EIAJ_単価区分(158バイト目から1バイト)
/EIAJ_TANK_KBN(1 bytes from the 158th byte)</v>
      </c>
    </row>
    <row r="21" spans="1:7" ht="54" x14ac:dyDescent="0.45">
      <c r="A21" s="1">
        <v>20</v>
      </c>
      <c r="B21" s="7" t="s">
        <v>282</v>
      </c>
      <c r="C21" s="7" t="s">
        <v>362</v>
      </c>
      <c r="D21" s="13">
        <v>14</v>
      </c>
      <c r="E21" s="1">
        <v>159</v>
      </c>
      <c r="F21" s="1"/>
      <c r="G21" s="2" t="str">
        <f t="shared" si="0"/>
        <v>EIAJ_注文数量(受注数量)(159バイト目から14バイト)
/EIAJ_CHUMON_SU_JUC_SU(14 bytes from the 159th byte)</v>
      </c>
    </row>
    <row r="22" spans="1:7" ht="54" x14ac:dyDescent="0.45">
      <c r="A22" s="1">
        <v>21</v>
      </c>
      <c r="B22" s="7" t="s">
        <v>283</v>
      </c>
      <c r="C22" s="7" t="s">
        <v>363</v>
      </c>
      <c r="D22" s="13">
        <v>13</v>
      </c>
      <c r="E22" s="1">
        <v>173</v>
      </c>
      <c r="F22" s="1"/>
      <c r="G22" s="2" t="str">
        <f t="shared" si="0"/>
        <v>EIAJ_注文金額(受注金額)(173バイト目から13バイト)
/EIAJ_CHUMON_GAKU_JUC_GAKU(13 bytes from the 173th byte)</v>
      </c>
    </row>
    <row r="23" spans="1:7" ht="54" x14ac:dyDescent="0.45">
      <c r="A23" s="1">
        <v>22</v>
      </c>
      <c r="B23" s="7" t="s">
        <v>284</v>
      </c>
      <c r="C23" s="7" t="s">
        <v>364</v>
      </c>
      <c r="D23" s="13">
        <v>1</v>
      </c>
      <c r="E23" s="1">
        <v>186</v>
      </c>
      <c r="F23" s="1"/>
      <c r="G23" s="2" t="str">
        <f t="shared" si="0"/>
        <v>EIAJ_支給区分(186バイト目から1バイト)
/EIAJ_SHIKYU_KBN(1 bytes from the 186th byte)</v>
      </c>
    </row>
    <row r="24" spans="1:7" ht="54" x14ac:dyDescent="0.45">
      <c r="A24" s="1">
        <v>23</v>
      </c>
      <c r="B24" s="7" t="s">
        <v>285</v>
      </c>
      <c r="C24" s="7" t="s">
        <v>365</v>
      </c>
      <c r="D24" s="13">
        <v>8</v>
      </c>
      <c r="E24" s="1">
        <v>187</v>
      </c>
      <c r="F24" s="1"/>
      <c r="G24" s="2" t="str">
        <f t="shared" si="0"/>
        <v>EIAJ_購買担当(187バイト目から8バイト)
/EIAJ_KOBAI_TANTO(8 bytes from the 187th byte)</v>
      </c>
    </row>
    <row r="25" spans="1:7" ht="54" x14ac:dyDescent="0.45">
      <c r="A25" s="1">
        <v>24</v>
      </c>
      <c r="B25" s="7" t="s">
        <v>286</v>
      </c>
      <c r="C25" s="7" t="s">
        <v>366</v>
      </c>
      <c r="D25" s="13">
        <v>30</v>
      </c>
      <c r="E25" s="1">
        <v>195</v>
      </c>
      <c r="F25" s="1"/>
      <c r="G25" s="2" t="str">
        <f t="shared" si="0"/>
        <v>EIAJ_品名(品名仕様)(195バイト目から30バイト)
/EIAJ_ITEM_NM_ITEM_SHIYO(30 bytes from the 195th byte)</v>
      </c>
    </row>
    <row r="26" spans="1:7" ht="54" x14ac:dyDescent="0.45">
      <c r="A26" s="1">
        <v>25</v>
      </c>
      <c r="B26" s="7" t="s">
        <v>287</v>
      </c>
      <c r="C26" s="7" t="s">
        <v>367</v>
      </c>
      <c r="D26" s="13">
        <v>25</v>
      </c>
      <c r="E26" s="1">
        <v>225</v>
      </c>
      <c r="F26" s="1"/>
      <c r="G26" s="2" t="str">
        <f t="shared" si="0"/>
        <v>EIAJ_受注者品名コード(225バイト目から25バイト)
/EIAJ_JUC_ITEM_NM_CD(25 bytes from the 225th byte)</v>
      </c>
    </row>
    <row r="27" spans="1:7" ht="54" x14ac:dyDescent="0.45">
      <c r="A27" s="1">
        <v>26</v>
      </c>
      <c r="B27" s="7" t="s">
        <v>288</v>
      </c>
      <c r="C27" s="7" t="s">
        <v>368</v>
      </c>
      <c r="D27" s="13">
        <v>25</v>
      </c>
      <c r="E27" s="1">
        <v>250</v>
      </c>
      <c r="F27" s="1"/>
      <c r="G27" s="2" t="str">
        <f t="shared" si="0"/>
        <v>EIAJ_発注者品名コード(250バイト目から25バイト)
/EIAJ_HACSHA_ITEM_NM_CD(25 bytes from the 250th byte)</v>
      </c>
    </row>
    <row r="28" spans="1:7" ht="54" x14ac:dyDescent="0.45">
      <c r="A28" s="1">
        <v>27</v>
      </c>
      <c r="B28" s="7" t="s">
        <v>289</v>
      </c>
      <c r="C28" s="7" t="s">
        <v>369</v>
      </c>
      <c r="D28" s="13">
        <v>1</v>
      </c>
      <c r="E28" s="1">
        <v>275</v>
      </c>
      <c r="F28" s="1"/>
      <c r="G28" s="2" t="str">
        <f t="shared" si="0"/>
        <v>EIAJ_直納区分(275バイト目から1バイト)
/EIAJ_CHOKUNO_KBN(1 bytes from the 275th byte)</v>
      </c>
    </row>
    <row r="29" spans="1:7" ht="54" x14ac:dyDescent="0.45">
      <c r="A29" s="1">
        <v>28</v>
      </c>
      <c r="B29" s="7" t="s">
        <v>290</v>
      </c>
      <c r="C29" s="7" t="s">
        <v>370</v>
      </c>
      <c r="D29" s="13">
        <v>10</v>
      </c>
      <c r="E29" s="1">
        <v>276</v>
      </c>
      <c r="F29" s="1"/>
      <c r="G29" s="2" t="str">
        <f t="shared" si="0"/>
        <v>EIAJ_受渡場所(276バイト目から10バイト)
/EIAJ_UKEWATASHI_BASHO(10 bytes from the 276th byte)</v>
      </c>
    </row>
    <row r="30" spans="1:7" ht="54" x14ac:dyDescent="0.45">
      <c r="A30" s="1">
        <v>29</v>
      </c>
      <c r="B30" s="7" t="s">
        <v>291</v>
      </c>
      <c r="C30" s="7" t="s">
        <v>371</v>
      </c>
      <c r="D30" s="13">
        <v>3</v>
      </c>
      <c r="E30" s="1">
        <v>286</v>
      </c>
      <c r="F30" s="1"/>
      <c r="G30" s="2" t="str">
        <f t="shared" si="0"/>
        <v>EIAJ_検査区分(286バイト目から3バイト)
/EIAJ_KENSA_KBN(3 bytes from the 286th byte)</v>
      </c>
    </row>
    <row r="31" spans="1:7" ht="54" x14ac:dyDescent="0.45">
      <c r="A31" s="1">
        <v>30</v>
      </c>
      <c r="B31" s="7" t="s">
        <v>292</v>
      </c>
      <c r="C31" s="7" t="s">
        <v>372</v>
      </c>
      <c r="D31" s="13">
        <v>1</v>
      </c>
      <c r="E31" s="1">
        <v>289</v>
      </c>
      <c r="F31" s="1"/>
      <c r="G31" s="2" t="str">
        <f t="shared" si="0"/>
        <v>EIAJ_納入指示有無区分(289バイト目から1バイト)
/EIAJ_NONYU_SHIJI_UMU_KBN(1 bytes from the 289th byte)</v>
      </c>
    </row>
    <row r="32" spans="1:7" ht="54" x14ac:dyDescent="0.45">
      <c r="A32" s="1">
        <v>31</v>
      </c>
      <c r="B32" s="7" t="s">
        <v>293</v>
      </c>
      <c r="C32" s="7" t="s">
        <v>373</v>
      </c>
      <c r="D32" s="13">
        <v>8</v>
      </c>
      <c r="E32" s="1">
        <v>290</v>
      </c>
      <c r="F32" s="1"/>
      <c r="G32" s="2" t="str">
        <f t="shared" si="0"/>
        <v>EIAJ_納期(290バイト目から8バイト)
/EIAJ_NOKI(8 bytes from the 290th byte)</v>
      </c>
    </row>
    <row r="33" spans="1:7" ht="54" x14ac:dyDescent="0.45">
      <c r="A33" s="1">
        <v>32</v>
      </c>
      <c r="B33" s="7" t="s">
        <v>294</v>
      </c>
      <c r="C33" s="7" t="s">
        <v>374</v>
      </c>
      <c r="D33" s="13">
        <v>14</v>
      </c>
      <c r="E33" s="1">
        <v>298</v>
      </c>
      <c r="F33" s="1"/>
      <c r="G33" s="2" t="str">
        <f t="shared" si="0"/>
        <v>EIAJ_納入指示数量(298バイト目から14バイト)
/EIAJ_NONYU_SHIJI_SU(14 bytes from the 298th byte)</v>
      </c>
    </row>
    <row r="34" spans="1:7" ht="54" x14ac:dyDescent="0.45">
      <c r="A34" s="1">
        <v>33</v>
      </c>
      <c r="B34" s="7" t="s">
        <v>295</v>
      </c>
      <c r="C34" s="7" t="s">
        <v>375</v>
      </c>
      <c r="D34" s="13">
        <v>8</v>
      </c>
      <c r="E34" s="1">
        <v>312</v>
      </c>
      <c r="F34" s="1"/>
      <c r="G34" s="2" t="str">
        <f t="shared" si="0"/>
        <v>EIAJ_納入No(312バイト目から8バイト)
/EIAJ_NONYU_NO(8 bytes from the 312th byte)</v>
      </c>
    </row>
    <row r="35" spans="1:7" ht="54" x14ac:dyDescent="0.45">
      <c r="A35" s="1">
        <v>34</v>
      </c>
      <c r="B35" s="7" t="s">
        <v>296</v>
      </c>
      <c r="C35" s="7" t="s">
        <v>376</v>
      </c>
      <c r="D35" s="13">
        <v>14</v>
      </c>
      <c r="E35" s="1">
        <v>320</v>
      </c>
      <c r="F35" s="1"/>
      <c r="G35" s="2" t="str">
        <f t="shared" si="0"/>
        <v>EIAJ_合計納入数量(320バイト目から14バイト)
/EIAJ_TOTAL_NONYU_SU(14 bytes from the 320th byte)</v>
      </c>
    </row>
    <row r="36" spans="1:7" ht="54" x14ac:dyDescent="0.45">
      <c r="A36" s="1">
        <v>35</v>
      </c>
      <c r="B36" s="7" t="s">
        <v>297</v>
      </c>
      <c r="C36" s="7" t="s">
        <v>377</v>
      </c>
      <c r="D36" s="13">
        <v>14</v>
      </c>
      <c r="E36" s="1">
        <v>334</v>
      </c>
      <c r="F36" s="1"/>
      <c r="G36" s="2" t="str">
        <f t="shared" si="0"/>
        <v>EIAJ_納入数量(出荷数量)(334バイト目から14バイト)
/EIAJ_NONYU_SU_SHUKKA_SU(14 bytes from the 334th byte)</v>
      </c>
    </row>
    <row r="37" spans="1:7" ht="54" x14ac:dyDescent="0.45">
      <c r="A37" s="1">
        <v>36</v>
      </c>
      <c r="B37" s="7" t="s">
        <v>298</v>
      </c>
      <c r="C37" s="7" t="s">
        <v>378</v>
      </c>
      <c r="D37" s="13">
        <v>14</v>
      </c>
      <c r="E37" s="1">
        <v>348</v>
      </c>
      <c r="F37" s="1"/>
      <c r="G37" s="2" t="str">
        <f t="shared" si="0"/>
        <v>EIAJ_不足数量(348バイト目から14バイト)
/EIAJ_FUSOKU_SU(14 bytes from the 348th byte)</v>
      </c>
    </row>
    <row r="38" spans="1:7" ht="54" x14ac:dyDescent="0.45">
      <c r="A38" s="1">
        <v>37</v>
      </c>
      <c r="B38" s="7" t="s">
        <v>299</v>
      </c>
      <c r="C38" s="7" t="s">
        <v>379</v>
      </c>
      <c r="D38" s="13">
        <v>14</v>
      </c>
      <c r="E38" s="1">
        <v>362</v>
      </c>
      <c r="F38" s="1"/>
      <c r="G38" s="2" t="str">
        <f t="shared" si="0"/>
        <v>EIAJ_不良数量(362バイト目から14バイト)
/EIAJ_FURYO_SU(14 bytes from the 362th byte)</v>
      </c>
    </row>
    <row r="39" spans="1:7" ht="54" x14ac:dyDescent="0.45">
      <c r="A39" s="1">
        <v>38</v>
      </c>
      <c r="B39" s="7" t="s">
        <v>300</v>
      </c>
      <c r="C39" s="7" t="s">
        <v>380</v>
      </c>
      <c r="D39" s="13">
        <v>13</v>
      </c>
      <c r="E39" s="1">
        <v>376</v>
      </c>
      <c r="F39" s="1"/>
      <c r="G39" s="2" t="str">
        <f t="shared" si="0"/>
        <v>EIAJ_検収単価(376バイト目から13バイト)
/EIAJ_KENSHU_TANK(13 bytes from the 376th byte)</v>
      </c>
    </row>
    <row r="40" spans="1:7" ht="54" x14ac:dyDescent="0.45">
      <c r="A40" s="1">
        <v>39</v>
      </c>
      <c r="B40" s="7" t="s">
        <v>301</v>
      </c>
      <c r="C40" s="7" t="s">
        <v>381</v>
      </c>
      <c r="D40" s="13">
        <v>13</v>
      </c>
      <c r="E40" s="1">
        <v>389</v>
      </c>
      <c r="F40" s="1"/>
      <c r="G40" s="2" t="str">
        <f t="shared" si="0"/>
        <v>EIAJ_EDI検収金額(389バイト目から13バイト)
/EIAJ_EDI_KENSHU_GAKU(13 bytes from the 389th byte)</v>
      </c>
    </row>
    <row r="41" spans="1:7" ht="54" x14ac:dyDescent="0.45">
      <c r="A41" s="1">
        <v>40</v>
      </c>
      <c r="B41" s="7" t="s">
        <v>302</v>
      </c>
      <c r="C41" s="7" t="s">
        <v>382</v>
      </c>
      <c r="D41" s="13">
        <v>14</v>
      </c>
      <c r="E41" s="1">
        <v>402</v>
      </c>
      <c r="F41" s="1"/>
      <c r="G41" s="2" t="str">
        <f t="shared" si="0"/>
        <v>EIAJ_検収数量(402バイト目から14バイト)
/EIAJ_KENSHU_SU(14 bytes from the 402th byte)</v>
      </c>
    </row>
    <row r="42" spans="1:7" ht="54" x14ac:dyDescent="0.45">
      <c r="A42" s="1">
        <v>41</v>
      </c>
      <c r="B42" s="7" t="s">
        <v>303</v>
      </c>
      <c r="C42" s="7" t="s">
        <v>383</v>
      </c>
      <c r="D42" s="13">
        <v>8</v>
      </c>
      <c r="E42" s="1">
        <v>416</v>
      </c>
      <c r="F42" s="1"/>
      <c r="G42" s="2" t="str">
        <f t="shared" si="0"/>
        <v>EIAJ_検収日(416バイト目から8バイト)
/EIAJ_KENSHU_D(8 bytes from the 416th byte)</v>
      </c>
    </row>
    <row r="43" spans="1:7" ht="54" x14ac:dyDescent="0.45">
      <c r="A43" s="1">
        <v>42</v>
      </c>
      <c r="B43" s="7" t="s">
        <v>304</v>
      </c>
      <c r="C43" s="7" t="s">
        <v>384</v>
      </c>
      <c r="D43" s="13">
        <v>1</v>
      </c>
      <c r="E43" s="1">
        <v>424</v>
      </c>
      <c r="F43" s="1"/>
      <c r="G43" s="2" t="str">
        <f t="shared" si="0"/>
        <v>EIAJ_検収区分(424バイト目から1バイト)
/EIAJ_KENSHU_KBN(1 bytes from the 424th byte)</v>
      </c>
    </row>
    <row r="44" spans="1:7" ht="54" x14ac:dyDescent="0.45">
      <c r="A44" s="1">
        <v>43</v>
      </c>
      <c r="B44" s="7" t="s">
        <v>305</v>
      </c>
      <c r="C44" s="7" t="s">
        <v>385</v>
      </c>
      <c r="D44" s="13">
        <v>1</v>
      </c>
      <c r="E44" s="1">
        <v>425</v>
      </c>
      <c r="F44" s="1"/>
      <c r="G44" s="2" t="str">
        <f t="shared" si="0"/>
        <v>EIAJ_取引符号区分(425バイト目から1バイト)
/EIAJ_TORIHIKI_FUGO_KBN(1 bytes from the 425th byte)</v>
      </c>
    </row>
    <row r="45" spans="1:7" ht="54" x14ac:dyDescent="0.45">
      <c r="A45" s="1">
        <v>44</v>
      </c>
      <c r="B45" s="7" t="s">
        <v>306</v>
      </c>
      <c r="C45" s="7" t="s">
        <v>386</v>
      </c>
      <c r="D45" s="13">
        <v>1</v>
      </c>
      <c r="E45" s="1">
        <v>426</v>
      </c>
      <c r="F45" s="1"/>
      <c r="G45" s="2" t="str">
        <f t="shared" si="0"/>
        <v>EIAJ_課税区分(426バイト目から1バイト)
/EIAJ_KAZEI_KBN(1 bytes from the 426th byte)</v>
      </c>
    </row>
    <row r="46" spans="1:7" ht="54" x14ac:dyDescent="0.45">
      <c r="A46" s="1">
        <v>45</v>
      </c>
      <c r="B46" s="7" t="s">
        <v>307</v>
      </c>
      <c r="C46" s="7" t="s">
        <v>387</v>
      </c>
      <c r="D46" s="13">
        <v>10</v>
      </c>
      <c r="E46" s="1">
        <v>427</v>
      </c>
      <c r="F46" s="1"/>
      <c r="G46" s="2" t="str">
        <f t="shared" si="0"/>
        <v>EIAJ_EDI消費税額(427バイト目から10バイト)
/EIAJ_EDI_SHOHIZEI_GAKU(10 bytes from the 427th byte)</v>
      </c>
    </row>
    <row r="47" spans="1:7" ht="54" x14ac:dyDescent="0.45">
      <c r="A47" s="1">
        <v>46</v>
      </c>
      <c r="B47" s="7" t="s">
        <v>308</v>
      </c>
      <c r="C47" s="7" t="s">
        <v>388</v>
      </c>
      <c r="D47" s="13">
        <v>16</v>
      </c>
      <c r="E47" s="1">
        <v>437</v>
      </c>
      <c r="F47" s="1"/>
      <c r="G47" s="2" t="str">
        <f t="shared" si="0"/>
        <v>EIAJ_合計額(437バイト目から16バイト)
/EIAJ_TOTAL_GAKU(16 bytes from the 437th byte)</v>
      </c>
    </row>
    <row r="48" spans="1:7" ht="54" x14ac:dyDescent="0.45">
      <c r="A48" s="1">
        <v>47</v>
      </c>
      <c r="B48" s="7" t="s">
        <v>309</v>
      </c>
      <c r="C48" s="7" t="s">
        <v>389</v>
      </c>
      <c r="D48" s="13">
        <v>23</v>
      </c>
      <c r="E48" s="1">
        <v>453</v>
      </c>
      <c r="F48" s="1"/>
      <c r="G48" s="2" t="str">
        <f t="shared" si="0"/>
        <v>EIAJ_計画番号(453バイト目から23バイト)
/EIAJ_PLAN_NO(23 bytes from the 453th byte)</v>
      </c>
    </row>
    <row r="49" spans="1:7" ht="54" x14ac:dyDescent="0.45">
      <c r="A49" s="1">
        <v>48</v>
      </c>
      <c r="B49" s="7" t="s">
        <v>310</v>
      </c>
      <c r="C49" s="7" t="s">
        <v>390</v>
      </c>
      <c r="D49" s="13">
        <v>1</v>
      </c>
      <c r="E49" s="1">
        <v>476</v>
      </c>
      <c r="F49" s="1"/>
      <c r="G49" s="2" t="str">
        <f t="shared" si="0"/>
        <v>EIAJ_決済条件区分(476バイト目から1バイト)
/EIAJ_KESSAI_JOKEN_KBN(1 bytes from the 476th byte)</v>
      </c>
    </row>
    <row r="50" spans="1:7" ht="54" x14ac:dyDescent="0.45">
      <c r="A50" s="1">
        <v>49</v>
      </c>
      <c r="B50" s="7" t="s">
        <v>311</v>
      </c>
      <c r="C50" s="7" t="s">
        <v>391</v>
      </c>
      <c r="D50" s="13">
        <v>6</v>
      </c>
      <c r="E50" s="1">
        <v>477</v>
      </c>
      <c r="F50" s="1"/>
      <c r="G50" s="2" t="str">
        <f t="shared" si="0"/>
        <v>EIAJ_計上月度(477バイト目から6バイト)
/EIAJ_KEIJO_GETSUDO(6 bytes from the 477th byte)</v>
      </c>
    </row>
    <row r="51" spans="1:7" ht="54" x14ac:dyDescent="0.45">
      <c r="A51" s="1">
        <v>50</v>
      </c>
      <c r="B51" s="7" t="s">
        <v>312</v>
      </c>
      <c r="C51" s="7" t="s">
        <v>392</v>
      </c>
      <c r="D51" s="13">
        <v>23</v>
      </c>
      <c r="E51" s="1">
        <v>483</v>
      </c>
      <c r="F51" s="1"/>
      <c r="G51" s="2" t="str">
        <f t="shared" si="0"/>
        <v>EIAJ_納品キー番号(483バイト目から23バイト)
/EIAJ_NOHIN_KEY_NO(23 bytes from the 483th byte)</v>
      </c>
    </row>
    <row r="52" spans="1:7" ht="54" x14ac:dyDescent="0.45">
      <c r="A52" s="1">
        <v>51</v>
      </c>
      <c r="B52" s="7" t="s">
        <v>313</v>
      </c>
      <c r="C52" s="7" t="s">
        <v>393</v>
      </c>
      <c r="D52" s="13">
        <v>23</v>
      </c>
      <c r="E52" s="1">
        <v>506</v>
      </c>
      <c r="F52" s="1"/>
      <c r="G52" s="2" t="str">
        <f t="shared" si="0"/>
        <v>EIAJ_発注者用バーコード情報(506バイト目から23バイト)
/EIAJ_HACSHA_BAR_CD_INF(23 bytes from the 506th byte)</v>
      </c>
    </row>
    <row r="53" spans="1:7" ht="54" x14ac:dyDescent="0.45">
      <c r="A53" s="1">
        <v>52</v>
      </c>
      <c r="B53" s="7" t="s">
        <v>314</v>
      </c>
      <c r="C53" s="7" t="s">
        <v>394</v>
      </c>
      <c r="D53" s="13">
        <v>50</v>
      </c>
      <c r="E53" s="1">
        <v>529</v>
      </c>
      <c r="F53" s="1"/>
      <c r="G53" s="2" t="str">
        <f t="shared" si="0"/>
        <v>EIAJ_発注者用備考(529バイト目から50バイト)
/EIAJ_HACSHA_NOTE(50 bytes from the 529th byte)</v>
      </c>
    </row>
    <row r="54" spans="1:7" ht="54" x14ac:dyDescent="0.45">
      <c r="A54" s="1">
        <v>53</v>
      </c>
      <c r="B54" s="7" t="s">
        <v>315</v>
      </c>
      <c r="C54" s="7" t="s">
        <v>395</v>
      </c>
      <c r="D54" s="13">
        <v>2</v>
      </c>
      <c r="E54" s="1">
        <v>579</v>
      </c>
      <c r="F54" s="1"/>
      <c r="G54" s="2" t="str">
        <f t="shared" si="0"/>
        <v>EIAJ_変更注文区分1(579バイト目から2バイト)
/EIAJ_HENKO_CHUMON_KBN1(2 bytes from the 579th byte)</v>
      </c>
    </row>
    <row r="55" spans="1:7" ht="54" x14ac:dyDescent="0.45">
      <c r="A55" s="1">
        <v>54</v>
      </c>
      <c r="B55" s="7" t="s">
        <v>316</v>
      </c>
      <c r="C55" s="7" t="s">
        <v>396</v>
      </c>
      <c r="D55" s="13">
        <v>2</v>
      </c>
      <c r="E55" s="1">
        <v>581</v>
      </c>
      <c r="F55" s="1"/>
      <c r="G55" s="2" t="str">
        <f t="shared" si="0"/>
        <v>EIAJ_変更注文区分2(581バイト目から2バイト)
/EIAJ_HENKO_CHUMON_KBN2(2 bytes from the 581th byte)</v>
      </c>
    </row>
    <row r="56" spans="1:7" ht="54" x14ac:dyDescent="0.45">
      <c r="A56" s="1">
        <v>55</v>
      </c>
      <c r="B56" s="7" t="s">
        <v>317</v>
      </c>
      <c r="C56" s="7" t="s">
        <v>397</v>
      </c>
      <c r="D56" s="13">
        <v>2</v>
      </c>
      <c r="E56" s="1">
        <v>583</v>
      </c>
      <c r="F56" s="1"/>
      <c r="G56" s="2" t="str">
        <f t="shared" si="0"/>
        <v>EIAJ_変更注文区分3(583バイト目から2バイト)
/EIAJ_HENKO_CHUMON_KBN3(2 bytes from the 583th byte)</v>
      </c>
    </row>
    <row r="57" spans="1:7" ht="54" x14ac:dyDescent="0.45">
      <c r="A57" s="1">
        <v>56</v>
      </c>
      <c r="B57" s="7" t="s">
        <v>318</v>
      </c>
      <c r="C57" s="7" t="s">
        <v>398</v>
      </c>
      <c r="D57" s="13">
        <v>1</v>
      </c>
      <c r="E57" s="1">
        <v>585</v>
      </c>
      <c r="F57" s="1"/>
      <c r="G57" s="2" t="str">
        <f t="shared" si="0"/>
        <v>EIAJ_EDI取引区分(585バイト目から1バイト)
/EIAJ_EDI_TORIHIKI_KBN(1 bytes from the 585th byte)</v>
      </c>
    </row>
    <row r="58" spans="1:7" ht="54" x14ac:dyDescent="0.45">
      <c r="A58" s="1">
        <v>57</v>
      </c>
      <c r="B58" s="7" t="s">
        <v>319</v>
      </c>
      <c r="C58" s="7" t="s">
        <v>399</v>
      </c>
      <c r="D58" s="13">
        <v>3</v>
      </c>
      <c r="E58" s="1">
        <v>586</v>
      </c>
      <c r="F58" s="1"/>
      <c r="G58" s="2" t="str">
        <f t="shared" si="0"/>
        <v>EIAJ_EDI通貨コード(586バイト目から3バイト)
/EIAJ_EDI_TSUKA_CD(3 bytes from the 586th byte)</v>
      </c>
    </row>
    <row r="59" spans="1:7" ht="54" x14ac:dyDescent="0.45">
      <c r="A59" s="1">
        <v>58</v>
      </c>
      <c r="B59" s="7" t="s">
        <v>320</v>
      </c>
      <c r="C59" s="7" t="s">
        <v>400</v>
      </c>
      <c r="D59" s="13">
        <v>20</v>
      </c>
      <c r="E59" s="1">
        <v>589</v>
      </c>
      <c r="F59" s="1"/>
      <c r="G59" s="2" t="str">
        <f t="shared" si="0"/>
        <v>EIAJ_支払ID(589バイト目から20バイト)
/EIAJ_PAY_ID(20 bytes from the 589th byte)</v>
      </c>
    </row>
    <row r="60" spans="1:7" ht="54" x14ac:dyDescent="0.45">
      <c r="A60" s="1">
        <v>59</v>
      </c>
      <c r="B60" s="7" t="s">
        <v>321</v>
      </c>
      <c r="C60" s="7" t="s">
        <v>401</v>
      </c>
      <c r="D60" s="13">
        <v>13</v>
      </c>
      <c r="E60" s="1">
        <v>609</v>
      </c>
      <c r="F60" s="1"/>
      <c r="G60" s="2" t="str">
        <f t="shared" si="0"/>
        <v>EIAJ_支払内容別金額(609バイト目から13バイト)
/EIAJ_PAY_NAIYO_GAKU(13 bytes from the 609th byte)</v>
      </c>
    </row>
    <row r="61" spans="1:7" ht="54" x14ac:dyDescent="0.45">
      <c r="A61" s="1">
        <v>60</v>
      </c>
      <c r="B61" s="7" t="s">
        <v>322</v>
      </c>
      <c r="C61" s="7" t="s">
        <v>402</v>
      </c>
      <c r="D61" s="13">
        <v>2</v>
      </c>
      <c r="E61" s="1">
        <v>622</v>
      </c>
      <c r="F61" s="1"/>
      <c r="G61" s="2" t="str">
        <f t="shared" si="0"/>
        <v>EIAJ_支払方法区分(622バイト目から2バイト)
/EIAJ_PAY_HOHO_KBN(2 bytes from the 622th byte)</v>
      </c>
    </row>
    <row r="62" spans="1:7" ht="54" x14ac:dyDescent="0.45">
      <c r="A62" s="1">
        <v>61</v>
      </c>
      <c r="B62" s="7" t="s">
        <v>323</v>
      </c>
      <c r="C62" s="7" t="s">
        <v>403</v>
      </c>
      <c r="D62" s="13">
        <v>8</v>
      </c>
      <c r="E62" s="1">
        <v>624</v>
      </c>
      <c r="F62" s="1"/>
      <c r="G62" s="2" t="str">
        <f t="shared" si="0"/>
        <v>EIAJ_支払日(624バイト目から8バイト)
/EIAJ_PAY_D(8 bytes from the 624th byte)</v>
      </c>
    </row>
    <row r="63" spans="1:7" ht="54" x14ac:dyDescent="0.45">
      <c r="A63" s="1">
        <v>62</v>
      </c>
      <c r="B63" s="7" t="s">
        <v>113</v>
      </c>
      <c r="C63" s="7" t="s">
        <v>404</v>
      </c>
      <c r="D63" s="13">
        <v>200</v>
      </c>
      <c r="E63" s="1">
        <v>632</v>
      </c>
      <c r="F63" s="1"/>
      <c r="G63" s="2" t="str">
        <f t="shared" si="0"/>
        <v>IK自由使用欄1(632バイト目から200バイト)
/IK_FREE_SPACE1(200 bytes from the 632th byte)</v>
      </c>
    </row>
    <row r="64" spans="1:7" ht="54" x14ac:dyDescent="0.45">
      <c r="A64" s="1">
        <v>63</v>
      </c>
      <c r="B64" s="7" t="s">
        <v>324</v>
      </c>
      <c r="C64" s="7" t="s">
        <v>405</v>
      </c>
      <c r="D64" s="13">
        <v>200</v>
      </c>
      <c r="E64" s="1">
        <v>832</v>
      </c>
      <c r="F64" s="1"/>
      <c r="G64" s="2" t="str">
        <f t="shared" si="0"/>
        <v>IK自由使用欄2(832バイト目から200バイト)
/IK_FREE_SPACE2(200 bytes from the 832th byte)</v>
      </c>
    </row>
    <row r="65" spans="1:7" ht="54" x14ac:dyDescent="0.45">
      <c r="A65" s="1">
        <v>64</v>
      </c>
      <c r="B65" s="7" t="s">
        <v>325</v>
      </c>
      <c r="C65" s="7" t="s">
        <v>406</v>
      </c>
      <c r="D65" s="13">
        <v>200</v>
      </c>
      <c r="E65" s="1">
        <v>1032</v>
      </c>
      <c r="F65" s="1"/>
      <c r="G65" s="2" t="str">
        <f t="shared" si="0"/>
        <v>IK自由使用欄3(1032バイト目から200バイト)
/IK_FREE_SPACE3(200 bytes from the 1032th byte)</v>
      </c>
    </row>
    <row r="66" spans="1:7" ht="54" x14ac:dyDescent="0.45">
      <c r="A66" s="1">
        <v>65</v>
      </c>
      <c r="B66" s="7" t="s">
        <v>326</v>
      </c>
      <c r="C66" s="7" t="s">
        <v>407</v>
      </c>
      <c r="D66" s="13">
        <v>200</v>
      </c>
      <c r="E66" s="1">
        <v>1232</v>
      </c>
      <c r="F66" s="1"/>
      <c r="G66" s="2" t="str">
        <f t="shared" si="0"/>
        <v>IK自由使用欄4(1232バイト目から200バイト)
/IK_FREE_SPACE4(200 bytes from the 1232th byte)</v>
      </c>
    </row>
    <row r="67" spans="1:7" ht="54" x14ac:dyDescent="0.45">
      <c r="A67" s="1">
        <v>66</v>
      </c>
      <c r="B67" s="7" t="s">
        <v>327</v>
      </c>
      <c r="C67" s="7" t="s">
        <v>408</v>
      </c>
      <c r="D67" s="13">
        <v>100</v>
      </c>
      <c r="E67" s="1">
        <v>1432</v>
      </c>
      <c r="F67" s="1"/>
      <c r="G67" s="2" t="str">
        <f t="shared" si="0"/>
        <v>商品名追記(1432バイト目から100バイト)
/ITEM_NM_TSUIKI(100 bytes from the 1432th byte)</v>
      </c>
    </row>
    <row r="68" spans="1:7" ht="54" x14ac:dyDescent="0.45">
      <c r="A68" s="1">
        <v>67</v>
      </c>
      <c r="B68" s="7" t="s">
        <v>328</v>
      </c>
      <c r="C68" s="7" t="s">
        <v>409</v>
      </c>
      <c r="D68" s="13">
        <v>8</v>
      </c>
      <c r="E68" s="1">
        <v>1532</v>
      </c>
      <c r="F68" s="1"/>
      <c r="G68" s="2" t="str">
        <f t="shared" ref="G68:G131" si="1">B68&amp;"("&amp;E68&amp;"バイト目から"&amp;D68&amp;"バイト)
/"&amp;C68&amp;"("&amp;D68&amp;" bytes from the "&amp;E68&amp;"th byte)"</f>
        <v>受注年月日(1532バイト目から8バイト)
/JUC_YMD(8 bytes from the 1532th byte)</v>
      </c>
    </row>
    <row r="69" spans="1:7" ht="54" x14ac:dyDescent="0.45">
      <c r="A69" s="1">
        <v>68</v>
      </c>
      <c r="B69" s="7" t="s">
        <v>329</v>
      </c>
      <c r="C69" s="7" t="s">
        <v>410</v>
      </c>
      <c r="D69" s="13">
        <v>100</v>
      </c>
      <c r="E69" s="1">
        <v>1540</v>
      </c>
      <c r="F69" s="1"/>
      <c r="G69" s="2" t="str">
        <f t="shared" si="1"/>
        <v>商品対比相手コード1(1540バイト目から100バイト)
/ITEM_TAIHI_AITE_CD1(100 bytes from the 1540th byte)</v>
      </c>
    </row>
    <row r="70" spans="1:7" ht="54" x14ac:dyDescent="0.45">
      <c r="A70" s="1">
        <v>69</v>
      </c>
      <c r="B70" s="7" t="s">
        <v>330</v>
      </c>
      <c r="C70" s="7" t="s">
        <v>411</v>
      </c>
      <c r="D70" s="13">
        <v>100</v>
      </c>
      <c r="E70" s="1">
        <v>1640</v>
      </c>
      <c r="F70" s="1"/>
      <c r="G70" s="2" t="str">
        <f t="shared" si="1"/>
        <v>商品対比相手コード2(1640バイト目から100バイト)
/ITEM_TAIHI_AITE_CD2(100 bytes from the 1640th byte)</v>
      </c>
    </row>
    <row r="71" spans="1:7" ht="54" x14ac:dyDescent="0.45">
      <c r="A71" s="1">
        <v>70</v>
      </c>
      <c r="B71" s="7" t="s">
        <v>331</v>
      </c>
      <c r="C71" s="7" t="s">
        <v>412</v>
      </c>
      <c r="D71" s="13">
        <v>100</v>
      </c>
      <c r="E71" s="1">
        <v>1740</v>
      </c>
      <c r="F71" s="1"/>
      <c r="G71" s="2" t="str">
        <f t="shared" si="1"/>
        <v>商品対比相手コード3(1740バイト目から100バイト)
/ITEM_TAIHI_AITE_CD3(100 bytes from the 1740th byte)</v>
      </c>
    </row>
    <row r="72" spans="1:7" ht="54" x14ac:dyDescent="0.45">
      <c r="A72" s="1">
        <v>71</v>
      </c>
      <c r="B72" s="7" t="s">
        <v>332</v>
      </c>
      <c r="C72" s="7" t="s">
        <v>413</v>
      </c>
      <c r="D72" s="13">
        <v>100</v>
      </c>
      <c r="E72" s="1">
        <v>1840</v>
      </c>
      <c r="F72" s="1"/>
      <c r="G72" s="2" t="str">
        <f t="shared" si="1"/>
        <v>商品対比相手コード4(1840バイト目から100バイト)
/ITEM_TAIHI_AITE_CD4(100 bytes from the 1840th byte)</v>
      </c>
    </row>
    <row r="73" spans="1:7" ht="54" x14ac:dyDescent="0.45">
      <c r="A73" s="1">
        <v>72</v>
      </c>
      <c r="B73" s="7" t="s">
        <v>333</v>
      </c>
      <c r="C73" s="7" t="s">
        <v>414</v>
      </c>
      <c r="D73" s="13">
        <v>100</v>
      </c>
      <c r="E73" s="1">
        <v>1940</v>
      </c>
      <c r="F73" s="1"/>
      <c r="G73" s="2" t="str">
        <f t="shared" si="1"/>
        <v>販売先対比相手コード1(1940バイト目から100バイト)
/HAN_TAIHI_AITE_CD1(100 bytes from the 1940th byte)</v>
      </c>
    </row>
    <row r="74" spans="1:7" ht="54" x14ac:dyDescent="0.45">
      <c r="A74" s="1">
        <v>73</v>
      </c>
      <c r="B74" s="7" t="s">
        <v>334</v>
      </c>
      <c r="C74" s="7" t="s">
        <v>415</v>
      </c>
      <c r="D74" s="13">
        <v>100</v>
      </c>
      <c r="E74" s="1">
        <v>2040</v>
      </c>
      <c r="F74" s="1"/>
      <c r="G74" s="2" t="str">
        <f t="shared" si="1"/>
        <v>販売先対比相手コード2(2040バイト目から100バイト)
/HAN_TAIHI_AITE_CD2(100 bytes from the 2040th byte)</v>
      </c>
    </row>
    <row r="75" spans="1:7" ht="54" x14ac:dyDescent="0.45">
      <c r="A75" s="1">
        <v>74</v>
      </c>
      <c r="B75" s="7" t="s">
        <v>335</v>
      </c>
      <c r="C75" s="7" t="s">
        <v>416</v>
      </c>
      <c r="D75" s="13">
        <v>100</v>
      </c>
      <c r="E75" s="1">
        <v>2140</v>
      </c>
      <c r="F75" s="1"/>
      <c r="G75" s="2" t="str">
        <f t="shared" si="1"/>
        <v>販売先対比相手コード3(2140バイト目から100バイト)
/HAN_TAIHI_AITE_CD3(100 bytes from the 2140th byte)</v>
      </c>
    </row>
    <row r="76" spans="1:7" ht="54" x14ac:dyDescent="0.45">
      <c r="A76" s="1">
        <v>75</v>
      </c>
      <c r="B76" s="7" t="s">
        <v>336</v>
      </c>
      <c r="C76" s="7" t="s">
        <v>417</v>
      </c>
      <c r="D76" s="13">
        <v>100</v>
      </c>
      <c r="E76" s="1">
        <v>2240</v>
      </c>
      <c r="F76" s="1"/>
      <c r="G76" s="2" t="str">
        <f t="shared" si="1"/>
        <v>販売先対比相手コード4(2240バイト目から100バイト)
/HAN_TAIHI_AITE_CD4(100 bytes from the 2240th byte)</v>
      </c>
    </row>
    <row r="77" spans="1:7" ht="54" x14ac:dyDescent="0.45">
      <c r="A77" s="1">
        <v>76</v>
      </c>
      <c r="B77" s="7" t="s">
        <v>237</v>
      </c>
      <c r="C77" s="7" t="s">
        <v>263</v>
      </c>
      <c r="D77" s="13">
        <v>4000</v>
      </c>
      <c r="E77" s="1">
        <v>2340</v>
      </c>
      <c r="F77" s="1"/>
      <c r="G77" s="2" t="str">
        <f t="shared" si="1"/>
        <v>相手先別データ(2340バイト目から4000バイト)
/AITE_SAKI_BETSU_DATA(4000 bytes from the 2340th byte)</v>
      </c>
    </row>
    <row r="78" spans="1:7" ht="54" x14ac:dyDescent="0.45">
      <c r="A78" s="1">
        <v>77</v>
      </c>
      <c r="B78" s="7" t="s">
        <v>118</v>
      </c>
      <c r="C78" s="7" t="s">
        <v>259</v>
      </c>
      <c r="D78" s="13">
        <v>1</v>
      </c>
      <c r="E78" s="1">
        <v>6340</v>
      </c>
      <c r="F78" s="1"/>
      <c r="G78" s="2" t="str">
        <f t="shared" si="1"/>
        <v>削除区分(6340バイト目から1バイト)
/DEL_KBN(1 bytes from the 6340th byte)</v>
      </c>
    </row>
    <row r="79" spans="1:7" ht="54" x14ac:dyDescent="0.45">
      <c r="A79" s="1">
        <v>78</v>
      </c>
      <c r="B79" s="7" t="s">
        <v>337</v>
      </c>
      <c r="C79" s="7" t="s">
        <v>418</v>
      </c>
      <c r="D79" s="13">
        <v>19</v>
      </c>
      <c r="E79" s="1">
        <v>6341</v>
      </c>
      <c r="F79" s="1"/>
      <c r="G79" s="2" t="str">
        <f t="shared" si="1"/>
        <v>作成日時(6341バイト目から19バイト)
/CREATE_DT(19 bytes from the 6341th byte)</v>
      </c>
    </row>
    <row r="80" spans="1:7" ht="54" x14ac:dyDescent="0.45">
      <c r="A80" s="1">
        <v>79</v>
      </c>
      <c r="B80" s="7" t="s">
        <v>338</v>
      </c>
      <c r="C80" s="7" t="s">
        <v>419</v>
      </c>
      <c r="D80" s="13">
        <v>20</v>
      </c>
      <c r="E80" s="1">
        <v>6360</v>
      </c>
      <c r="F80" s="1"/>
      <c r="G80" s="2" t="str">
        <f t="shared" si="1"/>
        <v>作成ユーザ(6360バイト目から20バイト)
/CREATE_USR(20 bytes from the 6360th byte)</v>
      </c>
    </row>
    <row r="81" spans="1:7" ht="54" x14ac:dyDescent="0.45">
      <c r="A81" s="1">
        <v>80</v>
      </c>
      <c r="B81" s="7" t="s">
        <v>339</v>
      </c>
      <c r="C81" s="7" t="s">
        <v>420</v>
      </c>
      <c r="D81" s="13">
        <v>64</v>
      </c>
      <c r="E81" s="1">
        <v>6380</v>
      </c>
      <c r="F81" s="1"/>
      <c r="G81" s="2" t="str">
        <f t="shared" si="1"/>
        <v>作成処理(6380バイト目から64バイト)
/CREATE_FUNC(64 bytes from the 6380th byte)</v>
      </c>
    </row>
    <row r="82" spans="1:7" ht="54" x14ac:dyDescent="0.45">
      <c r="A82" s="1">
        <v>81</v>
      </c>
      <c r="B82" s="7" t="s">
        <v>340</v>
      </c>
      <c r="C82" s="7" t="s">
        <v>421</v>
      </c>
      <c r="D82" s="13">
        <v>19</v>
      </c>
      <c r="E82" s="1">
        <v>6444</v>
      </c>
      <c r="F82" s="1"/>
      <c r="G82" s="2" t="str">
        <f t="shared" si="1"/>
        <v>最新更新日時(6444バイト目から19バイト)
/NEW_UPDATE_DT(19 bytes from the 6444th byte)</v>
      </c>
    </row>
    <row r="83" spans="1:7" ht="54" x14ac:dyDescent="0.45">
      <c r="A83" s="1">
        <v>82</v>
      </c>
      <c r="B83" s="7" t="s">
        <v>341</v>
      </c>
      <c r="C83" s="7" t="s">
        <v>422</v>
      </c>
      <c r="D83" s="13">
        <v>20</v>
      </c>
      <c r="E83" s="1">
        <v>6463</v>
      </c>
      <c r="F83" s="1"/>
      <c r="G83" s="2" t="str">
        <f t="shared" si="1"/>
        <v>最新更新ユーザ(6463バイト目から20バイト)
/NEW_UPDATE_USR(20 bytes from the 6463th byte)</v>
      </c>
    </row>
    <row r="84" spans="1:7" ht="54" x14ac:dyDescent="0.45">
      <c r="A84" s="1">
        <v>83</v>
      </c>
      <c r="B84" s="7" t="s">
        <v>342</v>
      </c>
      <c r="C84" s="7" t="s">
        <v>423</v>
      </c>
      <c r="D84" s="13">
        <v>64</v>
      </c>
      <c r="E84" s="1">
        <v>6483</v>
      </c>
      <c r="F84" s="1"/>
      <c r="G84" s="2" t="str">
        <f t="shared" si="1"/>
        <v>最新更新処理(6483バイト目から64バイト)
/NEW_UPDATE_FUNC(64 bytes from the 6483th byte)</v>
      </c>
    </row>
    <row r="85" spans="1:7" ht="54" x14ac:dyDescent="0.45">
      <c r="A85" s="1">
        <v>84</v>
      </c>
      <c r="B85" s="7" t="s">
        <v>343</v>
      </c>
      <c r="C85" s="7" t="s">
        <v>424</v>
      </c>
      <c r="D85" s="13">
        <v>9</v>
      </c>
      <c r="E85" s="1">
        <v>6547</v>
      </c>
      <c r="F85" s="1"/>
      <c r="G85" s="2" t="str">
        <f t="shared" si="1"/>
        <v>更新回数(6547バイト目から9バイト)
/UPDATE_CNT(9 bytes from the 6547th byte)</v>
      </c>
    </row>
    <row r="86" spans="1:7" ht="54" x14ac:dyDescent="0.45">
      <c r="A86" s="1">
        <v>85</v>
      </c>
      <c r="B86" s="7"/>
      <c r="C86" s="7"/>
      <c r="D86" s="13"/>
      <c r="E86" s="1"/>
      <c r="F86" s="1"/>
      <c r="G86" s="2" t="str">
        <f t="shared" si="1"/>
        <v>(バイト目からバイト)
/( bytes from the th byte)</v>
      </c>
    </row>
    <row r="87" spans="1:7" ht="54" x14ac:dyDescent="0.45">
      <c r="A87" s="1">
        <v>86</v>
      </c>
      <c r="B87" s="7"/>
      <c r="C87" s="7"/>
      <c r="D87" s="13"/>
      <c r="E87" s="1"/>
      <c r="F87" s="1"/>
      <c r="G87" s="2" t="str">
        <f t="shared" si="1"/>
        <v>(バイト目からバイト)
/( bytes from the th byte)</v>
      </c>
    </row>
    <row r="88" spans="1:7" ht="54" x14ac:dyDescent="0.45">
      <c r="A88" s="1">
        <v>87</v>
      </c>
      <c r="B88" s="7"/>
      <c r="C88" s="7"/>
      <c r="D88" s="13"/>
      <c r="E88" s="1"/>
      <c r="F88" s="1"/>
      <c r="G88" s="2" t="str">
        <f t="shared" si="1"/>
        <v>(バイト目からバイト)
/( bytes from the th byte)</v>
      </c>
    </row>
    <row r="89" spans="1:7" ht="54" x14ac:dyDescent="0.45">
      <c r="A89" s="1">
        <v>88</v>
      </c>
      <c r="B89" s="7"/>
      <c r="C89" s="7"/>
      <c r="D89" s="13"/>
      <c r="E89" s="1"/>
      <c r="F89" s="1"/>
      <c r="G89" s="2" t="str">
        <f t="shared" si="1"/>
        <v>(バイト目からバイト)
/( bytes from the th byte)</v>
      </c>
    </row>
    <row r="90" spans="1:7" ht="54" x14ac:dyDescent="0.45">
      <c r="A90" s="1">
        <v>89</v>
      </c>
      <c r="B90" s="7"/>
      <c r="C90" s="7"/>
      <c r="D90" s="13"/>
      <c r="E90" s="1"/>
      <c r="F90" s="1"/>
      <c r="G90" s="2" t="str">
        <f t="shared" si="1"/>
        <v>(バイト目からバイト)
/( bytes from the th byte)</v>
      </c>
    </row>
    <row r="91" spans="1:7" ht="54" x14ac:dyDescent="0.45">
      <c r="A91" s="1">
        <v>90</v>
      </c>
      <c r="B91" s="7"/>
      <c r="C91" s="7"/>
      <c r="D91" s="13"/>
      <c r="E91" s="1"/>
      <c r="F91" s="1"/>
      <c r="G91" s="2" t="str">
        <f t="shared" si="1"/>
        <v>(バイト目からバイト)
/( bytes from the th byte)</v>
      </c>
    </row>
    <row r="92" spans="1:7" ht="54" x14ac:dyDescent="0.45">
      <c r="A92" s="1">
        <v>91</v>
      </c>
      <c r="B92" s="7"/>
      <c r="C92" s="7"/>
      <c r="D92" s="13"/>
      <c r="E92" s="1"/>
      <c r="F92" s="1"/>
      <c r="G92" s="2" t="str">
        <f t="shared" si="1"/>
        <v>(バイト目からバイト)
/( bytes from the th byte)</v>
      </c>
    </row>
    <row r="93" spans="1:7" ht="54" x14ac:dyDescent="0.45">
      <c r="A93" s="1">
        <v>92</v>
      </c>
      <c r="B93" s="7"/>
      <c r="C93" s="7"/>
      <c r="D93" s="13"/>
      <c r="E93" s="1"/>
      <c r="F93" s="1"/>
      <c r="G93" s="2" t="str">
        <f t="shared" si="1"/>
        <v>(バイト目からバイト)
/( bytes from the th byte)</v>
      </c>
    </row>
    <row r="94" spans="1:7" ht="54" x14ac:dyDescent="0.45">
      <c r="A94" s="1">
        <v>93</v>
      </c>
      <c r="B94" s="7"/>
      <c r="C94" s="7"/>
      <c r="D94" s="13"/>
      <c r="E94" s="1"/>
      <c r="F94" s="1"/>
      <c r="G94" s="2" t="str">
        <f t="shared" si="1"/>
        <v>(バイト目からバイト)
/( bytes from the th byte)</v>
      </c>
    </row>
    <row r="95" spans="1:7" ht="54" x14ac:dyDescent="0.45">
      <c r="A95" s="1">
        <v>94</v>
      </c>
      <c r="B95" s="7"/>
      <c r="C95" s="7"/>
      <c r="D95" s="13"/>
      <c r="E95" s="1"/>
      <c r="F95" s="1"/>
      <c r="G95" s="2" t="str">
        <f t="shared" si="1"/>
        <v>(バイト目からバイト)
/( bytes from the th byte)</v>
      </c>
    </row>
    <row r="96" spans="1:7" ht="54" x14ac:dyDescent="0.45">
      <c r="A96" s="1">
        <v>95</v>
      </c>
      <c r="B96" s="7"/>
      <c r="C96" s="7"/>
      <c r="D96" s="13"/>
      <c r="E96" s="1"/>
      <c r="F96" s="1"/>
      <c r="G96" s="2" t="str">
        <f t="shared" si="1"/>
        <v>(バイト目からバイト)
/( bytes from the th byte)</v>
      </c>
    </row>
    <row r="97" spans="1:7" ht="54" x14ac:dyDescent="0.45">
      <c r="A97" s="1">
        <v>96</v>
      </c>
      <c r="B97" s="7"/>
      <c r="C97" s="7"/>
      <c r="D97" s="13"/>
      <c r="E97" s="1"/>
      <c r="F97" s="1"/>
      <c r="G97" s="2" t="str">
        <f t="shared" si="1"/>
        <v>(バイト目からバイト)
/( bytes from the th byte)</v>
      </c>
    </row>
    <row r="98" spans="1:7" ht="54" x14ac:dyDescent="0.45">
      <c r="A98" s="1">
        <v>97</v>
      </c>
      <c r="B98" s="7"/>
      <c r="C98" s="7"/>
      <c r="D98" s="13"/>
      <c r="E98" s="1"/>
      <c r="F98" s="1"/>
      <c r="G98" s="2" t="str">
        <f t="shared" si="1"/>
        <v>(バイト目からバイト)
/( bytes from the th byte)</v>
      </c>
    </row>
    <row r="99" spans="1:7" ht="54" x14ac:dyDescent="0.45">
      <c r="A99" s="1">
        <v>98</v>
      </c>
      <c r="B99" s="7"/>
      <c r="C99" s="7"/>
      <c r="D99" s="13"/>
      <c r="E99" s="1"/>
      <c r="F99" s="1"/>
      <c r="G99" s="2" t="str">
        <f t="shared" si="1"/>
        <v>(バイト目からバイト)
/( bytes from the th byte)</v>
      </c>
    </row>
    <row r="100" spans="1:7" ht="54" x14ac:dyDescent="0.45">
      <c r="A100" s="1">
        <v>99</v>
      </c>
      <c r="B100" s="7"/>
      <c r="C100" s="7"/>
      <c r="D100" s="13"/>
      <c r="E100" s="1"/>
      <c r="F100" s="1"/>
      <c r="G100" s="2" t="str">
        <f t="shared" si="1"/>
        <v>(バイト目からバイト)
/( bytes from the th byte)</v>
      </c>
    </row>
    <row r="101" spans="1:7" ht="54" x14ac:dyDescent="0.45">
      <c r="A101" s="1">
        <v>100</v>
      </c>
      <c r="B101" s="7"/>
      <c r="C101" s="7"/>
      <c r="D101" s="13"/>
      <c r="E101" s="1"/>
      <c r="F101" s="1"/>
      <c r="G101" s="2" t="str">
        <f t="shared" si="1"/>
        <v>(バイト目からバイト)
/( bytes from the th byte)</v>
      </c>
    </row>
    <row r="102" spans="1:7" ht="54" x14ac:dyDescent="0.45">
      <c r="A102" s="1">
        <v>101</v>
      </c>
      <c r="B102" s="7"/>
      <c r="C102" s="7"/>
      <c r="D102" s="13"/>
      <c r="E102" s="1"/>
      <c r="F102" s="1"/>
      <c r="G102" s="2" t="str">
        <f t="shared" si="1"/>
        <v>(バイト目からバイト)
/( bytes from the th byte)</v>
      </c>
    </row>
    <row r="103" spans="1:7" ht="54" x14ac:dyDescent="0.45">
      <c r="A103" s="1">
        <v>102</v>
      </c>
      <c r="B103" s="7"/>
      <c r="C103" s="7"/>
      <c r="D103" s="13"/>
      <c r="E103" s="1"/>
      <c r="F103" s="1"/>
      <c r="G103" s="2" t="str">
        <f t="shared" si="1"/>
        <v>(バイト目からバイト)
/( bytes from the th byte)</v>
      </c>
    </row>
    <row r="104" spans="1:7" ht="54" x14ac:dyDescent="0.45">
      <c r="A104" s="1">
        <v>103</v>
      </c>
      <c r="B104" s="7"/>
      <c r="C104" s="7"/>
      <c r="D104" s="13"/>
      <c r="E104" s="1"/>
      <c r="F104" s="1"/>
      <c r="G104" s="2" t="str">
        <f t="shared" si="1"/>
        <v>(バイト目からバイト)
/( bytes from the th byte)</v>
      </c>
    </row>
    <row r="105" spans="1:7" ht="54" x14ac:dyDescent="0.45">
      <c r="A105" s="1">
        <v>104</v>
      </c>
      <c r="B105" s="7"/>
      <c r="C105" s="7"/>
      <c r="D105" s="13"/>
      <c r="E105" s="1"/>
      <c r="F105" s="1"/>
      <c r="G105" s="2" t="str">
        <f t="shared" si="1"/>
        <v>(バイト目からバイト)
/( bytes from the th byte)</v>
      </c>
    </row>
    <row r="106" spans="1:7" ht="54" x14ac:dyDescent="0.45">
      <c r="A106" s="1">
        <v>105</v>
      </c>
      <c r="B106" s="7"/>
      <c r="C106" s="7"/>
      <c r="D106" s="13"/>
      <c r="E106" s="1"/>
      <c r="F106" s="1"/>
      <c r="G106" s="2" t="str">
        <f t="shared" si="1"/>
        <v>(バイト目からバイト)
/( bytes from the th byte)</v>
      </c>
    </row>
    <row r="107" spans="1:7" ht="54" x14ac:dyDescent="0.45">
      <c r="A107" s="1">
        <v>106</v>
      </c>
      <c r="B107" s="7"/>
      <c r="C107" s="7"/>
      <c r="D107" s="13"/>
      <c r="E107" s="1"/>
      <c r="F107" s="1"/>
      <c r="G107" s="2" t="str">
        <f t="shared" si="1"/>
        <v>(バイト目からバイト)
/( bytes from the th byte)</v>
      </c>
    </row>
    <row r="108" spans="1:7" ht="54" x14ac:dyDescent="0.45">
      <c r="A108" s="1">
        <v>107</v>
      </c>
      <c r="B108" s="7"/>
      <c r="C108" s="12"/>
      <c r="D108" s="13"/>
      <c r="E108" s="1"/>
      <c r="F108" s="1"/>
      <c r="G108" s="2" t="str">
        <f t="shared" si="1"/>
        <v>(バイト目からバイト)
/( bytes from the th byte)</v>
      </c>
    </row>
    <row r="109" spans="1:7" ht="54" x14ac:dyDescent="0.45">
      <c r="A109" s="1">
        <v>108</v>
      </c>
      <c r="B109" s="7"/>
      <c r="C109" s="12"/>
      <c r="D109" s="13"/>
      <c r="E109" s="1"/>
      <c r="F109" s="1"/>
      <c r="G109" s="2" t="str">
        <f t="shared" si="1"/>
        <v>(バイト目からバイト)
/( bytes from the th byte)</v>
      </c>
    </row>
    <row r="110" spans="1:7" ht="54" x14ac:dyDescent="0.45">
      <c r="A110" s="1">
        <v>109</v>
      </c>
      <c r="B110" s="7"/>
      <c r="C110" s="12"/>
      <c r="D110" s="13"/>
      <c r="E110" s="1"/>
      <c r="F110" s="1"/>
      <c r="G110" s="2" t="str">
        <f t="shared" si="1"/>
        <v>(バイト目からバイト)
/( bytes from the th byte)</v>
      </c>
    </row>
    <row r="111" spans="1:7" ht="54" x14ac:dyDescent="0.45">
      <c r="A111" s="1">
        <v>110</v>
      </c>
      <c r="B111" s="7"/>
      <c r="C111" s="7"/>
      <c r="D111" s="13"/>
      <c r="E111" s="1"/>
      <c r="F111" s="1"/>
      <c r="G111" s="2" t="str">
        <f t="shared" si="1"/>
        <v>(バイト目からバイト)
/( bytes from the th byte)</v>
      </c>
    </row>
    <row r="112" spans="1:7" ht="54" x14ac:dyDescent="0.45">
      <c r="A112" s="1">
        <v>111</v>
      </c>
      <c r="B112" s="7"/>
      <c r="C112" s="7"/>
      <c r="D112" s="13"/>
      <c r="E112" s="1"/>
      <c r="F112" s="1"/>
      <c r="G112" s="2" t="str">
        <f t="shared" si="1"/>
        <v>(バイト目からバイト)
/( bytes from the th byte)</v>
      </c>
    </row>
    <row r="113" spans="1:7" ht="54" x14ac:dyDescent="0.45">
      <c r="A113" s="1">
        <v>112</v>
      </c>
      <c r="B113" s="7"/>
      <c r="C113" s="7"/>
      <c r="D113" s="13"/>
      <c r="E113" s="1"/>
      <c r="F113" s="1"/>
      <c r="G113" s="2" t="str">
        <f t="shared" si="1"/>
        <v>(バイト目からバイト)
/( bytes from the th byte)</v>
      </c>
    </row>
    <row r="114" spans="1:7" ht="54" x14ac:dyDescent="0.45">
      <c r="A114" s="1">
        <v>113</v>
      </c>
      <c r="B114" s="7"/>
      <c r="C114" s="7"/>
      <c r="D114" s="13"/>
      <c r="E114" s="1"/>
      <c r="F114" s="1"/>
      <c r="G114" s="2" t="str">
        <f t="shared" si="1"/>
        <v>(バイト目からバイト)
/( bytes from the th byte)</v>
      </c>
    </row>
    <row r="115" spans="1:7" ht="54" x14ac:dyDescent="0.45">
      <c r="A115" s="1">
        <v>114</v>
      </c>
      <c r="B115" s="7"/>
      <c r="C115" s="7"/>
      <c r="D115" s="13"/>
      <c r="E115" s="1"/>
      <c r="F115" s="1"/>
      <c r="G115" s="2" t="str">
        <f t="shared" si="1"/>
        <v>(バイト目からバイト)
/( bytes from the th byte)</v>
      </c>
    </row>
    <row r="116" spans="1:7" ht="54" x14ac:dyDescent="0.45">
      <c r="A116" s="1">
        <v>115</v>
      </c>
      <c r="B116" s="7"/>
      <c r="C116" s="7"/>
      <c r="D116" s="13"/>
      <c r="E116" s="1"/>
      <c r="F116" s="1"/>
      <c r="G116" s="2" t="str">
        <f t="shared" si="1"/>
        <v>(バイト目からバイト)
/( bytes from the th byte)</v>
      </c>
    </row>
    <row r="117" spans="1:7" ht="54" x14ac:dyDescent="0.45">
      <c r="A117" s="1">
        <v>116</v>
      </c>
      <c r="B117" s="7"/>
      <c r="C117" s="7"/>
      <c r="D117" s="13"/>
      <c r="E117" s="1"/>
      <c r="F117" s="1"/>
      <c r="G117" s="2" t="str">
        <f t="shared" si="1"/>
        <v>(バイト目からバイト)
/( bytes from the th byte)</v>
      </c>
    </row>
    <row r="118" spans="1:7" ht="54" x14ac:dyDescent="0.45">
      <c r="A118" s="1">
        <v>117</v>
      </c>
      <c r="B118" s="7"/>
      <c r="C118" s="7"/>
      <c r="D118" s="13"/>
      <c r="E118" s="1"/>
      <c r="F118" s="1"/>
      <c r="G118" s="2" t="str">
        <f t="shared" si="1"/>
        <v>(バイト目からバイト)
/( bytes from the th byte)</v>
      </c>
    </row>
    <row r="119" spans="1:7" ht="54" x14ac:dyDescent="0.45">
      <c r="A119" s="1">
        <v>118</v>
      </c>
      <c r="B119" s="7"/>
      <c r="C119" s="7"/>
      <c r="D119" s="13"/>
      <c r="E119" s="1"/>
      <c r="F119" s="1"/>
      <c r="G119" s="2" t="str">
        <f t="shared" si="1"/>
        <v>(バイト目からバイト)
/( bytes from the th byte)</v>
      </c>
    </row>
    <row r="120" spans="1:7" ht="54" x14ac:dyDescent="0.45">
      <c r="A120" s="1">
        <v>119</v>
      </c>
      <c r="B120" s="7"/>
      <c r="C120" s="7"/>
      <c r="D120" s="13"/>
      <c r="E120" s="1"/>
      <c r="F120" s="1"/>
      <c r="G120" s="2" t="str">
        <f t="shared" si="1"/>
        <v>(バイト目からバイト)
/( bytes from the th byte)</v>
      </c>
    </row>
    <row r="121" spans="1:7" ht="54" x14ac:dyDescent="0.45">
      <c r="A121" s="1">
        <v>120</v>
      </c>
      <c r="B121" s="7"/>
      <c r="C121" s="7"/>
      <c r="D121" s="13"/>
      <c r="E121" s="1"/>
      <c r="F121" s="1"/>
      <c r="G121" s="2" t="str">
        <f t="shared" si="1"/>
        <v>(バイト目からバイト)
/( bytes from the th byte)</v>
      </c>
    </row>
    <row r="122" spans="1:7" ht="54" x14ac:dyDescent="0.45">
      <c r="A122" s="1">
        <v>121</v>
      </c>
      <c r="B122" s="7"/>
      <c r="C122" s="7"/>
      <c r="D122" s="13"/>
      <c r="E122" s="1"/>
      <c r="F122" s="1"/>
      <c r="G122" s="2" t="str">
        <f t="shared" si="1"/>
        <v>(バイト目からバイト)
/( bytes from the th byte)</v>
      </c>
    </row>
    <row r="123" spans="1:7" ht="54" x14ac:dyDescent="0.45">
      <c r="A123" s="1">
        <v>122</v>
      </c>
      <c r="B123" s="7"/>
      <c r="C123" s="7"/>
      <c r="D123" s="13"/>
      <c r="E123" s="1"/>
      <c r="F123" s="1"/>
      <c r="G123" s="2" t="str">
        <f t="shared" si="1"/>
        <v>(バイト目からバイト)
/( bytes from the th byte)</v>
      </c>
    </row>
    <row r="124" spans="1:7" ht="54" x14ac:dyDescent="0.45">
      <c r="A124" s="1">
        <v>123</v>
      </c>
      <c r="B124" s="7"/>
      <c r="C124" s="7"/>
      <c r="D124" s="13"/>
      <c r="E124" s="1"/>
      <c r="F124" s="1"/>
      <c r="G124" s="2" t="str">
        <f t="shared" si="1"/>
        <v>(バイト目からバイト)
/( bytes from the th byte)</v>
      </c>
    </row>
    <row r="125" spans="1:7" ht="54" x14ac:dyDescent="0.45">
      <c r="A125" s="1">
        <v>124</v>
      </c>
      <c r="B125" s="7"/>
      <c r="C125" s="7"/>
      <c r="D125" s="13"/>
      <c r="E125" s="1"/>
      <c r="F125" s="1"/>
      <c r="G125" s="2" t="str">
        <f t="shared" si="1"/>
        <v>(バイト目からバイト)
/( bytes from the th byte)</v>
      </c>
    </row>
    <row r="126" spans="1:7" ht="54" x14ac:dyDescent="0.45">
      <c r="A126" s="1">
        <v>125</v>
      </c>
      <c r="B126" s="7"/>
      <c r="C126" s="7"/>
      <c r="D126" s="13"/>
      <c r="E126" s="1"/>
      <c r="F126" s="1"/>
      <c r="G126" s="2" t="str">
        <f t="shared" si="1"/>
        <v>(バイト目からバイト)
/( bytes from the th byte)</v>
      </c>
    </row>
    <row r="127" spans="1:7" ht="54" x14ac:dyDescent="0.45">
      <c r="A127" s="1">
        <v>126</v>
      </c>
      <c r="B127" s="7"/>
      <c r="C127" s="7"/>
      <c r="D127" s="13"/>
      <c r="E127" s="1"/>
      <c r="F127" s="1"/>
      <c r="G127" s="2" t="str">
        <f t="shared" si="1"/>
        <v>(バイト目からバイト)
/( bytes from the th byte)</v>
      </c>
    </row>
    <row r="128" spans="1:7" ht="54" x14ac:dyDescent="0.45">
      <c r="A128" s="1">
        <v>127</v>
      </c>
      <c r="B128" s="7"/>
      <c r="C128" s="7"/>
      <c r="D128" s="13"/>
      <c r="E128" s="1"/>
      <c r="F128" s="1"/>
      <c r="G128" s="2" t="str">
        <f t="shared" si="1"/>
        <v>(バイト目からバイト)
/( bytes from the th byte)</v>
      </c>
    </row>
    <row r="129" spans="1:7" ht="54" x14ac:dyDescent="0.45">
      <c r="A129" s="1">
        <v>128</v>
      </c>
      <c r="B129" s="7"/>
      <c r="C129" s="7"/>
      <c r="D129" s="13"/>
      <c r="E129" s="1"/>
      <c r="F129" s="1"/>
      <c r="G129" s="2" t="str">
        <f t="shared" si="1"/>
        <v>(バイト目からバイト)
/( bytes from the th byte)</v>
      </c>
    </row>
    <row r="130" spans="1:7" ht="54" x14ac:dyDescent="0.45">
      <c r="A130" s="1">
        <v>129</v>
      </c>
      <c r="B130" s="7"/>
      <c r="C130" s="7"/>
      <c r="D130" s="13"/>
      <c r="E130" s="1"/>
      <c r="F130" s="1"/>
      <c r="G130" s="2" t="str">
        <f t="shared" si="1"/>
        <v>(バイト目からバイト)
/( bytes from the th byte)</v>
      </c>
    </row>
    <row r="131" spans="1:7" ht="54" x14ac:dyDescent="0.45">
      <c r="A131" s="1">
        <v>130</v>
      </c>
      <c r="B131" s="7"/>
      <c r="C131" s="7"/>
      <c r="D131" s="13"/>
      <c r="E131" s="1"/>
      <c r="F131" s="1"/>
      <c r="G131" s="2" t="str">
        <f t="shared" si="1"/>
        <v>(バイト目からバイト)
/( bytes from the th byte)</v>
      </c>
    </row>
    <row r="132" spans="1:7" ht="54" x14ac:dyDescent="0.45">
      <c r="A132" s="1">
        <v>131</v>
      </c>
      <c r="B132" s="7"/>
      <c r="C132" s="7"/>
      <c r="D132" s="13"/>
      <c r="E132" s="1"/>
      <c r="F132" s="1"/>
      <c r="G132" s="2" t="str">
        <f t="shared" ref="G132:G134" si="2">B132&amp;"("&amp;E132&amp;"バイト目から"&amp;D132&amp;"バイト)
/"&amp;C132&amp;"("&amp;D132&amp;" bytes from the "&amp;E132&amp;"th byte)"</f>
        <v>(バイト目からバイト)
/( bytes from the th byte)</v>
      </c>
    </row>
    <row r="133" spans="1:7" ht="54" x14ac:dyDescent="0.45">
      <c r="A133" s="1">
        <v>132</v>
      </c>
      <c r="B133" s="7"/>
      <c r="C133" s="7"/>
      <c r="D133" s="13"/>
      <c r="E133" s="1"/>
      <c r="F133" s="1"/>
      <c r="G133" s="2" t="str">
        <f t="shared" si="2"/>
        <v>(バイト目からバイト)
/( bytes from the th byte)</v>
      </c>
    </row>
    <row r="134" spans="1:7" ht="54" x14ac:dyDescent="0.45">
      <c r="A134" s="1">
        <v>133</v>
      </c>
      <c r="B134" s="7"/>
      <c r="C134" s="7"/>
      <c r="D134" s="13"/>
      <c r="E134" s="1"/>
      <c r="F134" s="1"/>
      <c r="G134" s="2" t="str">
        <f t="shared" si="2"/>
        <v>(バイト目からバイト)
/( bytes from the th byte)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0DE1D-53FC-4EE4-96E7-C229995314F4}">
  <dimension ref="A2:C134"/>
  <sheetViews>
    <sheetView tabSelected="1" topLeftCell="A74" zoomScaleNormal="100" workbookViewId="0">
      <selection activeCell="C77" sqref="C77"/>
    </sheetView>
  </sheetViews>
  <sheetFormatPr defaultRowHeight="18" x14ac:dyDescent="0.45"/>
  <cols>
    <col min="1" max="1" width="8.796875" style="4"/>
    <col min="2" max="2" width="32.19921875" style="14" customWidth="1"/>
    <col min="3" max="3" width="31.3984375" style="4" customWidth="1"/>
    <col min="4" max="16384" width="8.796875" style="4"/>
  </cols>
  <sheetData>
    <row r="2" spans="1:3" ht="21.6" x14ac:dyDescent="0.45">
      <c r="A2" s="5">
        <v>1</v>
      </c>
      <c r="B2" s="8" t="s">
        <v>425</v>
      </c>
      <c r="C2" s="6" t="str">
        <f>""&amp;B2&amp;" であること。"</f>
        <v>"PNAB0101"＋システム年月日時分秒ミリ秒(YYYYMMDDHHMISSFFF) であること。</v>
      </c>
    </row>
    <row r="3" spans="1:3" x14ac:dyDescent="0.45">
      <c r="A3" s="5">
        <v>2</v>
      </c>
      <c r="B3" s="8" t="s">
        <v>426</v>
      </c>
      <c r="C3" s="6" t="str">
        <f t="shared" ref="C3:C66" si="0">""&amp;B3&amp;" であること。"</f>
        <v>00001からの連番 であること。</v>
      </c>
    </row>
    <row r="4" spans="1:3" x14ac:dyDescent="0.45">
      <c r="A4" s="5">
        <v>3</v>
      </c>
      <c r="B4" s="8" t="s">
        <v>427</v>
      </c>
      <c r="C4" s="6" t="str">
        <f t="shared" si="0"/>
        <v>"0"&lt;未処理&gt; であること。</v>
      </c>
    </row>
    <row r="5" spans="1:3" x14ac:dyDescent="0.45">
      <c r="A5" s="5">
        <v>4</v>
      </c>
      <c r="B5" s="8" t="s">
        <v>428</v>
      </c>
      <c r="C5" s="6" t="str">
        <f t="shared" si="0"/>
        <v>"PNA" であること。</v>
      </c>
    </row>
    <row r="6" spans="1:3" x14ac:dyDescent="0.45">
      <c r="A6" s="5">
        <v>5</v>
      </c>
      <c r="B6" s="8" t="s">
        <v>429</v>
      </c>
      <c r="C6" s="6" t="str">
        <f t="shared" si="0"/>
        <v>"005580" であること。</v>
      </c>
    </row>
    <row r="7" spans="1:3" x14ac:dyDescent="0.45">
      <c r="A7" s="5">
        <v>6</v>
      </c>
      <c r="B7" s="8" t="s">
        <v>430</v>
      </c>
      <c r="C7" s="6" t="str">
        <f t="shared" si="0"/>
        <v>"PNAB0101" であること。</v>
      </c>
    </row>
    <row r="8" spans="1:3" x14ac:dyDescent="0.45">
      <c r="A8" s="5">
        <v>7</v>
      </c>
      <c r="B8" s="8" t="s">
        <v>455</v>
      </c>
      <c r="C8" s="6" t="str">
        <f t="shared" si="0"/>
        <v>[情報区分] であること。</v>
      </c>
    </row>
    <row r="9" spans="1:3" x14ac:dyDescent="0.45">
      <c r="A9" s="5">
        <v>8</v>
      </c>
      <c r="B9" s="8" t="s">
        <v>456</v>
      </c>
      <c r="C9" s="6" t="str">
        <f t="shared" si="0"/>
        <v>[データ処理No] であること。</v>
      </c>
    </row>
    <row r="10" spans="1:3" x14ac:dyDescent="0.45">
      <c r="A10" s="5">
        <v>9</v>
      </c>
      <c r="B10" s="8" t="s">
        <v>457</v>
      </c>
      <c r="C10" s="6" t="str">
        <f t="shared" si="0"/>
        <v>[発注者コード] であること。</v>
      </c>
    </row>
    <row r="11" spans="1:3" x14ac:dyDescent="0.45">
      <c r="A11" s="5">
        <v>10</v>
      </c>
      <c r="B11" s="15" t="s">
        <v>458</v>
      </c>
      <c r="C11" s="6" t="str">
        <f t="shared" si="0"/>
        <v>[受注者コード] であること。</v>
      </c>
    </row>
    <row r="12" spans="1:3" x14ac:dyDescent="0.45">
      <c r="A12" s="5">
        <v>11</v>
      </c>
      <c r="B12" s="8" t="s">
        <v>459</v>
      </c>
      <c r="C12" s="6" t="str">
        <f t="shared" si="0"/>
        <v>[発注部門コード] であること。</v>
      </c>
    </row>
    <row r="13" spans="1:3" x14ac:dyDescent="0.45">
      <c r="A13" s="5">
        <v>12</v>
      </c>
      <c r="B13" s="8" t="s">
        <v>431</v>
      </c>
      <c r="C13" s="6" t="str">
        <f t="shared" si="0"/>
        <v>△23 であること。</v>
      </c>
    </row>
    <row r="14" spans="1:3" x14ac:dyDescent="0.45">
      <c r="A14" s="5">
        <v>13</v>
      </c>
      <c r="B14" s="8" t="s">
        <v>460</v>
      </c>
      <c r="C14" s="6" t="str">
        <f t="shared" si="0"/>
        <v>[製造番号] であること。</v>
      </c>
    </row>
    <row r="15" spans="1:3" x14ac:dyDescent="0.45">
      <c r="A15" s="5">
        <v>14</v>
      </c>
      <c r="B15" s="8" t="s">
        <v>461</v>
      </c>
      <c r="C15" s="6" t="str">
        <f t="shared" si="0"/>
        <v>[訂正コード] であること。</v>
      </c>
    </row>
    <row r="16" spans="1:3" x14ac:dyDescent="0.45">
      <c r="A16" s="5">
        <v>15</v>
      </c>
      <c r="B16" s="8" t="s">
        <v>462</v>
      </c>
      <c r="C16" s="6" t="str">
        <f t="shared" si="0"/>
        <v>[コック区分] であること。</v>
      </c>
    </row>
    <row r="17" spans="1:3" x14ac:dyDescent="0.45">
      <c r="A17" s="5">
        <v>16</v>
      </c>
      <c r="B17" s="8" t="s">
        <v>432</v>
      </c>
      <c r="C17" s="6" t="str">
        <f t="shared" si="0"/>
        <v>△8 であること。</v>
      </c>
    </row>
    <row r="18" spans="1:3" x14ac:dyDescent="0.45">
      <c r="A18" s="5">
        <v>17</v>
      </c>
      <c r="B18" s="8" t="s">
        <v>463</v>
      </c>
      <c r="C18" s="6" t="str">
        <f t="shared" si="0"/>
        <v>[単位] であること。</v>
      </c>
    </row>
    <row r="19" spans="1:3" x14ac:dyDescent="0.45">
      <c r="A19" s="5">
        <v>18</v>
      </c>
      <c r="B19" s="8" t="s">
        <v>433</v>
      </c>
      <c r="C19" s="6" t="str">
        <f t="shared" si="0"/>
        <v>0&lt;未設定&gt; であること。</v>
      </c>
    </row>
    <row r="20" spans="1:3" x14ac:dyDescent="0.45">
      <c r="A20" s="5">
        <v>19</v>
      </c>
      <c r="B20" s="8" t="s">
        <v>434</v>
      </c>
      <c r="C20" s="6" t="str">
        <f t="shared" si="0"/>
        <v>△1 であること。</v>
      </c>
    </row>
    <row r="21" spans="1:3" x14ac:dyDescent="0.45">
      <c r="A21" s="5">
        <v>20</v>
      </c>
      <c r="B21" s="8" t="s">
        <v>433</v>
      </c>
      <c r="C21" s="6" t="str">
        <f t="shared" si="0"/>
        <v>0&lt;未設定&gt; であること。</v>
      </c>
    </row>
    <row r="22" spans="1:3" x14ac:dyDescent="0.45">
      <c r="A22" s="5">
        <v>21</v>
      </c>
      <c r="B22" s="8" t="s">
        <v>433</v>
      </c>
      <c r="C22" s="6" t="str">
        <f t="shared" si="0"/>
        <v>0&lt;未設定&gt; であること。</v>
      </c>
    </row>
    <row r="23" spans="1:3" x14ac:dyDescent="0.45">
      <c r="A23" s="5">
        <v>22</v>
      </c>
      <c r="B23" s="8" t="s">
        <v>434</v>
      </c>
      <c r="C23" s="6" t="str">
        <f t="shared" si="0"/>
        <v>△1 であること。</v>
      </c>
    </row>
    <row r="24" spans="1:3" x14ac:dyDescent="0.45">
      <c r="A24" s="5">
        <v>23</v>
      </c>
      <c r="B24" s="8" t="s">
        <v>464</v>
      </c>
      <c r="C24" s="6" t="str">
        <f t="shared" si="0"/>
        <v>[購買担当] であること。</v>
      </c>
    </row>
    <row r="25" spans="1:3" x14ac:dyDescent="0.45">
      <c r="A25" s="5">
        <v>24</v>
      </c>
      <c r="B25" s="8" t="s">
        <v>465</v>
      </c>
      <c r="C25" s="6" t="str">
        <f t="shared" si="0"/>
        <v>[品名（品名仕様）] であること。</v>
      </c>
    </row>
    <row r="26" spans="1:3" x14ac:dyDescent="0.45">
      <c r="A26" s="5">
        <v>25</v>
      </c>
      <c r="B26" s="8" t="s">
        <v>466</v>
      </c>
      <c r="C26" s="6" t="str">
        <f t="shared" si="0"/>
        <v>[受注者品名コード] であること。</v>
      </c>
    </row>
    <row r="27" spans="1:3" x14ac:dyDescent="0.45">
      <c r="A27" s="5">
        <v>26</v>
      </c>
      <c r="B27" s="8" t="s">
        <v>467</v>
      </c>
      <c r="C27" s="6" t="str">
        <f t="shared" si="0"/>
        <v>[発注者品名コード] であること。</v>
      </c>
    </row>
    <row r="28" spans="1:3" x14ac:dyDescent="0.45">
      <c r="A28" s="5">
        <v>27</v>
      </c>
      <c r="B28" s="8" t="s">
        <v>434</v>
      </c>
      <c r="C28" s="6" t="str">
        <f t="shared" si="0"/>
        <v>△1 であること。</v>
      </c>
    </row>
    <row r="29" spans="1:3" x14ac:dyDescent="0.45">
      <c r="A29" s="5">
        <v>28</v>
      </c>
      <c r="B29" s="8" t="s">
        <v>435</v>
      </c>
      <c r="C29" s="6" t="str">
        <f t="shared" si="0"/>
        <v>△10 であること。</v>
      </c>
    </row>
    <row r="30" spans="1:3" x14ac:dyDescent="0.45">
      <c r="A30" s="5">
        <v>29</v>
      </c>
      <c r="B30" s="8" t="s">
        <v>436</v>
      </c>
      <c r="C30" s="6" t="str">
        <f t="shared" si="0"/>
        <v>△3 であること。</v>
      </c>
    </row>
    <row r="31" spans="1:3" x14ac:dyDescent="0.45">
      <c r="A31" s="5">
        <v>30</v>
      </c>
      <c r="B31" s="8" t="s">
        <v>434</v>
      </c>
      <c r="C31" s="6" t="str">
        <f t="shared" si="0"/>
        <v>△1 であること。</v>
      </c>
    </row>
    <row r="32" spans="1:3" x14ac:dyDescent="0.45">
      <c r="A32" s="5">
        <v>31</v>
      </c>
      <c r="B32" s="18" t="s">
        <v>437</v>
      </c>
      <c r="C32" s="6" t="str">
        <f t="shared" si="0"/>
        <v>"20" + [納期] であること。</v>
      </c>
    </row>
    <row r="33" spans="1:3" x14ac:dyDescent="0.45">
      <c r="A33" s="5">
        <v>32</v>
      </c>
      <c r="B33" s="8" t="s">
        <v>468</v>
      </c>
      <c r="C33" s="6" t="str">
        <f t="shared" si="0"/>
        <v>[所要計画数量] であること。</v>
      </c>
    </row>
    <row r="34" spans="1:3" x14ac:dyDescent="0.45">
      <c r="A34" s="5">
        <v>33</v>
      </c>
      <c r="B34" s="8" t="s">
        <v>432</v>
      </c>
      <c r="C34" s="6" t="str">
        <f t="shared" si="0"/>
        <v>△8 であること。</v>
      </c>
    </row>
    <row r="35" spans="1:3" x14ac:dyDescent="0.45">
      <c r="A35" s="5">
        <v>34</v>
      </c>
      <c r="B35" s="8" t="s">
        <v>433</v>
      </c>
      <c r="C35" s="6" t="str">
        <f t="shared" si="0"/>
        <v>0&lt;未設定&gt; であること。</v>
      </c>
    </row>
    <row r="36" spans="1:3" x14ac:dyDescent="0.45">
      <c r="A36" s="5">
        <v>35</v>
      </c>
      <c r="B36" s="8" t="s">
        <v>433</v>
      </c>
      <c r="C36" s="6" t="str">
        <f t="shared" si="0"/>
        <v>0&lt;未設定&gt; であること。</v>
      </c>
    </row>
    <row r="37" spans="1:3" x14ac:dyDescent="0.45">
      <c r="A37" s="5">
        <v>36</v>
      </c>
      <c r="B37" s="8" t="s">
        <v>433</v>
      </c>
      <c r="C37" s="6" t="str">
        <f t="shared" si="0"/>
        <v>0&lt;未設定&gt; であること。</v>
      </c>
    </row>
    <row r="38" spans="1:3" x14ac:dyDescent="0.45">
      <c r="A38" s="5">
        <v>37</v>
      </c>
      <c r="B38" s="8" t="s">
        <v>433</v>
      </c>
      <c r="C38" s="6" t="str">
        <f t="shared" si="0"/>
        <v>0&lt;未設定&gt; であること。</v>
      </c>
    </row>
    <row r="39" spans="1:3" x14ac:dyDescent="0.45">
      <c r="A39" s="5">
        <v>38</v>
      </c>
      <c r="B39" s="8" t="s">
        <v>433</v>
      </c>
      <c r="C39" s="6" t="str">
        <f t="shared" si="0"/>
        <v>0&lt;未設定&gt; であること。</v>
      </c>
    </row>
    <row r="40" spans="1:3" x14ac:dyDescent="0.45">
      <c r="A40" s="5">
        <v>39</v>
      </c>
      <c r="B40" s="8" t="s">
        <v>433</v>
      </c>
      <c r="C40" s="6" t="str">
        <f t="shared" si="0"/>
        <v>0&lt;未設定&gt; であること。</v>
      </c>
    </row>
    <row r="41" spans="1:3" x14ac:dyDescent="0.45">
      <c r="A41" s="5">
        <v>40</v>
      </c>
      <c r="B41" s="8" t="s">
        <v>433</v>
      </c>
      <c r="C41" s="6" t="str">
        <f t="shared" si="0"/>
        <v>0&lt;未設定&gt; であること。</v>
      </c>
    </row>
    <row r="42" spans="1:3" x14ac:dyDescent="0.45">
      <c r="A42" s="5">
        <v>41</v>
      </c>
      <c r="B42" s="8" t="s">
        <v>432</v>
      </c>
      <c r="C42" s="6" t="str">
        <f t="shared" si="0"/>
        <v>△8 であること。</v>
      </c>
    </row>
    <row r="43" spans="1:3" x14ac:dyDescent="0.45">
      <c r="A43" s="5">
        <v>42</v>
      </c>
      <c r="B43" s="8" t="s">
        <v>434</v>
      </c>
      <c r="C43" s="6" t="str">
        <f t="shared" si="0"/>
        <v>△1 であること。</v>
      </c>
    </row>
    <row r="44" spans="1:3" x14ac:dyDescent="0.45">
      <c r="A44" s="5">
        <v>43</v>
      </c>
      <c r="B44" s="8" t="s">
        <v>434</v>
      </c>
      <c r="C44" s="6" t="str">
        <f t="shared" si="0"/>
        <v>△1 であること。</v>
      </c>
    </row>
    <row r="45" spans="1:3" x14ac:dyDescent="0.45">
      <c r="A45" s="5">
        <v>44</v>
      </c>
      <c r="B45" s="8" t="s">
        <v>434</v>
      </c>
      <c r="C45" s="6" t="str">
        <f t="shared" si="0"/>
        <v>△1 であること。</v>
      </c>
    </row>
    <row r="46" spans="1:3" x14ac:dyDescent="0.45">
      <c r="A46" s="5">
        <v>45</v>
      </c>
      <c r="B46" s="8" t="s">
        <v>433</v>
      </c>
      <c r="C46" s="6" t="str">
        <f t="shared" si="0"/>
        <v>0&lt;未設定&gt; であること。</v>
      </c>
    </row>
    <row r="47" spans="1:3" x14ac:dyDescent="0.45">
      <c r="A47" s="5">
        <v>46</v>
      </c>
      <c r="B47" s="8" t="s">
        <v>433</v>
      </c>
      <c r="C47" s="6" t="str">
        <f t="shared" si="0"/>
        <v>0&lt;未設定&gt; であること。</v>
      </c>
    </row>
    <row r="48" spans="1:3" x14ac:dyDescent="0.45">
      <c r="A48" s="5">
        <v>47</v>
      </c>
      <c r="B48" s="8" t="s">
        <v>469</v>
      </c>
      <c r="C48" s="6" t="str">
        <f t="shared" si="0"/>
        <v>[計画番号] であること。</v>
      </c>
    </row>
    <row r="49" spans="1:3" x14ac:dyDescent="0.45">
      <c r="A49" s="5">
        <v>48</v>
      </c>
      <c r="B49" s="8" t="s">
        <v>434</v>
      </c>
      <c r="C49" s="6" t="str">
        <f t="shared" si="0"/>
        <v>△1 であること。</v>
      </c>
    </row>
    <row r="50" spans="1:3" x14ac:dyDescent="0.45">
      <c r="A50" s="5">
        <v>49</v>
      </c>
      <c r="B50" s="15" t="s">
        <v>438</v>
      </c>
      <c r="C50" s="6" t="str">
        <f t="shared" si="0"/>
        <v>△6 であること。</v>
      </c>
    </row>
    <row r="51" spans="1:3" x14ac:dyDescent="0.45">
      <c r="A51" s="5">
        <v>50</v>
      </c>
      <c r="B51" s="8" t="s">
        <v>431</v>
      </c>
      <c r="C51" s="6" t="str">
        <f t="shared" si="0"/>
        <v>△23 であること。</v>
      </c>
    </row>
    <row r="52" spans="1:3" x14ac:dyDescent="0.45">
      <c r="A52" s="5">
        <v>51</v>
      </c>
      <c r="B52" s="8" t="s">
        <v>439</v>
      </c>
      <c r="C52" s="6" t="str">
        <f t="shared" si="0"/>
        <v>△25 であること。</v>
      </c>
    </row>
    <row r="53" spans="1:3" x14ac:dyDescent="0.45">
      <c r="A53" s="5">
        <v>52</v>
      </c>
      <c r="B53" s="17" t="s">
        <v>440</v>
      </c>
      <c r="C53" s="6" t="str">
        <f t="shared" si="0"/>
        <v>△50 であること。</v>
      </c>
    </row>
    <row r="54" spans="1:3" x14ac:dyDescent="0.45">
      <c r="A54" s="5">
        <v>53</v>
      </c>
      <c r="B54" s="17" t="s">
        <v>441</v>
      </c>
      <c r="C54" s="6" t="str">
        <f t="shared" si="0"/>
        <v>△2 であること。</v>
      </c>
    </row>
    <row r="55" spans="1:3" x14ac:dyDescent="0.45">
      <c r="A55" s="5">
        <v>54</v>
      </c>
      <c r="B55" s="8" t="s">
        <v>441</v>
      </c>
      <c r="C55" s="6" t="str">
        <f t="shared" si="0"/>
        <v>△2 であること。</v>
      </c>
    </row>
    <row r="56" spans="1:3" x14ac:dyDescent="0.45">
      <c r="A56" s="5">
        <v>55</v>
      </c>
      <c r="B56" s="8" t="s">
        <v>441</v>
      </c>
      <c r="C56" s="6" t="str">
        <f t="shared" si="0"/>
        <v>△2 であること。</v>
      </c>
    </row>
    <row r="57" spans="1:3" x14ac:dyDescent="0.45">
      <c r="A57" s="5">
        <v>56</v>
      </c>
      <c r="B57" s="8" t="s">
        <v>434</v>
      </c>
      <c r="C57" s="6" t="str">
        <f t="shared" si="0"/>
        <v>△1 であること。</v>
      </c>
    </row>
    <row r="58" spans="1:3" x14ac:dyDescent="0.45">
      <c r="A58" s="5">
        <v>57</v>
      </c>
      <c r="B58" s="8" t="s">
        <v>436</v>
      </c>
      <c r="C58" s="6" t="str">
        <f t="shared" si="0"/>
        <v>△3 であること。</v>
      </c>
    </row>
    <row r="59" spans="1:3" x14ac:dyDescent="0.45">
      <c r="A59" s="5">
        <v>58</v>
      </c>
      <c r="B59" s="8" t="s">
        <v>442</v>
      </c>
      <c r="C59" s="6" t="str">
        <f t="shared" si="0"/>
        <v>△20 であること。</v>
      </c>
    </row>
    <row r="60" spans="1:3" x14ac:dyDescent="0.45">
      <c r="A60" s="5">
        <v>59</v>
      </c>
      <c r="B60" s="8" t="s">
        <v>433</v>
      </c>
      <c r="C60" s="6" t="str">
        <f t="shared" si="0"/>
        <v>0&lt;未設定&gt; であること。</v>
      </c>
    </row>
    <row r="61" spans="1:3" x14ac:dyDescent="0.45">
      <c r="A61" s="5">
        <v>60</v>
      </c>
      <c r="B61" s="15" t="s">
        <v>441</v>
      </c>
      <c r="C61" s="6" t="str">
        <f t="shared" si="0"/>
        <v>△2 であること。</v>
      </c>
    </row>
    <row r="62" spans="1:3" x14ac:dyDescent="0.45">
      <c r="A62" s="5">
        <v>61</v>
      </c>
      <c r="B62" s="8" t="s">
        <v>432</v>
      </c>
      <c r="C62" s="6" t="str">
        <f t="shared" si="0"/>
        <v>△8 であること。</v>
      </c>
    </row>
    <row r="63" spans="1:3" x14ac:dyDescent="0.45">
      <c r="A63" s="5">
        <v>62</v>
      </c>
      <c r="B63" s="10" t="s">
        <v>443</v>
      </c>
      <c r="C63" s="6" t="str">
        <f t="shared" si="0"/>
        <v>△200 であること。</v>
      </c>
    </row>
    <row r="64" spans="1:3" x14ac:dyDescent="0.45">
      <c r="A64" s="5">
        <v>63</v>
      </c>
      <c r="B64" s="8" t="s">
        <v>443</v>
      </c>
      <c r="C64" s="6" t="str">
        <f t="shared" si="0"/>
        <v>△200 であること。</v>
      </c>
    </row>
    <row r="65" spans="1:3" x14ac:dyDescent="0.45">
      <c r="A65" s="5">
        <v>64</v>
      </c>
      <c r="B65" s="9" t="s">
        <v>443</v>
      </c>
      <c r="C65" s="6" t="str">
        <f t="shared" si="0"/>
        <v>△200 であること。</v>
      </c>
    </row>
    <row r="66" spans="1:3" x14ac:dyDescent="0.45">
      <c r="A66" s="5">
        <v>65</v>
      </c>
      <c r="B66" s="9" t="s">
        <v>443</v>
      </c>
      <c r="C66" s="6" t="str">
        <f t="shared" si="0"/>
        <v>△200 であること。</v>
      </c>
    </row>
    <row r="67" spans="1:3" x14ac:dyDescent="0.45">
      <c r="A67" s="5">
        <v>66</v>
      </c>
      <c r="B67" s="9" t="s">
        <v>444</v>
      </c>
      <c r="C67" s="6" t="str">
        <f t="shared" ref="C67:C127" si="1">""&amp;B67&amp;" であること。"</f>
        <v>△100 であること。</v>
      </c>
    </row>
    <row r="68" spans="1:3" x14ac:dyDescent="0.45">
      <c r="A68" s="5">
        <v>67</v>
      </c>
      <c r="B68" s="9" t="s">
        <v>432</v>
      </c>
      <c r="C68" s="6" t="str">
        <f t="shared" si="1"/>
        <v>△8 であること。</v>
      </c>
    </row>
    <row r="69" spans="1:3" ht="21.6" x14ac:dyDescent="0.45">
      <c r="A69" s="5">
        <v>68</v>
      </c>
      <c r="B69" s="9" t="s">
        <v>445</v>
      </c>
      <c r="C69" s="6" t="str">
        <f t="shared" si="1"/>
        <v>[発注者コード]を右側トリム + "△" + [発注者品名コ－ド] であること。</v>
      </c>
    </row>
    <row r="70" spans="1:3" x14ac:dyDescent="0.45">
      <c r="A70" s="5">
        <v>69</v>
      </c>
      <c r="B70" s="9" t="s">
        <v>444</v>
      </c>
      <c r="C70" s="6" t="str">
        <f t="shared" si="1"/>
        <v>△100 であること。</v>
      </c>
    </row>
    <row r="71" spans="1:3" x14ac:dyDescent="0.45">
      <c r="A71" s="5">
        <v>70</v>
      </c>
      <c r="B71" s="9" t="s">
        <v>444</v>
      </c>
      <c r="C71" s="6" t="str">
        <f t="shared" si="1"/>
        <v>△100 であること。</v>
      </c>
    </row>
    <row r="72" spans="1:3" x14ac:dyDescent="0.45">
      <c r="A72" s="5">
        <v>71</v>
      </c>
      <c r="B72" s="9" t="s">
        <v>444</v>
      </c>
      <c r="C72" s="6" t="str">
        <f t="shared" si="1"/>
        <v>△100 であること。</v>
      </c>
    </row>
    <row r="73" spans="1:3" x14ac:dyDescent="0.45">
      <c r="A73" s="5">
        <v>72</v>
      </c>
      <c r="B73" s="9" t="s">
        <v>446</v>
      </c>
      <c r="C73" s="6" t="str">
        <f t="shared" si="1"/>
        <v>[発注者コード] + [発注者部門コード] であること。</v>
      </c>
    </row>
    <row r="74" spans="1:3" x14ac:dyDescent="0.45">
      <c r="A74" s="5">
        <v>73</v>
      </c>
      <c r="B74" s="9" t="s">
        <v>457</v>
      </c>
      <c r="C74" s="6" t="str">
        <f t="shared" si="1"/>
        <v>[発注者コード] であること。</v>
      </c>
    </row>
    <row r="75" spans="1:3" x14ac:dyDescent="0.45">
      <c r="A75" s="5">
        <v>74</v>
      </c>
      <c r="B75" s="9" t="s">
        <v>444</v>
      </c>
      <c r="C75" s="6" t="str">
        <f t="shared" si="1"/>
        <v>△100 であること。</v>
      </c>
    </row>
    <row r="76" spans="1:3" x14ac:dyDescent="0.45">
      <c r="A76" s="5">
        <v>75</v>
      </c>
      <c r="B76" s="9" t="s">
        <v>444</v>
      </c>
      <c r="C76" s="6" t="str">
        <f t="shared" si="1"/>
        <v>△100 であること。</v>
      </c>
    </row>
    <row r="77" spans="1:3" ht="21.6" x14ac:dyDescent="0.45">
      <c r="A77" s="5">
        <v>76</v>
      </c>
      <c r="B77" s="9" t="s">
        <v>447</v>
      </c>
      <c r="C77" s="6" t="str">
        <f t="shared" si="1"/>
        <v>「３．１．相手先別データレイアウト」シート参照 であること。</v>
      </c>
    </row>
    <row r="78" spans="1:3" x14ac:dyDescent="0.45">
      <c r="A78" s="5">
        <v>77</v>
      </c>
      <c r="B78" s="9" t="s">
        <v>448</v>
      </c>
      <c r="C78" s="6" t="str">
        <f t="shared" si="1"/>
        <v>"0"&lt;未削除&gt; であること。</v>
      </c>
    </row>
    <row r="79" spans="1:3" ht="21.6" x14ac:dyDescent="0.45">
      <c r="A79" s="5">
        <v>78</v>
      </c>
      <c r="B79" s="9" t="s">
        <v>449</v>
      </c>
      <c r="C79" s="6" t="str">
        <f t="shared" si="1"/>
        <v>システム年月日時分秒(YYYY/MM/DD HH:MI:SS) であること。</v>
      </c>
    </row>
    <row r="80" spans="1:3" x14ac:dyDescent="0.45">
      <c r="A80" s="5">
        <v>79</v>
      </c>
      <c r="B80" s="9" t="s">
        <v>450</v>
      </c>
      <c r="C80" s="6" t="str">
        <f t="shared" si="1"/>
        <v>"EDI" であること。</v>
      </c>
    </row>
    <row r="81" spans="1:3" x14ac:dyDescent="0.45">
      <c r="A81" s="5">
        <v>80</v>
      </c>
      <c r="B81" s="15" t="s">
        <v>451</v>
      </c>
      <c r="C81" s="6" t="str">
        <f t="shared" si="1"/>
        <v>"m_CMN_販売先受信_共通フォーマット登録_010" であること。</v>
      </c>
    </row>
    <row r="82" spans="1:3" x14ac:dyDescent="0.45">
      <c r="A82" s="5">
        <v>81</v>
      </c>
      <c r="B82" s="10" t="s">
        <v>452</v>
      </c>
      <c r="C82" s="6" t="str">
        <f t="shared" si="1"/>
        <v>No.78と同じ であること。</v>
      </c>
    </row>
    <row r="83" spans="1:3" x14ac:dyDescent="0.45">
      <c r="A83" s="5">
        <v>82</v>
      </c>
      <c r="B83" s="9" t="s">
        <v>453</v>
      </c>
      <c r="C83" s="6" t="str">
        <f t="shared" si="1"/>
        <v>No.79と同じ であること。</v>
      </c>
    </row>
    <row r="84" spans="1:3" x14ac:dyDescent="0.45">
      <c r="A84" s="5">
        <v>83</v>
      </c>
      <c r="B84" s="9" t="s">
        <v>454</v>
      </c>
      <c r="C84" s="6" t="str">
        <f t="shared" si="1"/>
        <v>No.80と同じ であること。</v>
      </c>
    </row>
    <row r="85" spans="1:3" x14ac:dyDescent="0.45">
      <c r="A85" s="5">
        <v>84</v>
      </c>
      <c r="B85" s="9" t="s">
        <v>19</v>
      </c>
      <c r="C85" s="6" t="str">
        <f t="shared" si="1"/>
        <v>0 であること。</v>
      </c>
    </row>
    <row r="86" spans="1:3" x14ac:dyDescent="0.45">
      <c r="A86" s="5">
        <v>85</v>
      </c>
      <c r="B86" s="9"/>
      <c r="C86" s="6" t="str">
        <f t="shared" si="1"/>
        <v xml:space="preserve"> であること。</v>
      </c>
    </row>
    <row r="87" spans="1:3" x14ac:dyDescent="0.45">
      <c r="A87" s="5">
        <v>86</v>
      </c>
      <c r="B87" s="9"/>
      <c r="C87" s="6" t="str">
        <f t="shared" si="1"/>
        <v xml:space="preserve"> であること。</v>
      </c>
    </row>
    <row r="88" spans="1:3" x14ac:dyDescent="0.45">
      <c r="A88" s="5">
        <v>87</v>
      </c>
      <c r="B88" s="9"/>
      <c r="C88" s="6" t="str">
        <f t="shared" si="1"/>
        <v xml:space="preserve"> であること。</v>
      </c>
    </row>
    <row r="89" spans="1:3" x14ac:dyDescent="0.45">
      <c r="A89" s="5">
        <v>88</v>
      </c>
      <c r="B89" s="9"/>
      <c r="C89" s="6" t="str">
        <f t="shared" si="1"/>
        <v xml:space="preserve"> であること。</v>
      </c>
    </row>
    <row r="90" spans="1:3" ht="72" x14ac:dyDescent="0.45">
      <c r="A90" s="5">
        <v>89</v>
      </c>
      <c r="B90" s="9"/>
      <c r="C90" s="6" t="str">
        <f t="shared" si="1"/>
        <v xml:space="preserve"> であること。</v>
      </c>
    </row>
    <row r="91" spans="1:3" x14ac:dyDescent="0.45">
      <c r="A91" s="5">
        <v>90</v>
      </c>
      <c r="B91" s="11"/>
      <c r="C91" s="6" t="str">
        <f t="shared" si="1"/>
        <v xml:space="preserve"> であること。</v>
      </c>
    </row>
    <row r="92" spans="1:3" x14ac:dyDescent="0.45">
      <c r="A92" s="5">
        <v>91</v>
      </c>
      <c r="B92" s="11"/>
      <c r="C92" s="6" t="str">
        <f t="shared" si="1"/>
        <v xml:space="preserve"> であること。</v>
      </c>
    </row>
    <row r="93" spans="1:3" x14ac:dyDescent="0.45">
      <c r="A93" s="5">
        <v>92</v>
      </c>
      <c r="B93" s="15"/>
      <c r="C93" s="6" t="str">
        <f t="shared" si="1"/>
        <v xml:space="preserve"> であること。</v>
      </c>
    </row>
    <row r="94" spans="1:3" x14ac:dyDescent="0.45">
      <c r="A94" s="5">
        <v>93</v>
      </c>
      <c r="B94" s="10"/>
      <c r="C94" s="6" t="str">
        <f t="shared" si="1"/>
        <v xml:space="preserve"> であること。</v>
      </c>
    </row>
    <row r="95" spans="1:3" ht="72" x14ac:dyDescent="0.45">
      <c r="A95" s="5">
        <v>94</v>
      </c>
      <c r="B95" s="10"/>
      <c r="C95" s="6" t="str">
        <f t="shared" si="1"/>
        <v xml:space="preserve"> であること。</v>
      </c>
    </row>
    <row r="96" spans="1:3" ht="90" x14ac:dyDescent="0.45">
      <c r="A96" s="5">
        <v>95</v>
      </c>
      <c r="B96" s="9"/>
      <c r="C96" s="6" t="str">
        <f t="shared" si="1"/>
        <v xml:space="preserve"> であること。</v>
      </c>
    </row>
    <row r="97" spans="1:3" ht="54" x14ac:dyDescent="0.45">
      <c r="A97" s="5">
        <v>96</v>
      </c>
      <c r="B97" s="15"/>
      <c r="C97" s="6" t="str">
        <f t="shared" si="1"/>
        <v xml:space="preserve"> であること。</v>
      </c>
    </row>
    <row r="98" spans="1:3" x14ac:dyDescent="0.45">
      <c r="A98" s="5">
        <v>97</v>
      </c>
      <c r="B98" s="10"/>
      <c r="C98" s="6" t="str">
        <f t="shared" si="1"/>
        <v xml:space="preserve"> であること。</v>
      </c>
    </row>
    <row r="99" spans="1:3" ht="36" x14ac:dyDescent="0.45">
      <c r="A99" s="5">
        <v>98</v>
      </c>
      <c r="B99" s="9"/>
      <c r="C99" s="6" t="str">
        <f t="shared" si="1"/>
        <v xml:space="preserve"> であること。</v>
      </c>
    </row>
    <row r="100" spans="1:3" ht="36" x14ac:dyDescent="0.45">
      <c r="A100" s="5">
        <v>99</v>
      </c>
      <c r="B100" s="10"/>
      <c r="C100" s="6" t="str">
        <f t="shared" si="1"/>
        <v xml:space="preserve"> であること。</v>
      </c>
    </row>
    <row r="101" spans="1:3" x14ac:dyDescent="0.45">
      <c r="A101" s="5">
        <v>100</v>
      </c>
      <c r="B101" s="10"/>
      <c r="C101" s="6" t="str">
        <f t="shared" si="1"/>
        <v xml:space="preserve"> であること。</v>
      </c>
    </row>
    <row r="102" spans="1:3" ht="36" x14ac:dyDescent="0.45">
      <c r="A102" s="5">
        <v>101</v>
      </c>
      <c r="B102" s="8"/>
      <c r="C102" s="6" t="str">
        <f t="shared" si="1"/>
        <v xml:space="preserve"> であること。</v>
      </c>
    </row>
    <row r="103" spans="1:3" ht="36" x14ac:dyDescent="0.45">
      <c r="A103" s="5">
        <v>102</v>
      </c>
      <c r="B103" s="9"/>
      <c r="C103" s="6" t="str">
        <f t="shared" si="1"/>
        <v xml:space="preserve"> であること。</v>
      </c>
    </row>
    <row r="104" spans="1:3" x14ac:dyDescent="0.45">
      <c r="A104" s="5">
        <v>103</v>
      </c>
      <c r="B104" s="8"/>
      <c r="C104" s="6" t="str">
        <f t="shared" si="1"/>
        <v xml:space="preserve"> であること。</v>
      </c>
    </row>
    <row r="105" spans="1:3" ht="36" x14ac:dyDescent="0.45">
      <c r="A105" s="5">
        <v>104</v>
      </c>
      <c r="B105" s="8"/>
      <c r="C105" s="6" t="str">
        <f t="shared" si="1"/>
        <v xml:space="preserve"> であること。</v>
      </c>
    </row>
    <row r="106" spans="1:3" ht="36" x14ac:dyDescent="0.45">
      <c r="A106" s="5">
        <v>105</v>
      </c>
      <c r="B106" s="9"/>
      <c r="C106" s="6" t="str">
        <f t="shared" si="1"/>
        <v xml:space="preserve"> であること。</v>
      </c>
    </row>
    <row r="107" spans="1:3" ht="36" x14ac:dyDescent="0.45">
      <c r="A107" s="5">
        <v>106</v>
      </c>
      <c r="B107" s="8"/>
      <c r="C107" s="6" t="str">
        <f t="shared" si="1"/>
        <v xml:space="preserve"> であること。</v>
      </c>
    </row>
    <row r="108" spans="1:3" ht="36" x14ac:dyDescent="0.45">
      <c r="A108" s="5">
        <v>107</v>
      </c>
      <c r="B108" s="9"/>
      <c r="C108" s="6" t="str">
        <f t="shared" si="1"/>
        <v xml:space="preserve"> であること。</v>
      </c>
    </row>
    <row r="109" spans="1:3" ht="54" x14ac:dyDescent="0.45">
      <c r="A109" s="5">
        <v>108</v>
      </c>
      <c r="B109" s="9"/>
      <c r="C109" s="6" t="str">
        <f t="shared" si="1"/>
        <v xml:space="preserve"> であること。</v>
      </c>
    </row>
    <row r="110" spans="1:3" x14ac:dyDescent="0.45">
      <c r="A110" s="5">
        <v>109</v>
      </c>
      <c r="B110" s="9"/>
      <c r="C110" s="6" t="str">
        <f t="shared" si="1"/>
        <v xml:space="preserve"> であること。</v>
      </c>
    </row>
    <row r="111" spans="1:3" x14ac:dyDescent="0.45">
      <c r="A111" s="5">
        <v>110</v>
      </c>
      <c r="B111" s="9"/>
      <c r="C111" s="6" t="str">
        <f t="shared" si="1"/>
        <v xml:space="preserve"> であること。</v>
      </c>
    </row>
    <row r="112" spans="1:3" x14ac:dyDescent="0.45">
      <c r="A112" s="5">
        <v>111</v>
      </c>
      <c r="B112" s="9"/>
      <c r="C112" s="6" t="str">
        <f t="shared" si="1"/>
        <v xml:space="preserve"> であること。</v>
      </c>
    </row>
    <row r="113" spans="1:3" x14ac:dyDescent="0.45">
      <c r="A113" s="5">
        <v>112</v>
      </c>
      <c r="B113" s="9"/>
      <c r="C113" s="6" t="str">
        <f t="shared" si="1"/>
        <v xml:space="preserve"> であること。</v>
      </c>
    </row>
    <row r="114" spans="1:3" x14ac:dyDescent="0.45">
      <c r="A114" s="5">
        <v>113</v>
      </c>
      <c r="B114" s="9"/>
      <c r="C114" s="6" t="str">
        <f t="shared" si="1"/>
        <v xml:space="preserve"> であること。</v>
      </c>
    </row>
    <row r="115" spans="1:3" x14ac:dyDescent="0.45">
      <c r="A115" s="5">
        <v>114</v>
      </c>
      <c r="B115" s="9"/>
      <c r="C115" s="6" t="str">
        <f t="shared" si="1"/>
        <v xml:space="preserve"> であること。</v>
      </c>
    </row>
    <row r="116" spans="1:3" x14ac:dyDescent="0.45">
      <c r="A116" s="5">
        <v>115</v>
      </c>
      <c r="B116" s="9"/>
      <c r="C116" s="6" t="str">
        <f t="shared" si="1"/>
        <v xml:space="preserve"> であること。</v>
      </c>
    </row>
    <row r="117" spans="1:3" x14ac:dyDescent="0.45">
      <c r="A117" s="5">
        <v>116</v>
      </c>
      <c r="B117" s="9"/>
      <c r="C117" s="6" t="str">
        <f t="shared" si="1"/>
        <v xml:space="preserve"> であること。</v>
      </c>
    </row>
    <row r="118" spans="1:3" x14ac:dyDescent="0.45">
      <c r="A118" s="5">
        <v>117</v>
      </c>
      <c r="B118" s="9"/>
      <c r="C118" s="6" t="str">
        <f t="shared" si="1"/>
        <v xml:space="preserve"> であること。</v>
      </c>
    </row>
    <row r="119" spans="1:3" x14ac:dyDescent="0.45">
      <c r="A119" s="5">
        <v>118</v>
      </c>
      <c r="B119" s="15"/>
      <c r="C119" s="6" t="str">
        <f t="shared" si="1"/>
        <v xml:space="preserve"> であること。</v>
      </c>
    </row>
    <row r="120" spans="1:3" x14ac:dyDescent="0.45">
      <c r="A120" s="5">
        <v>119</v>
      </c>
      <c r="B120" s="9"/>
      <c r="C120" s="6" t="str">
        <f t="shared" si="1"/>
        <v xml:space="preserve"> であること。</v>
      </c>
    </row>
    <row r="121" spans="1:3" x14ac:dyDescent="0.45">
      <c r="A121" s="5">
        <v>120</v>
      </c>
      <c r="B121" s="15"/>
      <c r="C121" s="6" t="str">
        <f t="shared" si="1"/>
        <v xml:space="preserve"> であること。</v>
      </c>
    </row>
    <row r="122" spans="1:3" ht="36" x14ac:dyDescent="0.45">
      <c r="A122" s="5">
        <v>121</v>
      </c>
      <c r="B122" s="9"/>
      <c r="C122" s="6" t="str">
        <f t="shared" si="1"/>
        <v xml:space="preserve"> であること。</v>
      </c>
    </row>
    <row r="123" spans="1:3" x14ac:dyDescent="0.45">
      <c r="A123" s="5">
        <v>122</v>
      </c>
      <c r="B123" s="9"/>
      <c r="C123" s="6" t="str">
        <f t="shared" si="1"/>
        <v xml:space="preserve"> であること。</v>
      </c>
    </row>
    <row r="124" spans="1:3" x14ac:dyDescent="0.45">
      <c r="A124" s="5">
        <v>123</v>
      </c>
      <c r="B124" s="9"/>
      <c r="C124" s="6" t="str">
        <f t="shared" si="1"/>
        <v xml:space="preserve"> であること。</v>
      </c>
    </row>
    <row r="125" spans="1:3" x14ac:dyDescent="0.45">
      <c r="A125" s="5">
        <v>124</v>
      </c>
      <c r="B125" s="9"/>
      <c r="C125" s="6" t="str">
        <f t="shared" si="1"/>
        <v xml:space="preserve"> であること。</v>
      </c>
    </row>
    <row r="126" spans="1:3" x14ac:dyDescent="0.45">
      <c r="A126" s="5">
        <v>125</v>
      </c>
      <c r="B126" s="15"/>
      <c r="C126" s="6" t="str">
        <f t="shared" si="1"/>
        <v xml:space="preserve"> であること。</v>
      </c>
    </row>
    <row r="127" spans="1:3" x14ac:dyDescent="0.45">
      <c r="A127" s="5">
        <v>126</v>
      </c>
      <c r="B127" s="15"/>
      <c r="C127" s="6" t="str">
        <f t="shared" si="1"/>
        <v xml:space="preserve"> であること。</v>
      </c>
    </row>
    <row r="128" spans="1:3" x14ac:dyDescent="0.45">
      <c r="A128" s="5">
        <v>127</v>
      </c>
      <c r="B128" s="15"/>
      <c r="C128" s="6" t="str">
        <f t="shared" ref="C128:C134" si="2">""&amp;B128&amp;" であること。"</f>
        <v xml:space="preserve"> であること。</v>
      </c>
    </row>
    <row r="129" spans="1:3" x14ac:dyDescent="0.45">
      <c r="A129" s="5">
        <v>128</v>
      </c>
      <c r="B129" s="16"/>
      <c r="C129" s="6" t="str">
        <f t="shared" si="2"/>
        <v xml:space="preserve"> であること。</v>
      </c>
    </row>
    <row r="130" spans="1:3" x14ac:dyDescent="0.45">
      <c r="A130" s="5">
        <v>129</v>
      </c>
      <c r="B130" s="15"/>
      <c r="C130" s="6" t="str">
        <f t="shared" si="2"/>
        <v xml:space="preserve"> であること。</v>
      </c>
    </row>
    <row r="131" spans="1:3" x14ac:dyDescent="0.45">
      <c r="A131" s="5">
        <v>130</v>
      </c>
      <c r="B131" s="15"/>
      <c r="C131" s="6" t="str">
        <f t="shared" si="2"/>
        <v xml:space="preserve"> であること。</v>
      </c>
    </row>
    <row r="132" spans="1:3" x14ac:dyDescent="0.45">
      <c r="A132" s="5">
        <v>131</v>
      </c>
      <c r="B132" s="16"/>
      <c r="C132" s="6" t="str">
        <f t="shared" si="2"/>
        <v xml:space="preserve"> であること。</v>
      </c>
    </row>
    <row r="133" spans="1:3" x14ac:dyDescent="0.45">
      <c r="A133" s="5">
        <v>132</v>
      </c>
      <c r="B133" s="15"/>
      <c r="C133" s="6" t="str">
        <f t="shared" si="2"/>
        <v xml:space="preserve"> であること。</v>
      </c>
    </row>
    <row r="134" spans="1:3" x14ac:dyDescent="0.45">
      <c r="A134" s="5">
        <v>133</v>
      </c>
      <c r="B134" s="15"/>
      <c r="C134" s="6" t="str">
        <f t="shared" si="2"/>
        <v xml:space="preserve"> であること。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66A06-A6AB-4EE6-B586-50B439FCFE47}">
  <dimension ref="B1:H130"/>
  <sheetViews>
    <sheetView zoomScale="70" zoomScaleNormal="70" workbookViewId="0">
      <selection activeCell="B2" sqref="B2"/>
    </sheetView>
  </sheetViews>
  <sheetFormatPr defaultRowHeight="18" x14ac:dyDescent="0.45"/>
  <cols>
    <col min="5" max="5" width="38.3984375" customWidth="1"/>
    <col min="6" max="6" width="28.3984375" bestFit="1" customWidth="1"/>
    <col min="7" max="7" width="44" bestFit="1" customWidth="1"/>
  </cols>
  <sheetData>
    <row r="1" spans="2:8" ht="30.75" customHeight="1" x14ac:dyDescent="0.45"/>
    <row r="2" spans="2:8" ht="93" customHeight="1" x14ac:dyDescent="0.45">
      <c r="B2" s="1">
        <v>1</v>
      </c>
      <c r="C2" s="1" t="s">
        <v>31</v>
      </c>
      <c r="D2" s="1"/>
      <c r="E2" s="2" t="str">
        <f>""&amp;C2&amp;"であること。(△は半角空白）
/"&amp;C2&amp;". (△ is a half-width character blank space)"</f>
        <v>"△"であること。(△は半角空白）
/"△". (△ is a half-width character blank space)</v>
      </c>
      <c r="F2" s="2" t="str">
        <f>""&amp;C2&amp;"であること。(□は全角空白）
/"&amp;C2&amp;". (□ is a full-width character blank space)"</f>
        <v>"△"であること。(□は全角空白）
/"△". (□ is a full-width character blank space)</v>
      </c>
      <c r="G2" s="3" t="str">
        <f>""&amp;C2&amp;"であること。
/"&amp;C2&amp;""</f>
        <v>"△"であること。
/"△"</v>
      </c>
      <c r="H2" s="1" t="str" cm="1">
        <f t="array" ref="H2">_xlfn.IFS(ISNUMBER(SEARCH("△",C2)),E2,ISNUMBER(SEARCH("□",C2)),F2,1=1,G2)</f>
        <v>"△"であること。(△は半角空白）
/"△". (△ is a half-width character blank space)</v>
      </c>
    </row>
    <row r="3" spans="2:8" ht="90" x14ac:dyDescent="0.45">
      <c r="B3" s="1">
        <v>2</v>
      </c>
      <c r="C3" s="1" t="s">
        <v>2</v>
      </c>
      <c r="D3" s="1"/>
      <c r="E3" s="2" t="str">
        <f>""&amp;C3&amp;"であること。(△は半角空白）
/"&amp;C3&amp;". (△ is a half-width character blank space)"</f>
        <v>"JPCA0102"であること。(△は半角空白）
/"JPCA0102". (△ is a half-width character blank space)</v>
      </c>
      <c r="F3" s="2" t="str">
        <f>""&amp;C3&amp;"であること。(□は全角空白）
/"&amp;C3&amp;". (□ is a full-width character blank space)"</f>
        <v>"JPCA0102"であること。(□は全角空白）
/"JPCA0102". (□ is a full-width character blank space)</v>
      </c>
      <c r="G3" s="3" t="str">
        <f>""&amp;C3&amp;"であること。
/"&amp;C3&amp;""</f>
        <v>"JPCA0102"であること。
/"JPCA0102"</v>
      </c>
      <c r="H3" s="1" t="str" cm="1">
        <f t="array" ref="H3">_xlfn.IFS(ISNUMBER(SEARCH("△",C3)),E3,ISNUMBER(SEARCH("□",C3)),F3,1=1,G3)</f>
        <v>"JPCA0102"であること。
/"JPCA0102"</v>
      </c>
    </row>
    <row r="4" spans="2:8" ht="72" x14ac:dyDescent="0.45">
      <c r="B4" s="1">
        <v>3</v>
      </c>
      <c r="C4" s="1" t="s">
        <v>3</v>
      </c>
      <c r="D4" s="1"/>
      <c r="E4" s="2" t="str">
        <f t="shared" ref="E4:E67" si="0">""&amp;C4&amp;"であること。(△は半角空白）
/"&amp;C4&amp;". (△ is a half-width character blank space)"</f>
        <v>"S"であること。(△は半角空白）
/"S". (△ is a half-width character blank space)</v>
      </c>
      <c r="F4" s="2" t="str">
        <f t="shared" ref="F4:F67" si="1">""&amp;C4&amp;"であること。(□は全角空白）
/"&amp;C4&amp;". (□ is a full-width character blank space)"</f>
        <v>"S"であること。(□は全角空白）
/"S". (□ is a full-width character blank space)</v>
      </c>
      <c r="G4" s="3" t="str">
        <f t="shared" ref="G4:G67" si="2">""&amp;C4&amp;"であること。
/"&amp;C4&amp;""</f>
        <v>"S"であること。
/"S"</v>
      </c>
      <c r="H4" s="1" t="str" cm="1">
        <f t="array" ref="H4">_xlfn.IFS(ISNUMBER(SEARCH("△",C4)),E4,ISNUMBER(SEARCH("□",C4)),F4,1=1,G4)</f>
        <v>"S"であること。
/"S"</v>
      </c>
    </row>
    <row r="5" spans="2:8" ht="90" x14ac:dyDescent="0.45">
      <c r="B5" s="1">
        <v>4</v>
      </c>
      <c r="C5" s="1" t="s">
        <v>4</v>
      </c>
      <c r="D5" s="1"/>
      <c r="E5" s="2" t="str">
        <f t="shared" si="0"/>
        <v>"1720"であること。(△は半角空白）
/"1720". (△ is a half-width character blank space)</v>
      </c>
      <c r="F5" s="2" t="str">
        <f t="shared" si="1"/>
        <v>"1720"であること。(□は全角空白）
/"1720". (□ is a full-width character blank space)</v>
      </c>
      <c r="G5" s="3" t="str">
        <f t="shared" si="2"/>
        <v>"1720"であること。
/"1720"</v>
      </c>
      <c r="H5" s="1" t="str" cm="1">
        <f t="array" ref="H5">_xlfn.IFS(ISNUMBER(SEARCH("△",C5)),E5,ISNUMBER(SEARCH("□",C5)),F5,1=1,G5)</f>
        <v>"1720"であること。
/"1720"</v>
      </c>
    </row>
    <row r="6" spans="2:8" ht="90" x14ac:dyDescent="0.45">
      <c r="B6" s="1">
        <v>5</v>
      </c>
      <c r="C6" s="1" t="s">
        <v>5</v>
      </c>
      <c r="D6" s="1"/>
      <c r="E6" s="2" t="str">
        <f t="shared" si="0"/>
        <v>"101913000010"であること。(△は半角空白）
/"101913000010". (△ is a half-width character blank space)</v>
      </c>
      <c r="F6" s="2" t="str">
        <f t="shared" si="1"/>
        <v>"101913000010"であること。(□は全角空白）
/"101913000010". (□ is a full-width character blank space)</v>
      </c>
      <c r="G6" s="3" t="str">
        <f t="shared" si="2"/>
        <v>"101913000010"であること。
/"101913000010"</v>
      </c>
      <c r="H6" s="1" t="str" cm="1">
        <f t="array" ref="H6">_xlfn.IFS(ISNUMBER(SEARCH("△",C6)),E6,ISNUMBER(SEARCH("□",C6)),F6,1=1,G6)</f>
        <v>"101913000010"であること。
/"101913000010"</v>
      </c>
    </row>
    <row r="7" spans="2:8" ht="90" x14ac:dyDescent="0.45">
      <c r="B7" s="1">
        <v>6</v>
      </c>
      <c r="C7" s="1" t="s">
        <v>6</v>
      </c>
      <c r="D7" s="1"/>
      <c r="E7" s="2" t="str">
        <f t="shared" si="0"/>
        <v>"114876000001"であること。(△は半角空白）
/"114876000001". (△ is a half-width character blank space)</v>
      </c>
      <c r="F7" s="2" t="str">
        <f t="shared" si="1"/>
        <v>"114876000001"であること。(□は全角空白）
/"114876000001". (□ is a full-width character blank space)</v>
      </c>
      <c r="G7" s="3" t="str">
        <f t="shared" si="2"/>
        <v>"114876000001"であること。
/"114876000001"</v>
      </c>
      <c r="H7" s="1" t="str" cm="1">
        <f t="array" ref="H7">_xlfn.IFS(ISNUMBER(SEARCH("△",C7)),E7,ISNUMBER(SEARCH("□",C7)),F7,1=1,G7)</f>
        <v>"114876000001"であること。
/"114876000001"</v>
      </c>
    </row>
    <row r="8" spans="2:8" ht="90" x14ac:dyDescent="0.45">
      <c r="B8" s="1">
        <v>7</v>
      </c>
      <c r="C8" s="1" t="s">
        <v>7</v>
      </c>
      <c r="D8" s="1"/>
      <c r="E8" s="2" t="str">
        <f t="shared" si="0"/>
        <v>△*4であること。(△は半角空白）
/△*4. (△ is a half-width character blank space)</v>
      </c>
      <c r="F8" s="2" t="str">
        <f t="shared" si="1"/>
        <v>△*4であること。(□は全角空白）
/△*4. (□ is a full-width character blank space)</v>
      </c>
      <c r="G8" s="3" t="str">
        <f t="shared" si="2"/>
        <v>△*4であること。
/△*4</v>
      </c>
      <c r="H8" s="1" t="str" cm="1">
        <f t="array" ref="H8">_xlfn.IFS(ISNUMBER(SEARCH("△",C8)),E8,ISNUMBER(SEARCH("□",C8)),F8,1=1,G8)</f>
        <v>△*4であること。(△は半角空白）
/△*4. (△ is a half-width character blank space)</v>
      </c>
    </row>
    <row r="9" spans="2:8" ht="72" x14ac:dyDescent="0.45">
      <c r="B9" s="1">
        <v>8</v>
      </c>
      <c r="C9" s="1" t="s">
        <v>1</v>
      </c>
      <c r="D9" s="1"/>
      <c r="E9" s="2" t="str">
        <f t="shared" si="0"/>
        <v>"△"であること。(△は半角空白）
/"△". (△ is a half-width character blank space)</v>
      </c>
      <c r="F9" s="2" t="str">
        <f t="shared" si="1"/>
        <v>"△"であること。(□は全角空白）
/"△". (□ is a full-width character blank space)</v>
      </c>
      <c r="G9" s="3" t="str">
        <f t="shared" si="2"/>
        <v>"△"であること。
/"△"</v>
      </c>
      <c r="H9" s="1" t="str" cm="1">
        <f t="array" ref="H9">_xlfn.IFS(ISNUMBER(SEARCH("△",C9)),E9,ISNUMBER(SEARCH("□",C9)),F9,1=1,G9)</f>
        <v>"△"であること。(△は半角空白）
/"△". (△ is a half-width character blank space)</v>
      </c>
    </row>
    <row r="10" spans="2:8" ht="90" x14ac:dyDescent="0.45">
      <c r="B10" s="1">
        <v>9</v>
      </c>
      <c r="C10" s="1" t="s">
        <v>8</v>
      </c>
      <c r="D10" s="1"/>
      <c r="E10" s="2" t="str">
        <f t="shared" si="0"/>
        <v>△*6であること。(△は半角空白）
/△*6. (△ is a half-width character blank space)</v>
      </c>
      <c r="F10" s="2" t="str">
        <f t="shared" si="1"/>
        <v>△*6であること。(□は全角空白）
/△*6. (□ is a full-width character blank space)</v>
      </c>
      <c r="G10" s="3" t="str">
        <f t="shared" si="2"/>
        <v>△*6であること。
/△*6</v>
      </c>
      <c r="H10" s="1" t="str" cm="1">
        <f t="array" ref="H10">_xlfn.IFS(ISNUMBER(SEARCH("△",C10)),E10,ISNUMBER(SEARCH("□",C10)),F10,1=1,G10)</f>
        <v>△*6であること。(△は半角空白）
/△*6. (△ is a half-width character blank space)</v>
      </c>
    </row>
    <row r="11" spans="2:8" ht="90" x14ac:dyDescent="0.45">
      <c r="B11" s="1">
        <v>10</v>
      </c>
      <c r="C11" s="1" t="s">
        <v>8</v>
      </c>
      <c r="D11" s="1"/>
      <c r="E11" s="2" t="str">
        <f t="shared" si="0"/>
        <v>△*6であること。(△は半角空白）
/△*6. (△ is a half-width character blank space)</v>
      </c>
      <c r="F11" s="2" t="str">
        <f t="shared" si="1"/>
        <v>△*6であること。(□は全角空白）
/△*6. (□ is a full-width character blank space)</v>
      </c>
      <c r="G11" s="3" t="str">
        <f t="shared" si="2"/>
        <v>△*6であること。
/△*6</v>
      </c>
      <c r="H11" s="1" t="str" cm="1">
        <f t="array" ref="H11">_xlfn.IFS(ISNUMBER(SEARCH("△",C11)),E11,ISNUMBER(SEARCH("□",C11)),F11,1=1,G11)</f>
        <v>△*6であること。(△は半角空白）
/△*6. (△ is a half-width character blank space)</v>
      </c>
    </row>
    <row r="12" spans="2:8" ht="72" x14ac:dyDescent="0.45">
      <c r="B12" s="1">
        <v>11</v>
      </c>
      <c r="C12" s="1" t="s">
        <v>1</v>
      </c>
      <c r="D12" s="1"/>
      <c r="E12" s="2" t="str">
        <f t="shared" si="0"/>
        <v>"△"であること。(△は半角空白）
/"△". (△ is a half-width character blank space)</v>
      </c>
      <c r="F12" s="2" t="str">
        <f t="shared" si="1"/>
        <v>"△"であること。(□は全角空白）
/"△". (□ is a full-width character blank space)</v>
      </c>
      <c r="G12" s="3" t="str">
        <f t="shared" si="2"/>
        <v>"△"であること。
/"△"</v>
      </c>
      <c r="H12" s="1" t="str" cm="1">
        <f t="array" ref="H12">_xlfn.IFS(ISNUMBER(SEARCH("△",C12)),E12,ISNUMBER(SEARCH("□",C12)),F12,1=1,G12)</f>
        <v>"△"であること。(△は半角空白）
/"△". (△ is a half-width character blank space)</v>
      </c>
    </row>
    <row r="13" spans="2:8" ht="90" x14ac:dyDescent="0.45">
      <c r="B13" s="1">
        <v>12</v>
      </c>
      <c r="C13" s="1" t="s">
        <v>8</v>
      </c>
      <c r="D13" s="1"/>
      <c r="E13" s="2" t="str">
        <f t="shared" si="0"/>
        <v>△*6であること。(△は半角空白）
/△*6. (△ is a half-width character blank space)</v>
      </c>
      <c r="F13" s="2" t="str">
        <f t="shared" si="1"/>
        <v>△*6であること。(□は全角空白）
/△*6. (□ is a full-width character blank space)</v>
      </c>
      <c r="G13" s="3" t="str">
        <f t="shared" si="2"/>
        <v>△*6であること。
/△*6</v>
      </c>
      <c r="H13" s="1" t="str" cm="1">
        <f t="array" ref="H13">_xlfn.IFS(ISNUMBER(SEARCH("△",C13)),E13,ISNUMBER(SEARCH("□",C13)),F13,1=1,G13)</f>
        <v>△*6であること。(△は半角空白）
/△*6. (△ is a half-width character blank space)</v>
      </c>
    </row>
    <row r="14" spans="2:8" ht="90" x14ac:dyDescent="0.45">
      <c r="B14" s="1">
        <v>13</v>
      </c>
      <c r="C14" s="1" t="s">
        <v>8</v>
      </c>
      <c r="D14" s="1"/>
      <c r="E14" s="2" t="str">
        <f t="shared" si="0"/>
        <v>△*6であること。(△は半角空白）
/△*6. (△ is a half-width character blank space)</v>
      </c>
      <c r="F14" s="2" t="str">
        <f t="shared" si="1"/>
        <v>△*6であること。(□は全角空白）
/△*6. (□ is a full-width character blank space)</v>
      </c>
      <c r="G14" s="3" t="str">
        <f t="shared" si="2"/>
        <v>△*6であること。
/△*6</v>
      </c>
      <c r="H14" s="1" t="str" cm="1">
        <f t="array" ref="H14">_xlfn.IFS(ISNUMBER(SEARCH("△",C14)),E14,ISNUMBER(SEARCH("□",C14)),F14,1=1,G14)</f>
        <v>△*6であること。(△は半角空白）
/△*6. (△ is a half-width character blank space)</v>
      </c>
    </row>
    <row r="15" spans="2:8" ht="90" x14ac:dyDescent="0.45">
      <c r="B15" s="1">
        <v>14</v>
      </c>
      <c r="C15" s="1" t="s">
        <v>8</v>
      </c>
      <c r="D15" s="1"/>
      <c r="E15" s="2" t="str">
        <f t="shared" si="0"/>
        <v>△*6であること。(△は半角空白）
/△*6. (△ is a half-width character blank space)</v>
      </c>
      <c r="F15" s="2" t="str">
        <f t="shared" si="1"/>
        <v>△*6であること。(□は全角空白）
/△*6. (□ is a full-width character blank space)</v>
      </c>
      <c r="G15" s="3" t="str">
        <f t="shared" si="2"/>
        <v>△*6であること。
/△*6</v>
      </c>
      <c r="H15" s="1" t="str" cm="1">
        <f t="array" ref="H15">_xlfn.IFS(ISNUMBER(SEARCH("△",C15)),E15,ISNUMBER(SEARCH("□",C15)),F15,1=1,G15)</f>
        <v>△*6であること。(△は半角空白）
/△*6. (△ is a half-width character blank space)</v>
      </c>
    </row>
    <row r="16" spans="2:8" ht="90" x14ac:dyDescent="0.45">
      <c r="B16" s="1">
        <v>15</v>
      </c>
      <c r="C16" s="1" t="s">
        <v>8</v>
      </c>
      <c r="D16" s="1"/>
      <c r="E16" s="2" t="str">
        <f t="shared" si="0"/>
        <v>△*6であること。(△は半角空白）
/△*6. (△ is a half-width character blank space)</v>
      </c>
      <c r="F16" s="2" t="str">
        <f t="shared" si="1"/>
        <v>△*6であること。(□は全角空白）
/△*6. (□ is a full-width character blank space)</v>
      </c>
      <c r="G16" s="3" t="str">
        <f t="shared" si="2"/>
        <v>△*6であること。
/△*6</v>
      </c>
      <c r="H16" s="1" t="str" cm="1">
        <f t="array" ref="H16">_xlfn.IFS(ISNUMBER(SEARCH("△",C16)),E16,ISNUMBER(SEARCH("□",C16)),F16,1=1,G16)</f>
        <v>△*6であること。(△は半角空白）
/△*6. (△ is a half-width character blank space)</v>
      </c>
    </row>
    <row r="17" spans="2:8" ht="90" x14ac:dyDescent="0.45">
      <c r="B17" s="1">
        <v>16</v>
      </c>
      <c r="C17" s="1" t="s">
        <v>8</v>
      </c>
      <c r="D17" s="1"/>
      <c r="E17" s="2" t="str">
        <f t="shared" si="0"/>
        <v>△*6であること。(△は半角空白）
/△*6. (△ is a half-width character blank space)</v>
      </c>
      <c r="F17" s="2" t="str">
        <f t="shared" si="1"/>
        <v>△*6であること。(□は全角空白）
/△*6. (□ is a full-width character blank space)</v>
      </c>
      <c r="G17" s="3" t="str">
        <f t="shared" si="2"/>
        <v>△*6であること。
/△*6</v>
      </c>
      <c r="H17" s="1" t="str" cm="1">
        <f t="array" ref="H17">_xlfn.IFS(ISNUMBER(SEARCH("△",C17)),E17,ISNUMBER(SEARCH("□",C17)),F17,1=1,G17)</f>
        <v>△*6であること。(△は半角空白）
/△*6. (△ is a half-width character blank space)</v>
      </c>
    </row>
    <row r="18" spans="2:8" ht="90" x14ac:dyDescent="0.45">
      <c r="B18" s="1">
        <v>17</v>
      </c>
      <c r="C18" s="1" t="s">
        <v>8</v>
      </c>
      <c r="D18" s="1"/>
      <c r="E18" s="2" t="str">
        <f t="shared" si="0"/>
        <v>△*6であること。(△は半角空白）
/△*6. (△ is a half-width character blank space)</v>
      </c>
      <c r="F18" s="2" t="str">
        <f t="shared" si="1"/>
        <v>△*6であること。(□は全角空白）
/△*6. (□ is a full-width character blank space)</v>
      </c>
      <c r="G18" s="3" t="str">
        <f t="shared" si="2"/>
        <v>△*6であること。
/△*6</v>
      </c>
      <c r="H18" s="1" t="str" cm="1">
        <f t="array" ref="H18">_xlfn.IFS(ISNUMBER(SEARCH("△",C18)),E18,ISNUMBER(SEARCH("□",C18)),F18,1=1,G18)</f>
        <v>△*6であること。(△は半角空白）
/△*6. (△ is a half-width character blank space)</v>
      </c>
    </row>
    <row r="19" spans="2:8" ht="90" x14ac:dyDescent="0.45">
      <c r="B19" s="1">
        <v>18</v>
      </c>
      <c r="C19" s="1" t="s">
        <v>8</v>
      </c>
      <c r="D19" s="1"/>
      <c r="E19" s="2" t="str">
        <f t="shared" si="0"/>
        <v>△*6であること。(△は半角空白）
/△*6. (△ is a half-width character blank space)</v>
      </c>
      <c r="F19" s="2" t="str">
        <f t="shared" si="1"/>
        <v>△*6であること。(□は全角空白）
/△*6. (□ is a full-width character blank space)</v>
      </c>
      <c r="G19" s="3" t="str">
        <f t="shared" si="2"/>
        <v>△*6であること。
/△*6</v>
      </c>
      <c r="H19" s="1" t="str" cm="1">
        <f t="array" ref="H19">_xlfn.IFS(ISNUMBER(SEARCH("△",C19)),E19,ISNUMBER(SEARCH("□",C19)),F19,1=1,G19)</f>
        <v>△*6であること。(△は半角空白）
/△*6. (△ is a half-width character blank space)</v>
      </c>
    </row>
    <row r="20" spans="2:8" ht="90" x14ac:dyDescent="0.45">
      <c r="B20" s="1">
        <v>19</v>
      </c>
      <c r="C20" s="1" t="s">
        <v>8</v>
      </c>
      <c r="D20" s="1"/>
      <c r="E20" s="2" t="str">
        <f t="shared" si="0"/>
        <v>△*6であること。(△は半角空白）
/△*6. (△ is a half-width character blank space)</v>
      </c>
      <c r="F20" s="2" t="str">
        <f t="shared" si="1"/>
        <v>△*6であること。(□は全角空白）
/△*6. (□ is a full-width character blank space)</v>
      </c>
      <c r="G20" s="3" t="str">
        <f t="shared" si="2"/>
        <v>△*6であること。
/△*6</v>
      </c>
      <c r="H20" s="1" t="str" cm="1">
        <f t="array" ref="H20">_xlfn.IFS(ISNUMBER(SEARCH("△",C20)),E20,ISNUMBER(SEARCH("□",C20)),F20,1=1,G20)</f>
        <v>△*6であること。(△は半角空白）
/△*6. (△ is a half-width character blank space)</v>
      </c>
    </row>
    <row r="21" spans="2:8" ht="90" x14ac:dyDescent="0.45">
      <c r="B21" s="1">
        <v>20</v>
      </c>
      <c r="C21" s="1" t="s">
        <v>8</v>
      </c>
      <c r="D21" s="1"/>
      <c r="E21" s="2" t="str">
        <f t="shared" si="0"/>
        <v>△*6であること。(△は半角空白）
/△*6. (△ is a half-width character blank space)</v>
      </c>
      <c r="F21" s="2" t="str">
        <f t="shared" si="1"/>
        <v>△*6であること。(□は全角空白）
/△*6. (□ is a full-width character blank space)</v>
      </c>
      <c r="G21" s="3" t="str">
        <f t="shared" si="2"/>
        <v>△*6であること。
/△*6</v>
      </c>
      <c r="H21" s="1" t="str" cm="1">
        <f t="array" ref="H21">_xlfn.IFS(ISNUMBER(SEARCH("△",C21)),E21,ISNUMBER(SEARCH("□",C21)),F21,1=1,G21)</f>
        <v>△*6であること。(△は半角空白）
/△*6. (△ is a half-width character blank space)</v>
      </c>
    </row>
    <row r="22" spans="2:8" ht="90" x14ac:dyDescent="0.45">
      <c r="B22" s="1">
        <v>21</v>
      </c>
      <c r="C22" s="1" t="s">
        <v>8</v>
      </c>
      <c r="D22" s="1"/>
      <c r="E22" s="2" t="str">
        <f t="shared" si="0"/>
        <v>△*6であること。(△は半角空白）
/△*6. (△ is a half-width character blank space)</v>
      </c>
      <c r="F22" s="2" t="str">
        <f t="shared" si="1"/>
        <v>△*6であること。(□は全角空白）
/△*6. (□ is a full-width character blank space)</v>
      </c>
      <c r="G22" s="3" t="str">
        <f t="shared" si="2"/>
        <v>△*6であること。
/△*6</v>
      </c>
      <c r="H22" s="1" t="str" cm="1">
        <f t="array" ref="H22">_xlfn.IFS(ISNUMBER(SEARCH("△",C22)),E22,ISNUMBER(SEARCH("□",C22)),F22,1=1,G22)</f>
        <v>△*6であること。(△は半角空白）
/△*6. (△ is a half-width character blank space)</v>
      </c>
    </row>
    <row r="23" spans="2:8" ht="90" x14ac:dyDescent="0.45">
      <c r="B23" s="1">
        <v>22</v>
      </c>
      <c r="C23" s="1" t="s">
        <v>9</v>
      </c>
      <c r="D23" s="1"/>
      <c r="E23" s="2" t="str">
        <f t="shared" si="0"/>
        <v>△*10であること。(△は半角空白）
/△*10. (△ is a half-width character blank space)</v>
      </c>
      <c r="F23" s="2" t="str">
        <f t="shared" si="1"/>
        <v>△*10であること。(□は全角空白）
/△*10. (□ is a full-width character blank space)</v>
      </c>
      <c r="G23" s="3" t="str">
        <f t="shared" si="2"/>
        <v>△*10であること。
/△*10</v>
      </c>
      <c r="H23" s="1" t="str" cm="1">
        <f t="array" ref="H23">_xlfn.IFS(ISNUMBER(SEARCH("△",C23)),E23,ISNUMBER(SEARCH("□",C23)),F23,1=1,G23)</f>
        <v>△*10であること。(△は半角空白）
/△*10. (△ is a half-width character blank space)</v>
      </c>
    </row>
    <row r="24" spans="2:8" ht="90" x14ac:dyDescent="0.45">
      <c r="B24" s="1">
        <v>23</v>
      </c>
      <c r="C24" s="1" t="s">
        <v>8</v>
      </c>
      <c r="D24" s="1"/>
      <c r="E24" s="2" t="str">
        <f t="shared" si="0"/>
        <v>△*6であること。(△は半角空白）
/△*6. (△ is a half-width character blank space)</v>
      </c>
      <c r="F24" s="2" t="str">
        <f t="shared" si="1"/>
        <v>△*6であること。(□は全角空白）
/△*6. (□ is a full-width character blank space)</v>
      </c>
      <c r="G24" s="3" t="str">
        <f t="shared" si="2"/>
        <v>△*6であること。
/△*6</v>
      </c>
      <c r="H24" s="1" t="str" cm="1">
        <f t="array" ref="H24">_xlfn.IFS(ISNUMBER(SEARCH("△",C24)),E24,ISNUMBER(SEARCH("□",C24)),F24,1=1,G24)</f>
        <v>△*6であること。(△は半角空白）
/△*6. (△ is a half-width character blank space)</v>
      </c>
    </row>
    <row r="25" spans="2:8" ht="90" x14ac:dyDescent="0.45">
      <c r="B25" s="1">
        <v>24</v>
      </c>
      <c r="C25" s="1" t="s">
        <v>9</v>
      </c>
      <c r="D25" s="1"/>
      <c r="E25" s="2" t="str">
        <f t="shared" si="0"/>
        <v>△*10であること。(△は半角空白）
/△*10. (△ is a half-width character blank space)</v>
      </c>
      <c r="F25" s="2" t="str">
        <f t="shared" si="1"/>
        <v>△*10であること。(□は全角空白）
/△*10. (□ is a full-width character blank space)</v>
      </c>
      <c r="G25" s="3" t="str">
        <f t="shared" si="2"/>
        <v>△*10であること。
/△*10</v>
      </c>
      <c r="H25" s="1" t="str" cm="1">
        <f t="array" ref="H25">_xlfn.IFS(ISNUMBER(SEARCH("△",C25)),E25,ISNUMBER(SEARCH("□",C25)),F25,1=1,G25)</f>
        <v>△*10であること。(△は半角空白）
/△*10. (△ is a half-width character blank space)</v>
      </c>
    </row>
    <row r="26" spans="2:8" ht="90" x14ac:dyDescent="0.45">
      <c r="B26" s="1">
        <v>25</v>
      </c>
      <c r="C26" s="1" t="s">
        <v>8</v>
      </c>
      <c r="D26" s="1"/>
      <c r="E26" s="2" t="str">
        <f t="shared" si="0"/>
        <v>△*6であること。(△は半角空白）
/△*6. (△ is a half-width character blank space)</v>
      </c>
      <c r="F26" s="2" t="str">
        <f t="shared" si="1"/>
        <v>△*6であること。(□は全角空白）
/△*6. (□ is a full-width character blank space)</v>
      </c>
      <c r="G26" s="3" t="str">
        <f t="shared" si="2"/>
        <v>△*6であること。
/△*6</v>
      </c>
      <c r="H26" s="1" t="str" cm="1">
        <f t="array" ref="H26">_xlfn.IFS(ISNUMBER(SEARCH("△",C26)),E26,ISNUMBER(SEARCH("□",C26)),F26,1=1,G26)</f>
        <v>△*6であること。(△は半角空白）
/△*6. (△ is a half-width character blank space)</v>
      </c>
    </row>
    <row r="27" spans="2:8" ht="90" x14ac:dyDescent="0.45">
      <c r="B27" s="1">
        <v>26</v>
      </c>
      <c r="C27" s="1" t="s">
        <v>7</v>
      </c>
      <c r="D27" s="1"/>
      <c r="E27" s="2" t="str">
        <f t="shared" si="0"/>
        <v>△*4であること。(△は半角空白）
/△*4. (△ is a half-width character blank space)</v>
      </c>
      <c r="F27" s="2" t="str">
        <f t="shared" si="1"/>
        <v>△*4であること。(□は全角空白）
/△*4. (□ is a full-width character blank space)</v>
      </c>
      <c r="G27" s="3" t="str">
        <f t="shared" si="2"/>
        <v>△*4であること。
/△*4</v>
      </c>
      <c r="H27" s="1" t="str" cm="1">
        <f t="array" ref="H27">_xlfn.IFS(ISNUMBER(SEARCH("△",C27)),E27,ISNUMBER(SEARCH("□",C27)),F27,1=1,G27)</f>
        <v>△*4であること。(△は半角空白）
/△*4. (△ is a half-width character blank space)</v>
      </c>
    </row>
    <row r="28" spans="2:8" ht="72" x14ac:dyDescent="0.45">
      <c r="B28" s="1">
        <v>27</v>
      </c>
      <c r="C28" s="1" t="s">
        <v>1</v>
      </c>
      <c r="D28" s="1"/>
      <c r="E28" s="2" t="str">
        <f t="shared" si="0"/>
        <v>"△"であること。(△は半角空白）
/"△". (△ is a half-width character blank space)</v>
      </c>
      <c r="F28" s="2" t="str">
        <f t="shared" si="1"/>
        <v>"△"であること。(□は全角空白）
/"△". (□ is a full-width character blank space)</v>
      </c>
      <c r="G28" s="3" t="str">
        <f t="shared" si="2"/>
        <v>"△"であること。
/"△"</v>
      </c>
      <c r="H28" s="1" t="str" cm="1">
        <f t="array" ref="H28">_xlfn.IFS(ISNUMBER(SEARCH("△",C28)),E28,ISNUMBER(SEARCH("□",C28)),F28,1=1,G28)</f>
        <v>"△"であること。(△は半角空白）
/"△". (△ is a half-width character blank space)</v>
      </c>
    </row>
    <row r="29" spans="2:8" ht="72" x14ac:dyDescent="0.45">
      <c r="B29" s="1">
        <v>28</v>
      </c>
      <c r="C29" s="1" t="s">
        <v>1</v>
      </c>
      <c r="D29" s="1"/>
      <c r="E29" s="2" t="str">
        <f t="shared" si="0"/>
        <v>"△"であること。(△は半角空白）
/"△". (△ is a half-width character blank space)</v>
      </c>
      <c r="F29" s="2" t="str">
        <f t="shared" si="1"/>
        <v>"△"であること。(□は全角空白）
/"△". (□ is a full-width character blank space)</v>
      </c>
      <c r="G29" s="3" t="str">
        <f t="shared" si="2"/>
        <v>"△"であること。
/"△"</v>
      </c>
      <c r="H29" s="1" t="str" cm="1">
        <f t="array" ref="H29">_xlfn.IFS(ISNUMBER(SEARCH("△",C29)),E29,ISNUMBER(SEARCH("□",C29)),F29,1=1,G29)</f>
        <v>"△"であること。(△は半角空白）
/"△". (△ is a half-width character blank space)</v>
      </c>
    </row>
    <row r="30" spans="2:8" ht="72" x14ac:dyDescent="0.45">
      <c r="B30" s="1">
        <v>29</v>
      </c>
      <c r="C30" s="1" t="s">
        <v>1</v>
      </c>
      <c r="D30" s="1"/>
      <c r="E30" s="2" t="str">
        <f t="shared" si="0"/>
        <v>"△"であること。(△は半角空白）
/"△". (△ is a half-width character blank space)</v>
      </c>
      <c r="F30" s="2" t="str">
        <f t="shared" si="1"/>
        <v>"△"であること。(□は全角空白）
/"△". (□ is a full-width character blank space)</v>
      </c>
      <c r="G30" s="3" t="str">
        <f t="shared" si="2"/>
        <v>"△"であること。
/"△"</v>
      </c>
      <c r="H30" s="1" t="str" cm="1">
        <f t="array" ref="H30">_xlfn.IFS(ISNUMBER(SEARCH("△",C30)),E30,ISNUMBER(SEARCH("□",C30)),F30,1=1,G30)</f>
        <v>"△"であること。(△は半角空白）
/"△". (△ is a half-width character blank space)</v>
      </c>
    </row>
    <row r="31" spans="2:8" ht="90" x14ac:dyDescent="0.45">
      <c r="B31" s="1">
        <v>30</v>
      </c>
      <c r="C31" s="1" t="s">
        <v>10</v>
      </c>
      <c r="D31" s="1"/>
      <c r="E31" s="2" t="str">
        <f t="shared" si="0"/>
        <v>△*44であること。(△は半角空白）
/△*44. (△ is a half-width character blank space)</v>
      </c>
      <c r="F31" s="2" t="str">
        <f t="shared" si="1"/>
        <v>△*44であること。(□は全角空白）
/△*44. (□ is a full-width character blank space)</v>
      </c>
      <c r="G31" s="3" t="str">
        <f t="shared" si="2"/>
        <v>△*44であること。
/△*44</v>
      </c>
      <c r="H31" s="1" t="str" cm="1">
        <f t="array" ref="H31">_xlfn.IFS(ISNUMBER(SEARCH("△",C31)),E31,ISNUMBER(SEARCH("□",C31)),F31,1=1,G31)</f>
        <v>△*44であること。(△は半角空白）
/△*44. (△ is a half-width character blank space)</v>
      </c>
    </row>
    <row r="32" spans="2:8" ht="90" x14ac:dyDescent="0.45">
      <c r="B32" s="1">
        <v>31</v>
      </c>
      <c r="C32" s="1" t="s">
        <v>11</v>
      </c>
      <c r="D32" s="1"/>
      <c r="E32" s="2" t="str">
        <f t="shared" si="0"/>
        <v>□*22であること。(△は半角空白）
/□*22. (△ is a half-width character blank space)</v>
      </c>
      <c r="F32" s="2" t="str">
        <f t="shared" si="1"/>
        <v>□*22であること。(□は全角空白）
/□*22. (□ is a full-width character blank space)</v>
      </c>
      <c r="G32" s="3" t="str">
        <f t="shared" si="2"/>
        <v>□*22であること。
/□*22</v>
      </c>
      <c r="H32" s="1" t="str" cm="1">
        <f t="array" ref="H32">_xlfn.IFS(ISNUMBER(SEARCH("△",C32)),E32,ISNUMBER(SEARCH("□",C32)),F32,1=1,G32)</f>
        <v>□*22であること。(□は全角空白）
/□*22. (□ is a full-width character blank space)</v>
      </c>
    </row>
    <row r="33" spans="2:8" ht="90" x14ac:dyDescent="0.45">
      <c r="B33" s="1">
        <v>32</v>
      </c>
      <c r="C33" s="1" t="s">
        <v>9</v>
      </c>
      <c r="D33" s="1"/>
      <c r="E33" s="2" t="str">
        <f t="shared" si="0"/>
        <v>△*10であること。(△は半角空白）
/△*10. (△ is a half-width character blank space)</v>
      </c>
      <c r="F33" s="2" t="str">
        <f t="shared" si="1"/>
        <v>△*10であること。(□は全角空白）
/△*10. (□ is a full-width character blank space)</v>
      </c>
      <c r="G33" s="3" t="str">
        <f t="shared" si="2"/>
        <v>△*10であること。
/△*10</v>
      </c>
      <c r="H33" s="1" t="str" cm="1">
        <f t="array" ref="H33">_xlfn.IFS(ISNUMBER(SEARCH("△",C33)),E33,ISNUMBER(SEARCH("□",C33)),F33,1=1,G33)</f>
        <v>△*10であること。(△は半角空白）
/△*10. (△ is a half-width character blank space)</v>
      </c>
    </row>
    <row r="34" spans="2:8" ht="90" x14ac:dyDescent="0.45">
      <c r="B34" s="1">
        <v>33</v>
      </c>
      <c r="C34" s="1" t="s">
        <v>8</v>
      </c>
      <c r="D34" s="1"/>
      <c r="E34" s="2" t="str">
        <f t="shared" si="0"/>
        <v>△*6であること。(△は半角空白）
/△*6. (△ is a half-width character blank space)</v>
      </c>
      <c r="F34" s="2" t="str">
        <f t="shared" si="1"/>
        <v>△*6であること。(□は全角空白）
/△*6. (□ is a full-width character blank space)</v>
      </c>
      <c r="G34" s="3" t="str">
        <f t="shared" si="2"/>
        <v>△*6であること。
/△*6</v>
      </c>
      <c r="H34" s="1" t="str" cm="1">
        <f t="array" ref="H34">_xlfn.IFS(ISNUMBER(SEARCH("△",C34)),E34,ISNUMBER(SEARCH("□",C34)),F34,1=1,G34)</f>
        <v>△*6であること。(△は半角空白）
/△*6. (△ is a half-width character blank space)</v>
      </c>
    </row>
    <row r="35" spans="2:8" ht="90" x14ac:dyDescent="0.45">
      <c r="B35" s="1">
        <v>34</v>
      </c>
      <c r="C35" s="1" t="s">
        <v>7</v>
      </c>
      <c r="D35" s="1"/>
      <c r="E35" s="2" t="str">
        <f t="shared" si="0"/>
        <v>△*4であること。(△は半角空白）
/△*4. (△ is a half-width character blank space)</v>
      </c>
      <c r="F35" s="2" t="str">
        <f t="shared" si="1"/>
        <v>△*4であること。(□は全角空白）
/△*4. (□ is a full-width character blank space)</v>
      </c>
      <c r="G35" s="3" t="str">
        <f t="shared" si="2"/>
        <v>△*4であること。
/△*4</v>
      </c>
      <c r="H35" s="1" t="str" cm="1">
        <f t="array" ref="H35">_xlfn.IFS(ISNUMBER(SEARCH("△",C35)),E35,ISNUMBER(SEARCH("□",C35)),F35,1=1,G35)</f>
        <v>△*4であること。(△は半角空白）
/△*4. (△ is a half-width character blank space)</v>
      </c>
    </row>
    <row r="36" spans="2:8" ht="90" x14ac:dyDescent="0.45">
      <c r="B36" s="1">
        <v>35</v>
      </c>
      <c r="C36" s="1" t="s">
        <v>8</v>
      </c>
      <c r="D36" s="1"/>
      <c r="E36" s="2" t="str">
        <f t="shared" si="0"/>
        <v>△*6であること。(△は半角空白）
/△*6. (△ is a half-width character blank space)</v>
      </c>
      <c r="F36" s="2" t="str">
        <f t="shared" si="1"/>
        <v>△*6であること。(□は全角空白）
/△*6. (□ is a full-width character blank space)</v>
      </c>
      <c r="G36" s="3" t="str">
        <f t="shared" si="2"/>
        <v>△*6であること。
/△*6</v>
      </c>
      <c r="H36" s="1" t="str" cm="1">
        <f t="array" ref="H36">_xlfn.IFS(ISNUMBER(SEARCH("△",C36)),E36,ISNUMBER(SEARCH("□",C36)),F36,1=1,G36)</f>
        <v>△*6であること。(△は半角空白）
/△*6. (△ is a half-width character blank space)</v>
      </c>
    </row>
    <row r="37" spans="2:8" ht="72" x14ac:dyDescent="0.45">
      <c r="B37" s="1">
        <v>36</v>
      </c>
      <c r="C37" s="1" t="s">
        <v>1</v>
      </c>
      <c r="D37" s="1"/>
      <c r="E37" s="2" t="str">
        <f t="shared" si="0"/>
        <v>"△"であること。(△は半角空白）
/"△". (△ is a half-width character blank space)</v>
      </c>
      <c r="F37" s="2" t="str">
        <f t="shared" si="1"/>
        <v>"△"であること。(□は全角空白）
/"△". (□ is a full-width character blank space)</v>
      </c>
      <c r="G37" s="3" t="str">
        <f t="shared" si="2"/>
        <v>"△"であること。
/"△"</v>
      </c>
      <c r="H37" s="1" t="str" cm="1">
        <f t="array" ref="H37">_xlfn.IFS(ISNUMBER(SEARCH("△",C37)),E37,ISNUMBER(SEARCH("□",C37)),F37,1=1,G37)</f>
        <v>"△"であること。(△は半角空白）
/"△". (△ is a half-width character blank space)</v>
      </c>
    </row>
    <row r="38" spans="2:8" ht="72" x14ac:dyDescent="0.45">
      <c r="B38" s="1">
        <v>37</v>
      </c>
      <c r="C38" s="1" t="s">
        <v>1</v>
      </c>
      <c r="D38" s="1"/>
      <c r="E38" s="2" t="str">
        <f t="shared" si="0"/>
        <v>"△"であること。(△は半角空白）
/"△". (△ is a half-width character blank space)</v>
      </c>
      <c r="F38" s="2" t="str">
        <f t="shared" si="1"/>
        <v>"△"であること。(□は全角空白）
/"△". (□ is a full-width character blank space)</v>
      </c>
      <c r="G38" s="3" t="str">
        <f t="shared" si="2"/>
        <v>"△"であること。
/"△"</v>
      </c>
      <c r="H38" s="1" t="str" cm="1">
        <f t="array" ref="H38">_xlfn.IFS(ISNUMBER(SEARCH("△",C38)),E38,ISNUMBER(SEARCH("□",C38)),F38,1=1,G38)</f>
        <v>"△"であること。(△は半角空白）
/"△". (△ is a half-width character blank space)</v>
      </c>
    </row>
    <row r="39" spans="2:8" ht="90" x14ac:dyDescent="0.45">
      <c r="B39" s="1">
        <v>38</v>
      </c>
      <c r="C39" s="1" t="s">
        <v>12</v>
      </c>
      <c r="D39" s="1"/>
      <c r="E39" s="2" t="str">
        <f t="shared" si="0"/>
        <v>△*5であること。(△は半角空白）
/△*5. (△ is a half-width character blank space)</v>
      </c>
      <c r="F39" s="2" t="str">
        <f t="shared" si="1"/>
        <v>△*5であること。(□は全角空白）
/△*5. (□ is a full-width character blank space)</v>
      </c>
      <c r="G39" s="3" t="str">
        <f t="shared" si="2"/>
        <v>△*5であること。
/△*5</v>
      </c>
      <c r="H39" s="1" t="str" cm="1">
        <f t="array" ref="H39">_xlfn.IFS(ISNUMBER(SEARCH("△",C39)),E39,ISNUMBER(SEARCH("□",C39)),F39,1=1,G39)</f>
        <v>△*5であること。(△は半角空白）
/△*5. (△ is a half-width character blank space)</v>
      </c>
    </row>
    <row r="40" spans="2:8" ht="90" x14ac:dyDescent="0.45">
      <c r="B40" s="1">
        <v>39</v>
      </c>
      <c r="C40" s="1" t="s">
        <v>13</v>
      </c>
      <c r="D40" s="1"/>
      <c r="E40" s="2" t="str">
        <f t="shared" si="0"/>
        <v>△*70であること。(△は半角空白）
/△*70. (△ is a half-width character blank space)</v>
      </c>
      <c r="F40" s="2" t="str">
        <f t="shared" si="1"/>
        <v>△*70であること。(□は全角空白）
/△*70. (□ is a full-width character blank space)</v>
      </c>
      <c r="G40" s="3" t="str">
        <f t="shared" si="2"/>
        <v>△*70であること。
/△*70</v>
      </c>
      <c r="H40" s="1" t="str" cm="1">
        <f t="array" ref="H40">_xlfn.IFS(ISNUMBER(SEARCH("△",C40)),E40,ISNUMBER(SEARCH("□",C40)),F40,1=1,G40)</f>
        <v>△*70であること。(△は半角空白）
/△*70. (△ is a half-width character blank space)</v>
      </c>
    </row>
    <row r="41" spans="2:8" ht="90" x14ac:dyDescent="0.45">
      <c r="B41" s="1">
        <v>40</v>
      </c>
      <c r="C41" s="1" t="s">
        <v>14</v>
      </c>
      <c r="D41" s="1"/>
      <c r="E41" s="2" t="str">
        <f t="shared" si="0"/>
        <v>□*35であること。(△は半角空白）
/□*35. (△ is a half-width character blank space)</v>
      </c>
      <c r="F41" s="2" t="str">
        <f t="shared" si="1"/>
        <v>□*35であること。(□は全角空白）
/□*35. (□ is a full-width character blank space)</v>
      </c>
      <c r="G41" s="3" t="str">
        <f t="shared" si="2"/>
        <v>□*35であること。
/□*35</v>
      </c>
      <c r="H41" s="1" t="str" cm="1">
        <f t="array" ref="H41">_xlfn.IFS(ISNUMBER(SEARCH("△",C41)),E41,ISNUMBER(SEARCH("□",C41)),F41,1=1,G41)</f>
        <v>□*35であること。(□は全角空白）
/□*35. (□ is a full-width character blank space)</v>
      </c>
    </row>
    <row r="42" spans="2:8" ht="72" x14ac:dyDescent="0.45">
      <c r="B42" s="1">
        <v>41</v>
      </c>
      <c r="C42" s="1" t="s">
        <v>1</v>
      </c>
      <c r="D42" s="1"/>
      <c r="E42" s="2" t="str">
        <f t="shared" si="0"/>
        <v>"△"であること。(△は半角空白）
/"△". (△ is a half-width character blank space)</v>
      </c>
      <c r="F42" s="2" t="str">
        <f t="shared" si="1"/>
        <v>"△"であること。(□は全角空白）
/"△". (□ is a full-width character blank space)</v>
      </c>
      <c r="G42" s="3" t="str">
        <f t="shared" si="2"/>
        <v>"△"であること。
/"△"</v>
      </c>
      <c r="H42" s="1" t="str" cm="1">
        <f t="array" ref="H42">_xlfn.IFS(ISNUMBER(SEARCH("△",C42)),E42,ISNUMBER(SEARCH("□",C42)),F42,1=1,G42)</f>
        <v>"△"であること。(△は半角空白）
/"△". (△ is a half-width character blank space)</v>
      </c>
    </row>
    <row r="43" spans="2:8" ht="90" x14ac:dyDescent="0.45">
      <c r="B43" s="1">
        <v>42</v>
      </c>
      <c r="C43" s="1" t="s">
        <v>9</v>
      </c>
      <c r="D43" s="1"/>
      <c r="E43" s="2" t="str">
        <f t="shared" si="0"/>
        <v>△*10であること。(△は半角空白）
/△*10. (△ is a half-width character blank space)</v>
      </c>
      <c r="F43" s="2" t="str">
        <f t="shared" si="1"/>
        <v>△*10であること。(□は全角空白）
/△*10. (□ is a full-width character blank space)</v>
      </c>
      <c r="G43" s="3" t="str">
        <f t="shared" si="2"/>
        <v>△*10であること。
/△*10</v>
      </c>
      <c r="H43" s="1" t="str" cm="1">
        <f t="array" ref="H43">_xlfn.IFS(ISNUMBER(SEARCH("△",C43)),E43,ISNUMBER(SEARCH("□",C43)),F43,1=1,G43)</f>
        <v>△*10であること。(△は半角空白）
/△*10. (△ is a half-width character blank space)</v>
      </c>
    </row>
    <row r="44" spans="2:8" ht="90" x14ac:dyDescent="0.45">
      <c r="B44" s="1">
        <v>43</v>
      </c>
      <c r="C44" s="1" t="s">
        <v>15</v>
      </c>
      <c r="D44" s="1"/>
      <c r="E44" s="2" t="str">
        <f t="shared" si="0"/>
        <v>△*12であること。(△は半角空白）
/△*12. (△ is a half-width character blank space)</v>
      </c>
      <c r="F44" s="2" t="str">
        <f t="shared" si="1"/>
        <v>△*12であること。(□は全角空白）
/△*12. (□ is a full-width character blank space)</v>
      </c>
      <c r="G44" s="3" t="str">
        <f t="shared" si="2"/>
        <v>△*12であること。
/△*12</v>
      </c>
      <c r="H44" s="1" t="str" cm="1">
        <f t="array" ref="H44">_xlfn.IFS(ISNUMBER(SEARCH("△",C44)),E44,ISNUMBER(SEARCH("□",C44)),F44,1=1,G44)</f>
        <v>△*12であること。(△は半角空白）
/△*12. (△ is a half-width character blank space)</v>
      </c>
    </row>
    <row r="45" spans="2:8" ht="90" x14ac:dyDescent="0.45">
      <c r="B45" s="1">
        <v>44</v>
      </c>
      <c r="C45" s="1" t="s">
        <v>16</v>
      </c>
      <c r="D45" s="1"/>
      <c r="E45" s="2" t="str">
        <f t="shared" si="0"/>
        <v>△*40であること。(△は半角空白）
/△*40. (△ is a half-width character blank space)</v>
      </c>
      <c r="F45" s="2" t="str">
        <f t="shared" si="1"/>
        <v>△*40であること。(□は全角空白）
/△*40. (□ is a full-width character blank space)</v>
      </c>
      <c r="G45" s="3" t="str">
        <f t="shared" si="2"/>
        <v>△*40であること。
/△*40</v>
      </c>
      <c r="H45" s="1" t="str" cm="1">
        <f t="array" ref="H45">_xlfn.IFS(ISNUMBER(SEARCH("△",C45)),E45,ISNUMBER(SEARCH("□",C45)),F45,1=1,G45)</f>
        <v>△*40であること。(△は半角空白）
/△*40. (△ is a half-width character blank space)</v>
      </c>
    </row>
    <row r="46" spans="2:8" ht="90" x14ac:dyDescent="0.45">
      <c r="B46" s="1">
        <v>45</v>
      </c>
      <c r="C46" s="1" t="s">
        <v>17</v>
      </c>
      <c r="D46" s="1"/>
      <c r="E46" s="2" t="str">
        <f t="shared" si="0"/>
        <v>□*20であること。(△は半角空白）
/□*20. (△ is a half-width character blank space)</v>
      </c>
      <c r="F46" s="2" t="str">
        <f t="shared" si="1"/>
        <v>□*20であること。(□は全角空白）
/□*20. (□ is a full-width character blank space)</v>
      </c>
      <c r="G46" s="3" t="str">
        <f t="shared" si="2"/>
        <v>□*20であること。
/□*20</v>
      </c>
      <c r="H46" s="1" t="str" cm="1">
        <f t="array" ref="H46">_xlfn.IFS(ISNUMBER(SEARCH("△",C46)),E46,ISNUMBER(SEARCH("□",C46)),F46,1=1,G46)</f>
        <v>□*20であること。(□は全角空白）
/□*20. (□ is a full-width character blank space)</v>
      </c>
    </row>
    <row r="47" spans="2:8" ht="90" x14ac:dyDescent="0.45">
      <c r="B47" s="1">
        <v>46</v>
      </c>
      <c r="C47" s="1" t="s">
        <v>9</v>
      </c>
      <c r="D47" s="1"/>
      <c r="E47" s="2" t="str">
        <f t="shared" si="0"/>
        <v>△*10であること。(△は半角空白）
/△*10. (△ is a half-width character blank space)</v>
      </c>
      <c r="F47" s="2" t="str">
        <f t="shared" si="1"/>
        <v>△*10であること。(□は全角空白）
/△*10. (□ is a full-width character blank space)</v>
      </c>
      <c r="G47" s="3" t="str">
        <f t="shared" si="2"/>
        <v>△*10であること。
/△*10</v>
      </c>
      <c r="H47" s="1" t="str" cm="1">
        <f t="array" ref="H47">_xlfn.IFS(ISNUMBER(SEARCH("△",C47)),E47,ISNUMBER(SEARCH("□",C47)),F47,1=1,G47)</f>
        <v>△*10であること。(△は半角空白）
/△*10. (△ is a half-width character blank space)</v>
      </c>
    </row>
    <row r="48" spans="2:8" ht="90" x14ac:dyDescent="0.45">
      <c r="B48" s="1">
        <v>47</v>
      </c>
      <c r="C48" s="1" t="s">
        <v>15</v>
      </c>
      <c r="D48" s="1"/>
      <c r="E48" s="2" t="str">
        <f t="shared" si="0"/>
        <v>△*12であること。(△は半角空白）
/△*12. (△ is a half-width character blank space)</v>
      </c>
      <c r="F48" s="2" t="str">
        <f t="shared" si="1"/>
        <v>△*12であること。(□は全角空白）
/△*12. (□ is a full-width character blank space)</v>
      </c>
      <c r="G48" s="3" t="str">
        <f t="shared" si="2"/>
        <v>△*12であること。
/△*12</v>
      </c>
      <c r="H48" s="1" t="str" cm="1">
        <f t="array" ref="H48">_xlfn.IFS(ISNUMBER(SEARCH("△",C48)),E48,ISNUMBER(SEARCH("□",C48)),F48,1=1,G48)</f>
        <v>△*12であること。(△は半角空白）
/△*12. (△ is a half-width character blank space)</v>
      </c>
    </row>
    <row r="49" spans="2:8" ht="90" x14ac:dyDescent="0.45">
      <c r="B49" s="1">
        <v>48</v>
      </c>
      <c r="C49" s="1" t="s">
        <v>16</v>
      </c>
      <c r="D49" s="1"/>
      <c r="E49" s="2" t="str">
        <f t="shared" si="0"/>
        <v>△*40であること。(△は半角空白）
/△*40. (△ is a half-width character blank space)</v>
      </c>
      <c r="F49" s="2" t="str">
        <f t="shared" si="1"/>
        <v>△*40であること。(□は全角空白）
/△*40. (□ is a full-width character blank space)</v>
      </c>
      <c r="G49" s="3" t="str">
        <f t="shared" si="2"/>
        <v>△*40であること。
/△*40</v>
      </c>
      <c r="H49" s="1" t="str" cm="1">
        <f t="array" ref="H49">_xlfn.IFS(ISNUMBER(SEARCH("△",C49)),E49,ISNUMBER(SEARCH("□",C49)),F49,1=1,G49)</f>
        <v>△*40であること。(△は半角空白）
/△*40. (△ is a half-width character blank space)</v>
      </c>
    </row>
    <row r="50" spans="2:8" ht="90" x14ac:dyDescent="0.45">
      <c r="B50" s="1">
        <v>49</v>
      </c>
      <c r="C50" s="1" t="s">
        <v>17</v>
      </c>
      <c r="D50" s="1"/>
      <c r="E50" s="2" t="str">
        <f t="shared" si="0"/>
        <v>□*20であること。(△は半角空白）
/□*20. (△ is a half-width character blank space)</v>
      </c>
      <c r="F50" s="2" t="str">
        <f t="shared" si="1"/>
        <v>□*20であること。(□は全角空白）
/□*20. (□ is a full-width character blank space)</v>
      </c>
      <c r="G50" s="3" t="str">
        <f t="shared" si="2"/>
        <v>□*20であること。
/□*20</v>
      </c>
      <c r="H50" s="1" t="str" cm="1">
        <f t="array" ref="H50">_xlfn.IFS(ISNUMBER(SEARCH("△",C50)),E50,ISNUMBER(SEARCH("□",C50)),F50,1=1,G50)</f>
        <v>□*20であること。(□は全角空白）
/□*20. (□ is a full-width character blank space)</v>
      </c>
    </row>
    <row r="51" spans="2:8" ht="90" x14ac:dyDescent="0.45">
      <c r="B51" s="1">
        <v>50</v>
      </c>
      <c r="C51" s="1" t="s">
        <v>15</v>
      </c>
      <c r="D51" s="1"/>
      <c r="E51" s="2" t="str">
        <f t="shared" si="0"/>
        <v>△*12であること。(△は半角空白）
/△*12. (△ is a half-width character blank space)</v>
      </c>
      <c r="F51" s="2" t="str">
        <f t="shared" si="1"/>
        <v>△*12であること。(□は全角空白）
/△*12. (□ is a full-width character blank space)</v>
      </c>
      <c r="G51" s="3" t="str">
        <f t="shared" si="2"/>
        <v>△*12であること。
/△*12</v>
      </c>
      <c r="H51" s="1" t="str" cm="1">
        <f t="array" ref="H51">_xlfn.IFS(ISNUMBER(SEARCH("△",C51)),E51,ISNUMBER(SEARCH("□",C51)),F51,1=1,G51)</f>
        <v>△*12であること。(△は半角空白）
/△*12. (△ is a half-width character blank space)</v>
      </c>
    </row>
    <row r="52" spans="2:8" ht="90" x14ac:dyDescent="0.45">
      <c r="B52" s="1">
        <v>51</v>
      </c>
      <c r="C52" s="1" t="s">
        <v>16</v>
      </c>
      <c r="D52" s="1"/>
      <c r="E52" s="2" t="str">
        <f t="shared" si="0"/>
        <v>△*40であること。(△は半角空白）
/△*40. (△ is a half-width character blank space)</v>
      </c>
      <c r="F52" s="2" t="str">
        <f t="shared" si="1"/>
        <v>△*40であること。(□は全角空白）
/△*40. (□ is a full-width character blank space)</v>
      </c>
      <c r="G52" s="3" t="str">
        <f t="shared" si="2"/>
        <v>△*40であること。
/△*40</v>
      </c>
      <c r="H52" s="1" t="str" cm="1">
        <f t="array" ref="H52">_xlfn.IFS(ISNUMBER(SEARCH("△",C52)),E52,ISNUMBER(SEARCH("□",C52)),F52,1=1,G52)</f>
        <v>△*40であること。(△は半角空白）
/△*40. (△ is a half-width character blank space)</v>
      </c>
    </row>
    <row r="53" spans="2:8" ht="90" x14ac:dyDescent="0.45">
      <c r="B53" s="1">
        <v>52</v>
      </c>
      <c r="C53" s="1" t="s">
        <v>17</v>
      </c>
      <c r="D53" s="1"/>
      <c r="E53" s="2" t="str">
        <f t="shared" si="0"/>
        <v>□*20であること。(△は半角空白）
/□*20. (△ is a half-width character blank space)</v>
      </c>
      <c r="F53" s="2" t="str">
        <f t="shared" si="1"/>
        <v>□*20であること。(□は全角空白）
/□*20. (□ is a full-width character blank space)</v>
      </c>
      <c r="G53" s="3" t="str">
        <f t="shared" si="2"/>
        <v>□*20であること。
/□*20</v>
      </c>
      <c r="H53" s="1" t="str" cm="1">
        <f t="array" ref="H53">_xlfn.IFS(ISNUMBER(SEARCH("△",C53)),E53,ISNUMBER(SEARCH("□",C53)),F53,1=1,G53)</f>
        <v>□*20であること。(□は全角空白）
/□*20. (□ is a full-width character blank space)</v>
      </c>
    </row>
    <row r="54" spans="2:8" ht="90" x14ac:dyDescent="0.45">
      <c r="B54" s="1">
        <v>53</v>
      </c>
      <c r="C54" s="1" t="s">
        <v>8</v>
      </c>
      <c r="D54" s="1"/>
      <c r="E54" s="2" t="str">
        <f t="shared" si="0"/>
        <v>△*6であること。(△は半角空白）
/△*6. (△ is a half-width character blank space)</v>
      </c>
      <c r="F54" s="2" t="str">
        <f t="shared" si="1"/>
        <v>△*6であること。(□は全角空白）
/△*6. (□ is a full-width character blank space)</v>
      </c>
      <c r="G54" s="3" t="str">
        <f t="shared" si="2"/>
        <v>△*6であること。
/△*6</v>
      </c>
      <c r="H54" s="1" t="str" cm="1">
        <f t="array" ref="H54">_xlfn.IFS(ISNUMBER(SEARCH("△",C54)),E54,ISNUMBER(SEARCH("□",C54)),F54,1=1,G54)</f>
        <v>△*6であること。(△は半角空白）
/△*6. (△ is a half-width character blank space)</v>
      </c>
    </row>
    <row r="55" spans="2:8" ht="90" x14ac:dyDescent="0.45">
      <c r="B55" s="1">
        <v>54</v>
      </c>
      <c r="C55" s="1" t="s">
        <v>8</v>
      </c>
      <c r="D55" s="1"/>
      <c r="E55" s="2" t="str">
        <f t="shared" si="0"/>
        <v>△*6であること。(△は半角空白）
/△*6. (△ is a half-width character blank space)</v>
      </c>
      <c r="F55" s="2" t="str">
        <f t="shared" si="1"/>
        <v>△*6であること。(□は全角空白）
/△*6. (□ is a full-width character blank space)</v>
      </c>
      <c r="G55" s="3" t="str">
        <f t="shared" si="2"/>
        <v>△*6であること。
/△*6</v>
      </c>
      <c r="H55" s="1" t="str" cm="1">
        <f t="array" ref="H55">_xlfn.IFS(ISNUMBER(SEARCH("△",C55)),E55,ISNUMBER(SEARCH("□",C55)),F55,1=1,G55)</f>
        <v>△*6であること。(△は半角空白）
/△*6. (△ is a half-width character blank space)</v>
      </c>
    </row>
    <row r="56" spans="2:8" ht="72" x14ac:dyDescent="0.45">
      <c r="B56" s="1">
        <v>55</v>
      </c>
      <c r="C56" s="1" t="s">
        <v>1</v>
      </c>
      <c r="D56" s="1"/>
      <c r="E56" s="2" t="str">
        <f t="shared" si="0"/>
        <v>"△"であること。(△は半角空白）
/"△". (△ is a half-width character blank space)</v>
      </c>
      <c r="F56" s="2" t="str">
        <f t="shared" si="1"/>
        <v>"△"であること。(□は全角空白）
/"△". (□ is a full-width character blank space)</v>
      </c>
      <c r="G56" s="3" t="str">
        <f t="shared" si="2"/>
        <v>"△"であること。
/"△"</v>
      </c>
      <c r="H56" s="1" t="str" cm="1">
        <f t="array" ref="H56">_xlfn.IFS(ISNUMBER(SEARCH("△",C56)),E56,ISNUMBER(SEARCH("□",C56)),F56,1=1,G56)</f>
        <v>"△"であること。(△は半角空白）
/"△". (△ is a half-width character blank space)</v>
      </c>
    </row>
    <row r="57" spans="2:8" ht="90" x14ac:dyDescent="0.45">
      <c r="B57" s="1">
        <v>56</v>
      </c>
      <c r="C57" s="1" t="s">
        <v>8</v>
      </c>
      <c r="D57" s="1"/>
      <c r="E57" s="2" t="str">
        <f t="shared" si="0"/>
        <v>△*6であること。(△は半角空白）
/△*6. (△ is a half-width character blank space)</v>
      </c>
      <c r="F57" s="2" t="str">
        <f t="shared" si="1"/>
        <v>△*6であること。(□は全角空白）
/△*6. (□ is a full-width character blank space)</v>
      </c>
      <c r="G57" s="3" t="str">
        <f t="shared" si="2"/>
        <v>△*6であること。
/△*6</v>
      </c>
      <c r="H57" s="1" t="str" cm="1">
        <f t="array" ref="H57">_xlfn.IFS(ISNUMBER(SEARCH("△",C57)),E57,ISNUMBER(SEARCH("□",C57)),F57,1=1,G57)</f>
        <v>△*6であること。(△は半角空白）
/△*6. (△ is a half-width character blank space)</v>
      </c>
    </row>
    <row r="58" spans="2:8" ht="72" x14ac:dyDescent="0.45">
      <c r="B58" s="1">
        <v>57</v>
      </c>
      <c r="C58" s="1" t="s">
        <v>1</v>
      </c>
      <c r="D58" s="1"/>
      <c r="E58" s="2" t="str">
        <f t="shared" si="0"/>
        <v>"△"であること。(△は半角空白）
/"△". (△ is a half-width character blank space)</v>
      </c>
      <c r="F58" s="2" t="str">
        <f t="shared" si="1"/>
        <v>"△"であること。(□は全角空白）
/"△". (□ is a full-width character blank space)</v>
      </c>
      <c r="G58" s="3" t="str">
        <f t="shared" si="2"/>
        <v>"△"であること。
/"△"</v>
      </c>
      <c r="H58" s="1" t="str" cm="1">
        <f t="array" ref="H58">_xlfn.IFS(ISNUMBER(SEARCH("△",C58)),E58,ISNUMBER(SEARCH("□",C58)),F58,1=1,G58)</f>
        <v>"△"であること。(△は半角空白）
/"△". (△ is a half-width character blank space)</v>
      </c>
    </row>
    <row r="59" spans="2:8" ht="90" x14ac:dyDescent="0.45">
      <c r="B59" s="1">
        <v>58</v>
      </c>
      <c r="C59" s="1" t="s">
        <v>18</v>
      </c>
      <c r="D59" s="1"/>
      <c r="E59" s="2" t="str">
        <f t="shared" si="0"/>
        <v>△*15であること。(△は半角空白）
/△*15. (△ is a half-width character blank space)</v>
      </c>
      <c r="F59" s="2" t="str">
        <f t="shared" si="1"/>
        <v>△*15であること。(□は全角空白）
/△*15. (□ is a full-width character blank space)</v>
      </c>
      <c r="G59" s="3" t="str">
        <f t="shared" si="2"/>
        <v>△*15であること。
/△*15</v>
      </c>
      <c r="H59" s="1" t="str" cm="1">
        <f t="array" ref="H59">_xlfn.IFS(ISNUMBER(SEARCH("△",C59)),E59,ISNUMBER(SEARCH("□",C59)),F59,1=1,G59)</f>
        <v>△*15であること。(△は半角空白）
/△*15. (△ is a half-width character blank space)</v>
      </c>
    </row>
    <row r="60" spans="2:8" ht="72" x14ac:dyDescent="0.45">
      <c r="B60" s="1">
        <v>59</v>
      </c>
      <c r="C60" s="1" t="s">
        <v>1</v>
      </c>
      <c r="D60" s="1"/>
      <c r="E60" s="2" t="str">
        <f t="shared" si="0"/>
        <v>"△"であること。(△は半角空白）
/"△". (△ is a half-width character blank space)</v>
      </c>
      <c r="F60" s="2" t="str">
        <f t="shared" si="1"/>
        <v>"△"であること。(□は全角空白）
/"△". (□ is a full-width character blank space)</v>
      </c>
      <c r="G60" s="3" t="str">
        <f t="shared" si="2"/>
        <v>"△"であること。
/"△"</v>
      </c>
      <c r="H60" s="1" t="str" cm="1">
        <f t="array" ref="H60">_xlfn.IFS(ISNUMBER(SEARCH("△",C60)),E60,ISNUMBER(SEARCH("□",C60)),F60,1=1,G60)</f>
        <v>"△"であること。(△は半角空白）
/"△". (△ is a half-width character blank space)</v>
      </c>
    </row>
    <row r="61" spans="2:8" ht="72" x14ac:dyDescent="0.45">
      <c r="B61" s="1">
        <v>60</v>
      </c>
      <c r="C61" s="1" t="s">
        <v>19</v>
      </c>
      <c r="D61" s="1"/>
      <c r="E61" s="2" t="str">
        <f t="shared" si="0"/>
        <v>0であること。(△は半角空白）
/0. (△ is a half-width character blank space)</v>
      </c>
      <c r="F61" s="2" t="str">
        <f t="shared" si="1"/>
        <v>0であること。(□は全角空白）
/0. (□ is a full-width character blank space)</v>
      </c>
      <c r="G61" s="3" t="str">
        <f t="shared" si="2"/>
        <v>0であること。
/0</v>
      </c>
      <c r="H61" s="1" t="str" cm="1">
        <f t="array" ref="H61">_xlfn.IFS(ISNUMBER(SEARCH("△",C61)),E61,ISNUMBER(SEARCH("□",C61)),F61,1=1,G61)</f>
        <v>0であること。
/0</v>
      </c>
    </row>
    <row r="62" spans="2:8" ht="90" x14ac:dyDescent="0.45">
      <c r="B62" s="1">
        <v>61</v>
      </c>
      <c r="C62" s="1" t="s">
        <v>20</v>
      </c>
      <c r="D62" s="1"/>
      <c r="E62" s="2" t="str">
        <f t="shared" si="0"/>
        <v>△*3であること。(△は半角空白）
/△*3. (△ is a half-width character blank space)</v>
      </c>
      <c r="F62" s="2" t="str">
        <f t="shared" si="1"/>
        <v>△*3であること。(□は全角空白）
/△*3. (□ is a full-width character blank space)</v>
      </c>
      <c r="G62" s="3" t="str">
        <f t="shared" si="2"/>
        <v>△*3であること。
/△*3</v>
      </c>
      <c r="H62" s="1" t="str" cm="1">
        <f t="array" ref="H62">_xlfn.IFS(ISNUMBER(SEARCH("△",C62)),E62,ISNUMBER(SEARCH("□",C62)),F62,1=1,G62)</f>
        <v>△*3であること。(△は半角空白）
/△*3. (△ is a half-width character blank space)</v>
      </c>
    </row>
    <row r="63" spans="2:8" ht="72" x14ac:dyDescent="0.45">
      <c r="B63" s="1">
        <v>62</v>
      </c>
      <c r="C63" s="1" t="s">
        <v>1</v>
      </c>
      <c r="D63" s="1"/>
      <c r="E63" s="2" t="str">
        <f t="shared" si="0"/>
        <v>"△"であること。(△は半角空白）
/"△". (△ is a half-width character blank space)</v>
      </c>
      <c r="F63" s="2" t="str">
        <f t="shared" si="1"/>
        <v>"△"であること。(□は全角空白）
/"△". (□ is a full-width character blank space)</v>
      </c>
      <c r="G63" s="3" t="str">
        <f t="shared" si="2"/>
        <v>"△"であること。
/"△"</v>
      </c>
      <c r="H63" s="1" t="str" cm="1">
        <f t="array" ref="H63">_xlfn.IFS(ISNUMBER(SEARCH("△",C63)),E63,ISNUMBER(SEARCH("□",C63)),F63,1=1,G63)</f>
        <v>"△"であること。(△は半角空白）
/"△". (△ is a half-width character blank space)</v>
      </c>
    </row>
    <row r="64" spans="2:8" ht="72" x14ac:dyDescent="0.45">
      <c r="B64" s="1">
        <v>63</v>
      </c>
      <c r="C64" s="1" t="s">
        <v>1</v>
      </c>
      <c r="D64" s="1"/>
      <c r="E64" s="2" t="str">
        <f t="shared" si="0"/>
        <v>"△"であること。(△は半角空白）
/"△". (△ is a half-width character blank space)</v>
      </c>
      <c r="F64" s="2" t="str">
        <f t="shared" si="1"/>
        <v>"△"であること。(□は全角空白）
/"△". (□ is a full-width character blank space)</v>
      </c>
      <c r="G64" s="3" t="str">
        <f t="shared" si="2"/>
        <v>"△"であること。
/"△"</v>
      </c>
      <c r="H64" s="1" t="str" cm="1">
        <f t="array" ref="H64">_xlfn.IFS(ISNUMBER(SEARCH("△",C64)),E64,ISNUMBER(SEARCH("□",C64)),F64,1=1,G64)</f>
        <v>"△"であること。(△は半角空白）
/"△". (△ is a half-width character blank space)</v>
      </c>
    </row>
    <row r="65" spans="2:8" ht="72" x14ac:dyDescent="0.45">
      <c r="B65" s="1">
        <v>64</v>
      </c>
      <c r="C65" s="1" t="s">
        <v>19</v>
      </c>
      <c r="D65" s="1"/>
      <c r="E65" s="2" t="str">
        <f t="shared" si="0"/>
        <v>0であること。(△は半角空白）
/0. (△ is a half-width character blank space)</v>
      </c>
      <c r="F65" s="2" t="str">
        <f t="shared" si="1"/>
        <v>0であること。(□は全角空白）
/0. (□ is a full-width character blank space)</v>
      </c>
      <c r="G65" s="3" t="str">
        <f t="shared" si="2"/>
        <v>0であること。
/0</v>
      </c>
      <c r="H65" s="1" t="str" cm="1">
        <f t="array" ref="H65">_xlfn.IFS(ISNUMBER(SEARCH("△",C65)),E65,ISNUMBER(SEARCH("□",C65)),F65,1=1,G65)</f>
        <v>0であること。
/0</v>
      </c>
    </row>
    <row r="66" spans="2:8" ht="72" x14ac:dyDescent="0.45">
      <c r="B66" s="1">
        <v>65</v>
      </c>
      <c r="C66" s="1" t="s">
        <v>19</v>
      </c>
      <c r="D66" s="1"/>
      <c r="E66" s="2" t="str">
        <f t="shared" si="0"/>
        <v>0であること。(△は半角空白）
/0. (△ is a half-width character blank space)</v>
      </c>
      <c r="F66" s="2" t="str">
        <f t="shared" si="1"/>
        <v>0であること。(□は全角空白）
/0. (□ is a full-width character blank space)</v>
      </c>
      <c r="G66" s="3" t="str">
        <f t="shared" si="2"/>
        <v>0であること。
/0</v>
      </c>
      <c r="H66" s="1" t="str" cm="1">
        <f t="array" ref="H66">_xlfn.IFS(ISNUMBER(SEARCH("△",C66)),E66,ISNUMBER(SEARCH("□",C66)),F66,1=1,G66)</f>
        <v>0であること。
/0</v>
      </c>
    </row>
    <row r="67" spans="2:8" ht="72" x14ac:dyDescent="0.45">
      <c r="B67" s="1">
        <v>66</v>
      </c>
      <c r="C67" s="1" t="s">
        <v>1</v>
      </c>
      <c r="D67" s="1"/>
      <c r="E67" s="2" t="str">
        <f t="shared" si="0"/>
        <v>"△"であること。(△は半角空白）
/"△". (△ is a half-width character blank space)</v>
      </c>
      <c r="F67" s="2" t="str">
        <f t="shared" si="1"/>
        <v>"△"であること。(□は全角空白）
/"△". (□ is a full-width character blank space)</v>
      </c>
      <c r="G67" s="3" t="str">
        <f t="shared" si="2"/>
        <v>"△"であること。
/"△"</v>
      </c>
      <c r="H67" s="1" t="str" cm="1">
        <f t="array" ref="H67">_xlfn.IFS(ISNUMBER(SEARCH("△",C67)),E67,ISNUMBER(SEARCH("□",C67)),F67,1=1,G67)</f>
        <v>"△"であること。(△は半角空白）
/"△". (△ is a half-width character blank space)</v>
      </c>
    </row>
    <row r="68" spans="2:8" ht="72" x14ac:dyDescent="0.45">
      <c r="B68" s="1">
        <v>67</v>
      </c>
      <c r="C68" s="1" t="s">
        <v>19</v>
      </c>
      <c r="D68" s="1"/>
      <c r="E68" s="2" t="str">
        <f t="shared" ref="E68:E130" si="3">""&amp;C68&amp;"であること。(△は半角空白）
/"&amp;C68&amp;". (△ is a half-width character blank space)"</f>
        <v>0であること。(△は半角空白）
/0. (△ is a half-width character blank space)</v>
      </c>
      <c r="F68" s="2" t="str">
        <f t="shared" ref="F68:F130" si="4">""&amp;C68&amp;"であること。(□は全角空白）
/"&amp;C68&amp;". (□ is a full-width character blank space)"</f>
        <v>0であること。(□は全角空白）
/0. (□ is a full-width character blank space)</v>
      </c>
      <c r="G68" s="3" t="str">
        <f t="shared" ref="G68:G130" si="5">""&amp;C68&amp;"であること。
/"&amp;C68&amp;""</f>
        <v>0であること。
/0</v>
      </c>
      <c r="H68" s="1" t="str" cm="1">
        <f t="array" ref="H68">_xlfn.IFS(ISNUMBER(SEARCH("△",C68)),E68,ISNUMBER(SEARCH("□",C68)),F68,1=1,G68)</f>
        <v>0であること。
/0</v>
      </c>
    </row>
    <row r="69" spans="2:8" ht="72" x14ac:dyDescent="0.45">
      <c r="B69" s="1">
        <v>68</v>
      </c>
      <c r="C69" s="1" t="s">
        <v>19</v>
      </c>
      <c r="D69" s="1"/>
      <c r="E69" s="2" t="str">
        <f t="shared" si="3"/>
        <v>0であること。(△は半角空白）
/0. (△ is a half-width character blank space)</v>
      </c>
      <c r="F69" s="2" t="str">
        <f t="shared" si="4"/>
        <v>0であること。(□は全角空白）
/0. (□ is a full-width character blank space)</v>
      </c>
      <c r="G69" s="3" t="str">
        <f t="shared" si="5"/>
        <v>0であること。
/0</v>
      </c>
      <c r="H69" s="1" t="str" cm="1">
        <f t="array" ref="H69">_xlfn.IFS(ISNUMBER(SEARCH("△",C69)),E69,ISNUMBER(SEARCH("□",C69)),F69,1=1,G69)</f>
        <v>0であること。
/0</v>
      </c>
    </row>
    <row r="70" spans="2:8" ht="90" x14ac:dyDescent="0.45">
      <c r="B70" s="1">
        <v>69</v>
      </c>
      <c r="C70" s="1" t="s">
        <v>15</v>
      </c>
      <c r="D70" s="1"/>
      <c r="E70" s="2" t="str">
        <f t="shared" si="3"/>
        <v>△*12であること。(△は半角空白）
/△*12. (△ is a half-width character blank space)</v>
      </c>
      <c r="F70" s="2" t="str">
        <f t="shared" si="4"/>
        <v>△*12であること。(□は全角空白）
/△*12. (□ is a full-width character blank space)</v>
      </c>
      <c r="G70" s="3" t="str">
        <f t="shared" si="5"/>
        <v>△*12であること。
/△*12</v>
      </c>
      <c r="H70" s="1" t="str" cm="1">
        <f t="array" ref="H70">_xlfn.IFS(ISNUMBER(SEARCH("△",C70)),E70,ISNUMBER(SEARCH("□",C70)),F70,1=1,G70)</f>
        <v>△*12であること。(△は半角空白）
/△*12. (△ is a half-width character blank space)</v>
      </c>
    </row>
    <row r="71" spans="2:8" ht="90" x14ac:dyDescent="0.45">
      <c r="B71" s="1">
        <v>70</v>
      </c>
      <c r="C71" s="1" t="s">
        <v>16</v>
      </c>
      <c r="D71" s="1"/>
      <c r="E71" s="2" t="str">
        <f t="shared" si="3"/>
        <v>△*40であること。(△は半角空白）
/△*40. (△ is a half-width character blank space)</v>
      </c>
      <c r="F71" s="2" t="str">
        <f t="shared" si="4"/>
        <v>△*40であること。(□は全角空白）
/△*40. (□ is a full-width character blank space)</v>
      </c>
      <c r="G71" s="3" t="str">
        <f t="shared" si="5"/>
        <v>△*40であること。
/△*40</v>
      </c>
      <c r="H71" s="1" t="str" cm="1">
        <f t="array" ref="H71">_xlfn.IFS(ISNUMBER(SEARCH("△",C71)),E71,ISNUMBER(SEARCH("□",C71)),F71,1=1,G71)</f>
        <v>△*40であること。(△は半角空白）
/△*40. (△ is a half-width character blank space)</v>
      </c>
    </row>
    <row r="72" spans="2:8" ht="90" x14ac:dyDescent="0.45">
      <c r="B72" s="1">
        <v>71</v>
      </c>
      <c r="C72" s="1" t="s">
        <v>17</v>
      </c>
      <c r="D72" s="1"/>
      <c r="E72" s="2" t="str">
        <f t="shared" si="3"/>
        <v>□*20であること。(△は半角空白）
/□*20. (△ is a half-width character blank space)</v>
      </c>
      <c r="F72" s="2" t="str">
        <f t="shared" si="4"/>
        <v>□*20であること。(□は全角空白）
/□*20. (□ is a full-width character blank space)</v>
      </c>
      <c r="G72" s="3" t="str">
        <f t="shared" si="5"/>
        <v>□*20であること。
/□*20</v>
      </c>
      <c r="H72" s="1" t="str" cm="1">
        <f t="array" ref="H72">_xlfn.IFS(ISNUMBER(SEARCH("△",C72)),E72,ISNUMBER(SEARCH("□",C72)),F72,1=1,G72)</f>
        <v>□*20であること。(□は全角空白）
/□*20. (□ is a full-width character blank space)</v>
      </c>
    </row>
    <row r="73" spans="2:8" ht="90" x14ac:dyDescent="0.45">
      <c r="B73" s="1">
        <v>72</v>
      </c>
      <c r="C73" s="1" t="s">
        <v>21</v>
      </c>
      <c r="D73" s="1"/>
      <c r="E73" s="2" t="str">
        <f t="shared" si="3"/>
        <v>△*2であること。(△は半角空白）
/△*2. (△ is a half-width character blank space)</v>
      </c>
      <c r="F73" s="2" t="str">
        <f t="shared" si="4"/>
        <v>△*2であること。(□は全角空白）
/△*2. (□ is a full-width character blank space)</v>
      </c>
      <c r="G73" s="3" t="str">
        <f t="shared" si="5"/>
        <v>△*2であること。
/△*2</v>
      </c>
      <c r="H73" s="1" t="str" cm="1">
        <f t="array" ref="H73">_xlfn.IFS(ISNUMBER(SEARCH("△",C73)),E73,ISNUMBER(SEARCH("□",C73)),F73,1=1,G73)</f>
        <v>△*2であること。(△は半角空白）
/△*2. (△ is a half-width character blank space)</v>
      </c>
    </row>
    <row r="74" spans="2:8" ht="90" x14ac:dyDescent="0.45">
      <c r="B74" s="1">
        <v>73</v>
      </c>
      <c r="C74" s="1" t="s">
        <v>22</v>
      </c>
      <c r="D74" s="1"/>
      <c r="E74" s="2" t="str">
        <f t="shared" si="3"/>
        <v>△*74であること。(△は半角空白）
/△*74. (△ is a half-width character blank space)</v>
      </c>
      <c r="F74" s="2" t="str">
        <f t="shared" si="4"/>
        <v>△*74であること。(□は全角空白）
/△*74. (□ is a full-width character blank space)</v>
      </c>
      <c r="G74" s="3" t="str">
        <f t="shared" si="5"/>
        <v>△*74であること。
/△*74</v>
      </c>
      <c r="H74" s="1" t="str" cm="1">
        <f t="array" ref="H74">_xlfn.IFS(ISNUMBER(SEARCH("△",C74)),E74,ISNUMBER(SEARCH("□",C74)),F74,1=1,G74)</f>
        <v>△*74であること。(△は半角空白）
/△*74. (△ is a half-width character blank space)</v>
      </c>
    </row>
    <row r="75" spans="2:8" ht="90" x14ac:dyDescent="0.45">
      <c r="B75" s="1">
        <v>74</v>
      </c>
      <c r="C75" s="1" t="s">
        <v>23</v>
      </c>
      <c r="D75" s="1"/>
      <c r="E75" s="2" t="str">
        <f t="shared" si="3"/>
        <v>□*37であること。(△は半角空白）
/□*37. (△ is a half-width character blank space)</v>
      </c>
      <c r="F75" s="2" t="str">
        <f t="shared" si="4"/>
        <v>□*37であること。(□は全角空白）
/□*37. (□ is a full-width character blank space)</v>
      </c>
      <c r="G75" s="3" t="str">
        <f t="shared" si="5"/>
        <v>□*37であること。
/□*37</v>
      </c>
      <c r="H75" s="1" t="str" cm="1">
        <f t="array" ref="H75">_xlfn.IFS(ISNUMBER(SEARCH("△",C75)),E75,ISNUMBER(SEARCH("□",C75)),F75,1=1,G75)</f>
        <v>□*37であること。(□は全角空白）
/□*37. (□ is a full-width character blank space)</v>
      </c>
    </row>
    <row r="76" spans="2:8" ht="90" x14ac:dyDescent="0.45">
      <c r="B76" s="1">
        <v>75</v>
      </c>
      <c r="C76" s="1" t="s">
        <v>24</v>
      </c>
      <c r="D76" s="1"/>
      <c r="E76" s="2" t="str">
        <f t="shared" si="3"/>
        <v>△*11であること。(△は半角空白）
/△*11. (△ is a half-width character blank space)</v>
      </c>
      <c r="F76" s="2" t="str">
        <f t="shared" si="4"/>
        <v>△*11であること。(□は全角空白）
/△*11. (□ is a full-width character blank space)</v>
      </c>
      <c r="G76" s="3" t="str">
        <f t="shared" si="5"/>
        <v>△*11であること。
/△*11</v>
      </c>
      <c r="H76" s="1" t="str" cm="1">
        <f t="array" ref="H76">_xlfn.IFS(ISNUMBER(SEARCH("△",C76)),E76,ISNUMBER(SEARCH("□",C76)),F76,1=1,G76)</f>
        <v>△*11であること。(△は半角空白）
/△*11. (△ is a half-width character blank space)</v>
      </c>
    </row>
    <row r="77" spans="2:8" ht="90" x14ac:dyDescent="0.45">
      <c r="B77" s="1">
        <v>76</v>
      </c>
      <c r="C77" s="1" t="s">
        <v>25</v>
      </c>
      <c r="D77" s="1"/>
      <c r="E77" s="2" t="str">
        <f t="shared" si="3"/>
        <v>△*7であること。(△は半角空白）
/△*7. (△ is a half-width character blank space)</v>
      </c>
      <c r="F77" s="2" t="str">
        <f t="shared" si="4"/>
        <v>△*7であること。(□は全角空白）
/△*7. (□ is a full-width character blank space)</v>
      </c>
      <c r="G77" s="3" t="str">
        <f t="shared" si="5"/>
        <v>△*7であること。
/△*7</v>
      </c>
      <c r="H77" s="1" t="str" cm="1">
        <f t="array" ref="H77">_xlfn.IFS(ISNUMBER(SEARCH("△",C77)),E77,ISNUMBER(SEARCH("□",C77)),F77,1=1,G77)</f>
        <v>△*7であること。(△は半角空白）
/△*7. (△ is a half-width character blank space)</v>
      </c>
    </row>
    <row r="78" spans="2:8" ht="90" x14ac:dyDescent="0.45">
      <c r="B78" s="1">
        <v>77</v>
      </c>
      <c r="C78" s="1" t="s">
        <v>15</v>
      </c>
      <c r="D78" s="1"/>
      <c r="E78" s="2" t="str">
        <f t="shared" si="3"/>
        <v>△*12であること。(△は半角空白）
/△*12. (△ is a half-width character blank space)</v>
      </c>
      <c r="F78" s="2" t="str">
        <f t="shared" si="4"/>
        <v>△*12であること。(□は全角空白）
/△*12. (□ is a full-width character blank space)</v>
      </c>
      <c r="G78" s="3" t="str">
        <f t="shared" si="5"/>
        <v>△*12であること。
/△*12</v>
      </c>
      <c r="H78" s="1" t="str" cm="1">
        <f t="array" ref="H78">_xlfn.IFS(ISNUMBER(SEARCH("△",C78)),E78,ISNUMBER(SEARCH("□",C78)),F78,1=1,G78)</f>
        <v>△*12であること。(△は半角空白）
/△*12. (△ is a half-width character blank space)</v>
      </c>
    </row>
    <row r="79" spans="2:8" ht="90" x14ac:dyDescent="0.45">
      <c r="B79" s="1">
        <v>78</v>
      </c>
      <c r="C79" s="1" t="s">
        <v>15</v>
      </c>
      <c r="D79" s="1"/>
      <c r="E79" s="2" t="str">
        <f t="shared" si="3"/>
        <v>△*12であること。(△は半角空白）
/△*12. (△ is a half-width character blank space)</v>
      </c>
      <c r="F79" s="2" t="str">
        <f t="shared" si="4"/>
        <v>△*12であること。(□は全角空白）
/△*12. (□ is a full-width character blank space)</v>
      </c>
      <c r="G79" s="3" t="str">
        <f t="shared" si="5"/>
        <v>△*12であること。
/△*12</v>
      </c>
      <c r="H79" s="1" t="str" cm="1">
        <f t="array" ref="H79">_xlfn.IFS(ISNUMBER(SEARCH("△",C79)),E79,ISNUMBER(SEARCH("□",C79)),F79,1=1,G79)</f>
        <v>△*12であること。(△は半角空白）
/△*12. (△ is a half-width character blank space)</v>
      </c>
    </row>
    <row r="80" spans="2:8" ht="90" x14ac:dyDescent="0.45">
      <c r="B80" s="1">
        <v>79</v>
      </c>
      <c r="C80" s="1" t="s">
        <v>8</v>
      </c>
      <c r="D80" s="1"/>
      <c r="E80" s="2" t="str">
        <f t="shared" si="3"/>
        <v>△*6であること。(△は半角空白）
/△*6. (△ is a half-width character blank space)</v>
      </c>
      <c r="F80" s="2" t="str">
        <f t="shared" si="4"/>
        <v>△*6であること。(□は全角空白）
/△*6. (□ is a full-width character blank space)</v>
      </c>
      <c r="G80" s="3" t="str">
        <f t="shared" si="5"/>
        <v>△*6であること。
/△*6</v>
      </c>
      <c r="H80" s="1" t="str" cm="1">
        <f t="array" ref="H80">_xlfn.IFS(ISNUMBER(SEARCH("△",C80)),E80,ISNUMBER(SEARCH("□",C80)),F80,1=1,G80)</f>
        <v>△*6であること。(△は半角空白）
/△*6. (△ is a half-width character blank space)</v>
      </c>
    </row>
    <row r="81" spans="2:8" ht="90" x14ac:dyDescent="0.45">
      <c r="B81" s="1">
        <v>80</v>
      </c>
      <c r="C81" s="1" t="s">
        <v>7</v>
      </c>
      <c r="D81" s="1"/>
      <c r="E81" s="2" t="str">
        <f t="shared" si="3"/>
        <v>△*4であること。(△は半角空白）
/△*4. (△ is a half-width character blank space)</v>
      </c>
      <c r="F81" s="2" t="str">
        <f t="shared" si="4"/>
        <v>△*4であること。(□は全角空白）
/△*4. (□ is a full-width character blank space)</v>
      </c>
      <c r="G81" s="3" t="str">
        <f t="shared" si="5"/>
        <v>△*4であること。
/△*4</v>
      </c>
      <c r="H81" s="1" t="str" cm="1">
        <f t="array" ref="H81">_xlfn.IFS(ISNUMBER(SEARCH("△",C81)),E81,ISNUMBER(SEARCH("□",C81)),F81,1=1,G81)</f>
        <v>△*4であること。(△は半角空白）
/△*4. (△ is a half-width character blank space)</v>
      </c>
    </row>
    <row r="82" spans="2:8" ht="90" x14ac:dyDescent="0.45">
      <c r="B82" s="1">
        <v>81</v>
      </c>
      <c r="C82" s="1" t="s">
        <v>9</v>
      </c>
      <c r="D82" s="1"/>
      <c r="E82" s="2" t="str">
        <f t="shared" si="3"/>
        <v>△*10であること。(△は半角空白）
/△*10. (△ is a half-width character blank space)</v>
      </c>
      <c r="F82" s="2" t="str">
        <f t="shared" si="4"/>
        <v>△*10であること。(□は全角空白）
/△*10. (□ is a full-width character blank space)</v>
      </c>
      <c r="G82" s="3" t="str">
        <f t="shared" si="5"/>
        <v>△*10であること。
/△*10</v>
      </c>
      <c r="H82" s="1" t="str" cm="1">
        <f t="array" ref="H82">_xlfn.IFS(ISNUMBER(SEARCH("△",C82)),E82,ISNUMBER(SEARCH("□",C82)),F82,1=1,G82)</f>
        <v>△*10であること。(△は半角空白）
/△*10. (△ is a half-width character blank space)</v>
      </c>
    </row>
    <row r="83" spans="2:8" ht="90" x14ac:dyDescent="0.45">
      <c r="B83" s="1">
        <v>82</v>
      </c>
      <c r="C83" s="1" t="s">
        <v>8</v>
      </c>
      <c r="D83" s="1"/>
      <c r="E83" s="2" t="str">
        <f t="shared" si="3"/>
        <v>△*6であること。(△は半角空白）
/△*6. (△ is a half-width character blank space)</v>
      </c>
      <c r="F83" s="2" t="str">
        <f t="shared" si="4"/>
        <v>△*6であること。(□は全角空白）
/△*6. (□ is a full-width character blank space)</v>
      </c>
      <c r="G83" s="3" t="str">
        <f t="shared" si="5"/>
        <v>△*6であること。
/△*6</v>
      </c>
      <c r="H83" s="1" t="str" cm="1">
        <f t="array" ref="H83">_xlfn.IFS(ISNUMBER(SEARCH("△",C83)),E83,ISNUMBER(SEARCH("□",C83)),F83,1=1,G83)</f>
        <v>△*6であること。(△は半角空白）
/△*6. (△ is a half-width character blank space)</v>
      </c>
    </row>
    <row r="84" spans="2:8" ht="90" x14ac:dyDescent="0.45">
      <c r="B84" s="1">
        <v>83</v>
      </c>
      <c r="C84" s="1" t="s">
        <v>10</v>
      </c>
      <c r="D84" s="1"/>
      <c r="E84" s="2" t="str">
        <f t="shared" si="3"/>
        <v>△*44であること。(△は半角空白）
/△*44. (△ is a half-width character blank space)</v>
      </c>
      <c r="F84" s="2" t="str">
        <f t="shared" si="4"/>
        <v>△*44であること。(□は全角空白）
/△*44. (□ is a full-width character blank space)</v>
      </c>
      <c r="G84" s="3" t="str">
        <f t="shared" si="5"/>
        <v>△*44であること。
/△*44</v>
      </c>
      <c r="H84" s="1" t="str" cm="1">
        <f t="array" ref="H84">_xlfn.IFS(ISNUMBER(SEARCH("△",C84)),E84,ISNUMBER(SEARCH("□",C84)),F84,1=1,G84)</f>
        <v>△*44であること。(△は半角空白）
/△*44. (△ is a half-width character blank space)</v>
      </c>
    </row>
    <row r="85" spans="2:8" ht="90" x14ac:dyDescent="0.45">
      <c r="B85" s="1">
        <v>84</v>
      </c>
      <c r="C85" s="1" t="s">
        <v>11</v>
      </c>
      <c r="D85" s="1"/>
      <c r="E85" s="2" t="str">
        <f t="shared" si="3"/>
        <v>□*22であること。(△は半角空白）
/□*22. (△ is a half-width character blank space)</v>
      </c>
      <c r="F85" s="2" t="str">
        <f t="shared" si="4"/>
        <v>□*22であること。(□は全角空白）
/□*22. (□ is a full-width character blank space)</v>
      </c>
      <c r="G85" s="3" t="str">
        <f t="shared" si="5"/>
        <v>□*22であること。
/□*22</v>
      </c>
      <c r="H85" s="1" t="str" cm="1">
        <f t="array" ref="H85">_xlfn.IFS(ISNUMBER(SEARCH("△",C85)),E85,ISNUMBER(SEARCH("□",C85)),F85,1=1,G85)</f>
        <v>□*22であること。(□は全角空白）
/□*22. (□ is a full-width character blank space)</v>
      </c>
    </row>
    <row r="86" spans="2:8" ht="72" x14ac:dyDescent="0.45">
      <c r="B86" s="1">
        <v>85</v>
      </c>
      <c r="C86" s="1" t="s">
        <v>19</v>
      </c>
      <c r="D86" s="1"/>
      <c r="E86" s="2" t="str">
        <f t="shared" si="3"/>
        <v>0であること。(△は半角空白）
/0. (△ is a half-width character blank space)</v>
      </c>
      <c r="F86" s="2" t="str">
        <f t="shared" si="4"/>
        <v>0であること。(□は全角空白）
/0. (□ is a full-width character blank space)</v>
      </c>
      <c r="G86" s="3" t="str">
        <f t="shared" si="5"/>
        <v>0であること。
/0</v>
      </c>
      <c r="H86" s="1" t="str" cm="1">
        <f t="array" ref="H86">_xlfn.IFS(ISNUMBER(SEARCH("△",C86)),E86,ISNUMBER(SEARCH("□",C86)),F86,1=1,G86)</f>
        <v>0であること。
/0</v>
      </c>
    </row>
    <row r="87" spans="2:8" ht="90" x14ac:dyDescent="0.45">
      <c r="B87" s="1">
        <v>86</v>
      </c>
      <c r="C87" s="1" t="s">
        <v>15</v>
      </c>
      <c r="D87" s="1"/>
      <c r="E87" s="2" t="str">
        <f t="shared" si="3"/>
        <v>△*12であること。(△は半角空白）
/△*12. (△ is a half-width character blank space)</v>
      </c>
      <c r="F87" s="2" t="str">
        <f t="shared" si="4"/>
        <v>△*12であること。(□は全角空白）
/△*12. (□ is a full-width character blank space)</v>
      </c>
      <c r="G87" s="3" t="str">
        <f t="shared" si="5"/>
        <v>△*12であること。
/△*12</v>
      </c>
      <c r="H87" s="1" t="str" cm="1">
        <f t="array" ref="H87">_xlfn.IFS(ISNUMBER(SEARCH("△",C87)),E87,ISNUMBER(SEARCH("□",C87)),F87,1=1,G87)</f>
        <v>△*12であること。(△は半角空白）
/△*12. (△ is a half-width character blank space)</v>
      </c>
    </row>
    <row r="88" spans="2:8" ht="90" x14ac:dyDescent="0.45">
      <c r="B88" s="1">
        <v>87</v>
      </c>
      <c r="C88" s="1" t="s">
        <v>15</v>
      </c>
      <c r="D88" s="1"/>
      <c r="E88" s="2" t="str">
        <f t="shared" si="3"/>
        <v>△*12であること。(△は半角空白）
/△*12. (△ is a half-width character blank space)</v>
      </c>
      <c r="F88" s="2" t="str">
        <f t="shared" si="4"/>
        <v>△*12であること。(□は全角空白）
/△*12. (□ is a full-width character blank space)</v>
      </c>
      <c r="G88" s="3" t="str">
        <f t="shared" si="5"/>
        <v>△*12であること。
/△*12</v>
      </c>
      <c r="H88" s="1" t="str" cm="1">
        <f t="array" ref="H88">_xlfn.IFS(ISNUMBER(SEARCH("△",C88)),E88,ISNUMBER(SEARCH("□",C88)),F88,1=1,G88)</f>
        <v>△*12であること。(△は半角空白）
/△*12. (△ is a half-width character blank space)</v>
      </c>
    </row>
    <row r="89" spans="2:8" ht="90" x14ac:dyDescent="0.45">
      <c r="B89" s="1">
        <v>88</v>
      </c>
      <c r="C89" s="1" t="s">
        <v>25</v>
      </c>
      <c r="D89" s="1"/>
      <c r="E89" s="2" t="str">
        <f t="shared" si="3"/>
        <v>△*7であること。(△は半角空白）
/△*7. (△ is a half-width character blank space)</v>
      </c>
      <c r="F89" s="2" t="str">
        <f t="shared" si="4"/>
        <v>△*7であること。(□は全角空白）
/△*7. (□ is a full-width character blank space)</v>
      </c>
      <c r="G89" s="3" t="str">
        <f t="shared" si="5"/>
        <v>△*7であること。
/△*7</v>
      </c>
      <c r="H89" s="1" t="str" cm="1">
        <f t="array" ref="H89">_xlfn.IFS(ISNUMBER(SEARCH("△",C89)),E89,ISNUMBER(SEARCH("□",C89)),F89,1=1,G89)</f>
        <v>△*7であること。(△は半角空白）
/△*7. (△ is a half-width character blank space)</v>
      </c>
    </row>
    <row r="90" spans="2:8" ht="90" x14ac:dyDescent="0.45">
      <c r="B90" s="1">
        <v>89</v>
      </c>
      <c r="C90" s="1" t="s">
        <v>26</v>
      </c>
      <c r="D90" s="1"/>
      <c r="E90" s="2" t="str">
        <f t="shared" si="3"/>
        <v>△*30であること。(△は半角空白）
/△*30. (△ is a half-width character blank space)</v>
      </c>
      <c r="F90" s="2" t="str">
        <f t="shared" si="4"/>
        <v>△*30であること。(□は全角空白）
/△*30. (□ is a full-width character blank space)</v>
      </c>
      <c r="G90" s="3" t="str">
        <f t="shared" si="5"/>
        <v>△*30であること。
/△*30</v>
      </c>
      <c r="H90" s="1" t="str" cm="1">
        <f t="array" ref="H90">_xlfn.IFS(ISNUMBER(SEARCH("△",C90)),E90,ISNUMBER(SEARCH("□",C90)),F90,1=1,G90)</f>
        <v>△*30であること。(△は半角空白）
/△*30. (△ is a half-width character blank space)</v>
      </c>
    </row>
    <row r="91" spans="2:8" ht="90" x14ac:dyDescent="0.45">
      <c r="B91" s="1">
        <v>90</v>
      </c>
      <c r="C91" s="1" t="s">
        <v>25</v>
      </c>
      <c r="D91" s="1"/>
      <c r="E91" s="2" t="str">
        <f t="shared" si="3"/>
        <v>△*7であること。(△は半角空白）
/△*7. (△ is a half-width character blank space)</v>
      </c>
      <c r="F91" s="2" t="str">
        <f t="shared" si="4"/>
        <v>△*7であること。(□は全角空白）
/△*7. (□ is a full-width character blank space)</v>
      </c>
      <c r="G91" s="3" t="str">
        <f t="shared" si="5"/>
        <v>△*7であること。
/△*7</v>
      </c>
      <c r="H91" s="1" t="str" cm="1">
        <f t="array" ref="H91">_xlfn.IFS(ISNUMBER(SEARCH("△",C91)),E91,ISNUMBER(SEARCH("□",C91)),F91,1=1,G91)</f>
        <v>△*7であること。(△は半角空白）
/△*7. (△ is a half-width character blank space)</v>
      </c>
    </row>
    <row r="92" spans="2:8" ht="90" x14ac:dyDescent="0.45">
      <c r="B92" s="1">
        <v>91</v>
      </c>
      <c r="C92" s="1" t="s">
        <v>26</v>
      </c>
      <c r="D92" s="1"/>
      <c r="E92" s="2" t="str">
        <f t="shared" si="3"/>
        <v>△*30であること。(△は半角空白）
/△*30. (△ is a half-width character blank space)</v>
      </c>
      <c r="F92" s="2" t="str">
        <f t="shared" si="4"/>
        <v>△*30であること。(□は全角空白）
/△*30. (□ is a full-width character blank space)</v>
      </c>
      <c r="G92" s="3" t="str">
        <f t="shared" si="5"/>
        <v>△*30であること。
/△*30</v>
      </c>
      <c r="H92" s="1" t="str" cm="1">
        <f t="array" ref="H92">_xlfn.IFS(ISNUMBER(SEARCH("△",C92)),E92,ISNUMBER(SEARCH("□",C92)),F92,1=1,G92)</f>
        <v>△*30であること。(△は半角空白）
/△*30. (△ is a half-width character blank space)</v>
      </c>
    </row>
    <row r="93" spans="2:8" ht="90" x14ac:dyDescent="0.45">
      <c r="B93" s="1">
        <v>92</v>
      </c>
      <c r="C93" s="1" t="s">
        <v>25</v>
      </c>
      <c r="D93" s="1"/>
      <c r="E93" s="2" t="str">
        <f t="shared" si="3"/>
        <v>△*7であること。(△は半角空白）
/△*7. (△ is a half-width character blank space)</v>
      </c>
      <c r="F93" s="2" t="str">
        <f t="shared" si="4"/>
        <v>△*7であること。(□は全角空白）
/△*7. (□ is a full-width character blank space)</v>
      </c>
      <c r="G93" s="3" t="str">
        <f t="shared" si="5"/>
        <v>△*7であること。
/△*7</v>
      </c>
      <c r="H93" s="1" t="str" cm="1">
        <f t="array" ref="H93">_xlfn.IFS(ISNUMBER(SEARCH("△",C93)),E93,ISNUMBER(SEARCH("□",C93)),F93,1=1,G93)</f>
        <v>△*7であること。(△は半角空白）
/△*7. (△ is a half-width character blank space)</v>
      </c>
    </row>
    <row r="94" spans="2:8" ht="90" x14ac:dyDescent="0.45">
      <c r="B94" s="1">
        <v>93</v>
      </c>
      <c r="C94" s="1" t="s">
        <v>9</v>
      </c>
      <c r="D94" s="1"/>
      <c r="E94" s="2" t="str">
        <f t="shared" si="3"/>
        <v>△*10であること。(△は半角空白）
/△*10. (△ is a half-width character blank space)</v>
      </c>
      <c r="F94" s="2" t="str">
        <f t="shared" si="4"/>
        <v>△*10であること。(□は全角空白）
/△*10. (□ is a full-width character blank space)</v>
      </c>
      <c r="G94" s="3" t="str">
        <f t="shared" si="5"/>
        <v>△*10であること。
/△*10</v>
      </c>
      <c r="H94" s="1" t="str" cm="1">
        <f t="array" ref="H94">_xlfn.IFS(ISNUMBER(SEARCH("△",C94)),E94,ISNUMBER(SEARCH("□",C94)),F94,1=1,G94)</f>
        <v>△*10であること。(△は半角空白）
/△*10. (△ is a half-width character blank space)</v>
      </c>
    </row>
    <row r="95" spans="2:8" ht="72" x14ac:dyDescent="0.45">
      <c r="B95" s="1">
        <v>94</v>
      </c>
      <c r="C95" s="1" t="s">
        <v>19</v>
      </c>
      <c r="D95" s="1"/>
      <c r="E95" s="2" t="str">
        <f t="shared" si="3"/>
        <v>0であること。(△は半角空白）
/0. (△ is a half-width character blank space)</v>
      </c>
      <c r="F95" s="2" t="str">
        <f t="shared" si="4"/>
        <v>0であること。(□は全角空白）
/0. (□ is a full-width character blank space)</v>
      </c>
      <c r="G95" s="3" t="str">
        <f t="shared" si="5"/>
        <v>0であること。
/0</v>
      </c>
      <c r="H95" s="1" t="str" cm="1">
        <f t="array" ref="H95">_xlfn.IFS(ISNUMBER(SEARCH("△",C95)),E95,ISNUMBER(SEARCH("□",C95)),F95,1=1,G95)</f>
        <v>0であること。
/0</v>
      </c>
    </row>
    <row r="96" spans="2:8" ht="72" x14ac:dyDescent="0.45">
      <c r="B96" s="1">
        <v>95</v>
      </c>
      <c r="C96" s="1" t="s">
        <v>19</v>
      </c>
      <c r="D96" s="1"/>
      <c r="E96" s="2" t="str">
        <f t="shared" si="3"/>
        <v>0であること。(△は半角空白）
/0. (△ is a half-width character blank space)</v>
      </c>
      <c r="F96" s="2" t="str">
        <f t="shared" si="4"/>
        <v>0であること。(□は全角空白）
/0. (□ is a full-width character blank space)</v>
      </c>
      <c r="G96" s="3" t="str">
        <f t="shared" si="5"/>
        <v>0であること。
/0</v>
      </c>
      <c r="H96" s="1" t="str" cm="1">
        <f t="array" ref="H96">_xlfn.IFS(ISNUMBER(SEARCH("△",C96)),E96,ISNUMBER(SEARCH("□",C96)),F96,1=1,G96)</f>
        <v>0であること。
/0</v>
      </c>
    </row>
    <row r="97" spans="2:8" ht="90" x14ac:dyDescent="0.45">
      <c r="B97" s="1">
        <v>96</v>
      </c>
      <c r="C97" s="1" t="s">
        <v>20</v>
      </c>
      <c r="D97" s="1"/>
      <c r="E97" s="2" t="str">
        <f t="shared" si="3"/>
        <v>△*3であること。(△は半角空白）
/△*3. (△ is a half-width character blank space)</v>
      </c>
      <c r="F97" s="2" t="str">
        <f t="shared" si="4"/>
        <v>△*3であること。(□は全角空白）
/△*3. (□ is a full-width character blank space)</v>
      </c>
      <c r="G97" s="3" t="str">
        <f t="shared" si="5"/>
        <v>△*3であること。
/△*3</v>
      </c>
      <c r="H97" s="1" t="str" cm="1">
        <f t="array" ref="H97">_xlfn.IFS(ISNUMBER(SEARCH("△",C97)),E97,ISNUMBER(SEARCH("□",C97)),F97,1=1,G97)</f>
        <v>△*3であること。(△は半角空白）
/△*3. (△ is a half-width character blank space)</v>
      </c>
    </row>
    <row r="98" spans="2:8" ht="72" x14ac:dyDescent="0.45">
      <c r="B98" s="1">
        <v>97</v>
      </c>
      <c r="C98" s="1" t="s">
        <v>19</v>
      </c>
      <c r="D98" s="1"/>
      <c r="E98" s="2" t="str">
        <f t="shared" si="3"/>
        <v>0であること。(△は半角空白）
/0. (△ is a half-width character blank space)</v>
      </c>
      <c r="F98" s="2" t="str">
        <f t="shared" si="4"/>
        <v>0であること。(□は全角空白）
/0. (□ is a full-width character blank space)</v>
      </c>
      <c r="G98" s="3" t="str">
        <f t="shared" si="5"/>
        <v>0であること。
/0</v>
      </c>
      <c r="H98" s="1" t="str" cm="1">
        <f t="array" ref="H98">_xlfn.IFS(ISNUMBER(SEARCH("△",C98)),E98,ISNUMBER(SEARCH("□",C98)),F98,1=1,G98)</f>
        <v>0であること。
/0</v>
      </c>
    </row>
    <row r="99" spans="2:8" ht="72" x14ac:dyDescent="0.45">
      <c r="B99" s="1">
        <v>98</v>
      </c>
      <c r="C99" s="1" t="s">
        <v>19</v>
      </c>
      <c r="D99" s="1"/>
      <c r="E99" s="2" t="str">
        <f t="shared" si="3"/>
        <v>0であること。(△は半角空白）
/0. (△ is a half-width character blank space)</v>
      </c>
      <c r="F99" s="2" t="str">
        <f t="shared" si="4"/>
        <v>0であること。(□は全角空白）
/0. (□ is a full-width character blank space)</v>
      </c>
      <c r="G99" s="3" t="str">
        <f t="shared" si="5"/>
        <v>0であること。
/0</v>
      </c>
      <c r="H99" s="1" t="str" cm="1">
        <f t="array" ref="H99">_xlfn.IFS(ISNUMBER(SEARCH("△",C99)),E99,ISNUMBER(SEARCH("□",C99)),F99,1=1,G99)</f>
        <v>0であること。
/0</v>
      </c>
    </row>
    <row r="100" spans="2:8" ht="90" x14ac:dyDescent="0.45">
      <c r="B100" s="1">
        <v>99</v>
      </c>
      <c r="C100" s="1" t="s">
        <v>9</v>
      </c>
      <c r="D100" s="1"/>
      <c r="E100" s="2" t="str">
        <f t="shared" si="3"/>
        <v>△*10であること。(△は半角空白）
/△*10. (△ is a half-width character blank space)</v>
      </c>
      <c r="F100" s="2" t="str">
        <f t="shared" si="4"/>
        <v>△*10であること。(□は全角空白）
/△*10. (□ is a full-width character blank space)</v>
      </c>
      <c r="G100" s="3" t="str">
        <f t="shared" si="5"/>
        <v>△*10であること。
/△*10</v>
      </c>
      <c r="H100" s="1" t="str" cm="1">
        <f t="array" ref="H100">_xlfn.IFS(ISNUMBER(SEARCH("△",C100)),E100,ISNUMBER(SEARCH("□",C100)),F100,1=1,G100)</f>
        <v>△*10であること。(△は半角空白）
/△*10. (△ is a half-width character blank space)</v>
      </c>
    </row>
    <row r="101" spans="2:8" ht="72" x14ac:dyDescent="0.45">
      <c r="B101" s="1">
        <v>100</v>
      </c>
      <c r="C101" s="1" t="s">
        <v>19</v>
      </c>
      <c r="D101" s="1"/>
      <c r="E101" s="2" t="str">
        <f t="shared" si="3"/>
        <v>0であること。(△は半角空白）
/0. (△ is a half-width character blank space)</v>
      </c>
      <c r="F101" s="2" t="str">
        <f t="shared" si="4"/>
        <v>0であること。(□は全角空白）
/0. (□ is a full-width character blank space)</v>
      </c>
      <c r="G101" s="3" t="str">
        <f t="shared" si="5"/>
        <v>0であること。
/0</v>
      </c>
      <c r="H101" s="1" t="str" cm="1">
        <f t="array" ref="H101">_xlfn.IFS(ISNUMBER(SEARCH("△",C101)),E101,ISNUMBER(SEARCH("□",C101)),F101,1=1,G101)</f>
        <v>0であること。
/0</v>
      </c>
    </row>
    <row r="102" spans="2:8" ht="72" x14ac:dyDescent="0.45">
      <c r="B102" s="1">
        <v>101</v>
      </c>
      <c r="C102" s="1" t="s">
        <v>19</v>
      </c>
      <c r="D102" s="1"/>
      <c r="E102" s="2" t="str">
        <f t="shared" si="3"/>
        <v>0であること。(△は半角空白）
/0. (△ is a half-width character blank space)</v>
      </c>
      <c r="F102" s="2" t="str">
        <f t="shared" si="4"/>
        <v>0であること。(□は全角空白）
/0. (□ is a full-width character blank space)</v>
      </c>
      <c r="G102" s="3" t="str">
        <f t="shared" si="5"/>
        <v>0であること。
/0</v>
      </c>
      <c r="H102" s="1" t="str" cm="1">
        <f t="array" ref="H102">_xlfn.IFS(ISNUMBER(SEARCH("△",C102)),E102,ISNUMBER(SEARCH("□",C102)),F102,1=1,G102)</f>
        <v>0であること。
/0</v>
      </c>
    </row>
    <row r="103" spans="2:8" ht="72" x14ac:dyDescent="0.45">
      <c r="B103" s="1">
        <v>102</v>
      </c>
      <c r="C103" s="1" t="s">
        <v>19</v>
      </c>
      <c r="D103" s="1"/>
      <c r="E103" s="2" t="str">
        <f t="shared" si="3"/>
        <v>0であること。(△は半角空白）
/0. (△ is a half-width character blank space)</v>
      </c>
      <c r="F103" s="2" t="str">
        <f t="shared" si="4"/>
        <v>0であること。(□は全角空白）
/0. (□ is a full-width character blank space)</v>
      </c>
      <c r="G103" s="3" t="str">
        <f t="shared" si="5"/>
        <v>0であること。
/0</v>
      </c>
      <c r="H103" s="1" t="str" cm="1">
        <f t="array" ref="H103">_xlfn.IFS(ISNUMBER(SEARCH("△",C103)),E103,ISNUMBER(SEARCH("□",C103)),F103,1=1,G103)</f>
        <v>0であること。
/0</v>
      </c>
    </row>
    <row r="104" spans="2:8" ht="72" x14ac:dyDescent="0.45">
      <c r="B104" s="1">
        <v>103</v>
      </c>
      <c r="C104" s="1" t="s">
        <v>19</v>
      </c>
      <c r="D104" s="1"/>
      <c r="E104" s="2" t="str">
        <f t="shared" si="3"/>
        <v>0であること。(△は半角空白）
/0. (△ is a half-width character blank space)</v>
      </c>
      <c r="F104" s="2" t="str">
        <f t="shared" si="4"/>
        <v>0であること。(□は全角空白）
/0. (□ is a full-width character blank space)</v>
      </c>
      <c r="G104" s="3" t="str">
        <f t="shared" si="5"/>
        <v>0であること。
/0</v>
      </c>
      <c r="H104" s="1" t="str" cm="1">
        <f t="array" ref="H104">_xlfn.IFS(ISNUMBER(SEARCH("△",C104)),E104,ISNUMBER(SEARCH("□",C104)),F104,1=1,G104)</f>
        <v>0であること。
/0</v>
      </c>
    </row>
    <row r="105" spans="2:8" ht="72" x14ac:dyDescent="0.45">
      <c r="B105" s="1">
        <v>104</v>
      </c>
      <c r="C105" s="1" t="s">
        <v>19</v>
      </c>
      <c r="D105" s="1"/>
      <c r="E105" s="2" t="str">
        <f t="shared" si="3"/>
        <v>0であること。(△は半角空白）
/0. (△ is a half-width character blank space)</v>
      </c>
      <c r="F105" s="2" t="str">
        <f t="shared" si="4"/>
        <v>0であること。(□は全角空白）
/0. (□ is a full-width character blank space)</v>
      </c>
      <c r="G105" s="3" t="str">
        <f t="shared" si="5"/>
        <v>0であること。
/0</v>
      </c>
      <c r="H105" s="1" t="str" cm="1">
        <f t="array" ref="H105">_xlfn.IFS(ISNUMBER(SEARCH("△",C105)),E105,ISNUMBER(SEARCH("□",C105)),F105,1=1,G105)</f>
        <v>0であること。
/0</v>
      </c>
    </row>
    <row r="106" spans="2:8" ht="72" x14ac:dyDescent="0.45">
      <c r="B106" s="1">
        <v>105</v>
      </c>
      <c r="C106" s="1" t="s">
        <v>1</v>
      </c>
      <c r="D106" s="1"/>
      <c r="E106" s="2" t="str">
        <f t="shared" si="3"/>
        <v>"△"であること。(△は半角空白）
/"△". (△ is a half-width character blank space)</v>
      </c>
      <c r="F106" s="2" t="str">
        <f t="shared" si="4"/>
        <v>"△"であること。(□は全角空白）
/"△". (□ is a full-width character blank space)</v>
      </c>
      <c r="G106" s="3" t="str">
        <f t="shared" si="5"/>
        <v>"△"であること。
/"△"</v>
      </c>
      <c r="H106" s="1" t="str" cm="1">
        <f t="array" ref="H106">_xlfn.IFS(ISNUMBER(SEARCH("△",C106)),E106,ISNUMBER(SEARCH("□",C106)),F106,1=1,G106)</f>
        <v>"△"であること。(△は半角空白）
/"△". (△ is a half-width character blank space)</v>
      </c>
    </row>
    <row r="107" spans="2:8" ht="72" x14ac:dyDescent="0.45">
      <c r="B107" s="1">
        <v>106</v>
      </c>
      <c r="C107" s="1" t="s">
        <v>1</v>
      </c>
      <c r="D107" s="1"/>
      <c r="E107" s="2" t="str">
        <f t="shared" si="3"/>
        <v>"△"であること。(△は半角空白）
/"△". (△ is a half-width character blank space)</v>
      </c>
      <c r="F107" s="2" t="str">
        <f t="shared" si="4"/>
        <v>"△"であること。(□は全角空白）
/"△". (□ is a full-width character blank space)</v>
      </c>
      <c r="G107" s="3" t="str">
        <f t="shared" si="5"/>
        <v>"△"であること。
/"△"</v>
      </c>
      <c r="H107" s="1" t="str" cm="1">
        <f t="array" ref="H107">_xlfn.IFS(ISNUMBER(SEARCH("△",C107)),E107,ISNUMBER(SEARCH("□",C107)),F107,1=1,G107)</f>
        <v>"△"であること。(△は半角空白）
/"△". (△ is a half-width character blank space)</v>
      </c>
    </row>
    <row r="108" spans="2:8" ht="72" x14ac:dyDescent="0.45">
      <c r="B108" s="1">
        <v>107</v>
      </c>
      <c r="C108" s="1" t="s">
        <v>1</v>
      </c>
      <c r="D108" s="1"/>
      <c r="E108" s="2" t="str">
        <f t="shared" si="3"/>
        <v>"△"であること。(△は半角空白）
/"△". (△ is a half-width character blank space)</v>
      </c>
      <c r="F108" s="2" t="str">
        <f t="shared" si="4"/>
        <v>"△"であること。(□は全角空白）
/"△". (□ is a full-width character blank space)</v>
      </c>
      <c r="G108" s="3" t="str">
        <f t="shared" si="5"/>
        <v>"△"であること。
/"△"</v>
      </c>
      <c r="H108" s="1" t="str" cm="1">
        <f t="array" ref="H108">_xlfn.IFS(ISNUMBER(SEARCH("△",C108)),E108,ISNUMBER(SEARCH("□",C108)),F108,1=1,G108)</f>
        <v>"△"であること。(△は半角空白）
/"△". (△ is a half-width character blank space)</v>
      </c>
    </row>
    <row r="109" spans="2:8" ht="72" x14ac:dyDescent="0.45">
      <c r="B109" s="1">
        <v>108</v>
      </c>
      <c r="C109" s="1" t="s">
        <v>1</v>
      </c>
      <c r="D109" s="1"/>
      <c r="E109" s="2" t="str">
        <f t="shared" si="3"/>
        <v>"△"であること。(△は半角空白）
/"△". (△ is a half-width character blank space)</v>
      </c>
      <c r="F109" s="2" t="str">
        <f t="shared" si="4"/>
        <v>"△"であること。(□は全角空白）
/"△". (□ is a full-width character blank space)</v>
      </c>
      <c r="G109" s="3" t="str">
        <f t="shared" si="5"/>
        <v>"△"であること。
/"△"</v>
      </c>
      <c r="H109" s="1" t="str" cm="1">
        <f t="array" ref="H109">_xlfn.IFS(ISNUMBER(SEARCH("△",C109)),E109,ISNUMBER(SEARCH("□",C109)),F109,1=1,G109)</f>
        <v>"△"であること。(△は半角空白）
/"△". (△ is a half-width character blank space)</v>
      </c>
    </row>
    <row r="110" spans="2:8" ht="90" x14ac:dyDescent="0.45">
      <c r="B110" s="1">
        <v>109</v>
      </c>
      <c r="C110" s="1" t="s">
        <v>21</v>
      </c>
      <c r="D110" s="1"/>
      <c r="E110" s="2" t="str">
        <f t="shared" si="3"/>
        <v>△*2であること。(△は半角空白）
/△*2. (△ is a half-width character blank space)</v>
      </c>
      <c r="F110" s="2" t="str">
        <f t="shared" si="4"/>
        <v>△*2であること。(□は全角空白）
/△*2. (□ is a full-width character blank space)</v>
      </c>
      <c r="G110" s="3" t="str">
        <f t="shared" si="5"/>
        <v>△*2であること。
/△*2</v>
      </c>
      <c r="H110" s="1" t="str" cm="1">
        <f t="array" ref="H110">_xlfn.IFS(ISNUMBER(SEARCH("△",C110)),E110,ISNUMBER(SEARCH("□",C110)),F110,1=1,G110)</f>
        <v>△*2であること。(△は半角空白）
/△*2. (△ is a half-width character blank space)</v>
      </c>
    </row>
    <row r="111" spans="2:8" ht="72" x14ac:dyDescent="0.45">
      <c r="B111" s="1">
        <v>110</v>
      </c>
      <c r="C111" s="1" t="s">
        <v>1</v>
      </c>
      <c r="D111" s="1"/>
      <c r="E111" s="2" t="str">
        <f t="shared" si="3"/>
        <v>"△"であること。(△は半角空白）
/"△". (△ is a half-width character blank space)</v>
      </c>
      <c r="F111" s="2" t="str">
        <f t="shared" si="4"/>
        <v>"△"であること。(□は全角空白）
/"△". (□ is a full-width character blank space)</v>
      </c>
      <c r="G111" s="3" t="str">
        <f t="shared" si="5"/>
        <v>"△"であること。
/"△"</v>
      </c>
      <c r="H111" s="1" t="str" cm="1">
        <f t="array" ref="H111">_xlfn.IFS(ISNUMBER(SEARCH("△",C111)),E111,ISNUMBER(SEARCH("□",C111)),F111,1=1,G111)</f>
        <v>"△"であること。(△は半角空白）
/"△". (△ is a half-width character blank space)</v>
      </c>
    </row>
    <row r="112" spans="2:8" ht="90" x14ac:dyDescent="0.45">
      <c r="B112" s="1">
        <v>111</v>
      </c>
      <c r="C112" s="1" t="s">
        <v>7</v>
      </c>
      <c r="D112" s="1"/>
      <c r="E112" s="2" t="str">
        <f t="shared" si="3"/>
        <v>△*4であること。(△は半角空白）
/△*4. (△ is a half-width character blank space)</v>
      </c>
      <c r="F112" s="2" t="str">
        <f t="shared" si="4"/>
        <v>△*4であること。(□は全角空白）
/△*4. (□ is a full-width character blank space)</v>
      </c>
      <c r="G112" s="3" t="str">
        <f t="shared" si="5"/>
        <v>△*4であること。
/△*4</v>
      </c>
      <c r="H112" s="1" t="str" cm="1">
        <f t="array" ref="H112">_xlfn.IFS(ISNUMBER(SEARCH("△",C112)),E112,ISNUMBER(SEARCH("□",C112)),F112,1=1,G112)</f>
        <v>△*4であること。(△は半角空白）
/△*4. (△ is a half-width character blank space)</v>
      </c>
    </row>
    <row r="113" spans="2:8" ht="90" x14ac:dyDescent="0.45">
      <c r="B113" s="1">
        <v>112</v>
      </c>
      <c r="C113" s="1" t="s">
        <v>8</v>
      </c>
      <c r="D113" s="1"/>
      <c r="E113" s="2" t="str">
        <f t="shared" si="3"/>
        <v>△*6であること。(△は半角空白）
/△*6. (△ is a half-width character blank space)</v>
      </c>
      <c r="F113" s="2" t="str">
        <f t="shared" si="4"/>
        <v>△*6であること。(□は全角空白）
/△*6. (□ is a full-width character blank space)</v>
      </c>
      <c r="G113" s="3" t="str">
        <f t="shared" si="5"/>
        <v>△*6であること。
/△*6</v>
      </c>
      <c r="H113" s="1" t="str" cm="1">
        <f t="array" ref="H113">_xlfn.IFS(ISNUMBER(SEARCH("△",C113)),E113,ISNUMBER(SEARCH("□",C113)),F113,1=1,G113)</f>
        <v>△*6であること。(△は半角空白）
/△*6. (△ is a half-width character blank space)</v>
      </c>
    </row>
    <row r="114" spans="2:8" ht="90" x14ac:dyDescent="0.45">
      <c r="B114" s="1">
        <v>113</v>
      </c>
      <c r="C114" s="1" t="s">
        <v>27</v>
      </c>
      <c r="D114" s="1"/>
      <c r="E114" s="2" t="str">
        <f t="shared" si="3"/>
        <v>△*25であること。(△は半角空白）
/△*25. (△ is a half-width character blank space)</v>
      </c>
      <c r="F114" s="2" t="str">
        <f t="shared" si="4"/>
        <v>△*25であること。(□は全角空白）
/△*25. (□ is a full-width character blank space)</v>
      </c>
      <c r="G114" s="3" t="str">
        <f t="shared" si="5"/>
        <v>△*25であること。
/△*25</v>
      </c>
      <c r="H114" s="1" t="str" cm="1">
        <f t="array" ref="H114">_xlfn.IFS(ISNUMBER(SEARCH("△",C114)),E114,ISNUMBER(SEARCH("□",C114)),F114,1=1,G114)</f>
        <v>△*25であること。(△は半角空白）
/△*25. (△ is a half-width character blank space)</v>
      </c>
    </row>
    <row r="115" spans="2:8" ht="90" x14ac:dyDescent="0.45">
      <c r="B115" s="1">
        <v>114</v>
      </c>
      <c r="C115" s="1" t="s">
        <v>9</v>
      </c>
      <c r="D115" s="1"/>
      <c r="E115" s="2" t="str">
        <f t="shared" si="3"/>
        <v>△*10であること。(△は半角空白）
/△*10. (△ is a half-width character blank space)</v>
      </c>
      <c r="F115" s="2" t="str">
        <f t="shared" si="4"/>
        <v>△*10であること。(□は全角空白）
/△*10. (□ is a full-width character blank space)</v>
      </c>
      <c r="G115" s="3" t="str">
        <f t="shared" si="5"/>
        <v>△*10であること。
/△*10</v>
      </c>
      <c r="H115" s="1" t="str" cm="1">
        <f t="array" ref="H115">_xlfn.IFS(ISNUMBER(SEARCH("△",C115)),E115,ISNUMBER(SEARCH("□",C115)),F115,1=1,G115)</f>
        <v>△*10であること。(△は半角空白）
/△*10. (△ is a half-width character blank space)</v>
      </c>
    </row>
    <row r="116" spans="2:8" ht="90" x14ac:dyDescent="0.45">
      <c r="B116" s="1">
        <v>115</v>
      </c>
      <c r="C116" s="1" t="s">
        <v>12</v>
      </c>
      <c r="D116" s="1"/>
      <c r="E116" s="2" t="str">
        <f t="shared" si="3"/>
        <v>△*5であること。(△は半角空白）
/△*5. (△ is a half-width character blank space)</v>
      </c>
      <c r="F116" s="2" t="str">
        <f t="shared" si="4"/>
        <v>△*5であること。(□は全角空白）
/△*5. (□ is a full-width character blank space)</v>
      </c>
      <c r="G116" s="3" t="str">
        <f t="shared" si="5"/>
        <v>△*5であること。
/△*5</v>
      </c>
      <c r="H116" s="1" t="str" cm="1">
        <f t="array" ref="H116">_xlfn.IFS(ISNUMBER(SEARCH("△",C116)),E116,ISNUMBER(SEARCH("□",C116)),F116,1=1,G116)</f>
        <v>△*5であること。(△は半角空白）
/△*5. (△ is a half-width character blank space)</v>
      </c>
    </row>
    <row r="117" spans="2:8" ht="90" x14ac:dyDescent="0.45">
      <c r="B117" s="1">
        <v>116</v>
      </c>
      <c r="C117" s="1" t="s">
        <v>10</v>
      </c>
      <c r="D117" s="1"/>
      <c r="E117" s="2" t="str">
        <f t="shared" si="3"/>
        <v>△*44であること。(△は半角空白）
/△*44. (△ is a half-width character blank space)</v>
      </c>
      <c r="F117" s="2" t="str">
        <f t="shared" si="4"/>
        <v>△*44であること。(□は全角空白）
/△*44. (□ is a full-width character blank space)</v>
      </c>
      <c r="G117" s="3" t="str">
        <f t="shared" si="5"/>
        <v>△*44であること。
/△*44</v>
      </c>
      <c r="H117" s="1" t="str" cm="1">
        <f t="array" ref="H117">_xlfn.IFS(ISNUMBER(SEARCH("△",C117)),E117,ISNUMBER(SEARCH("□",C117)),F117,1=1,G117)</f>
        <v>△*44であること。(△は半角空白）
/△*44. (△ is a half-width character blank space)</v>
      </c>
    </row>
    <row r="118" spans="2:8" ht="90" x14ac:dyDescent="0.45">
      <c r="B118" s="1">
        <v>117</v>
      </c>
      <c r="C118" s="1" t="s">
        <v>11</v>
      </c>
      <c r="D118" s="1"/>
      <c r="E118" s="2" t="str">
        <f t="shared" si="3"/>
        <v>□*22であること。(△は半角空白）
/□*22. (△ is a half-width character blank space)</v>
      </c>
      <c r="F118" s="2" t="str">
        <f t="shared" si="4"/>
        <v>□*22であること。(□は全角空白）
/□*22. (□ is a full-width character blank space)</v>
      </c>
      <c r="G118" s="3" t="str">
        <f t="shared" si="5"/>
        <v>□*22であること。
/□*22</v>
      </c>
      <c r="H118" s="1" t="str" cm="1">
        <f t="array" ref="H118">_xlfn.IFS(ISNUMBER(SEARCH("△",C118)),E118,ISNUMBER(SEARCH("□",C118)),F118,1=1,G118)</f>
        <v>□*22であること。(□は全角空白）
/□*22. (□ is a full-width character blank space)</v>
      </c>
    </row>
    <row r="119" spans="2:8" ht="90" x14ac:dyDescent="0.45">
      <c r="B119" s="1">
        <v>118</v>
      </c>
      <c r="C119" s="1" t="s">
        <v>21</v>
      </c>
      <c r="D119" s="1"/>
      <c r="E119" s="2" t="str">
        <f t="shared" si="3"/>
        <v>△*2であること。(△は半角空白）
/△*2. (△ is a half-width character blank space)</v>
      </c>
      <c r="F119" s="2" t="str">
        <f t="shared" si="4"/>
        <v>△*2であること。(□は全角空白）
/△*2. (□ is a full-width character blank space)</v>
      </c>
      <c r="G119" s="3" t="str">
        <f t="shared" si="5"/>
        <v>△*2であること。
/△*2</v>
      </c>
      <c r="H119" s="1" t="str" cm="1">
        <f t="array" ref="H119">_xlfn.IFS(ISNUMBER(SEARCH("△",C119)),E119,ISNUMBER(SEARCH("□",C119)),F119,1=1,G119)</f>
        <v>△*2であること。(△は半角空白）
/△*2. (△ is a half-width character blank space)</v>
      </c>
    </row>
    <row r="120" spans="2:8" ht="90" x14ac:dyDescent="0.45">
      <c r="B120" s="1">
        <v>119</v>
      </c>
      <c r="C120" s="1" t="s">
        <v>9</v>
      </c>
      <c r="D120" s="1"/>
      <c r="E120" s="2" t="str">
        <f t="shared" si="3"/>
        <v>△*10であること。(△は半角空白）
/△*10. (△ is a half-width character blank space)</v>
      </c>
      <c r="F120" s="2" t="str">
        <f t="shared" si="4"/>
        <v>△*10であること。(□は全角空白）
/△*10. (□ is a full-width character blank space)</v>
      </c>
      <c r="G120" s="3" t="str">
        <f t="shared" si="5"/>
        <v>△*10であること。
/△*10</v>
      </c>
      <c r="H120" s="1" t="str" cm="1">
        <f t="array" ref="H120">_xlfn.IFS(ISNUMBER(SEARCH("△",C120)),E120,ISNUMBER(SEARCH("□",C120)),F120,1=1,G120)</f>
        <v>△*10であること。(△は半角空白）
/△*10. (△ is a half-width character blank space)</v>
      </c>
    </row>
    <row r="121" spans="2:8" ht="90" x14ac:dyDescent="0.45">
      <c r="B121" s="1">
        <v>120</v>
      </c>
      <c r="C121" s="1" t="s">
        <v>28</v>
      </c>
      <c r="D121" s="1"/>
      <c r="E121" s="2" t="str">
        <f t="shared" si="3"/>
        <v>△*20であること。(△は半角空白）
/△*20. (△ is a half-width character blank space)</v>
      </c>
      <c r="F121" s="2" t="str">
        <f t="shared" si="4"/>
        <v>△*20であること。(□は全角空白）
/△*20. (□ is a full-width character blank space)</v>
      </c>
      <c r="G121" s="3" t="str">
        <f t="shared" si="5"/>
        <v>△*20であること。
/△*20</v>
      </c>
      <c r="H121" s="1" t="str" cm="1">
        <f t="array" ref="H121">_xlfn.IFS(ISNUMBER(SEARCH("△",C121)),E121,ISNUMBER(SEARCH("□",C121)),F121,1=1,G121)</f>
        <v>△*20であること。(△は半角空白）
/△*20. (△ is a half-width character blank space)</v>
      </c>
    </row>
    <row r="122" spans="2:8" ht="90" x14ac:dyDescent="0.45">
      <c r="B122" s="1">
        <v>121</v>
      </c>
      <c r="C122" s="1" t="s">
        <v>28</v>
      </c>
      <c r="D122" s="1"/>
      <c r="E122" s="2" t="str">
        <f t="shared" si="3"/>
        <v>△*20であること。(△は半角空白）
/△*20. (△ is a half-width character blank space)</v>
      </c>
      <c r="F122" s="2" t="str">
        <f t="shared" si="4"/>
        <v>△*20であること。(□は全角空白）
/△*20. (□ is a full-width character blank space)</v>
      </c>
      <c r="G122" s="3" t="str">
        <f t="shared" si="5"/>
        <v>△*20であること。
/△*20</v>
      </c>
      <c r="H122" s="1" t="str" cm="1">
        <f t="array" ref="H122">_xlfn.IFS(ISNUMBER(SEARCH("△",C122)),E122,ISNUMBER(SEARCH("□",C122)),F122,1=1,G122)</f>
        <v>△*20であること。(△は半角空白）
/△*20. (△ is a half-width character blank space)</v>
      </c>
    </row>
    <row r="123" spans="2:8" ht="72" x14ac:dyDescent="0.45">
      <c r="B123" s="1">
        <v>122</v>
      </c>
      <c r="C123" s="1" t="s">
        <v>1</v>
      </c>
      <c r="D123" s="1"/>
      <c r="E123" s="2" t="str">
        <f t="shared" si="3"/>
        <v>"△"であること。(△は半角空白）
/"△". (△ is a half-width character blank space)</v>
      </c>
      <c r="F123" s="2" t="str">
        <f t="shared" si="4"/>
        <v>"△"であること。(□は全角空白）
/"△". (□ is a full-width character blank space)</v>
      </c>
      <c r="G123" s="3" t="str">
        <f t="shared" si="5"/>
        <v>"△"であること。
/"△"</v>
      </c>
      <c r="H123" s="1" t="str" cm="1">
        <f t="array" ref="H123">_xlfn.IFS(ISNUMBER(SEARCH("△",C123)),E123,ISNUMBER(SEARCH("□",C123)),F123,1=1,G123)</f>
        <v>"△"であること。(△は半角空白）
/"△". (△ is a half-width character blank space)</v>
      </c>
    </row>
    <row r="124" spans="2:8" ht="90" x14ac:dyDescent="0.45">
      <c r="B124" s="1">
        <v>123</v>
      </c>
      <c r="C124" s="1" t="s">
        <v>9</v>
      </c>
      <c r="D124" s="1"/>
      <c r="E124" s="2" t="str">
        <f t="shared" si="3"/>
        <v>△*10であること。(△は半角空白）
/△*10. (△ is a half-width character blank space)</v>
      </c>
      <c r="F124" s="2" t="str">
        <f t="shared" si="4"/>
        <v>△*10であること。(□は全角空白）
/△*10. (□ is a full-width character blank space)</v>
      </c>
      <c r="G124" s="3" t="str">
        <f t="shared" si="5"/>
        <v>△*10であること。
/△*10</v>
      </c>
      <c r="H124" s="1" t="str" cm="1">
        <f t="array" ref="H124">_xlfn.IFS(ISNUMBER(SEARCH("△",C124)),E124,ISNUMBER(SEARCH("□",C124)),F124,1=1,G124)</f>
        <v>△*10であること。(△は半角空白）
/△*10. (△ is a half-width character blank space)</v>
      </c>
    </row>
    <row r="125" spans="2:8" ht="90" x14ac:dyDescent="0.45">
      <c r="B125" s="1">
        <v>124</v>
      </c>
      <c r="C125" s="1" t="s">
        <v>10</v>
      </c>
      <c r="D125" s="1"/>
      <c r="E125" s="2" t="str">
        <f t="shared" si="3"/>
        <v>△*44であること。(△は半角空白）
/△*44. (△ is a half-width character blank space)</v>
      </c>
      <c r="F125" s="2" t="str">
        <f t="shared" si="4"/>
        <v>△*44であること。(□は全角空白）
/△*44. (□ is a full-width character blank space)</v>
      </c>
      <c r="G125" s="3" t="str">
        <f t="shared" si="5"/>
        <v>△*44であること。
/△*44</v>
      </c>
      <c r="H125" s="1" t="str" cm="1">
        <f t="array" ref="H125">_xlfn.IFS(ISNUMBER(SEARCH("△",C125)),E125,ISNUMBER(SEARCH("□",C125)),F125,1=1,G125)</f>
        <v>△*44であること。(△は半角空白）
/△*44. (△ is a half-width character blank space)</v>
      </c>
    </row>
    <row r="126" spans="2:8" ht="90" x14ac:dyDescent="0.45">
      <c r="B126" s="1">
        <v>125</v>
      </c>
      <c r="C126" s="1" t="s">
        <v>11</v>
      </c>
      <c r="D126" s="1"/>
      <c r="E126" s="2" t="str">
        <f t="shared" si="3"/>
        <v>□*22であること。(△は半角空白）
/□*22. (△ is a half-width character blank space)</v>
      </c>
      <c r="F126" s="2" t="str">
        <f t="shared" si="4"/>
        <v>□*22であること。(□は全角空白）
/□*22. (□ is a full-width character blank space)</v>
      </c>
      <c r="G126" s="3" t="str">
        <f t="shared" si="5"/>
        <v>□*22であること。
/□*22</v>
      </c>
      <c r="H126" s="1" t="str" cm="1">
        <f t="array" ref="H126">_xlfn.IFS(ISNUMBER(SEARCH("△",C126)),E126,ISNUMBER(SEARCH("□",C126)),F126,1=1,G126)</f>
        <v>□*22であること。(□は全角空白）
/□*22. (□ is a full-width character blank space)</v>
      </c>
    </row>
    <row r="127" spans="2:8" ht="72" x14ac:dyDescent="0.45">
      <c r="B127" s="1">
        <v>126</v>
      </c>
      <c r="C127" s="1" t="s">
        <v>1</v>
      </c>
      <c r="D127" s="1"/>
      <c r="E127" s="2" t="str">
        <f t="shared" si="3"/>
        <v>"△"であること。(△は半角空白）
/"△". (△ is a half-width character blank space)</v>
      </c>
      <c r="F127" s="2" t="str">
        <f t="shared" si="4"/>
        <v>"△"であること。(□は全角空白）
/"△". (□ is a full-width character blank space)</v>
      </c>
      <c r="G127" s="3" t="str">
        <f t="shared" si="5"/>
        <v>"△"であること。
/"△"</v>
      </c>
      <c r="H127" s="1" t="str" cm="1">
        <f t="array" ref="H127">_xlfn.IFS(ISNUMBER(SEARCH("△",C127)),E127,ISNUMBER(SEARCH("□",C127)),F127,1=1,G127)</f>
        <v>"△"であること。(△は半角空白）
/"△". (△ is a half-width character blank space)</v>
      </c>
    </row>
    <row r="128" spans="2:8" ht="90" x14ac:dyDescent="0.45">
      <c r="B128" s="1">
        <v>127</v>
      </c>
      <c r="C128" s="1" t="s">
        <v>26</v>
      </c>
      <c r="D128" s="1"/>
      <c r="E128" s="2" t="str">
        <f t="shared" si="3"/>
        <v>△*30であること。(△は半角空白）
/△*30. (△ is a half-width character blank space)</v>
      </c>
      <c r="F128" s="2" t="str">
        <f t="shared" si="4"/>
        <v>△*30であること。(□は全角空白）
/△*30. (□ is a full-width character blank space)</v>
      </c>
      <c r="G128" s="3" t="str">
        <f t="shared" si="5"/>
        <v>△*30であること。
/△*30</v>
      </c>
      <c r="H128" s="1" t="str" cm="1">
        <f t="array" ref="H128">_xlfn.IFS(ISNUMBER(SEARCH("△",C128)),E128,ISNUMBER(SEARCH("□",C128)),F128,1=1,G128)</f>
        <v>△*30であること。(△は半角空白）
/△*30. (△ is a half-width character blank space)</v>
      </c>
    </row>
    <row r="129" spans="2:8" ht="90" x14ac:dyDescent="0.45">
      <c r="B129" s="1">
        <v>128</v>
      </c>
      <c r="C129" s="1" t="s">
        <v>29</v>
      </c>
      <c r="D129" s="1"/>
      <c r="E129" s="2" t="str">
        <f t="shared" si="3"/>
        <v>□*15であること。(△は半角空白）
/□*15. (△ is a half-width character blank space)</v>
      </c>
      <c r="F129" s="2" t="str">
        <f t="shared" si="4"/>
        <v>□*15であること。(□は全角空白）
/□*15. (□ is a full-width character blank space)</v>
      </c>
      <c r="G129" s="3" t="str">
        <f t="shared" si="5"/>
        <v>□*15であること。
/□*15</v>
      </c>
      <c r="H129" s="1" t="str" cm="1">
        <f t="array" ref="H129">_xlfn.IFS(ISNUMBER(SEARCH("△",C129)),E129,ISNUMBER(SEARCH("□",C129)),F129,1=1,G129)</f>
        <v>□*15であること。(□は全角空白）
/□*15. (□ is a full-width character blank space)</v>
      </c>
    </row>
    <row r="130" spans="2:8" ht="90" x14ac:dyDescent="0.45">
      <c r="B130" s="1">
        <v>129</v>
      </c>
      <c r="C130" s="1" t="s">
        <v>30</v>
      </c>
      <c r="D130" s="1"/>
      <c r="E130" s="2" t="str">
        <f t="shared" si="3"/>
        <v>△*67であること。(△は半角空白）
/△*67. (△ is a half-width character blank space)</v>
      </c>
      <c r="F130" s="2" t="str">
        <f t="shared" si="4"/>
        <v>△*67であること。(□は全角空白）
/△*67. (□ is a full-width character blank space)</v>
      </c>
      <c r="G130" s="3" t="str">
        <f t="shared" si="5"/>
        <v>△*67であること。
/△*67</v>
      </c>
      <c r="H130" s="1" t="str" cm="1">
        <f t="array" ref="H130">_xlfn.IFS(ISNUMBER(SEARCH("△",C130)),E130,ISNUMBER(SEARCH("□",C130)),F130,1=1,G130)</f>
        <v>△*67であること。(△は半角空白）
/△*67. (△ is a half-width character blank space)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B54F1-8406-4347-9EF3-AE2D396E8426}">
  <dimension ref="A2:D96"/>
  <sheetViews>
    <sheetView topLeftCell="A12" zoomScale="85" zoomScaleNormal="85" workbookViewId="0">
      <selection activeCell="D3" sqref="D3"/>
    </sheetView>
  </sheetViews>
  <sheetFormatPr defaultRowHeight="18" x14ac:dyDescent="0.45"/>
  <cols>
    <col min="1" max="1" width="8.796875" style="4"/>
    <col min="2" max="2" width="32.19921875" style="4" customWidth="1"/>
    <col min="3" max="3" width="55" style="4" bestFit="1" customWidth="1"/>
    <col min="4" max="4" width="31.3984375" style="4" customWidth="1"/>
    <col min="5" max="16384" width="8.796875" style="4"/>
  </cols>
  <sheetData>
    <row r="2" spans="1:4" ht="72" x14ac:dyDescent="0.45">
      <c r="A2" s="5">
        <v>1</v>
      </c>
      <c r="B2" s="5" t="s">
        <v>32</v>
      </c>
      <c r="C2" s="5" t="s">
        <v>238</v>
      </c>
      <c r="D2" s="6" t="str">
        <f>"[EDI送信DB_支払."&amp;B2&amp;"]
/[J_EDI_SND_DB_PAY."&amp;C2&amp;"]"</f>
        <v>[EDI送信DB_支払.送信シーケンスNO]
/[J_EDI_SND_DB_PAY.SND_SEQ_NO]</v>
      </c>
    </row>
    <row r="3" spans="1:4" ht="72" x14ac:dyDescent="0.45">
      <c r="A3" s="5">
        <v>2</v>
      </c>
      <c r="B3" s="5" t="s">
        <v>33</v>
      </c>
      <c r="C3" s="5" t="s">
        <v>239</v>
      </c>
      <c r="D3" s="6" t="str">
        <f t="shared" ref="D3:D66" si="0">"[EDI送信DB_支払."&amp;B3&amp;"]
/[J_EDI_SND_DB_PAY."&amp;C3&amp;"]"</f>
        <v>[EDI送信DB_支払.データ交換ID]
/[J_EDI_SND_DB_PAY.DATA_KOKAN_ID]</v>
      </c>
    </row>
    <row r="4" spans="1:4" ht="90" x14ac:dyDescent="0.45">
      <c r="A4" s="5">
        <v>3</v>
      </c>
      <c r="B4" s="5" t="s">
        <v>216</v>
      </c>
      <c r="C4" s="5" t="s">
        <v>240</v>
      </c>
      <c r="D4" s="6" t="str">
        <f t="shared" si="0"/>
        <v>[EDI送信DB_支払.EDI_機能カテゴリコード]
/[J_EDI_SND_DB_PAY.EDI_KINO_CATEGORY_CD]</v>
      </c>
    </row>
    <row r="5" spans="1:4" ht="54" x14ac:dyDescent="0.45">
      <c r="A5" s="5">
        <v>4</v>
      </c>
      <c r="B5" s="5" t="s">
        <v>217</v>
      </c>
      <c r="C5" s="5" t="s">
        <v>241</v>
      </c>
      <c r="D5" s="6" t="str">
        <f t="shared" si="0"/>
        <v>[EDI送信DB_支払.仕入先コード]
/[J_EDI_SND_DB_PAY.SUP_CD]</v>
      </c>
    </row>
    <row r="6" spans="1:4" ht="54" x14ac:dyDescent="0.45">
      <c r="A6" s="5">
        <v>5</v>
      </c>
      <c r="B6" s="5" t="s">
        <v>218</v>
      </c>
      <c r="C6" s="5" t="s">
        <v>242</v>
      </c>
      <c r="D6" s="6" t="str">
        <f t="shared" si="0"/>
        <v>[EDI送信DB_支払.販区]
/[J_EDI_SND_DB_PAY.HAN_KBN]</v>
      </c>
    </row>
    <row r="7" spans="1:4" ht="54" x14ac:dyDescent="0.45">
      <c r="A7" s="5">
        <v>6</v>
      </c>
      <c r="B7" s="5" t="s">
        <v>230</v>
      </c>
      <c r="C7" s="5" t="s">
        <v>243</v>
      </c>
      <c r="D7" s="6" t="str">
        <f t="shared" si="0"/>
        <v>[EDI送信DB_支払.起算日]
/[J_EDI_SND_DB_PAY.KISAN_D]</v>
      </c>
    </row>
    <row r="8" spans="1:4" ht="54" x14ac:dyDescent="0.45">
      <c r="A8" s="5">
        <v>7</v>
      </c>
      <c r="B8" s="5" t="s">
        <v>219</v>
      </c>
      <c r="C8" s="5" t="s">
        <v>244</v>
      </c>
      <c r="D8" s="6" t="str">
        <f t="shared" si="0"/>
        <v>[EDI送信DB_支払.金種]
/[J_EDI_SND_DB_PAY.KINSHU]</v>
      </c>
    </row>
    <row r="9" spans="1:4" ht="72" x14ac:dyDescent="0.45">
      <c r="A9" s="5">
        <v>8</v>
      </c>
      <c r="B9" s="5" t="s">
        <v>231</v>
      </c>
      <c r="C9" s="5" t="s">
        <v>245</v>
      </c>
      <c r="D9" s="6" t="str">
        <f t="shared" si="0"/>
        <v>[EDI送信DB_支払.本支店コード]
/[J_EDI_SND_DB_PAY.HONSHITEN_CD]</v>
      </c>
    </row>
    <row r="10" spans="1:4" ht="72" x14ac:dyDescent="0.45">
      <c r="A10" s="5">
        <v>9</v>
      </c>
      <c r="B10" s="5" t="s">
        <v>220</v>
      </c>
      <c r="C10" s="5" t="s">
        <v>246</v>
      </c>
      <c r="D10" s="6" t="str">
        <f t="shared" si="0"/>
        <v>[EDI送信DB_支払.締切年月日]
/[J_EDI_SND_DB_PAY.SHIMEKIRI_YMD]</v>
      </c>
    </row>
    <row r="11" spans="1:4" ht="54" x14ac:dyDescent="0.45">
      <c r="A11" s="5">
        <v>10</v>
      </c>
      <c r="B11" s="5" t="s">
        <v>221</v>
      </c>
      <c r="C11" s="5" t="s">
        <v>247</v>
      </c>
      <c r="D11" s="6" t="str">
        <f t="shared" si="0"/>
        <v>[EDI送信DB_支払.満期日]
/[J_EDI_SND_DB_PAY.MANKI_D]</v>
      </c>
    </row>
    <row r="12" spans="1:4" ht="54" x14ac:dyDescent="0.45">
      <c r="A12" s="5">
        <v>11</v>
      </c>
      <c r="B12" s="5" t="s">
        <v>222</v>
      </c>
      <c r="C12" s="5" t="s">
        <v>248</v>
      </c>
      <c r="D12" s="6" t="str">
        <f t="shared" si="0"/>
        <v>[EDI送信DB_支払.銀行コード]
/[J_EDI_SND_DB_PAY.BANK_CD]</v>
      </c>
    </row>
    <row r="13" spans="1:4" ht="54" x14ac:dyDescent="0.45">
      <c r="A13" s="5">
        <v>12</v>
      </c>
      <c r="B13" s="5" t="s">
        <v>223</v>
      </c>
      <c r="C13" s="5" t="s">
        <v>249</v>
      </c>
      <c r="D13" s="6" t="str">
        <f t="shared" si="0"/>
        <v>[EDI送信DB_支払.支店コード]
/[J_EDI_SND_DB_PAY.SHITEN_CD]</v>
      </c>
    </row>
    <row r="14" spans="1:4" ht="54" x14ac:dyDescent="0.45">
      <c r="A14" s="5">
        <v>13</v>
      </c>
      <c r="B14" s="5" t="s">
        <v>232</v>
      </c>
      <c r="C14" s="5" t="s">
        <v>250</v>
      </c>
      <c r="D14" s="6" t="str">
        <f t="shared" si="0"/>
        <v>[EDI送信DB_支払.銀行名(カナ)]
/[J_EDI_SND_DB_PAY.BANK_NMK]</v>
      </c>
    </row>
    <row r="15" spans="1:4" ht="72" x14ac:dyDescent="0.45">
      <c r="A15" s="5">
        <v>14</v>
      </c>
      <c r="B15" s="5" t="s">
        <v>224</v>
      </c>
      <c r="C15" s="5" t="s">
        <v>251</v>
      </c>
      <c r="D15" s="6" t="str">
        <f t="shared" si="0"/>
        <v>[EDI送信DB_支払.支店名(カナ)]
/[J_EDI_SND_DB_PAY.SHITEN_NMK]</v>
      </c>
    </row>
    <row r="16" spans="1:4" ht="72" x14ac:dyDescent="0.45">
      <c r="A16" s="5">
        <v>15</v>
      </c>
      <c r="B16" s="5" t="s">
        <v>225</v>
      </c>
      <c r="C16" s="5" t="s">
        <v>252</v>
      </c>
      <c r="D16" s="6" t="str">
        <f t="shared" si="0"/>
        <v>[EDI送信DB_支払.振込先口座種別]
/[J_EDI_SND_DB_PAY.FURIKOMI_KOZA_SBT]</v>
      </c>
    </row>
    <row r="17" spans="1:4" ht="72" x14ac:dyDescent="0.45">
      <c r="A17" s="5">
        <v>16</v>
      </c>
      <c r="B17" s="5" t="s">
        <v>233</v>
      </c>
      <c r="C17" s="5" t="s">
        <v>253</v>
      </c>
      <c r="D17" s="6" t="str">
        <f t="shared" si="0"/>
        <v>[EDI送信DB_支払.振込先口座NO]
/[J_EDI_SND_DB_PAY.FURIKOMI_KOZA_NO]</v>
      </c>
    </row>
    <row r="18" spans="1:4" ht="72" x14ac:dyDescent="0.45">
      <c r="A18" s="5">
        <v>17</v>
      </c>
      <c r="B18" s="5" t="s">
        <v>226</v>
      </c>
      <c r="C18" s="5" t="s">
        <v>254</v>
      </c>
      <c r="D18" s="6" t="str">
        <f t="shared" si="0"/>
        <v>[EDI送信DB_支払.EDI_今回支払金額]
/[J_EDI_SND_DB_PAY.EDI_KONKAI_PAY_GAKU]</v>
      </c>
    </row>
    <row r="19" spans="1:4" ht="54" x14ac:dyDescent="0.45">
      <c r="A19" s="5">
        <v>18</v>
      </c>
      <c r="B19" s="5" t="s">
        <v>234</v>
      </c>
      <c r="C19" s="5" t="s">
        <v>255</v>
      </c>
      <c r="D19" s="6" t="str">
        <f t="shared" si="0"/>
        <v>[EDI送信DB_支払.支払年月日]
/[J_EDI_SND_DB_PAY.PAY_YMD]</v>
      </c>
    </row>
    <row r="20" spans="1:4" ht="90" x14ac:dyDescent="0.45">
      <c r="A20" s="5">
        <v>19</v>
      </c>
      <c r="B20" s="5" t="s">
        <v>227</v>
      </c>
      <c r="C20" s="5" t="s">
        <v>256</v>
      </c>
      <c r="D20" s="6" t="str">
        <f t="shared" si="0"/>
        <v>[EDI送信DB_支払.送信データ削除区分]
/[J_EDI_SND_DB_PAY.SND_DATA_DEL_KBN]</v>
      </c>
    </row>
    <row r="21" spans="1:4" ht="72" x14ac:dyDescent="0.45">
      <c r="A21" s="5">
        <v>20</v>
      </c>
      <c r="B21" s="5" t="s">
        <v>235</v>
      </c>
      <c r="C21" s="5" t="s">
        <v>257</v>
      </c>
      <c r="D21" s="6" t="str">
        <f t="shared" si="0"/>
        <v>[EDI送信DB_支払.受信シーケンスNO]
/[J_EDI_SND_DB_PAY.RCV_SEQ_NO]</v>
      </c>
    </row>
    <row r="22" spans="1:4" ht="72" x14ac:dyDescent="0.45">
      <c r="A22" s="5">
        <v>21</v>
      </c>
      <c r="B22" s="5" t="s">
        <v>119</v>
      </c>
      <c r="C22" s="5" t="s">
        <v>258</v>
      </c>
      <c r="D22" s="6" t="str">
        <f t="shared" si="0"/>
        <v>[EDI送信DB_支払.処理受付番号]
/[J_EDI_SND_DB_PAY.FUNC_UKETSUKE_NO]</v>
      </c>
    </row>
    <row r="23" spans="1:4" ht="54" x14ac:dyDescent="0.45">
      <c r="A23" s="5">
        <v>22</v>
      </c>
      <c r="B23" s="5" t="s">
        <v>118</v>
      </c>
      <c r="C23" s="5" t="s">
        <v>259</v>
      </c>
      <c r="D23" s="6" t="str">
        <f t="shared" si="0"/>
        <v>[EDI送信DB_支払.削除区分]
/[J_EDI_SND_DB_PAY.DEL_KBN]</v>
      </c>
    </row>
    <row r="24" spans="1:4" ht="90" x14ac:dyDescent="0.45">
      <c r="A24" s="5">
        <v>23</v>
      </c>
      <c r="B24" s="5" t="s">
        <v>228</v>
      </c>
      <c r="C24" s="5" t="s">
        <v>260</v>
      </c>
      <c r="D24" s="6" t="str">
        <f t="shared" si="0"/>
        <v>[EDI送信DB_支払.受信シーケンスNO_2]
/[J_EDI_SND_DB_PAY.RCV_SEQ_NO_2]</v>
      </c>
    </row>
    <row r="25" spans="1:4" ht="90" x14ac:dyDescent="0.45">
      <c r="A25" s="5">
        <v>24</v>
      </c>
      <c r="B25" s="5" t="s">
        <v>229</v>
      </c>
      <c r="C25" s="5" t="s">
        <v>261</v>
      </c>
      <c r="D25" s="6" t="str">
        <f t="shared" si="0"/>
        <v>[EDI送信DB_支払.確定仕入責任組織コード(旧)]
/[J_EDI_SND_DB_PAY.CONFIRM_SIR_SKNIN_SSHK_CD_OLD]</v>
      </c>
    </row>
    <row r="26" spans="1:4" ht="72" x14ac:dyDescent="0.45">
      <c r="A26" s="5">
        <v>25</v>
      </c>
      <c r="B26" s="5" t="s">
        <v>236</v>
      </c>
      <c r="C26" s="5" t="s">
        <v>262</v>
      </c>
      <c r="D26" s="6" t="str">
        <f t="shared" si="0"/>
        <v>[EDI送信DB_支払.JPCA_EDI請求金額]
/[J_EDI_SND_DB_PAY.JPCA_EDI_SEIKYU_GAKU]</v>
      </c>
    </row>
    <row r="27" spans="1:4" ht="90" x14ac:dyDescent="0.45">
      <c r="A27" s="5">
        <v>26</v>
      </c>
      <c r="B27" s="5" t="s">
        <v>237</v>
      </c>
      <c r="C27" s="5" t="s">
        <v>263</v>
      </c>
      <c r="D27" s="6" t="str">
        <f>"[J_EDI_RCV_DB_SUP."&amp;B27&amp;"]
/[J_EDI_RCV_DB_SUP."&amp;C27&amp;"]"</f>
        <v>[J_EDI_RCV_DB_SUP.相手先別データ]
/[J_EDI_RCV_DB_SUP.AITE_SAKI_BETSU_DATA]</v>
      </c>
    </row>
    <row r="28" spans="1:4" ht="72" x14ac:dyDescent="0.45">
      <c r="A28" s="5">
        <v>27</v>
      </c>
      <c r="B28" s="5" t="s">
        <v>119</v>
      </c>
      <c r="C28" s="5" t="s">
        <v>258</v>
      </c>
      <c r="D28" s="6" t="str">
        <f t="shared" si="0"/>
        <v>[EDI送信DB_支払.処理受付番号]
/[J_EDI_SND_DB_PAY.FUNC_UKETSUKE_NO]</v>
      </c>
    </row>
    <row r="29" spans="1:4" ht="54" x14ac:dyDescent="0.45">
      <c r="A29" s="5">
        <v>28</v>
      </c>
      <c r="B29" s="5" t="s">
        <v>0</v>
      </c>
      <c r="C29" s="5" t="s">
        <v>0</v>
      </c>
      <c r="D29" s="6" t="str">
        <f t="shared" si="0"/>
        <v>[EDI送信DB_支払.FILLER]
/[J_EDI_SND_DB_PAY.FILLER]</v>
      </c>
    </row>
    <row r="30" spans="1:4" ht="54" x14ac:dyDescent="0.45">
      <c r="A30" s="5">
        <v>29</v>
      </c>
      <c r="B30" s="5"/>
      <c r="C30" s="5"/>
      <c r="D30" s="6" t="str">
        <f t="shared" si="0"/>
        <v>[EDI送信DB_支払.]
/[J_EDI_SND_DB_PAY.]</v>
      </c>
    </row>
    <row r="31" spans="1:4" ht="54" x14ac:dyDescent="0.45">
      <c r="A31" s="5">
        <v>30</v>
      </c>
      <c r="B31" s="5"/>
      <c r="C31" s="5"/>
      <c r="D31" s="6" t="str">
        <f t="shared" si="0"/>
        <v>[EDI送信DB_支払.]
/[J_EDI_SND_DB_PAY.]</v>
      </c>
    </row>
    <row r="32" spans="1:4" ht="54" x14ac:dyDescent="0.45">
      <c r="A32" s="5">
        <v>31</v>
      </c>
      <c r="B32" s="5"/>
      <c r="C32" s="5"/>
      <c r="D32" s="6" t="str">
        <f t="shared" si="0"/>
        <v>[EDI送信DB_支払.]
/[J_EDI_SND_DB_PAY.]</v>
      </c>
    </row>
    <row r="33" spans="1:4" ht="54" x14ac:dyDescent="0.45">
      <c r="A33" s="5">
        <v>32</v>
      </c>
      <c r="B33" s="5"/>
      <c r="C33" s="5"/>
      <c r="D33" s="6" t="str">
        <f t="shared" si="0"/>
        <v>[EDI送信DB_支払.]
/[J_EDI_SND_DB_PAY.]</v>
      </c>
    </row>
    <row r="34" spans="1:4" ht="54" x14ac:dyDescent="0.45">
      <c r="A34" s="5">
        <v>33</v>
      </c>
      <c r="B34" s="5"/>
      <c r="C34" s="5"/>
      <c r="D34" s="6" t="str">
        <f t="shared" si="0"/>
        <v>[EDI送信DB_支払.]
/[J_EDI_SND_DB_PAY.]</v>
      </c>
    </row>
    <row r="35" spans="1:4" ht="54" x14ac:dyDescent="0.45">
      <c r="A35" s="5">
        <v>34</v>
      </c>
      <c r="B35" s="5"/>
      <c r="C35" s="5"/>
      <c r="D35" s="6" t="str">
        <f t="shared" si="0"/>
        <v>[EDI送信DB_支払.]
/[J_EDI_SND_DB_PAY.]</v>
      </c>
    </row>
    <row r="36" spans="1:4" ht="54" x14ac:dyDescent="0.45">
      <c r="A36" s="5">
        <v>35</v>
      </c>
      <c r="B36" s="5"/>
      <c r="C36" s="5"/>
      <c r="D36" s="6" t="str">
        <f t="shared" si="0"/>
        <v>[EDI送信DB_支払.]
/[J_EDI_SND_DB_PAY.]</v>
      </c>
    </row>
    <row r="37" spans="1:4" ht="54" x14ac:dyDescent="0.45">
      <c r="A37" s="5">
        <v>36</v>
      </c>
      <c r="B37" s="5"/>
      <c r="C37" s="5"/>
      <c r="D37" s="6" t="str">
        <f t="shared" si="0"/>
        <v>[EDI送信DB_支払.]
/[J_EDI_SND_DB_PAY.]</v>
      </c>
    </row>
    <row r="38" spans="1:4" ht="54" x14ac:dyDescent="0.45">
      <c r="A38" s="5">
        <v>37</v>
      </c>
      <c r="B38" s="5"/>
      <c r="C38" s="5"/>
      <c r="D38" s="6" t="str">
        <f t="shared" si="0"/>
        <v>[EDI送信DB_支払.]
/[J_EDI_SND_DB_PAY.]</v>
      </c>
    </row>
    <row r="39" spans="1:4" ht="54" x14ac:dyDescent="0.45">
      <c r="A39" s="5">
        <v>38</v>
      </c>
      <c r="B39" s="5"/>
      <c r="C39" s="5"/>
      <c r="D39" s="6" t="str">
        <f t="shared" si="0"/>
        <v>[EDI送信DB_支払.]
/[J_EDI_SND_DB_PAY.]</v>
      </c>
    </row>
    <row r="40" spans="1:4" ht="54" x14ac:dyDescent="0.45">
      <c r="A40" s="5">
        <v>39</v>
      </c>
      <c r="B40" s="5"/>
      <c r="C40" s="5"/>
      <c r="D40" s="6" t="str">
        <f t="shared" si="0"/>
        <v>[EDI送信DB_支払.]
/[J_EDI_SND_DB_PAY.]</v>
      </c>
    </row>
    <row r="41" spans="1:4" ht="54" x14ac:dyDescent="0.45">
      <c r="A41" s="5">
        <v>40</v>
      </c>
      <c r="B41" s="5"/>
      <c r="C41" s="5"/>
      <c r="D41" s="6" t="str">
        <f t="shared" si="0"/>
        <v>[EDI送信DB_支払.]
/[J_EDI_SND_DB_PAY.]</v>
      </c>
    </row>
    <row r="42" spans="1:4" ht="54" x14ac:dyDescent="0.45">
      <c r="A42" s="5">
        <v>41</v>
      </c>
      <c r="B42" s="5"/>
      <c r="C42" s="5"/>
      <c r="D42" s="6" t="str">
        <f t="shared" si="0"/>
        <v>[EDI送信DB_支払.]
/[J_EDI_SND_DB_PAY.]</v>
      </c>
    </row>
    <row r="43" spans="1:4" ht="54" x14ac:dyDescent="0.45">
      <c r="A43" s="5">
        <v>42</v>
      </c>
      <c r="B43" s="5"/>
      <c r="C43" s="5"/>
      <c r="D43" s="6" t="str">
        <f t="shared" si="0"/>
        <v>[EDI送信DB_支払.]
/[J_EDI_SND_DB_PAY.]</v>
      </c>
    </row>
    <row r="44" spans="1:4" ht="54" x14ac:dyDescent="0.45">
      <c r="A44" s="5">
        <v>43</v>
      </c>
      <c r="B44" s="5"/>
      <c r="C44" s="5"/>
      <c r="D44" s="6" t="str">
        <f t="shared" si="0"/>
        <v>[EDI送信DB_支払.]
/[J_EDI_SND_DB_PAY.]</v>
      </c>
    </row>
    <row r="45" spans="1:4" ht="54" x14ac:dyDescent="0.45">
      <c r="A45" s="5">
        <v>44</v>
      </c>
      <c r="B45" s="5"/>
      <c r="C45" s="5"/>
      <c r="D45" s="6" t="str">
        <f t="shared" si="0"/>
        <v>[EDI送信DB_支払.]
/[J_EDI_SND_DB_PAY.]</v>
      </c>
    </row>
    <row r="46" spans="1:4" ht="54" x14ac:dyDescent="0.45">
      <c r="A46" s="5">
        <v>45</v>
      </c>
      <c r="B46" s="5"/>
      <c r="C46" s="5"/>
      <c r="D46" s="6" t="str">
        <f t="shared" si="0"/>
        <v>[EDI送信DB_支払.]
/[J_EDI_SND_DB_PAY.]</v>
      </c>
    </row>
    <row r="47" spans="1:4" ht="54" x14ac:dyDescent="0.45">
      <c r="A47" s="5">
        <v>46</v>
      </c>
      <c r="B47" s="5"/>
      <c r="C47" s="5"/>
      <c r="D47" s="6" t="str">
        <f t="shared" si="0"/>
        <v>[EDI送信DB_支払.]
/[J_EDI_SND_DB_PAY.]</v>
      </c>
    </row>
    <row r="48" spans="1:4" ht="54" x14ac:dyDescent="0.45">
      <c r="A48" s="5">
        <v>47</v>
      </c>
      <c r="B48" s="5"/>
      <c r="C48" s="5"/>
      <c r="D48" s="6" t="str">
        <f t="shared" si="0"/>
        <v>[EDI送信DB_支払.]
/[J_EDI_SND_DB_PAY.]</v>
      </c>
    </row>
    <row r="49" spans="1:4" ht="54" x14ac:dyDescent="0.45">
      <c r="A49" s="5">
        <v>48</v>
      </c>
      <c r="B49" s="5"/>
      <c r="C49" s="5"/>
      <c r="D49" s="6" t="str">
        <f t="shared" si="0"/>
        <v>[EDI送信DB_支払.]
/[J_EDI_SND_DB_PAY.]</v>
      </c>
    </row>
    <row r="50" spans="1:4" ht="54" x14ac:dyDescent="0.45">
      <c r="A50" s="5">
        <v>49</v>
      </c>
      <c r="B50" s="5"/>
      <c r="C50" s="5"/>
      <c r="D50" s="6" t="str">
        <f t="shared" si="0"/>
        <v>[EDI送信DB_支払.]
/[J_EDI_SND_DB_PAY.]</v>
      </c>
    </row>
    <row r="51" spans="1:4" ht="54" x14ac:dyDescent="0.45">
      <c r="A51" s="5">
        <v>50</v>
      </c>
      <c r="B51" s="5"/>
      <c r="C51" s="5"/>
      <c r="D51" s="6" t="str">
        <f t="shared" si="0"/>
        <v>[EDI送信DB_支払.]
/[J_EDI_SND_DB_PAY.]</v>
      </c>
    </row>
    <row r="52" spans="1:4" ht="54" x14ac:dyDescent="0.45">
      <c r="A52" s="5">
        <v>51</v>
      </c>
      <c r="B52" s="5"/>
      <c r="C52" s="5"/>
      <c r="D52" s="6" t="str">
        <f t="shared" si="0"/>
        <v>[EDI送信DB_支払.]
/[J_EDI_SND_DB_PAY.]</v>
      </c>
    </row>
    <row r="53" spans="1:4" ht="54" x14ac:dyDescent="0.45">
      <c r="A53" s="5">
        <v>52</v>
      </c>
      <c r="B53" s="5"/>
      <c r="C53" s="5"/>
      <c r="D53" s="6" t="str">
        <f t="shared" si="0"/>
        <v>[EDI送信DB_支払.]
/[J_EDI_SND_DB_PAY.]</v>
      </c>
    </row>
    <row r="54" spans="1:4" ht="54" x14ac:dyDescent="0.45">
      <c r="A54" s="5">
        <v>53</v>
      </c>
      <c r="B54" s="5"/>
      <c r="C54" s="5"/>
      <c r="D54" s="6" t="str">
        <f t="shared" si="0"/>
        <v>[EDI送信DB_支払.]
/[J_EDI_SND_DB_PAY.]</v>
      </c>
    </row>
    <row r="55" spans="1:4" ht="54" x14ac:dyDescent="0.45">
      <c r="A55" s="5">
        <v>54</v>
      </c>
      <c r="B55" s="5"/>
      <c r="C55" s="5"/>
      <c r="D55" s="6" t="str">
        <f t="shared" si="0"/>
        <v>[EDI送信DB_支払.]
/[J_EDI_SND_DB_PAY.]</v>
      </c>
    </row>
    <row r="56" spans="1:4" ht="54" x14ac:dyDescent="0.45">
      <c r="A56" s="5">
        <v>55</v>
      </c>
      <c r="B56" s="5"/>
      <c r="C56" s="5"/>
      <c r="D56" s="6" t="str">
        <f t="shared" si="0"/>
        <v>[EDI送信DB_支払.]
/[J_EDI_SND_DB_PAY.]</v>
      </c>
    </row>
    <row r="57" spans="1:4" ht="54" x14ac:dyDescent="0.45">
      <c r="A57" s="5">
        <v>56</v>
      </c>
      <c r="B57" s="5"/>
      <c r="C57" s="5"/>
      <c r="D57" s="6" t="str">
        <f t="shared" si="0"/>
        <v>[EDI送信DB_支払.]
/[J_EDI_SND_DB_PAY.]</v>
      </c>
    </row>
    <row r="58" spans="1:4" ht="54" x14ac:dyDescent="0.45">
      <c r="A58" s="5">
        <v>57</v>
      </c>
      <c r="B58" s="5"/>
      <c r="C58" s="5"/>
      <c r="D58" s="6" t="str">
        <f t="shared" si="0"/>
        <v>[EDI送信DB_支払.]
/[J_EDI_SND_DB_PAY.]</v>
      </c>
    </row>
    <row r="59" spans="1:4" ht="54" x14ac:dyDescent="0.45">
      <c r="A59" s="5">
        <v>58</v>
      </c>
      <c r="B59" s="5"/>
      <c r="C59" s="5"/>
      <c r="D59" s="6" t="str">
        <f t="shared" si="0"/>
        <v>[EDI送信DB_支払.]
/[J_EDI_SND_DB_PAY.]</v>
      </c>
    </row>
    <row r="60" spans="1:4" ht="54" x14ac:dyDescent="0.45">
      <c r="A60" s="5">
        <v>59</v>
      </c>
      <c r="B60" s="5"/>
      <c r="C60" s="5"/>
      <c r="D60" s="6" t="str">
        <f t="shared" si="0"/>
        <v>[EDI送信DB_支払.]
/[J_EDI_SND_DB_PAY.]</v>
      </c>
    </row>
    <row r="61" spans="1:4" ht="54" x14ac:dyDescent="0.45">
      <c r="A61" s="5">
        <v>60</v>
      </c>
      <c r="B61" s="5"/>
      <c r="C61" s="5"/>
      <c r="D61" s="6" t="str">
        <f t="shared" si="0"/>
        <v>[EDI送信DB_支払.]
/[J_EDI_SND_DB_PAY.]</v>
      </c>
    </row>
    <row r="62" spans="1:4" ht="54" x14ac:dyDescent="0.45">
      <c r="A62" s="5">
        <v>61</v>
      </c>
      <c r="B62" s="5"/>
      <c r="C62" s="5"/>
      <c r="D62" s="6" t="str">
        <f t="shared" si="0"/>
        <v>[EDI送信DB_支払.]
/[J_EDI_SND_DB_PAY.]</v>
      </c>
    </row>
    <row r="63" spans="1:4" ht="54" x14ac:dyDescent="0.45">
      <c r="A63" s="5">
        <v>62</v>
      </c>
      <c r="B63" s="5"/>
      <c r="C63" s="5"/>
      <c r="D63" s="6" t="str">
        <f t="shared" si="0"/>
        <v>[EDI送信DB_支払.]
/[J_EDI_SND_DB_PAY.]</v>
      </c>
    </row>
    <row r="64" spans="1:4" ht="54" x14ac:dyDescent="0.45">
      <c r="A64" s="5">
        <v>63</v>
      </c>
      <c r="B64" s="5"/>
      <c r="C64" s="5"/>
      <c r="D64" s="6" t="str">
        <f t="shared" si="0"/>
        <v>[EDI送信DB_支払.]
/[J_EDI_SND_DB_PAY.]</v>
      </c>
    </row>
    <row r="65" spans="1:4" ht="54" x14ac:dyDescent="0.45">
      <c r="A65" s="5">
        <v>64</v>
      </c>
      <c r="B65" s="5"/>
      <c r="C65" s="5"/>
      <c r="D65" s="6" t="str">
        <f t="shared" si="0"/>
        <v>[EDI送信DB_支払.]
/[J_EDI_SND_DB_PAY.]</v>
      </c>
    </row>
    <row r="66" spans="1:4" ht="54" x14ac:dyDescent="0.45">
      <c r="A66" s="5">
        <v>65</v>
      </c>
      <c r="B66" s="5"/>
      <c r="C66" s="5"/>
      <c r="D66" s="6" t="str">
        <f t="shared" si="0"/>
        <v>[EDI送信DB_支払.]
/[J_EDI_SND_DB_PAY.]</v>
      </c>
    </row>
    <row r="67" spans="1:4" ht="54" x14ac:dyDescent="0.45">
      <c r="A67" s="5">
        <v>66</v>
      </c>
      <c r="B67" s="5"/>
      <c r="C67" s="5"/>
      <c r="D67" s="6" t="str">
        <f t="shared" ref="D67:D96" si="1">"[EDI送信DB_支払."&amp;B67&amp;"]
/[J_EDI_SND_DB_PAY."&amp;C67&amp;"]"</f>
        <v>[EDI送信DB_支払.]
/[J_EDI_SND_DB_PAY.]</v>
      </c>
    </row>
    <row r="68" spans="1:4" ht="54" x14ac:dyDescent="0.45">
      <c r="A68" s="5">
        <v>67</v>
      </c>
      <c r="B68" s="5"/>
      <c r="C68" s="5"/>
      <c r="D68" s="6" t="str">
        <f t="shared" si="1"/>
        <v>[EDI送信DB_支払.]
/[J_EDI_SND_DB_PAY.]</v>
      </c>
    </row>
    <row r="69" spans="1:4" ht="54" x14ac:dyDescent="0.45">
      <c r="A69" s="5">
        <v>68</v>
      </c>
      <c r="B69" s="5"/>
      <c r="C69" s="5"/>
      <c r="D69" s="6" t="str">
        <f t="shared" si="1"/>
        <v>[EDI送信DB_支払.]
/[J_EDI_SND_DB_PAY.]</v>
      </c>
    </row>
    <row r="70" spans="1:4" ht="54" x14ac:dyDescent="0.45">
      <c r="A70" s="5">
        <v>69</v>
      </c>
      <c r="B70" s="5"/>
      <c r="C70" s="5"/>
      <c r="D70" s="6" t="str">
        <f t="shared" si="1"/>
        <v>[EDI送信DB_支払.]
/[J_EDI_SND_DB_PAY.]</v>
      </c>
    </row>
    <row r="71" spans="1:4" ht="54" x14ac:dyDescent="0.45">
      <c r="A71" s="5">
        <v>70</v>
      </c>
      <c r="B71" s="5"/>
      <c r="C71" s="5"/>
      <c r="D71" s="6" t="str">
        <f t="shared" si="1"/>
        <v>[EDI送信DB_支払.]
/[J_EDI_SND_DB_PAY.]</v>
      </c>
    </row>
    <row r="72" spans="1:4" ht="54" x14ac:dyDescent="0.45">
      <c r="A72" s="5">
        <v>71</v>
      </c>
      <c r="B72" s="5"/>
      <c r="C72" s="5"/>
      <c r="D72" s="6" t="str">
        <f t="shared" si="1"/>
        <v>[EDI送信DB_支払.]
/[J_EDI_SND_DB_PAY.]</v>
      </c>
    </row>
    <row r="73" spans="1:4" ht="54" x14ac:dyDescent="0.45">
      <c r="A73" s="5">
        <v>72</v>
      </c>
      <c r="B73" s="5"/>
      <c r="C73" s="5"/>
      <c r="D73" s="6" t="str">
        <f t="shared" si="1"/>
        <v>[EDI送信DB_支払.]
/[J_EDI_SND_DB_PAY.]</v>
      </c>
    </row>
    <row r="74" spans="1:4" ht="54" x14ac:dyDescent="0.45">
      <c r="A74" s="5">
        <v>73</v>
      </c>
      <c r="B74" s="5"/>
      <c r="C74" s="5"/>
      <c r="D74" s="6" t="str">
        <f t="shared" si="1"/>
        <v>[EDI送信DB_支払.]
/[J_EDI_SND_DB_PAY.]</v>
      </c>
    </row>
    <row r="75" spans="1:4" ht="54" x14ac:dyDescent="0.45">
      <c r="A75" s="5">
        <v>74</v>
      </c>
      <c r="B75" s="5"/>
      <c r="C75" s="5"/>
      <c r="D75" s="6" t="str">
        <f t="shared" si="1"/>
        <v>[EDI送信DB_支払.]
/[J_EDI_SND_DB_PAY.]</v>
      </c>
    </row>
    <row r="76" spans="1:4" ht="54" x14ac:dyDescent="0.45">
      <c r="A76" s="5">
        <v>75</v>
      </c>
      <c r="B76" s="5"/>
      <c r="C76" s="5"/>
      <c r="D76" s="6" t="str">
        <f t="shared" si="1"/>
        <v>[EDI送信DB_支払.]
/[J_EDI_SND_DB_PAY.]</v>
      </c>
    </row>
    <row r="77" spans="1:4" ht="54" x14ac:dyDescent="0.45">
      <c r="A77" s="5">
        <v>76</v>
      </c>
      <c r="B77" s="5"/>
      <c r="C77" s="5"/>
      <c r="D77" s="6" t="str">
        <f t="shared" si="1"/>
        <v>[EDI送信DB_支払.]
/[J_EDI_SND_DB_PAY.]</v>
      </c>
    </row>
    <row r="78" spans="1:4" ht="54" x14ac:dyDescent="0.45">
      <c r="A78" s="5">
        <v>77</v>
      </c>
      <c r="B78" s="5"/>
      <c r="C78" s="5"/>
      <c r="D78" s="6" t="str">
        <f t="shared" si="1"/>
        <v>[EDI送信DB_支払.]
/[J_EDI_SND_DB_PAY.]</v>
      </c>
    </row>
    <row r="79" spans="1:4" ht="54" x14ac:dyDescent="0.45">
      <c r="A79" s="5">
        <v>78</v>
      </c>
      <c r="B79" s="5"/>
      <c r="C79" s="5"/>
      <c r="D79" s="6" t="str">
        <f t="shared" si="1"/>
        <v>[EDI送信DB_支払.]
/[J_EDI_SND_DB_PAY.]</v>
      </c>
    </row>
    <row r="80" spans="1:4" ht="54" x14ac:dyDescent="0.45">
      <c r="A80" s="5">
        <v>79</v>
      </c>
      <c r="B80" s="5"/>
      <c r="C80" s="5"/>
      <c r="D80" s="6" t="str">
        <f t="shared" si="1"/>
        <v>[EDI送信DB_支払.]
/[J_EDI_SND_DB_PAY.]</v>
      </c>
    </row>
    <row r="81" spans="1:4" ht="54" x14ac:dyDescent="0.45">
      <c r="A81" s="5">
        <v>80</v>
      </c>
      <c r="B81" s="5"/>
      <c r="C81" s="5"/>
      <c r="D81" s="6" t="str">
        <f t="shared" si="1"/>
        <v>[EDI送信DB_支払.]
/[J_EDI_SND_DB_PAY.]</v>
      </c>
    </row>
    <row r="82" spans="1:4" ht="54" x14ac:dyDescent="0.45">
      <c r="A82" s="5">
        <v>81</v>
      </c>
      <c r="B82" s="5"/>
      <c r="C82" s="5"/>
      <c r="D82" s="6" t="str">
        <f t="shared" si="1"/>
        <v>[EDI送信DB_支払.]
/[J_EDI_SND_DB_PAY.]</v>
      </c>
    </row>
    <row r="83" spans="1:4" ht="54" x14ac:dyDescent="0.45">
      <c r="A83" s="5">
        <v>82</v>
      </c>
      <c r="B83" s="5"/>
      <c r="C83" s="5"/>
      <c r="D83" s="6" t="str">
        <f t="shared" si="1"/>
        <v>[EDI送信DB_支払.]
/[J_EDI_SND_DB_PAY.]</v>
      </c>
    </row>
    <row r="84" spans="1:4" ht="54" x14ac:dyDescent="0.45">
      <c r="A84" s="5">
        <v>83</v>
      </c>
      <c r="B84" s="5"/>
      <c r="C84" s="5"/>
      <c r="D84" s="6" t="str">
        <f t="shared" si="1"/>
        <v>[EDI送信DB_支払.]
/[J_EDI_SND_DB_PAY.]</v>
      </c>
    </row>
    <row r="85" spans="1:4" ht="54" x14ac:dyDescent="0.45">
      <c r="A85" s="5">
        <v>84</v>
      </c>
      <c r="B85" s="5"/>
      <c r="C85" s="5"/>
      <c r="D85" s="6" t="str">
        <f t="shared" si="1"/>
        <v>[EDI送信DB_支払.]
/[J_EDI_SND_DB_PAY.]</v>
      </c>
    </row>
    <row r="86" spans="1:4" ht="54" x14ac:dyDescent="0.45">
      <c r="A86" s="5">
        <v>85</v>
      </c>
      <c r="B86" s="5"/>
      <c r="C86" s="5"/>
      <c r="D86" s="6" t="str">
        <f t="shared" si="1"/>
        <v>[EDI送信DB_支払.]
/[J_EDI_SND_DB_PAY.]</v>
      </c>
    </row>
    <row r="87" spans="1:4" ht="54" x14ac:dyDescent="0.45">
      <c r="A87" s="5">
        <v>86</v>
      </c>
      <c r="B87" s="5"/>
      <c r="C87" s="5"/>
      <c r="D87" s="6" t="str">
        <f t="shared" si="1"/>
        <v>[EDI送信DB_支払.]
/[J_EDI_SND_DB_PAY.]</v>
      </c>
    </row>
    <row r="88" spans="1:4" ht="54" x14ac:dyDescent="0.45">
      <c r="A88" s="5">
        <v>87</v>
      </c>
      <c r="B88" s="5"/>
      <c r="C88" s="5"/>
      <c r="D88" s="6" t="str">
        <f t="shared" si="1"/>
        <v>[EDI送信DB_支払.]
/[J_EDI_SND_DB_PAY.]</v>
      </c>
    </row>
    <row r="89" spans="1:4" ht="54" x14ac:dyDescent="0.45">
      <c r="A89" s="5">
        <v>88</v>
      </c>
      <c r="B89" s="5"/>
      <c r="C89" s="5"/>
      <c r="D89" s="6" t="str">
        <f t="shared" si="1"/>
        <v>[EDI送信DB_支払.]
/[J_EDI_SND_DB_PAY.]</v>
      </c>
    </row>
    <row r="90" spans="1:4" ht="54" x14ac:dyDescent="0.45">
      <c r="A90" s="5">
        <v>89</v>
      </c>
      <c r="B90" s="5"/>
      <c r="C90" s="5"/>
      <c r="D90" s="6" t="str">
        <f t="shared" si="1"/>
        <v>[EDI送信DB_支払.]
/[J_EDI_SND_DB_PAY.]</v>
      </c>
    </row>
    <row r="91" spans="1:4" ht="54" x14ac:dyDescent="0.45">
      <c r="A91" s="5">
        <v>90</v>
      </c>
      <c r="B91" s="5"/>
      <c r="C91" s="5"/>
      <c r="D91" s="6" t="str">
        <f t="shared" si="1"/>
        <v>[EDI送信DB_支払.]
/[J_EDI_SND_DB_PAY.]</v>
      </c>
    </row>
    <row r="92" spans="1:4" ht="54" x14ac:dyDescent="0.45">
      <c r="A92" s="5">
        <v>91</v>
      </c>
      <c r="B92" s="5"/>
      <c r="C92" s="5"/>
      <c r="D92" s="6" t="str">
        <f t="shared" si="1"/>
        <v>[EDI送信DB_支払.]
/[J_EDI_SND_DB_PAY.]</v>
      </c>
    </row>
    <row r="93" spans="1:4" ht="54" x14ac:dyDescent="0.45">
      <c r="A93" s="5">
        <v>92</v>
      </c>
      <c r="B93" s="5"/>
      <c r="C93" s="5"/>
      <c r="D93" s="6" t="str">
        <f t="shared" si="1"/>
        <v>[EDI送信DB_支払.]
/[J_EDI_SND_DB_PAY.]</v>
      </c>
    </row>
    <row r="94" spans="1:4" ht="54" x14ac:dyDescent="0.45">
      <c r="A94" s="5">
        <v>93</v>
      </c>
      <c r="B94" s="5"/>
      <c r="C94" s="5"/>
      <c r="D94" s="6" t="str">
        <f t="shared" si="1"/>
        <v>[EDI送信DB_支払.]
/[J_EDI_SND_DB_PAY.]</v>
      </c>
    </row>
    <row r="95" spans="1:4" ht="54" x14ac:dyDescent="0.45">
      <c r="A95" s="5">
        <v>94</v>
      </c>
      <c r="B95" s="5"/>
      <c r="C95" s="5"/>
      <c r="D95" s="6" t="str">
        <f t="shared" si="1"/>
        <v>[EDI送信DB_支払.]
/[J_EDI_SND_DB_PAY.]</v>
      </c>
    </row>
    <row r="96" spans="1:4" ht="54" x14ac:dyDescent="0.45">
      <c r="A96" s="5">
        <v>95</v>
      </c>
      <c r="B96" s="5"/>
      <c r="C96" s="5"/>
      <c r="D96" s="6" t="str">
        <f t="shared" si="1"/>
        <v>[EDI送信DB_支払.]
/[J_EDI_SND_DB_PAY.]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PTspec2</vt:lpstr>
      <vt:lpstr>PTspec1</vt:lpstr>
      <vt:lpstr>PTspec3</vt:lpstr>
      <vt:lpstr>PTspec4</vt:lpstr>
      <vt:lpstr>PTspec2 (2)</vt:lpstr>
      <vt:lpstr>'PTspec2 (2)'!VLOOKUP</vt:lpstr>
      <vt:lpstr>PTspec3!VLOOKUP</vt:lpstr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 Zaid, Mohammad Faiz Shahiran Bin</dc:creator>
  <cp:lastModifiedBy>Abdullah Thaidi, Ahmad Mukhlisi Bin</cp:lastModifiedBy>
  <dcterms:created xsi:type="dcterms:W3CDTF">2015-06-05T18:17:20Z</dcterms:created>
  <dcterms:modified xsi:type="dcterms:W3CDTF">2025-12-09T11:10:49Z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2025-06-17T08:02:42Z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e5bd6a02-7713-4d8b-ad3c-343a7a785b0c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</Properties>
</file>