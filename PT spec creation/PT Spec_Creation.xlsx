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safinaz\Desktop\"/>
    </mc:Choice>
  </mc:AlternateContent>
  <xr:revisionPtr revIDLastSave="0" documentId="13_ncr:1_{BF6E9D9F-5F75-47E1-A7FA-4CA34B67B7F5}" xr6:coauthVersionLast="47" xr6:coauthVersionMax="47" xr10:uidLastSave="{00000000-0000-0000-0000-000000000000}"/>
  <bookViews>
    <workbookView xWindow="-14505" yWindow="-4665" windowWidth="14610" windowHeight="15585" xr2:uid="{5CD55D51-AE00-420F-85D1-618B03221034}"/>
  </bookViews>
  <sheets>
    <sheet name="S010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7" i="1"/>
  <c r="G7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G101" i="1" s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7" i="1"/>
  <c r="G97" i="1" l="1"/>
  <c r="G73" i="1"/>
  <c r="G17" i="1"/>
  <c r="G9" i="1"/>
  <c r="G95" i="1"/>
  <c r="G87" i="1"/>
  <c r="G79" i="1"/>
  <c r="G71" i="1"/>
  <c r="G63" i="1"/>
  <c r="G55" i="1"/>
  <c r="G47" i="1"/>
  <c r="G39" i="1"/>
  <c r="G31" i="1"/>
  <c r="G23" i="1"/>
  <c r="G15" i="1"/>
  <c r="G81" i="1"/>
  <c r="G33" i="1"/>
  <c r="G88" i="1"/>
  <c r="G64" i="1"/>
  <c r="G24" i="1"/>
  <c r="G8" i="1"/>
  <c r="G94" i="1"/>
  <c r="G86" i="1"/>
  <c r="G78" i="1"/>
  <c r="G70" i="1"/>
  <c r="G62" i="1"/>
  <c r="G54" i="1"/>
  <c r="G46" i="1"/>
  <c r="G38" i="1"/>
  <c r="G30" i="1"/>
  <c r="G22" i="1"/>
  <c r="G14" i="1"/>
  <c r="G10" i="1"/>
  <c r="G72" i="1"/>
  <c r="G56" i="1"/>
  <c r="G16" i="1"/>
  <c r="G93" i="1"/>
  <c r="G85" i="1"/>
  <c r="G77" i="1"/>
  <c r="G69" i="1"/>
  <c r="G61" i="1"/>
  <c r="G53" i="1"/>
  <c r="G45" i="1"/>
  <c r="G37" i="1"/>
  <c r="G29" i="1"/>
  <c r="G21" i="1"/>
  <c r="G13" i="1"/>
  <c r="G89" i="1"/>
  <c r="G65" i="1"/>
  <c r="G49" i="1"/>
  <c r="G25" i="1"/>
  <c r="G48" i="1"/>
  <c r="G100" i="1"/>
  <c r="G92" i="1"/>
  <c r="G84" i="1"/>
  <c r="G76" i="1"/>
  <c r="G68" i="1"/>
  <c r="G60" i="1"/>
  <c r="G52" i="1"/>
  <c r="G44" i="1"/>
  <c r="G36" i="1"/>
  <c r="G28" i="1"/>
  <c r="G20" i="1"/>
  <c r="G12" i="1"/>
  <c r="G57" i="1"/>
  <c r="G96" i="1"/>
  <c r="G32" i="1"/>
  <c r="G99" i="1"/>
  <c r="G91" i="1"/>
  <c r="G83" i="1"/>
  <c r="G75" i="1"/>
  <c r="G67" i="1"/>
  <c r="G59" i="1"/>
  <c r="G51" i="1"/>
  <c r="G43" i="1"/>
  <c r="G35" i="1"/>
  <c r="G27" i="1"/>
  <c r="G19" i="1"/>
  <c r="G11" i="1"/>
  <c r="G41" i="1"/>
  <c r="G80" i="1"/>
  <c r="G40" i="1"/>
  <c r="G98" i="1"/>
  <c r="G90" i="1"/>
  <c r="G82" i="1"/>
  <c r="G74" i="1"/>
  <c r="G66" i="1"/>
  <c r="G58" i="1"/>
  <c r="G50" i="1"/>
  <c r="G42" i="1"/>
  <c r="G34" i="1"/>
  <c r="G26" i="1"/>
  <c r="G18" i="1"/>
</calcChain>
</file>

<file path=xl/sharedStrings.xml><?xml version="1.0" encoding="utf-8"?>
<sst xmlns="http://schemas.openxmlformats.org/spreadsheetml/2006/main" count="206" uniqueCount="204">
  <si>
    <t>PT Spec ○○○A050S010</t>
    <phoneticPr fontId="3"/>
  </si>
  <si>
    <t>Sheet 業務_1</t>
    <phoneticPr fontId="3"/>
  </si>
  <si>
    <t>•</t>
  </si>
  <si>
    <r>
      <t xml:space="preserve">In UI, refer to Sheet </t>
    </r>
    <r>
      <rPr>
        <sz val="11"/>
        <color rgb="FF0000FF"/>
        <rFont val="游ゴシック"/>
        <family val="3"/>
        <charset val="128"/>
        <scheme val="minor"/>
      </rPr>
      <t xml:space="preserve">３．INPUTファイルレイアウト(B) </t>
    </r>
    <phoneticPr fontId="3"/>
  </si>
  <si>
    <t>項　目　名（和名）</t>
    <rPh sb="6" eb="8">
      <t>ワメイ</t>
    </rPh>
    <phoneticPr fontId="7"/>
  </si>
  <si>
    <t>項目名（英名）</t>
    <rPh sb="0" eb="2">
      <t>コウモク</t>
    </rPh>
    <rPh sb="2" eb="3">
      <t>メイ</t>
    </rPh>
    <rPh sb="4" eb="6">
      <t>エイメイ</t>
    </rPh>
    <phoneticPr fontId="7"/>
  </si>
  <si>
    <t>桁数</t>
  </si>
  <si>
    <t>№</t>
  </si>
  <si>
    <t>送信シーケンスNO</t>
  </si>
  <si>
    <t>SND_SEQ_NO</t>
  </si>
  <si>
    <t>データ交換ID</t>
  </si>
  <si>
    <t>DATA_KOKAN_ID</t>
  </si>
  <si>
    <t>仕入先組織コード</t>
  </si>
  <si>
    <t>SUP_SOSHIKI_CD</t>
  </si>
  <si>
    <t>発注入力担当者コード</t>
  </si>
  <si>
    <t>HAC_INP_TANTO_CD</t>
  </si>
  <si>
    <t>発注担当者FAX番号</t>
  </si>
  <si>
    <t>HAC_TANTO_FAX</t>
  </si>
  <si>
    <t>発注処理種別</t>
  </si>
  <si>
    <t>HAC_FUNC_SBT</t>
  </si>
  <si>
    <t>EDI_取引条件番号</t>
  </si>
  <si>
    <t>EDI_TRHK_JKN_NO</t>
  </si>
  <si>
    <t>EDI_契約番号</t>
  </si>
  <si>
    <t>EDI_KEIYAKU_NO</t>
  </si>
  <si>
    <t>EDI_適用開始年月日</t>
  </si>
  <si>
    <t>EDI_TEKIYO_START_YMD</t>
  </si>
  <si>
    <t>EDI_メーカ取引区分</t>
  </si>
  <si>
    <t>EDI_MK_TORIHIKI_KBN</t>
  </si>
  <si>
    <t>EDI_メーカ発注者コード（送信用）</t>
  </si>
  <si>
    <t>EDI_MK_HACSHA_CD_SND</t>
  </si>
  <si>
    <t>EDI_メーカ受注者コード（送信用）</t>
  </si>
  <si>
    <t>EDI_MK_JUC_CD_SND</t>
  </si>
  <si>
    <t>EDI_メーカ支払者コード（送信用）</t>
  </si>
  <si>
    <t>EDI_MK_PAY_CD_SND</t>
  </si>
  <si>
    <t>EDI_メーカ組織コード</t>
  </si>
  <si>
    <t>EDI_MK_SOSHIKI_CD</t>
  </si>
  <si>
    <t>発注番号</t>
  </si>
  <si>
    <t>HAC_NO</t>
  </si>
  <si>
    <t>発注行番号</t>
  </si>
  <si>
    <t>HAC_GYO_NO</t>
  </si>
  <si>
    <t>EDI_メーカ受注番号</t>
  </si>
  <si>
    <t>EDI_MK_JUC_NO</t>
  </si>
  <si>
    <t>EDI_販売先注文番号</t>
  </si>
  <si>
    <t>EDI_HAN_CHUMON_NO</t>
  </si>
  <si>
    <t>EDI_メーカ扱店コード</t>
  </si>
  <si>
    <t>EDI_MK_ATUKAITEN_CD</t>
  </si>
  <si>
    <t>EDI_メーカ需要家コード（送信用）</t>
  </si>
  <si>
    <t>EDI_MK_JUYOKA_CD_SND</t>
  </si>
  <si>
    <t>EDI_メーカ需要家コード</t>
  </si>
  <si>
    <t>EDI_MK_JUYOKA_CD</t>
  </si>
  <si>
    <t>EDI_メーカ需要家名(カナ)</t>
  </si>
  <si>
    <t>EDI_MK_JUYOKA_NMK</t>
  </si>
  <si>
    <t>EDI_メーカ需要家名(漢字)</t>
  </si>
  <si>
    <t>EDI_MK_JUYOKA_NM</t>
  </si>
  <si>
    <t>EDI_メーカ需要家支店名(漢字)</t>
  </si>
  <si>
    <t>EDI_MK_JUYOKA_SHITEN_NM</t>
  </si>
  <si>
    <t>EDI_メーカ２次店コード（送信用）</t>
  </si>
  <si>
    <t>EDI_MK_NIJITEN_CD_SND</t>
  </si>
  <si>
    <t>EDI_メーカ２次店コード</t>
  </si>
  <si>
    <t>EDI_MK_NIJITEN_CD</t>
  </si>
  <si>
    <t>EDI_メーカ２次店名(カナ)</t>
  </si>
  <si>
    <t>EDI_MK_NIJITEN_NMK</t>
  </si>
  <si>
    <t>EDI_メーカ２次店名(漢字)</t>
  </si>
  <si>
    <t>EDI_MK_NIJITEN_NM</t>
  </si>
  <si>
    <t>EDI_メーカ３次店名(漢字)</t>
  </si>
  <si>
    <t>EDI_MK_SANJITEN_NM</t>
  </si>
  <si>
    <t>EDI_メーカ納入先コード（送信用）</t>
  </si>
  <si>
    <t>EDI_MK_NNY_CD_SND</t>
  </si>
  <si>
    <t>EDI_メーカ納入先コード</t>
  </si>
  <si>
    <t>EDI_MK_NNY_CD</t>
  </si>
  <si>
    <t>EDI_メーカ納入先名(カナ)</t>
  </si>
  <si>
    <t>EDI_MK_NNY_NMK</t>
  </si>
  <si>
    <t>EDI_メーカ納入先名(漢字)</t>
  </si>
  <si>
    <t>EDI_MK_NNY_NM</t>
  </si>
  <si>
    <t>EDI_メーカ納入先住所(カナ)</t>
  </si>
  <si>
    <t>EDI_MK_NNY_ADDRK</t>
  </si>
  <si>
    <t>EDI_メーカ納入先住所(漢字)</t>
  </si>
  <si>
    <t>EDI_MK_NNY_ADDR</t>
  </si>
  <si>
    <t>EDI_メーカ納入先支社名(漢字)</t>
  </si>
  <si>
    <t>EDI_MK_NNY_SHISHA_NM</t>
  </si>
  <si>
    <t>EDI_メーカ納入先都道府県</t>
  </si>
  <si>
    <t>EDI_MK_NNY_TODOFUKEN</t>
  </si>
  <si>
    <t>EDI_メーカ納入先住所1</t>
  </si>
  <si>
    <t>EDI_MK_NNY_ADDR1</t>
  </si>
  <si>
    <t>EDI_メーカ納入先住所2</t>
  </si>
  <si>
    <t>EDI_MK_NNY_ADDR2</t>
  </si>
  <si>
    <t>EDI_メーカ納入先郵便番号</t>
  </si>
  <si>
    <t>EDI_MK_NNY_ZIP</t>
  </si>
  <si>
    <t>EDI_メーカ納入先電話番号</t>
  </si>
  <si>
    <t>EDI_MK_NNY_TEL</t>
  </si>
  <si>
    <t>EDI_メーカ納入先FAX番号</t>
  </si>
  <si>
    <t>EDI_MK_NNY_FAX</t>
  </si>
  <si>
    <t>EDI_メーカ納入先地区コード</t>
  </si>
  <si>
    <t>EDI_MK_NNY_CHIKU_CD</t>
  </si>
  <si>
    <t>希望納期</t>
  </si>
  <si>
    <t>KIBO_NOKI</t>
  </si>
  <si>
    <t>発注数量</t>
  </si>
  <si>
    <t>HAC_SU</t>
  </si>
  <si>
    <t>発注単価</t>
  </si>
  <si>
    <t>HAC_TANK</t>
  </si>
  <si>
    <t>発注金額</t>
  </si>
  <si>
    <t>HAC_GAKU</t>
  </si>
  <si>
    <t>EDI_個数</t>
  </si>
  <si>
    <t>EDI_KOSU</t>
  </si>
  <si>
    <t>仕入単位コード</t>
  </si>
  <si>
    <t>SIR_UNIT_CD</t>
  </si>
  <si>
    <t>EDI_口銭区分</t>
  </si>
  <si>
    <t>EDI_KOSEN_KBN</t>
  </si>
  <si>
    <t>EDI_口銭単価</t>
  </si>
  <si>
    <t>EDI_KOSEN_TANK</t>
  </si>
  <si>
    <t>EDI_メーカ商品コード</t>
  </si>
  <si>
    <t>EDI_MK_ITEM_CD</t>
  </si>
  <si>
    <t>EDI_メーカ商品名(カナ)</t>
  </si>
  <si>
    <t>EDI_MK_ITEM_NMK</t>
  </si>
  <si>
    <t>EDI_メーカ商品名(漢字)</t>
  </si>
  <si>
    <t>EDI_MK_ITEM_NM_KANJI</t>
  </si>
  <si>
    <t>EDI_グレード</t>
  </si>
  <si>
    <t>EDI_GRADE</t>
  </si>
  <si>
    <t>EDI_容量</t>
  </si>
  <si>
    <t>EDI_YORYO</t>
  </si>
  <si>
    <t>EDI_メーカ数量単位コード</t>
  </si>
  <si>
    <t>EDI_MK_SU_UNIT_CD</t>
  </si>
  <si>
    <t>EDI_メーカ数量単位名</t>
  </si>
  <si>
    <t>EDI_MK_SU_UNIT_NM</t>
  </si>
  <si>
    <t>EDI_メーカ単価単位コード</t>
  </si>
  <si>
    <t>EDI_MK_TANK_UNIT_CD</t>
  </si>
  <si>
    <t>EDI_メーカ単価単位名</t>
  </si>
  <si>
    <t>EDI_MK_TANK_UNIT_NM</t>
  </si>
  <si>
    <t>EDI_メーカ荷姿コード</t>
  </si>
  <si>
    <t>EDI_MK_NISUGATA_CD</t>
  </si>
  <si>
    <t>EDI_メーカ荷姿名(カナ)</t>
  </si>
  <si>
    <t>EDI_MK_NISUGATA_NMK</t>
  </si>
  <si>
    <t>EDI_納入コメント</t>
  </si>
  <si>
    <t>EDI_NONYU_COMMENT</t>
  </si>
  <si>
    <t>EDI_発注コメント</t>
  </si>
  <si>
    <t>EDI_HAC_COMMENT</t>
  </si>
  <si>
    <t>EDI_納品コメント</t>
  </si>
  <si>
    <t>EDI_NOHIN_COMMENT</t>
  </si>
  <si>
    <t>EDI_備考</t>
  </si>
  <si>
    <t>EDI_NOTE</t>
  </si>
  <si>
    <t>EDI_特記事項</t>
  </si>
  <si>
    <t>EDI_TOKKI_JIKO</t>
  </si>
  <si>
    <t>EDI_配送指示</t>
  </si>
  <si>
    <t>EDI_HAISO_SHIJI</t>
  </si>
  <si>
    <t>EDI_納入要件</t>
  </si>
  <si>
    <t>EDI_NONYU_YOKEN</t>
  </si>
  <si>
    <t>EDI_メーカ受注者情報</t>
  </si>
  <si>
    <t>EDI_MK_JUC_INF</t>
  </si>
  <si>
    <t>EDI_メーカ受渡条件コード</t>
  </si>
  <si>
    <t>EDI_MK_UKEWATASHI_JOKEN_CD</t>
  </si>
  <si>
    <t>EDI_決済条件</t>
  </si>
  <si>
    <t>EDI_KESSAI_JOKEN</t>
  </si>
  <si>
    <t>EDI_緊急オーダーコード</t>
  </si>
  <si>
    <t>EDI_KINKYU_ORDER_CD</t>
  </si>
  <si>
    <t>EDI_輸送便コード</t>
  </si>
  <si>
    <t>EDI_YUSO_BIN_CD</t>
  </si>
  <si>
    <t>EDI_納入希望時刻コード</t>
  </si>
  <si>
    <t>EDI_NONYU_KIBO_TM_CD</t>
  </si>
  <si>
    <t>EDI_納入希望時刻名称</t>
  </si>
  <si>
    <t>EDI_NONYU_KIBO_TM_NM</t>
  </si>
  <si>
    <t>EDI_納入希望時刻条件コード</t>
  </si>
  <si>
    <t>EDI_NONYU_KIBO_TM_JOKEN_CD</t>
  </si>
  <si>
    <t>EDI_LOT NO条件コード</t>
  </si>
  <si>
    <t>EDI_LOT_NO_JOKEN_CD</t>
  </si>
  <si>
    <t>EDI_ロット区分</t>
  </si>
  <si>
    <t>EDI_LOT_KBN</t>
  </si>
  <si>
    <t>EDI_ロット番号</t>
  </si>
  <si>
    <t>EDI_LOT_NO</t>
  </si>
  <si>
    <t>EDI_メーカ国内・輸出区分</t>
  </si>
  <si>
    <t>EDI_MK_DOM_EXP_KBN</t>
  </si>
  <si>
    <t>EDI_数量確定区分</t>
  </si>
  <si>
    <t>EDI_SU_KAKUTEI_KBN</t>
  </si>
  <si>
    <t>EDI_単価区分</t>
  </si>
  <si>
    <t>EDI_TANK_KBN</t>
  </si>
  <si>
    <t>EDI_課税区分</t>
  </si>
  <si>
    <t>EDI_KAZEI_KBN</t>
  </si>
  <si>
    <t>EDI_オーダ区分</t>
  </si>
  <si>
    <t>EDI_ORDER_KBN</t>
  </si>
  <si>
    <t>EDI_予備欄</t>
  </si>
  <si>
    <t>EDI_YOBI</t>
  </si>
  <si>
    <t>EDI_予備欄(漢字)</t>
  </si>
  <si>
    <t>EDI_YOBI_KANJI</t>
  </si>
  <si>
    <t>IK自由使用欄1</t>
  </si>
  <si>
    <t>IK_FREE_SPACE1</t>
  </si>
  <si>
    <t>登録年月日</t>
  </si>
  <si>
    <t>REG_YMD</t>
  </si>
  <si>
    <t>修正年月日</t>
  </si>
  <si>
    <t>MOD_YMD</t>
  </si>
  <si>
    <t>発注入力時刻</t>
  </si>
  <si>
    <t>HAC_INP_TM</t>
  </si>
  <si>
    <t>発注修正時刻</t>
  </si>
  <si>
    <t>HAC_MOD_TM</t>
  </si>
  <si>
    <t>削除区分</t>
  </si>
  <si>
    <t>DEL_KBN</t>
  </si>
  <si>
    <t>処理受付番号</t>
  </si>
  <si>
    <t>FUNC_UKETSUKE_NO</t>
  </si>
  <si>
    <t>FILLER</t>
  </si>
  <si>
    <t>開始</t>
    <rPh sb="0" eb="2">
      <t>カイシ</t>
    </rPh>
    <phoneticPr fontId="7"/>
  </si>
  <si>
    <t>位置</t>
    <rPh sb="0" eb="2">
      <t>イチ</t>
    </rPh>
    <phoneticPr fontId="7"/>
  </si>
  <si>
    <r>
      <rPr>
        <b/>
        <sz val="10"/>
        <color theme="1"/>
        <rFont val="Meiryo UI"/>
        <family val="3"/>
        <charset val="128"/>
      </rPr>
      <t xml:space="preserve">テスト項目
</t>
    </r>
    <r>
      <rPr>
        <b/>
        <sz val="10"/>
        <color rgb="FFFF0000"/>
        <rFont val="Meiryo UI"/>
        <family val="3"/>
        <charset val="128"/>
      </rPr>
      <t>（必須）</t>
    </r>
    <phoneticPr fontId="7"/>
  </si>
  <si>
    <t>* PT Spec Column</t>
    <phoneticPr fontId="3"/>
  </si>
  <si>
    <t>予想結果</t>
    <phoneticPr fontId="7"/>
  </si>
  <si>
    <t>END</t>
    <phoneticPr fontId="3"/>
  </si>
  <si>
    <t>Grey column no need to edit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</si>
</sst>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0000FF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centerContinuous"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 applyAlignment="1">
      <alignment horizontal="centerContinuous" vertical="center"/>
    </xf>
    <xf numFmtId="0" fontId="6" fillId="4" borderId="3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2">
    <cellStyle name="Normal" xfId="0" builtinId="0"/>
    <cellStyle name="Normal 2" xfId="1" xr:uid="{8B0C1CD6-DC9A-41B3-BDF3-AEEA25553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676657</xdr:colOff>
      <xdr:row>5</xdr:row>
      <xdr:rowOff>133468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7D6A2-61AF-6B11-688D-D779DABA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2734057" cy="8478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6</xdr:col>
      <xdr:colOff>561476</xdr:colOff>
      <xdr:row>21</xdr:row>
      <xdr:rowOff>180536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C5243E-BD61-482C-867C-E1E3D526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666875"/>
          <a:ext cx="3990476" cy="3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18</xdr:col>
      <xdr:colOff>506523</xdr:colOff>
      <xdr:row>33</xdr:row>
      <xdr:rowOff>201521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C1CA88-1C35-42E6-B07E-61A909149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798"/>
        <a:stretch>
          <a:fillRect/>
        </a:stretch>
      </xdr:blipFill>
      <xdr:spPr>
        <a:xfrm>
          <a:off x="683559" y="5412441"/>
          <a:ext cx="12127023" cy="25547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10</xdr:col>
      <xdr:colOff>268941</xdr:colOff>
      <xdr:row>32</xdr:row>
      <xdr:rowOff>134471</xdr:rowOff>
    </xdr:from>
    <xdr:to>
      <xdr:col>11</xdr:col>
      <xdr:colOff>0</xdr:colOff>
      <xdr:row>33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FB7CADD-AB3C-4ACD-592E-64719085D478}"/>
            </a:ext>
          </a:extLst>
        </xdr:cNvPr>
        <xdr:cNvSpPr/>
      </xdr:nvSpPr>
      <xdr:spPr>
        <a:xfrm>
          <a:off x="7104529" y="7664824"/>
          <a:ext cx="414618" cy="291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</xdr:colOff>
      <xdr:row>25</xdr:row>
      <xdr:rowOff>235323</xdr:rowOff>
    </xdr:from>
    <xdr:to>
      <xdr:col>1</xdr:col>
      <xdr:colOff>336176</xdr:colOff>
      <xdr:row>29</xdr:row>
      <xdr:rowOff>145676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495D400-0374-4B7A-B82C-1F4E19FD3466}"/>
            </a:ext>
          </a:extLst>
        </xdr:cNvPr>
        <xdr:cNvSpPr/>
      </xdr:nvSpPr>
      <xdr:spPr>
        <a:xfrm>
          <a:off x="683560" y="6118411"/>
          <a:ext cx="336175" cy="8516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336176</xdr:colOff>
      <xdr:row>27</xdr:row>
      <xdr:rowOff>190500</xdr:rowOff>
    </xdr:from>
    <xdr:to>
      <xdr:col>10</xdr:col>
      <xdr:colOff>268941</xdr:colOff>
      <xdr:row>33</xdr:row>
      <xdr:rowOff>44824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1781DC-4873-8817-0E73-5B00EB04B004}"/>
            </a:ext>
          </a:extLst>
        </xdr:cNvPr>
        <xdr:cNvCxnSpPr>
          <a:stCxn id="7" idx="1"/>
          <a:endCxn id="8" idx="3"/>
        </xdr:cNvCxnSpPr>
      </xdr:nvCxnSpPr>
      <xdr:spPr>
        <a:xfrm flipH="1" flipV="1">
          <a:off x="1019735" y="6544235"/>
          <a:ext cx="6084794" cy="12662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280148</xdr:colOff>
      <xdr:row>2</xdr:row>
      <xdr:rowOff>33618</xdr:rowOff>
    </xdr:from>
    <xdr:to>
      <xdr:col>3</xdr:col>
      <xdr:colOff>616323</xdr:colOff>
      <xdr:row>3</xdr:row>
      <xdr:rowOff>78442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B29A3B-DE26-47DF-A415-7E5C02C7B6D4}"/>
            </a:ext>
          </a:extLst>
        </xdr:cNvPr>
        <xdr:cNvSpPr/>
      </xdr:nvSpPr>
      <xdr:spPr>
        <a:xfrm>
          <a:off x="2330824" y="504265"/>
          <a:ext cx="336175" cy="28014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18</xdr:col>
      <xdr:colOff>571500</xdr:colOff>
      <xdr:row>58</xdr:row>
      <xdr:rowOff>139796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7581B3-8CB5-A583-1848-B4D2AE85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8471647"/>
          <a:ext cx="12192000" cy="5316914"/>
        </a:xfrm>
        <a:prstGeom prst="rect">
          <a:avLst/>
        </a:prstGeom>
      </xdr:spPr>
    </xdr:pic>
    <xdr:clientData/>
  </xdr:twoCellAnchor>
  <xdr:twoCellAnchor>
    <xdr:from>
      <xdr:col>9</xdr:col>
      <xdr:colOff>324971</xdr:colOff>
      <xdr:row>48</xdr:row>
      <xdr:rowOff>201705</xdr:rowOff>
    </xdr:from>
    <xdr:to>
      <xdr:col>11</xdr:col>
      <xdr:colOff>336176</xdr:colOff>
      <xdr:row>50</xdr:row>
      <xdr:rowOff>22410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734049-5FB6-4854-B6DA-6AC3DBB62EDB}"/>
            </a:ext>
          </a:extLst>
        </xdr:cNvPr>
        <xdr:cNvSpPr/>
      </xdr:nvSpPr>
      <xdr:spPr>
        <a:xfrm>
          <a:off x="6477000" y="11497234"/>
          <a:ext cx="1378323" cy="291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537884</xdr:colOff>
      <xdr:row>36</xdr:row>
      <xdr:rowOff>112058</xdr:rowOff>
    </xdr:from>
    <xdr:to>
      <xdr:col>17</xdr:col>
      <xdr:colOff>661148</xdr:colOff>
      <xdr:row>45</xdr:row>
      <xdr:rowOff>156881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4A7CABE-3A49-4101-976F-D3143F7292FB}"/>
            </a:ext>
          </a:extLst>
        </xdr:cNvPr>
        <xdr:cNvSpPr/>
      </xdr:nvSpPr>
      <xdr:spPr>
        <a:xfrm>
          <a:off x="7373472" y="8583705"/>
          <a:ext cx="4908176" cy="21627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638736</xdr:colOff>
      <xdr:row>55</xdr:row>
      <xdr:rowOff>100853</xdr:rowOff>
    </xdr:from>
    <xdr:ext cx="2495107" cy="34285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B3EEED-B1DF-02F5-6F80-697693F8C640}"/>
            </a:ext>
          </a:extLst>
        </xdr:cNvPr>
        <xdr:cNvSpPr txBox="1"/>
      </xdr:nvSpPr>
      <xdr:spPr>
        <a:xfrm>
          <a:off x="12259236" y="13043647"/>
          <a:ext cx="249510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>
              <a:solidFill>
                <a:srgbClr val="FF0000"/>
              </a:solidFill>
            </a:rPr>
            <a:t>whole table from B7 to H101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61</xdr:row>
      <xdr:rowOff>0</xdr:rowOff>
    </xdr:from>
    <xdr:to>
      <xdr:col>17</xdr:col>
      <xdr:colOff>237724</xdr:colOff>
      <xdr:row>90</xdr:row>
      <xdr:rowOff>33617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C828F9-270A-4D46-8E12-C364F7179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14354735"/>
          <a:ext cx="11174665" cy="6858000"/>
        </a:xfrm>
        <a:prstGeom prst="rect">
          <a:avLst/>
        </a:prstGeom>
      </xdr:spPr>
    </xdr:pic>
    <xdr:clientData/>
  </xdr:twoCellAnchor>
  <xdr:twoCellAnchor>
    <xdr:from>
      <xdr:col>3</xdr:col>
      <xdr:colOff>369796</xdr:colOff>
      <xdr:row>80</xdr:row>
      <xdr:rowOff>212911</xdr:rowOff>
    </xdr:from>
    <xdr:to>
      <xdr:col>4</xdr:col>
      <xdr:colOff>1</xdr:colOff>
      <xdr:row>82</xdr:row>
      <xdr:rowOff>33616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829BD54-2B24-4F3F-9611-9455B8C04E05}"/>
            </a:ext>
          </a:extLst>
        </xdr:cNvPr>
        <xdr:cNvSpPr/>
      </xdr:nvSpPr>
      <xdr:spPr>
        <a:xfrm>
          <a:off x="2420472" y="19038793"/>
          <a:ext cx="313764" cy="291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369793</xdr:colOff>
      <xdr:row>61</xdr:row>
      <xdr:rowOff>156883</xdr:rowOff>
    </xdr:from>
    <xdr:to>
      <xdr:col>16</xdr:col>
      <xdr:colOff>324969</xdr:colOff>
      <xdr:row>62</xdr:row>
      <xdr:rowOff>212911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2A289FA-A5BB-4B38-805D-D3FA32DAE19C}"/>
            </a:ext>
          </a:extLst>
        </xdr:cNvPr>
        <xdr:cNvSpPr/>
      </xdr:nvSpPr>
      <xdr:spPr>
        <a:xfrm>
          <a:off x="3787587" y="14511618"/>
          <a:ext cx="7474323" cy="291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14</xdr:col>
      <xdr:colOff>257736</xdr:colOff>
      <xdr:row>60</xdr:row>
      <xdr:rowOff>56029</xdr:rowOff>
    </xdr:from>
    <xdr:ext cx="4227889" cy="342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65FD0E6-DC5B-4BD8-8886-5E8A8885FCD4}"/>
            </a:ext>
          </a:extLst>
        </xdr:cNvPr>
        <xdr:cNvSpPr txBox="1"/>
      </xdr:nvSpPr>
      <xdr:spPr>
        <a:xfrm>
          <a:off x="9827560" y="14175441"/>
          <a:ext cx="422788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>
              <a:solidFill>
                <a:srgbClr val="FF0000"/>
              </a:solidFill>
            </a:rPr>
            <a:t>If want t take value from G, start counting 1 from B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313764</xdr:colOff>
      <xdr:row>60</xdr:row>
      <xdr:rowOff>56029</xdr:rowOff>
    </xdr:from>
    <xdr:ext cx="301686" cy="37407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AAEF20F-5583-4A66-A593-961DBEB6C7C4}"/>
            </a:ext>
          </a:extLst>
        </xdr:cNvPr>
        <xdr:cNvSpPr txBox="1"/>
      </xdr:nvSpPr>
      <xdr:spPr>
        <a:xfrm>
          <a:off x="3731558" y="14175441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FF0000"/>
              </a:solidFill>
            </a:rPr>
            <a:t>1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67236</xdr:colOff>
      <xdr:row>60</xdr:row>
      <xdr:rowOff>56029</xdr:rowOff>
    </xdr:from>
    <xdr:ext cx="301686" cy="37407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AC6CA75-14C0-4D4D-A9ED-3AB1C7C804CC}"/>
            </a:ext>
          </a:extLst>
        </xdr:cNvPr>
        <xdr:cNvSpPr txBox="1"/>
      </xdr:nvSpPr>
      <xdr:spPr>
        <a:xfrm>
          <a:off x="4852148" y="14175441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FF0000"/>
              </a:solidFill>
            </a:rPr>
            <a:t>2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414618</xdr:colOff>
      <xdr:row>60</xdr:row>
      <xdr:rowOff>56029</xdr:rowOff>
    </xdr:from>
    <xdr:ext cx="301686" cy="37407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FA5075A-7F2F-4E96-933C-AAA6AD99B090}"/>
            </a:ext>
          </a:extLst>
        </xdr:cNvPr>
        <xdr:cNvSpPr txBox="1"/>
      </xdr:nvSpPr>
      <xdr:spPr>
        <a:xfrm>
          <a:off x="6566647" y="14175441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FF0000"/>
              </a:solidFill>
            </a:rPr>
            <a:t>3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7327</xdr:colOff>
      <xdr:row>60</xdr:row>
      <xdr:rowOff>43961</xdr:rowOff>
    </xdr:from>
    <xdr:ext cx="301686" cy="37407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2E702E5-C2DA-4B6F-8ACC-7A08523DCA07}"/>
            </a:ext>
          </a:extLst>
        </xdr:cNvPr>
        <xdr:cNvSpPr txBox="1"/>
      </xdr:nvSpPr>
      <xdr:spPr>
        <a:xfrm>
          <a:off x="7583365" y="14551269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FF0000"/>
              </a:solidFill>
            </a:rPr>
            <a:t>4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394189</xdr:colOff>
      <xdr:row>60</xdr:row>
      <xdr:rowOff>49823</xdr:rowOff>
    </xdr:from>
    <xdr:ext cx="301686" cy="37407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782C531-DA32-4450-ACFE-EDE4DBB80488}"/>
            </a:ext>
          </a:extLst>
        </xdr:cNvPr>
        <xdr:cNvSpPr txBox="1"/>
      </xdr:nvSpPr>
      <xdr:spPr>
        <a:xfrm>
          <a:off x="7970227" y="14557131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FF0000"/>
              </a:solidFill>
            </a:rPr>
            <a:t>5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7326</xdr:colOff>
      <xdr:row>60</xdr:row>
      <xdr:rowOff>58615</xdr:rowOff>
    </xdr:from>
    <xdr:ext cx="301686" cy="37407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887FE2-F5CC-43FF-A35F-33379BA06458}"/>
            </a:ext>
          </a:extLst>
        </xdr:cNvPr>
        <xdr:cNvSpPr txBox="1"/>
      </xdr:nvSpPr>
      <xdr:spPr>
        <a:xfrm>
          <a:off x="9649557" y="14565923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 b="1">
              <a:solidFill>
                <a:srgbClr val="00B050"/>
              </a:solidFill>
            </a:rPr>
            <a:t>6</a:t>
          </a:r>
          <a:endParaRPr kumimoji="1" lang="ja-JP" altLang="en-US" sz="1800" b="1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92</xdr:row>
      <xdr:rowOff>0</xdr:rowOff>
    </xdr:from>
    <xdr:to>
      <xdr:col>9</xdr:col>
      <xdr:colOff>176893</xdr:colOff>
      <xdr:row>107</xdr:row>
      <xdr:rowOff>126547</xdr:rowOff>
    </xdr:to>
    <xdr:pic>
      <xdr:nvPicPr>
        <xdr:cNvPr id="27" name="Content Placeholder 4">
          <a:extLst>
            <a:ext uri="{FF2B5EF4-FFF2-40B4-BE49-F238E27FC236}">
              <a16:creationId xmlns:a16="http://schemas.microsoft.com/office/drawing/2014/main" id="{6A0AA2C8-9577-8A36-1DC7-1280FD0B64C4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22533429"/>
          <a:ext cx="5619750" cy="3800475"/>
        </a:xfrm>
        <a:prstGeom prst="rect">
          <a:avLst/>
        </a:prstGeom>
      </xdr:spPr>
    </xdr:pic>
    <xdr:clientData/>
  </xdr:twoCellAnchor>
  <xdr:twoCellAnchor>
    <xdr:from>
      <xdr:col>3</xdr:col>
      <xdr:colOff>163288</xdr:colOff>
      <xdr:row>99</xdr:row>
      <xdr:rowOff>140152</xdr:rowOff>
    </xdr:from>
    <xdr:to>
      <xdr:col>4</xdr:col>
      <xdr:colOff>231322</xdr:colOff>
      <xdr:row>100</xdr:row>
      <xdr:rowOff>163286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ACB1A6F-232D-4DE5-805D-7643B00C8514}"/>
            </a:ext>
          </a:extLst>
        </xdr:cNvPr>
        <xdr:cNvSpPr/>
      </xdr:nvSpPr>
      <xdr:spPr>
        <a:xfrm>
          <a:off x="2204359" y="24388081"/>
          <a:ext cx="748392" cy="2680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242528</xdr:colOff>
      <xdr:row>104</xdr:row>
      <xdr:rowOff>128068</xdr:rowOff>
    </xdr:from>
    <xdr:ext cx="2420599" cy="34285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B6411FA-562A-42FB-BE78-AE15E3944D33}"/>
            </a:ext>
          </a:extLst>
        </xdr:cNvPr>
        <xdr:cNvSpPr txBox="1"/>
      </xdr:nvSpPr>
      <xdr:spPr>
        <a:xfrm>
          <a:off x="3660322" y="24601715"/>
          <a:ext cx="242059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>
              <a:solidFill>
                <a:srgbClr val="FF0000"/>
              </a:solidFill>
            </a:rPr>
            <a:t>Verify if the value is</a:t>
          </a:r>
          <a:r>
            <a:rPr kumimoji="1" lang="en-US" altLang="ja-JP" sz="1600" baseline="0">
              <a:solidFill>
                <a:srgbClr val="FF0000"/>
              </a:solidFill>
            </a:rPr>
            <a:t> correct.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612321</xdr:colOff>
      <xdr:row>106</xdr:row>
      <xdr:rowOff>27214</xdr:rowOff>
    </xdr:from>
    <xdr:to>
      <xdr:col>8</xdr:col>
      <xdr:colOff>13607</xdr:colOff>
      <xdr:row>107</xdr:row>
      <xdr:rowOff>81643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B56E21F-9498-4AF1-A785-0CFA22F83CF4}"/>
            </a:ext>
          </a:extLst>
        </xdr:cNvPr>
        <xdr:cNvSpPr/>
      </xdr:nvSpPr>
      <xdr:spPr>
        <a:xfrm>
          <a:off x="4694464" y="25989643"/>
          <a:ext cx="762000" cy="2993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105</xdr:row>
      <xdr:rowOff>0</xdr:rowOff>
    </xdr:from>
    <xdr:to>
      <xdr:col>5</xdr:col>
      <xdr:colOff>258535</xdr:colOff>
      <xdr:row>106</xdr:row>
      <xdr:rowOff>54428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C460301-E52B-4DB8-B2ED-8B3CD425C659}"/>
            </a:ext>
          </a:extLst>
        </xdr:cNvPr>
        <xdr:cNvSpPr/>
      </xdr:nvSpPr>
      <xdr:spPr>
        <a:xfrm>
          <a:off x="680357" y="25717500"/>
          <a:ext cx="2979964" cy="2993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322122</xdr:colOff>
      <xdr:row>129</xdr:row>
      <xdr:rowOff>169435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DD0079D-0865-9DF4-217A-494DD8EE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357" y="26697214"/>
          <a:ext cx="7125694" cy="5068007"/>
        </a:xfrm>
        <a:prstGeom prst="rect">
          <a:avLst/>
        </a:prstGeom>
      </xdr:spPr>
    </xdr:pic>
    <xdr:clientData/>
  </xdr:twoCellAnchor>
  <xdr:twoCellAnchor>
    <xdr:from>
      <xdr:col>3</xdr:col>
      <xdr:colOff>394608</xdr:colOff>
      <xdr:row>119</xdr:row>
      <xdr:rowOff>54429</xdr:rowOff>
    </xdr:from>
    <xdr:to>
      <xdr:col>5</xdr:col>
      <xdr:colOff>353785</xdr:colOff>
      <xdr:row>129</xdr:row>
      <xdr:rowOff>149678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BE2C3B9-AD5A-48AF-AE74-B495FEAC8DAF}"/>
            </a:ext>
          </a:extLst>
        </xdr:cNvPr>
        <xdr:cNvSpPr/>
      </xdr:nvSpPr>
      <xdr:spPr>
        <a:xfrm>
          <a:off x="2435679" y="29200929"/>
          <a:ext cx="1319892" cy="25445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320168</xdr:colOff>
      <xdr:row>119</xdr:row>
      <xdr:rowOff>155282</xdr:rowOff>
    </xdr:from>
    <xdr:ext cx="3060710" cy="34285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7FB17F7-A260-42B6-A1BB-817BA455A9E3}"/>
            </a:ext>
          </a:extLst>
        </xdr:cNvPr>
        <xdr:cNvSpPr txBox="1"/>
      </xdr:nvSpPr>
      <xdr:spPr>
        <a:xfrm>
          <a:off x="7839315" y="28158782"/>
          <a:ext cx="306071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>
              <a:solidFill>
                <a:srgbClr val="FF0000"/>
              </a:solidFill>
            </a:rPr>
            <a:t>Drag</a:t>
          </a:r>
          <a:r>
            <a:rPr kumimoji="1" lang="en-US" altLang="ja-JP" sz="1600" baseline="0">
              <a:solidFill>
                <a:srgbClr val="FF0000"/>
              </a:solidFill>
            </a:rPr>
            <a:t> the value to the end of column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353785</xdr:colOff>
      <xdr:row>120</xdr:row>
      <xdr:rowOff>91384</xdr:rowOff>
    </xdr:from>
    <xdr:to>
      <xdr:col>11</xdr:col>
      <xdr:colOff>320168</xdr:colOff>
      <xdr:row>124</xdr:row>
      <xdr:rowOff>102053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461CC75-D372-4278-843B-ABC07D6771FC}"/>
            </a:ext>
          </a:extLst>
        </xdr:cNvPr>
        <xdr:cNvCxnSpPr>
          <a:stCxn id="35" idx="1"/>
          <a:endCxn id="34" idx="3"/>
        </xdr:cNvCxnSpPr>
      </xdr:nvCxnSpPr>
      <xdr:spPr>
        <a:xfrm flipH="1">
          <a:off x="3771579" y="28330208"/>
          <a:ext cx="4067736" cy="9519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132</xdr:row>
      <xdr:rowOff>0</xdr:rowOff>
    </xdr:from>
    <xdr:to>
      <xdr:col>9</xdr:col>
      <xdr:colOff>133012</xdr:colOff>
      <xdr:row>154</xdr:row>
      <xdr:rowOff>90942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337C779-407E-91ED-4799-D549B59AA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3559" y="31062706"/>
          <a:ext cx="5601482" cy="5268060"/>
        </a:xfrm>
        <a:prstGeom prst="rect">
          <a:avLst/>
        </a:prstGeom>
      </xdr:spPr>
    </xdr:pic>
    <xdr:clientData/>
  </xdr:twoCellAnchor>
  <xdr:oneCellAnchor>
    <xdr:from>
      <xdr:col>9</xdr:col>
      <xdr:colOff>168088</xdr:colOff>
      <xdr:row>143</xdr:row>
      <xdr:rowOff>190500</xdr:rowOff>
    </xdr:from>
    <xdr:ext cx="4756559" cy="34285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C681A9A-0EAD-4DD9-B1B7-22C2E3BF61BD}"/>
            </a:ext>
          </a:extLst>
        </xdr:cNvPr>
        <xdr:cNvSpPr txBox="1"/>
      </xdr:nvSpPr>
      <xdr:spPr>
        <a:xfrm>
          <a:off x="6320117" y="33841765"/>
          <a:ext cx="475655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>
              <a:solidFill>
                <a:srgbClr val="FF0000"/>
              </a:solidFill>
            </a:rPr>
            <a:t>Copy and paste the values as Text to remove the</a:t>
          </a:r>
          <a:r>
            <a:rPr kumimoji="1" lang="en-US" altLang="ja-JP" sz="1600" baseline="0">
              <a:solidFill>
                <a:srgbClr val="FF0000"/>
              </a:solidFill>
            </a:rPr>
            <a:t> formula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179294</xdr:colOff>
      <xdr:row>142</xdr:row>
      <xdr:rowOff>201705</xdr:rowOff>
    </xdr:from>
    <xdr:to>
      <xdr:col>6</xdr:col>
      <xdr:colOff>78441</xdr:colOff>
      <xdr:row>153</xdr:row>
      <xdr:rowOff>224117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36CA89D-5914-4B24-BD4E-C30A055DAD55}"/>
            </a:ext>
          </a:extLst>
        </xdr:cNvPr>
        <xdr:cNvSpPr/>
      </xdr:nvSpPr>
      <xdr:spPr>
        <a:xfrm>
          <a:off x="862853" y="33617646"/>
          <a:ext cx="3316941" cy="26109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470647</xdr:colOff>
      <xdr:row>132</xdr:row>
      <xdr:rowOff>67235</xdr:rowOff>
    </xdr:from>
    <xdr:to>
      <xdr:col>9</xdr:col>
      <xdr:colOff>89647</xdr:colOff>
      <xdr:row>133</xdr:row>
      <xdr:rowOff>145677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F3A55349-A8B8-4293-97B0-71C21CBC9002}"/>
            </a:ext>
          </a:extLst>
        </xdr:cNvPr>
        <xdr:cNvSpPr/>
      </xdr:nvSpPr>
      <xdr:spPr>
        <a:xfrm>
          <a:off x="1154206" y="31129941"/>
          <a:ext cx="5087470" cy="3137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17E5-D491-4C2A-81EB-7A0B72B8F9F7}">
  <dimension ref="A1:K101"/>
  <sheetViews>
    <sheetView showGridLines="0" tabSelected="1" zoomScale="85" zoomScaleNormal="85" workbookViewId="0">
      <selection activeCell="H7" sqref="H7"/>
    </sheetView>
  </sheetViews>
  <sheetFormatPr defaultRowHeight="18.75" x14ac:dyDescent="0.4"/>
  <cols>
    <col min="1" max="1" width="3.625" customWidth="1"/>
    <col min="2" max="2" width="3.25" customWidth="1"/>
    <col min="3" max="3" width="32.25" customWidth="1"/>
    <col min="4" max="4" width="24.25" bestFit="1" customWidth="1"/>
    <col min="5" max="6" width="6.25" customWidth="1"/>
    <col min="7" max="7" width="48.625" style="11" bestFit="1" customWidth="1"/>
    <col min="8" max="8" width="43.875" customWidth="1"/>
  </cols>
  <sheetData>
    <row r="1" spans="1:11" s="1" customFormat="1" ht="24" x14ac:dyDescent="0.4">
      <c r="A1" s="1" t="s">
        <v>0</v>
      </c>
      <c r="G1" s="10"/>
    </row>
    <row r="2" spans="1:11" x14ac:dyDescent="0.4">
      <c r="G2"/>
    </row>
    <row r="3" spans="1:11" x14ac:dyDescent="0.4">
      <c r="A3" t="s">
        <v>1</v>
      </c>
      <c r="G3"/>
    </row>
    <row r="4" spans="1:11" x14ac:dyDescent="0.4">
      <c r="A4" s="2" t="s">
        <v>2</v>
      </c>
      <c r="B4" t="s">
        <v>3</v>
      </c>
      <c r="G4" s="12" t="s">
        <v>200</v>
      </c>
      <c r="H4" s="12" t="s">
        <v>200</v>
      </c>
    </row>
    <row r="5" spans="1:11" x14ac:dyDescent="0.4">
      <c r="B5" s="3"/>
      <c r="C5" s="4"/>
      <c r="D5" s="4"/>
      <c r="E5" s="4"/>
      <c r="F5" s="3" t="s">
        <v>197</v>
      </c>
      <c r="G5" s="13" t="s">
        <v>199</v>
      </c>
      <c r="H5" s="13" t="s">
        <v>201</v>
      </c>
    </row>
    <row r="6" spans="1:11" x14ac:dyDescent="0.4">
      <c r="B6" s="5" t="s">
        <v>7</v>
      </c>
      <c r="C6" s="5" t="s">
        <v>4</v>
      </c>
      <c r="D6" s="5" t="s">
        <v>5</v>
      </c>
      <c r="E6" s="5" t="s">
        <v>6</v>
      </c>
      <c r="F6" s="5" t="s">
        <v>198</v>
      </c>
      <c r="G6" s="14"/>
      <c r="H6" s="14"/>
      <c r="J6" s="19"/>
      <c r="K6" t="s">
        <v>203</v>
      </c>
    </row>
    <row r="7" spans="1:11" ht="49.5" x14ac:dyDescent="0.4">
      <c r="B7" s="6">
        <f>ROW()-6</f>
        <v>1</v>
      </c>
      <c r="C7" s="6" t="s">
        <v>8</v>
      </c>
      <c r="D7" s="6" t="s">
        <v>9</v>
      </c>
      <c r="E7" s="7">
        <v>10</v>
      </c>
      <c r="F7" s="16">
        <v>1</v>
      </c>
      <c r="G7" s="15" t="str">
        <f>C7&amp;"("&amp;F7&amp;"バイト目から"&amp;E7&amp;"バイト)
/"&amp;D7&amp;"("&amp;E7&amp;" bytes from the "&amp;F7&amp;"st byte)"</f>
        <v>送信シーケンスNO(1バイト目から10バイト)
/SND_SEQ_NO(10 bytes from the 1st byte)</v>
      </c>
      <c r="H7" s="15" t="str">
        <f>"[EDI送信DB_発注." &amp; C7 &amp; "]であること。
/[J_EDI_SND_DB_HAC." &amp; D7 &amp; "]."</f>
        <v>[EDI送信DB_発注.送信シーケンスNO]であること。
/[J_EDI_SND_DB_HAC.SND_SEQ_NO].</v>
      </c>
    </row>
    <row r="8" spans="1:11" ht="49.5" x14ac:dyDescent="0.4">
      <c r="B8" s="6">
        <f t="shared" ref="B8:B71" si="0">ROW()-6</f>
        <v>2</v>
      </c>
      <c r="C8" s="8" t="s">
        <v>10</v>
      </c>
      <c r="D8" s="8" t="s">
        <v>11</v>
      </c>
      <c r="E8" s="7">
        <v>6</v>
      </c>
      <c r="F8" s="16">
        <f>E7+F7</f>
        <v>11</v>
      </c>
      <c r="G8" s="15" t="str">
        <f t="shared" ref="G8:G71" si="1">C8&amp;"("&amp;F8&amp;"バイト目から"&amp;E8&amp;"バイト)
/"&amp;D8&amp;"("&amp;E8&amp;" bytes from the "&amp;F8&amp;"th byte)"</f>
        <v>データ交換ID(11バイト目から6バイト)
/DATA_KOKAN_ID(6 bytes from the 11th byte)</v>
      </c>
      <c r="H8" s="15" t="str">
        <f t="shared" ref="H8:H71" si="2">"[EDI送信DB_発注." &amp; C8 &amp; "]であること。
/[J_EDI_SND_DB_HAC." &amp; D8 &amp; "]."</f>
        <v>[EDI送信DB_発注.データ交換ID]であること。
/[J_EDI_SND_DB_HAC.DATA_KOKAN_ID].</v>
      </c>
    </row>
    <row r="9" spans="1:11" ht="49.5" x14ac:dyDescent="0.4">
      <c r="B9" s="6">
        <f t="shared" si="0"/>
        <v>3</v>
      </c>
      <c r="C9" s="8" t="s">
        <v>12</v>
      </c>
      <c r="D9" s="8" t="s">
        <v>13</v>
      </c>
      <c r="E9" s="7">
        <v>5</v>
      </c>
      <c r="F9" s="16">
        <f t="shared" ref="F9:F72" si="3">E8+F8</f>
        <v>17</v>
      </c>
      <c r="G9" s="15" t="str">
        <f t="shared" si="1"/>
        <v>仕入先組織コード(17バイト目から5バイト)
/SUP_SOSHIKI_CD(5 bytes from the 17th byte)</v>
      </c>
      <c r="H9" s="15" t="str">
        <f t="shared" si="2"/>
        <v>[EDI送信DB_発注.仕入先組織コード]であること。
/[J_EDI_SND_DB_HAC.SUP_SOSHIKI_CD].</v>
      </c>
    </row>
    <row r="10" spans="1:11" ht="49.5" x14ac:dyDescent="0.4">
      <c r="B10" s="6">
        <f t="shared" si="0"/>
        <v>4</v>
      </c>
      <c r="C10" s="8" t="s">
        <v>14</v>
      </c>
      <c r="D10" s="8" t="s">
        <v>15</v>
      </c>
      <c r="E10" s="7">
        <v>5</v>
      </c>
      <c r="F10" s="16">
        <f t="shared" si="3"/>
        <v>22</v>
      </c>
      <c r="G10" s="15" t="str">
        <f t="shared" si="1"/>
        <v>発注入力担当者コード(22バイト目から5バイト)
/HAC_INP_TANTO_CD(5 bytes from the 22th byte)</v>
      </c>
      <c r="H10" s="15" t="str">
        <f t="shared" si="2"/>
        <v>[EDI送信DB_発注.発注入力担当者コード]であること。
/[J_EDI_SND_DB_HAC.HAC_INP_TANTO_CD].</v>
      </c>
    </row>
    <row r="11" spans="1:11" ht="49.5" x14ac:dyDescent="0.4">
      <c r="B11" s="6">
        <f t="shared" si="0"/>
        <v>5</v>
      </c>
      <c r="C11" s="8" t="s">
        <v>16</v>
      </c>
      <c r="D11" s="8" t="s">
        <v>17</v>
      </c>
      <c r="E11" s="7">
        <v>15</v>
      </c>
      <c r="F11" s="16">
        <f t="shared" si="3"/>
        <v>27</v>
      </c>
      <c r="G11" s="15" t="str">
        <f t="shared" si="1"/>
        <v>発注担当者FAX番号(27バイト目から15バイト)
/HAC_TANTO_FAX(15 bytes from the 27th byte)</v>
      </c>
      <c r="H11" s="15" t="str">
        <f t="shared" si="2"/>
        <v>[EDI送信DB_発注.発注担当者FAX番号]であること。
/[J_EDI_SND_DB_HAC.HAC_TANTO_FAX].</v>
      </c>
    </row>
    <row r="12" spans="1:11" ht="49.5" x14ac:dyDescent="0.4">
      <c r="B12" s="6">
        <f t="shared" si="0"/>
        <v>6</v>
      </c>
      <c r="C12" s="8" t="s">
        <v>18</v>
      </c>
      <c r="D12" s="8" t="s">
        <v>19</v>
      </c>
      <c r="E12" s="7">
        <v>1</v>
      </c>
      <c r="F12" s="16">
        <f t="shared" si="3"/>
        <v>42</v>
      </c>
      <c r="G12" s="15" t="str">
        <f t="shared" si="1"/>
        <v>発注処理種別(42バイト目から1バイト)
/HAC_FUNC_SBT(1 bytes from the 42th byte)</v>
      </c>
      <c r="H12" s="15" t="str">
        <f t="shared" si="2"/>
        <v>[EDI送信DB_発注.発注処理種別]であること。
/[J_EDI_SND_DB_HAC.HAC_FUNC_SBT].</v>
      </c>
    </row>
    <row r="13" spans="1:11" ht="49.5" x14ac:dyDescent="0.4">
      <c r="B13" s="6">
        <f t="shared" si="0"/>
        <v>7</v>
      </c>
      <c r="C13" s="8" t="s">
        <v>20</v>
      </c>
      <c r="D13" s="8" t="s">
        <v>21</v>
      </c>
      <c r="E13" s="7">
        <v>15</v>
      </c>
      <c r="F13" s="16">
        <f t="shared" si="3"/>
        <v>43</v>
      </c>
      <c r="G13" s="15" t="str">
        <f t="shared" si="1"/>
        <v>EDI_取引条件番号(43バイト目から15バイト)
/EDI_TRHK_JKN_NO(15 bytes from the 43th byte)</v>
      </c>
      <c r="H13" s="15" t="str">
        <f t="shared" si="2"/>
        <v>[EDI送信DB_発注.EDI_取引条件番号]であること。
/[J_EDI_SND_DB_HAC.EDI_TRHK_JKN_NO].</v>
      </c>
    </row>
    <row r="14" spans="1:11" ht="49.5" x14ac:dyDescent="0.4">
      <c r="B14" s="6">
        <f t="shared" si="0"/>
        <v>8</v>
      </c>
      <c r="C14" s="8" t="s">
        <v>22</v>
      </c>
      <c r="D14" s="8" t="s">
        <v>23</v>
      </c>
      <c r="E14" s="7">
        <v>10</v>
      </c>
      <c r="F14" s="16">
        <f t="shared" si="3"/>
        <v>58</v>
      </c>
      <c r="G14" s="15" t="str">
        <f t="shared" si="1"/>
        <v>EDI_契約番号(58バイト目から10バイト)
/EDI_KEIYAKU_NO(10 bytes from the 58th byte)</v>
      </c>
      <c r="H14" s="15" t="str">
        <f t="shared" si="2"/>
        <v>[EDI送信DB_発注.EDI_契約番号]であること。
/[J_EDI_SND_DB_HAC.EDI_KEIYAKU_NO].</v>
      </c>
    </row>
    <row r="15" spans="1:11" ht="49.5" x14ac:dyDescent="0.4">
      <c r="B15" s="6">
        <f t="shared" si="0"/>
        <v>9</v>
      </c>
      <c r="C15" s="8" t="s">
        <v>24</v>
      </c>
      <c r="D15" s="8" t="s">
        <v>25</v>
      </c>
      <c r="E15" s="7">
        <v>8</v>
      </c>
      <c r="F15" s="16">
        <f t="shared" si="3"/>
        <v>68</v>
      </c>
      <c r="G15" s="15" t="str">
        <f t="shared" si="1"/>
        <v>EDI_適用開始年月日(68バイト目から8バイト)
/EDI_TEKIYO_START_YMD(8 bytes from the 68th byte)</v>
      </c>
      <c r="H15" s="15" t="str">
        <f t="shared" si="2"/>
        <v>[EDI送信DB_発注.EDI_適用開始年月日]であること。
/[J_EDI_SND_DB_HAC.EDI_TEKIYO_START_YMD].</v>
      </c>
    </row>
    <row r="16" spans="1:11" ht="49.5" x14ac:dyDescent="0.4">
      <c r="B16" s="6">
        <f t="shared" si="0"/>
        <v>10</v>
      </c>
      <c r="C16" s="8" t="s">
        <v>26</v>
      </c>
      <c r="D16" s="8" t="s">
        <v>27</v>
      </c>
      <c r="E16" s="7">
        <v>1</v>
      </c>
      <c r="F16" s="16">
        <f t="shared" si="3"/>
        <v>76</v>
      </c>
      <c r="G16" s="15" t="str">
        <f t="shared" si="1"/>
        <v>EDI_メーカ取引区分(76バイト目から1バイト)
/EDI_MK_TORIHIKI_KBN(1 bytes from the 76th byte)</v>
      </c>
      <c r="H16" s="15" t="str">
        <f t="shared" si="2"/>
        <v>[EDI送信DB_発注.EDI_メーカ取引区分]であること。
/[J_EDI_SND_DB_HAC.EDI_MK_TORIHIKI_KBN].</v>
      </c>
    </row>
    <row r="17" spans="2:8" ht="49.5" x14ac:dyDescent="0.4">
      <c r="B17" s="6">
        <f t="shared" si="0"/>
        <v>11</v>
      </c>
      <c r="C17" s="8" t="s">
        <v>28</v>
      </c>
      <c r="D17" s="8" t="s">
        <v>29</v>
      </c>
      <c r="E17" s="7">
        <v>12</v>
      </c>
      <c r="F17" s="16">
        <f t="shared" si="3"/>
        <v>77</v>
      </c>
      <c r="G17" s="15" t="str">
        <f t="shared" si="1"/>
        <v>EDI_メーカ発注者コード（送信用）(77バイト目から12バイト)
/EDI_MK_HACSHA_CD_SND(12 bytes from the 77th byte)</v>
      </c>
      <c r="H17" s="15" t="str">
        <f t="shared" si="2"/>
        <v>[EDI送信DB_発注.EDI_メーカ発注者コード（送信用）]であること。
/[J_EDI_SND_DB_HAC.EDI_MK_HACSHA_CD_SND].</v>
      </c>
    </row>
    <row r="18" spans="2:8" ht="49.5" x14ac:dyDescent="0.4">
      <c r="B18" s="6">
        <f t="shared" si="0"/>
        <v>12</v>
      </c>
      <c r="C18" s="8" t="s">
        <v>30</v>
      </c>
      <c r="D18" s="8" t="s">
        <v>31</v>
      </c>
      <c r="E18" s="7">
        <v>12</v>
      </c>
      <c r="F18" s="16">
        <f t="shared" si="3"/>
        <v>89</v>
      </c>
      <c r="G18" s="15" t="str">
        <f t="shared" si="1"/>
        <v>EDI_メーカ受注者コード（送信用）(89バイト目から12バイト)
/EDI_MK_JUC_CD_SND(12 bytes from the 89th byte)</v>
      </c>
      <c r="H18" s="15" t="str">
        <f t="shared" si="2"/>
        <v>[EDI送信DB_発注.EDI_メーカ受注者コード（送信用）]であること。
/[J_EDI_SND_DB_HAC.EDI_MK_JUC_CD_SND].</v>
      </c>
    </row>
    <row r="19" spans="2:8" ht="49.5" x14ac:dyDescent="0.4">
      <c r="B19" s="6">
        <f t="shared" si="0"/>
        <v>13</v>
      </c>
      <c r="C19" s="8" t="s">
        <v>32</v>
      </c>
      <c r="D19" s="8" t="s">
        <v>33</v>
      </c>
      <c r="E19" s="7">
        <v>12</v>
      </c>
      <c r="F19" s="16">
        <f t="shared" si="3"/>
        <v>101</v>
      </c>
      <c r="G19" s="15" t="str">
        <f t="shared" si="1"/>
        <v>EDI_メーカ支払者コード（送信用）(101バイト目から12バイト)
/EDI_MK_PAY_CD_SND(12 bytes from the 101th byte)</v>
      </c>
      <c r="H19" s="15" t="str">
        <f t="shared" si="2"/>
        <v>[EDI送信DB_発注.EDI_メーカ支払者コード（送信用）]であること。
/[J_EDI_SND_DB_HAC.EDI_MK_PAY_CD_SND].</v>
      </c>
    </row>
    <row r="20" spans="2:8" ht="49.5" x14ac:dyDescent="0.4">
      <c r="B20" s="6">
        <f t="shared" si="0"/>
        <v>14</v>
      </c>
      <c r="C20" s="8" t="s">
        <v>34</v>
      </c>
      <c r="D20" s="8" t="s">
        <v>35</v>
      </c>
      <c r="E20" s="7">
        <v>30</v>
      </c>
      <c r="F20" s="16">
        <f t="shared" si="3"/>
        <v>113</v>
      </c>
      <c r="G20" s="15" t="str">
        <f t="shared" si="1"/>
        <v>EDI_メーカ組織コード(113バイト目から30バイト)
/EDI_MK_SOSHIKI_CD(30 bytes from the 113th byte)</v>
      </c>
      <c r="H20" s="15" t="str">
        <f t="shared" si="2"/>
        <v>[EDI送信DB_発注.EDI_メーカ組織コード]であること。
/[J_EDI_SND_DB_HAC.EDI_MK_SOSHIKI_CD].</v>
      </c>
    </row>
    <row r="21" spans="2:8" ht="49.5" x14ac:dyDescent="0.4">
      <c r="B21" s="6">
        <f t="shared" si="0"/>
        <v>15</v>
      </c>
      <c r="C21" s="8" t="s">
        <v>36</v>
      </c>
      <c r="D21" s="8" t="s">
        <v>37</v>
      </c>
      <c r="E21" s="7">
        <v>8</v>
      </c>
      <c r="F21" s="16">
        <f t="shared" si="3"/>
        <v>143</v>
      </c>
      <c r="G21" s="15" t="str">
        <f t="shared" si="1"/>
        <v>発注番号(143バイト目から8バイト)
/HAC_NO(8 bytes from the 143th byte)</v>
      </c>
      <c r="H21" s="15" t="str">
        <f t="shared" si="2"/>
        <v>[EDI送信DB_発注.発注番号]であること。
/[J_EDI_SND_DB_HAC.HAC_NO].</v>
      </c>
    </row>
    <row r="22" spans="2:8" ht="49.5" x14ac:dyDescent="0.4">
      <c r="B22" s="6">
        <f t="shared" si="0"/>
        <v>16</v>
      </c>
      <c r="C22" s="8" t="s">
        <v>38</v>
      </c>
      <c r="D22" s="8" t="s">
        <v>39</v>
      </c>
      <c r="E22" s="7">
        <v>2</v>
      </c>
      <c r="F22" s="16">
        <f t="shared" si="3"/>
        <v>151</v>
      </c>
      <c r="G22" s="15" t="str">
        <f t="shared" si="1"/>
        <v>発注行番号(151バイト目から2バイト)
/HAC_GYO_NO(2 bytes from the 151th byte)</v>
      </c>
      <c r="H22" s="15" t="str">
        <f t="shared" si="2"/>
        <v>[EDI送信DB_発注.発注行番号]であること。
/[J_EDI_SND_DB_HAC.HAC_GYO_NO].</v>
      </c>
    </row>
    <row r="23" spans="2:8" ht="49.5" x14ac:dyDescent="0.4">
      <c r="B23" s="6">
        <f t="shared" si="0"/>
        <v>17</v>
      </c>
      <c r="C23" s="8" t="s">
        <v>40</v>
      </c>
      <c r="D23" s="8" t="s">
        <v>41</v>
      </c>
      <c r="E23" s="7">
        <v>20</v>
      </c>
      <c r="F23" s="16">
        <f t="shared" si="3"/>
        <v>153</v>
      </c>
      <c r="G23" s="15" t="str">
        <f t="shared" si="1"/>
        <v>EDI_メーカ受注番号(153バイト目から20バイト)
/EDI_MK_JUC_NO(20 bytes from the 153th byte)</v>
      </c>
      <c r="H23" s="15" t="str">
        <f t="shared" si="2"/>
        <v>[EDI送信DB_発注.EDI_メーカ受注番号]であること。
/[J_EDI_SND_DB_HAC.EDI_MK_JUC_NO].</v>
      </c>
    </row>
    <row r="24" spans="2:8" ht="49.5" x14ac:dyDescent="0.4">
      <c r="B24" s="6">
        <f t="shared" si="0"/>
        <v>18</v>
      </c>
      <c r="C24" s="8" t="s">
        <v>42</v>
      </c>
      <c r="D24" s="8" t="s">
        <v>43</v>
      </c>
      <c r="E24" s="7">
        <v>23</v>
      </c>
      <c r="F24" s="16">
        <f t="shared" si="3"/>
        <v>173</v>
      </c>
      <c r="G24" s="15" t="str">
        <f t="shared" si="1"/>
        <v>EDI_販売先注文番号(173バイト目から23バイト)
/EDI_HAN_CHUMON_NO(23 bytes from the 173th byte)</v>
      </c>
      <c r="H24" s="15" t="str">
        <f t="shared" si="2"/>
        <v>[EDI送信DB_発注.EDI_販売先注文番号]であること。
/[J_EDI_SND_DB_HAC.EDI_HAN_CHUMON_NO].</v>
      </c>
    </row>
    <row r="25" spans="2:8" ht="49.5" x14ac:dyDescent="0.4">
      <c r="B25" s="6">
        <f t="shared" si="0"/>
        <v>19</v>
      </c>
      <c r="C25" s="8" t="s">
        <v>44</v>
      </c>
      <c r="D25" s="8" t="s">
        <v>45</v>
      </c>
      <c r="E25" s="7">
        <v>3</v>
      </c>
      <c r="F25" s="16">
        <f t="shared" si="3"/>
        <v>196</v>
      </c>
      <c r="G25" s="15" t="str">
        <f t="shared" si="1"/>
        <v>EDI_メーカ扱店コード(196バイト目から3バイト)
/EDI_MK_ATUKAITEN_CD(3 bytes from the 196th byte)</v>
      </c>
      <c r="H25" s="15" t="str">
        <f t="shared" si="2"/>
        <v>[EDI送信DB_発注.EDI_メーカ扱店コード]であること。
/[J_EDI_SND_DB_HAC.EDI_MK_ATUKAITEN_CD].</v>
      </c>
    </row>
    <row r="26" spans="2:8" ht="49.5" x14ac:dyDescent="0.4">
      <c r="B26" s="6">
        <f t="shared" si="0"/>
        <v>20</v>
      </c>
      <c r="C26" s="8" t="s">
        <v>46</v>
      </c>
      <c r="D26" s="8" t="s">
        <v>47</v>
      </c>
      <c r="E26" s="7">
        <v>15</v>
      </c>
      <c r="F26" s="16">
        <f t="shared" si="3"/>
        <v>199</v>
      </c>
      <c r="G26" s="15" t="str">
        <f t="shared" si="1"/>
        <v>EDI_メーカ需要家コード（送信用）(199バイト目から15バイト)
/EDI_MK_JUYOKA_CD_SND(15 bytes from the 199th byte)</v>
      </c>
      <c r="H26" s="15" t="str">
        <f t="shared" si="2"/>
        <v>[EDI送信DB_発注.EDI_メーカ需要家コード（送信用）]であること。
/[J_EDI_SND_DB_HAC.EDI_MK_JUYOKA_CD_SND].</v>
      </c>
    </row>
    <row r="27" spans="2:8" ht="49.5" x14ac:dyDescent="0.4">
      <c r="B27" s="6">
        <f t="shared" si="0"/>
        <v>21</v>
      </c>
      <c r="C27" s="8" t="s">
        <v>48</v>
      </c>
      <c r="D27" s="8" t="s">
        <v>49</v>
      </c>
      <c r="E27" s="7">
        <v>15</v>
      </c>
      <c r="F27" s="16">
        <f t="shared" si="3"/>
        <v>214</v>
      </c>
      <c r="G27" s="15" t="str">
        <f t="shared" si="1"/>
        <v>EDI_メーカ需要家コード(214バイト目から15バイト)
/EDI_MK_JUYOKA_CD(15 bytes from the 214th byte)</v>
      </c>
      <c r="H27" s="15" t="str">
        <f t="shared" si="2"/>
        <v>[EDI送信DB_発注.EDI_メーカ需要家コード]であること。
/[J_EDI_SND_DB_HAC.EDI_MK_JUYOKA_CD].</v>
      </c>
    </row>
    <row r="28" spans="2:8" ht="49.5" x14ac:dyDescent="0.4">
      <c r="B28" s="6">
        <f t="shared" si="0"/>
        <v>22</v>
      </c>
      <c r="C28" s="8" t="s">
        <v>50</v>
      </c>
      <c r="D28" s="8" t="s">
        <v>51</v>
      </c>
      <c r="E28" s="7">
        <v>40</v>
      </c>
      <c r="F28" s="16">
        <f t="shared" si="3"/>
        <v>229</v>
      </c>
      <c r="G28" s="15" t="str">
        <f t="shared" si="1"/>
        <v>EDI_メーカ需要家名(カナ)(229バイト目から40バイト)
/EDI_MK_JUYOKA_NMK(40 bytes from the 229th byte)</v>
      </c>
      <c r="H28" s="15" t="str">
        <f t="shared" si="2"/>
        <v>[EDI送信DB_発注.EDI_メーカ需要家名(カナ)]であること。
/[J_EDI_SND_DB_HAC.EDI_MK_JUYOKA_NMK].</v>
      </c>
    </row>
    <row r="29" spans="2:8" ht="49.5" x14ac:dyDescent="0.4">
      <c r="B29" s="6">
        <f t="shared" si="0"/>
        <v>23</v>
      </c>
      <c r="C29" s="8" t="s">
        <v>52</v>
      </c>
      <c r="D29" s="8" t="s">
        <v>53</v>
      </c>
      <c r="E29" s="7">
        <v>40</v>
      </c>
      <c r="F29" s="16">
        <f t="shared" si="3"/>
        <v>269</v>
      </c>
      <c r="G29" s="15" t="str">
        <f t="shared" si="1"/>
        <v>EDI_メーカ需要家名(漢字)(269バイト目から40バイト)
/EDI_MK_JUYOKA_NM(40 bytes from the 269th byte)</v>
      </c>
      <c r="H29" s="15" t="str">
        <f t="shared" si="2"/>
        <v>[EDI送信DB_発注.EDI_メーカ需要家名(漢字)]であること。
/[J_EDI_SND_DB_HAC.EDI_MK_JUYOKA_NM].</v>
      </c>
    </row>
    <row r="30" spans="2:8" ht="49.5" x14ac:dyDescent="0.4">
      <c r="B30" s="6">
        <f t="shared" si="0"/>
        <v>24</v>
      </c>
      <c r="C30" s="8" t="s">
        <v>54</v>
      </c>
      <c r="D30" s="8" t="s">
        <v>55</v>
      </c>
      <c r="E30" s="7">
        <v>34</v>
      </c>
      <c r="F30" s="16">
        <f t="shared" si="3"/>
        <v>309</v>
      </c>
      <c r="G30" s="15" t="str">
        <f t="shared" si="1"/>
        <v>EDI_メーカ需要家支店名(漢字)(309バイト目から34バイト)
/EDI_MK_JUYOKA_SHITEN_NM(34 bytes from the 309th byte)</v>
      </c>
      <c r="H30" s="15" t="str">
        <f t="shared" si="2"/>
        <v>[EDI送信DB_発注.EDI_メーカ需要家支店名(漢字)]であること。
/[J_EDI_SND_DB_HAC.EDI_MK_JUYOKA_SHITEN_NM].</v>
      </c>
    </row>
    <row r="31" spans="2:8" ht="49.5" x14ac:dyDescent="0.4">
      <c r="B31" s="6">
        <f t="shared" si="0"/>
        <v>25</v>
      </c>
      <c r="C31" s="8" t="s">
        <v>56</v>
      </c>
      <c r="D31" s="8" t="s">
        <v>57</v>
      </c>
      <c r="E31" s="7">
        <v>15</v>
      </c>
      <c r="F31" s="16">
        <f t="shared" si="3"/>
        <v>343</v>
      </c>
      <c r="G31" s="15" t="str">
        <f t="shared" si="1"/>
        <v>EDI_メーカ２次店コード（送信用）(343バイト目から15バイト)
/EDI_MK_NIJITEN_CD_SND(15 bytes from the 343th byte)</v>
      </c>
      <c r="H31" s="15" t="str">
        <f t="shared" si="2"/>
        <v>[EDI送信DB_発注.EDI_メーカ２次店コード（送信用）]であること。
/[J_EDI_SND_DB_HAC.EDI_MK_NIJITEN_CD_SND].</v>
      </c>
    </row>
    <row r="32" spans="2:8" ht="49.5" x14ac:dyDescent="0.4">
      <c r="B32" s="6">
        <f t="shared" si="0"/>
        <v>26</v>
      </c>
      <c r="C32" s="8" t="s">
        <v>58</v>
      </c>
      <c r="D32" s="8" t="s">
        <v>59</v>
      </c>
      <c r="E32" s="7">
        <v>15</v>
      </c>
      <c r="F32" s="16">
        <f t="shared" si="3"/>
        <v>358</v>
      </c>
      <c r="G32" s="15" t="str">
        <f t="shared" si="1"/>
        <v>EDI_メーカ２次店コード(358バイト目から15バイト)
/EDI_MK_NIJITEN_CD(15 bytes from the 358th byte)</v>
      </c>
      <c r="H32" s="15" t="str">
        <f t="shared" si="2"/>
        <v>[EDI送信DB_発注.EDI_メーカ２次店コード]であること。
/[J_EDI_SND_DB_HAC.EDI_MK_NIJITEN_CD].</v>
      </c>
    </row>
    <row r="33" spans="2:8" ht="49.5" x14ac:dyDescent="0.4">
      <c r="B33" s="6">
        <f t="shared" si="0"/>
        <v>27</v>
      </c>
      <c r="C33" s="8" t="s">
        <v>60</v>
      </c>
      <c r="D33" s="8" t="s">
        <v>61</v>
      </c>
      <c r="E33" s="7">
        <v>40</v>
      </c>
      <c r="F33" s="16">
        <f t="shared" si="3"/>
        <v>373</v>
      </c>
      <c r="G33" s="15" t="str">
        <f t="shared" si="1"/>
        <v>EDI_メーカ２次店名(カナ)(373バイト目から40バイト)
/EDI_MK_NIJITEN_NMK(40 bytes from the 373th byte)</v>
      </c>
      <c r="H33" s="15" t="str">
        <f t="shared" si="2"/>
        <v>[EDI送信DB_発注.EDI_メーカ２次店名(カナ)]であること。
/[J_EDI_SND_DB_HAC.EDI_MK_NIJITEN_NMK].</v>
      </c>
    </row>
    <row r="34" spans="2:8" ht="49.5" x14ac:dyDescent="0.4">
      <c r="B34" s="6">
        <f t="shared" si="0"/>
        <v>28</v>
      </c>
      <c r="C34" s="8" t="s">
        <v>62</v>
      </c>
      <c r="D34" s="8" t="s">
        <v>63</v>
      </c>
      <c r="E34" s="7">
        <v>40</v>
      </c>
      <c r="F34" s="16">
        <f t="shared" si="3"/>
        <v>413</v>
      </c>
      <c r="G34" s="15" t="str">
        <f t="shared" si="1"/>
        <v>EDI_メーカ２次店名(漢字)(413バイト目から40バイト)
/EDI_MK_NIJITEN_NM(40 bytes from the 413th byte)</v>
      </c>
      <c r="H34" s="15" t="str">
        <f t="shared" si="2"/>
        <v>[EDI送信DB_発注.EDI_メーカ２次店名(漢字)]であること。
/[J_EDI_SND_DB_HAC.EDI_MK_NIJITEN_NM].</v>
      </c>
    </row>
    <row r="35" spans="2:8" ht="49.5" x14ac:dyDescent="0.4">
      <c r="B35" s="6">
        <f t="shared" si="0"/>
        <v>29</v>
      </c>
      <c r="C35" s="8" t="s">
        <v>64</v>
      </c>
      <c r="D35" s="8" t="s">
        <v>65</v>
      </c>
      <c r="E35" s="7">
        <v>40</v>
      </c>
      <c r="F35" s="16">
        <f t="shared" si="3"/>
        <v>453</v>
      </c>
      <c r="G35" s="15" t="str">
        <f t="shared" si="1"/>
        <v>EDI_メーカ３次店名(漢字)(453バイト目から40バイト)
/EDI_MK_SANJITEN_NM(40 bytes from the 453th byte)</v>
      </c>
      <c r="H35" s="15" t="str">
        <f t="shared" si="2"/>
        <v>[EDI送信DB_発注.EDI_メーカ３次店名(漢字)]であること。
/[J_EDI_SND_DB_HAC.EDI_MK_SANJITEN_NM].</v>
      </c>
    </row>
    <row r="36" spans="2:8" ht="49.5" x14ac:dyDescent="0.4">
      <c r="B36" s="6">
        <f t="shared" si="0"/>
        <v>30</v>
      </c>
      <c r="C36" s="8" t="s">
        <v>66</v>
      </c>
      <c r="D36" s="8" t="s">
        <v>67</v>
      </c>
      <c r="E36" s="7">
        <v>15</v>
      </c>
      <c r="F36" s="16">
        <f t="shared" si="3"/>
        <v>493</v>
      </c>
      <c r="G36" s="15" t="str">
        <f t="shared" si="1"/>
        <v>EDI_メーカ納入先コード（送信用）(493バイト目から15バイト)
/EDI_MK_NNY_CD_SND(15 bytes from the 493th byte)</v>
      </c>
      <c r="H36" s="15" t="str">
        <f t="shared" si="2"/>
        <v>[EDI送信DB_発注.EDI_メーカ納入先コード（送信用）]であること。
/[J_EDI_SND_DB_HAC.EDI_MK_NNY_CD_SND].</v>
      </c>
    </row>
    <row r="37" spans="2:8" ht="49.5" x14ac:dyDescent="0.4">
      <c r="B37" s="6">
        <f t="shared" si="0"/>
        <v>31</v>
      </c>
      <c r="C37" s="8" t="s">
        <v>68</v>
      </c>
      <c r="D37" s="8" t="s">
        <v>69</v>
      </c>
      <c r="E37" s="7">
        <v>15</v>
      </c>
      <c r="F37" s="16">
        <f t="shared" si="3"/>
        <v>508</v>
      </c>
      <c r="G37" s="15" t="str">
        <f t="shared" si="1"/>
        <v>EDI_メーカ納入先コード(508バイト目から15バイト)
/EDI_MK_NNY_CD(15 bytes from the 508th byte)</v>
      </c>
      <c r="H37" s="15" t="str">
        <f t="shared" si="2"/>
        <v>[EDI送信DB_発注.EDI_メーカ納入先コード]であること。
/[J_EDI_SND_DB_HAC.EDI_MK_NNY_CD].</v>
      </c>
    </row>
    <row r="38" spans="2:8" ht="49.5" x14ac:dyDescent="0.4">
      <c r="B38" s="6">
        <f t="shared" si="0"/>
        <v>32</v>
      </c>
      <c r="C38" s="8" t="s">
        <v>70</v>
      </c>
      <c r="D38" s="8" t="s">
        <v>71</v>
      </c>
      <c r="E38" s="7">
        <v>40</v>
      </c>
      <c r="F38" s="16">
        <f t="shared" si="3"/>
        <v>523</v>
      </c>
      <c r="G38" s="15" t="str">
        <f t="shared" si="1"/>
        <v>EDI_メーカ納入先名(カナ)(523バイト目から40バイト)
/EDI_MK_NNY_NMK(40 bytes from the 523th byte)</v>
      </c>
      <c r="H38" s="15" t="str">
        <f t="shared" si="2"/>
        <v>[EDI送信DB_発注.EDI_メーカ納入先名(カナ)]であること。
/[J_EDI_SND_DB_HAC.EDI_MK_NNY_NMK].</v>
      </c>
    </row>
    <row r="39" spans="2:8" ht="49.5" x14ac:dyDescent="0.4">
      <c r="B39" s="6">
        <f t="shared" si="0"/>
        <v>33</v>
      </c>
      <c r="C39" s="8" t="s">
        <v>72</v>
      </c>
      <c r="D39" s="8" t="s">
        <v>73</v>
      </c>
      <c r="E39" s="7">
        <v>50</v>
      </c>
      <c r="F39" s="16">
        <f t="shared" si="3"/>
        <v>563</v>
      </c>
      <c r="G39" s="15" t="str">
        <f t="shared" si="1"/>
        <v>EDI_メーカ納入先名(漢字)(563バイト目から50バイト)
/EDI_MK_NNY_NM(50 bytes from the 563th byte)</v>
      </c>
      <c r="H39" s="15" t="str">
        <f t="shared" si="2"/>
        <v>[EDI送信DB_発注.EDI_メーカ納入先名(漢字)]であること。
/[J_EDI_SND_DB_HAC.EDI_MK_NNY_NM].</v>
      </c>
    </row>
    <row r="40" spans="2:8" ht="49.5" x14ac:dyDescent="0.4">
      <c r="B40" s="6">
        <f t="shared" si="0"/>
        <v>34</v>
      </c>
      <c r="C40" s="8" t="s">
        <v>74</v>
      </c>
      <c r="D40" s="8" t="s">
        <v>75</v>
      </c>
      <c r="E40" s="7">
        <v>100</v>
      </c>
      <c r="F40" s="16">
        <f t="shared" si="3"/>
        <v>613</v>
      </c>
      <c r="G40" s="15" t="str">
        <f t="shared" si="1"/>
        <v>EDI_メーカ納入先住所(カナ)(613バイト目から100バイト)
/EDI_MK_NNY_ADDRK(100 bytes from the 613th byte)</v>
      </c>
      <c r="H40" s="15" t="str">
        <f t="shared" si="2"/>
        <v>[EDI送信DB_発注.EDI_メーカ納入先住所(カナ)]であること。
/[J_EDI_SND_DB_HAC.EDI_MK_NNY_ADDRK].</v>
      </c>
    </row>
    <row r="41" spans="2:8" ht="49.5" x14ac:dyDescent="0.4">
      <c r="B41" s="6">
        <f t="shared" si="0"/>
        <v>35</v>
      </c>
      <c r="C41" s="8" t="s">
        <v>76</v>
      </c>
      <c r="D41" s="8" t="s">
        <v>77</v>
      </c>
      <c r="E41" s="7">
        <v>100</v>
      </c>
      <c r="F41" s="16">
        <f t="shared" si="3"/>
        <v>713</v>
      </c>
      <c r="G41" s="15" t="str">
        <f t="shared" si="1"/>
        <v>EDI_メーカ納入先住所(漢字)(713バイト目から100バイト)
/EDI_MK_NNY_ADDR(100 bytes from the 713th byte)</v>
      </c>
      <c r="H41" s="15" t="str">
        <f t="shared" si="2"/>
        <v>[EDI送信DB_発注.EDI_メーカ納入先住所(漢字)]であること。
/[J_EDI_SND_DB_HAC.EDI_MK_NNY_ADDR].</v>
      </c>
    </row>
    <row r="42" spans="2:8" ht="49.5" x14ac:dyDescent="0.4">
      <c r="B42" s="6">
        <f t="shared" si="0"/>
        <v>36</v>
      </c>
      <c r="C42" s="8" t="s">
        <v>78</v>
      </c>
      <c r="D42" s="8" t="s">
        <v>79</v>
      </c>
      <c r="E42" s="7">
        <v>50</v>
      </c>
      <c r="F42" s="16">
        <f t="shared" si="3"/>
        <v>813</v>
      </c>
      <c r="G42" s="15" t="str">
        <f t="shared" si="1"/>
        <v>EDI_メーカ納入先支社名(漢字)(813バイト目から50バイト)
/EDI_MK_NNY_SHISHA_NM(50 bytes from the 813th byte)</v>
      </c>
      <c r="H42" s="15" t="str">
        <f t="shared" si="2"/>
        <v>[EDI送信DB_発注.EDI_メーカ納入先支社名(漢字)]であること。
/[J_EDI_SND_DB_HAC.EDI_MK_NNY_SHISHA_NM].</v>
      </c>
    </row>
    <row r="43" spans="2:8" ht="49.5" x14ac:dyDescent="0.4">
      <c r="B43" s="6">
        <f t="shared" si="0"/>
        <v>37</v>
      </c>
      <c r="C43" s="8" t="s">
        <v>80</v>
      </c>
      <c r="D43" s="8" t="s">
        <v>81</v>
      </c>
      <c r="E43" s="7">
        <v>8</v>
      </c>
      <c r="F43" s="16">
        <f t="shared" si="3"/>
        <v>863</v>
      </c>
      <c r="G43" s="15" t="str">
        <f t="shared" si="1"/>
        <v>EDI_メーカ納入先都道府県(863バイト目から8バイト)
/EDI_MK_NNY_TODOFUKEN(8 bytes from the 863th byte)</v>
      </c>
      <c r="H43" s="15" t="str">
        <f t="shared" si="2"/>
        <v>[EDI送信DB_発注.EDI_メーカ納入先都道府県]であること。
/[J_EDI_SND_DB_HAC.EDI_MK_NNY_TODOFUKEN].</v>
      </c>
    </row>
    <row r="44" spans="2:8" ht="49.5" x14ac:dyDescent="0.4">
      <c r="B44" s="6">
        <f t="shared" si="0"/>
        <v>38</v>
      </c>
      <c r="C44" s="8" t="s">
        <v>82</v>
      </c>
      <c r="D44" s="8" t="s">
        <v>83</v>
      </c>
      <c r="E44" s="7">
        <v>50</v>
      </c>
      <c r="F44" s="16">
        <f t="shared" si="3"/>
        <v>871</v>
      </c>
      <c r="G44" s="15" t="str">
        <f t="shared" si="1"/>
        <v>EDI_メーカ納入先住所1(871バイト目から50バイト)
/EDI_MK_NNY_ADDR1(50 bytes from the 871th byte)</v>
      </c>
      <c r="H44" s="15" t="str">
        <f t="shared" si="2"/>
        <v>[EDI送信DB_発注.EDI_メーカ納入先住所1]であること。
/[J_EDI_SND_DB_HAC.EDI_MK_NNY_ADDR1].</v>
      </c>
    </row>
    <row r="45" spans="2:8" ht="49.5" x14ac:dyDescent="0.4">
      <c r="B45" s="6">
        <f t="shared" si="0"/>
        <v>39</v>
      </c>
      <c r="C45" s="8" t="s">
        <v>84</v>
      </c>
      <c r="D45" s="8" t="s">
        <v>85</v>
      </c>
      <c r="E45" s="7">
        <v>50</v>
      </c>
      <c r="F45" s="16">
        <f t="shared" si="3"/>
        <v>921</v>
      </c>
      <c r="G45" s="15" t="str">
        <f t="shared" si="1"/>
        <v>EDI_メーカ納入先住所2(921バイト目から50バイト)
/EDI_MK_NNY_ADDR2(50 bytes from the 921th byte)</v>
      </c>
      <c r="H45" s="15" t="str">
        <f t="shared" si="2"/>
        <v>[EDI送信DB_発注.EDI_メーカ納入先住所2]であること。
/[J_EDI_SND_DB_HAC.EDI_MK_NNY_ADDR2].</v>
      </c>
    </row>
    <row r="46" spans="2:8" ht="49.5" x14ac:dyDescent="0.4">
      <c r="B46" s="6">
        <f t="shared" si="0"/>
        <v>40</v>
      </c>
      <c r="C46" s="8" t="s">
        <v>86</v>
      </c>
      <c r="D46" s="8" t="s">
        <v>87</v>
      </c>
      <c r="E46" s="7">
        <v>7</v>
      </c>
      <c r="F46" s="16">
        <f t="shared" si="3"/>
        <v>971</v>
      </c>
      <c r="G46" s="15" t="str">
        <f t="shared" si="1"/>
        <v>EDI_メーカ納入先郵便番号(971バイト目から7バイト)
/EDI_MK_NNY_ZIP(7 bytes from the 971th byte)</v>
      </c>
      <c r="H46" s="15" t="str">
        <f t="shared" si="2"/>
        <v>[EDI送信DB_発注.EDI_メーカ納入先郵便番号]であること。
/[J_EDI_SND_DB_HAC.EDI_MK_NNY_ZIP].</v>
      </c>
    </row>
    <row r="47" spans="2:8" ht="49.5" x14ac:dyDescent="0.4">
      <c r="B47" s="6">
        <f t="shared" si="0"/>
        <v>41</v>
      </c>
      <c r="C47" s="8" t="s">
        <v>88</v>
      </c>
      <c r="D47" s="8" t="s">
        <v>89</v>
      </c>
      <c r="E47" s="7">
        <v>15</v>
      </c>
      <c r="F47" s="16">
        <f t="shared" si="3"/>
        <v>978</v>
      </c>
      <c r="G47" s="15" t="str">
        <f t="shared" si="1"/>
        <v>EDI_メーカ納入先電話番号(978バイト目から15バイト)
/EDI_MK_NNY_TEL(15 bytes from the 978th byte)</v>
      </c>
      <c r="H47" s="15" t="str">
        <f t="shared" si="2"/>
        <v>[EDI送信DB_発注.EDI_メーカ納入先電話番号]であること。
/[J_EDI_SND_DB_HAC.EDI_MK_NNY_TEL].</v>
      </c>
    </row>
    <row r="48" spans="2:8" ht="49.5" x14ac:dyDescent="0.4">
      <c r="B48" s="6">
        <f t="shared" si="0"/>
        <v>42</v>
      </c>
      <c r="C48" s="8" t="s">
        <v>90</v>
      </c>
      <c r="D48" s="8" t="s">
        <v>91</v>
      </c>
      <c r="E48" s="7">
        <v>15</v>
      </c>
      <c r="F48" s="16">
        <f t="shared" si="3"/>
        <v>993</v>
      </c>
      <c r="G48" s="15" t="str">
        <f t="shared" si="1"/>
        <v>EDI_メーカ納入先FAX番号(993バイト目から15バイト)
/EDI_MK_NNY_FAX(15 bytes from the 993th byte)</v>
      </c>
      <c r="H48" s="15" t="str">
        <f t="shared" si="2"/>
        <v>[EDI送信DB_発注.EDI_メーカ納入先FAX番号]であること。
/[J_EDI_SND_DB_HAC.EDI_MK_NNY_FAX].</v>
      </c>
    </row>
    <row r="49" spans="2:8" ht="49.5" x14ac:dyDescent="0.4">
      <c r="B49" s="6">
        <f t="shared" si="0"/>
        <v>43</v>
      </c>
      <c r="C49" s="8" t="s">
        <v>92</v>
      </c>
      <c r="D49" s="8" t="s">
        <v>93</v>
      </c>
      <c r="E49" s="7">
        <v>11</v>
      </c>
      <c r="F49" s="16">
        <f t="shared" si="3"/>
        <v>1008</v>
      </c>
      <c r="G49" s="15" t="str">
        <f t="shared" si="1"/>
        <v>EDI_メーカ納入先地区コード(1008バイト目から11バイト)
/EDI_MK_NNY_CHIKU_CD(11 bytes from the 1008th byte)</v>
      </c>
      <c r="H49" s="15" t="str">
        <f t="shared" si="2"/>
        <v>[EDI送信DB_発注.EDI_メーカ納入先地区コード]であること。
/[J_EDI_SND_DB_HAC.EDI_MK_NNY_CHIKU_CD].</v>
      </c>
    </row>
    <row r="50" spans="2:8" ht="49.5" x14ac:dyDescent="0.4">
      <c r="B50" s="6">
        <f t="shared" si="0"/>
        <v>44</v>
      </c>
      <c r="C50" s="8" t="s">
        <v>94</v>
      </c>
      <c r="D50" s="8" t="s">
        <v>95</v>
      </c>
      <c r="E50" s="7">
        <v>8</v>
      </c>
      <c r="F50" s="16">
        <f t="shared" si="3"/>
        <v>1019</v>
      </c>
      <c r="G50" s="15" t="str">
        <f t="shared" si="1"/>
        <v>希望納期(1019バイト目から8バイト)
/KIBO_NOKI(8 bytes from the 1019th byte)</v>
      </c>
      <c r="H50" s="15" t="str">
        <f t="shared" si="2"/>
        <v>[EDI送信DB_発注.希望納期]であること。
/[J_EDI_SND_DB_HAC.KIBO_NOKI].</v>
      </c>
    </row>
    <row r="51" spans="2:8" ht="49.5" x14ac:dyDescent="0.4">
      <c r="B51" s="6">
        <f t="shared" si="0"/>
        <v>45</v>
      </c>
      <c r="C51" s="8" t="s">
        <v>96</v>
      </c>
      <c r="D51" s="8" t="s">
        <v>97</v>
      </c>
      <c r="E51" s="7">
        <v>12</v>
      </c>
      <c r="F51" s="16">
        <f t="shared" si="3"/>
        <v>1027</v>
      </c>
      <c r="G51" s="15" t="str">
        <f t="shared" si="1"/>
        <v>発注数量(1027バイト目から12バイト)
/HAC_SU(12 bytes from the 1027th byte)</v>
      </c>
      <c r="H51" s="15" t="str">
        <f t="shared" si="2"/>
        <v>[EDI送信DB_発注.発注数量]であること。
/[J_EDI_SND_DB_HAC.HAC_SU].</v>
      </c>
    </row>
    <row r="52" spans="2:8" ht="49.5" x14ac:dyDescent="0.4">
      <c r="B52" s="6">
        <f t="shared" si="0"/>
        <v>46</v>
      </c>
      <c r="C52" s="8" t="s">
        <v>98</v>
      </c>
      <c r="D52" s="8" t="s">
        <v>99</v>
      </c>
      <c r="E52" s="7">
        <v>17</v>
      </c>
      <c r="F52" s="16">
        <f t="shared" si="3"/>
        <v>1039</v>
      </c>
      <c r="G52" s="15" t="str">
        <f t="shared" si="1"/>
        <v>発注単価(1039バイト目から17バイト)
/HAC_TANK(17 bytes from the 1039th byte)</v>
      </c>
      <c r="H52" s="15" t="str">
        <f t="shared" si="2"/>
        <v>[EDI送信DB_発注.発注単価]であること。
/[J_EDI_SND_DB_HAC.HAC_TANK].</v>
      </c>
    </row>
    <row r="53" spans="2:8" ht="49.5" x14ac:dyDescent="0.4">
      <c r="B53" s="6">
        <f t="shared" si="0"/>
        <v>47</v>
      </c>
      <c r="C53" s="8" t="s">
        <v>100</v>
      </c>
      <c r="D53" s="8" t="s">
        <v>101</v>
      </c>
      <c r="E53" s="7">
        <v>16</v>
      </c>
      <c r="F53" s="16">
        <f t="shared" si="3"/>
        <v>1056</v>
      </c>
      <c r="G53" s="15" t="str">
        <f t="shared" si="1"/>
        <v>発注金額(1056バイト目から16バイト)
/HAC_GAKU(16 bytes from the 1056th byte)</v>
      </c>
      <c r="H53" s="15" t="str">
        <f t="shared" si="2"/>
        <v>[EDI送信DB_発注.発注金額]であること。
/[J_EDI_SND_DB_HAC.HAC_GAKU].</v>
      </c>
    </row>
    <row r="54" spans="2:8" ht="49.5" x14ac:dyDescent="0.4">
      <c r="B54" s="6">
        <f t="shared" si="0"/>
        <v>48</v>
      </c>
      <c r="C54" s="8" t="s">
        <v>102</v>
      </c>
      <c r="D54" s="8" t="s">
        <v>103</v>
      </c>
      <c r="E54" s="7">
        <v>14</v>
      </c>
      <c r="F54" s="16">
        <f t="shared" si="3"/>
        <v>1072</v>
      </c>
      <c r="G54" s="15" t="str">
        <f t="shared" si="1"/>
        <v>EDI_個数(1072バイト目から14バイト)
/EDI_KOSU(14 bytes from the 1072th byte)</v>
      </c>
      <c r="H54" s="15" t="str">
        <f t="shared" si="2"/>
        <v>[EDI送信DB_発注.EDI_個数]であること。
/[J_EDI_SND_DB_HAC.EDI_KOSU].</v>
      </c>
    </row>
    <row r="55" spans="2:8" ht="49.5" x14ac:dyDescent="0.4">
      <c r="B55" s="6">
        <f t="shared" si="0"/>
        <v>49</v>
      </c>
      <c r="C55" s="8" t="s">
        <v>104</v>
      </c>
      <c r="D55" s="8" t="s">
        <v>105</v>
      </c>
      <c r="E55" s="7">
        <v>3</v>
      </c>
      <c r="F55" s="16">
        <f t="shared" si="3"/>
        <v>1086</v>
      </c>
      <c r="G55" s="15" t="str">
        <f t="shared" si="1"/>
        <v>仕入単位コード(1086バイト目から3バイト)
/SIR_UNIT_CD(3 bytes from the 1086th byte)</v>
      </c>
      <c r="H55" s="15" t="str">
        <f t="shared" si="2"/>
        <v>[EDI送信DB_発注.仕入単位コード]であること。
/[J_EDI_SND_DB_HAC.SIR_UNIT_CD].</v>
      </c>
    </row>
    <row r="56" spans="2:8" ht="49.5" x14ac:dyDescent="0.4">
      <c r="B56" s="6">
        <f t="shared" si="0"/>
        <v>50</v>
      </c>
      <c r="C56" s="8" t="s">
        <v>106</v>
      </c>
      <c r="D56" s="8" t="s">
        <v>107</v>
      </c>
      <c r="E56" s="7">
        <v>1</v>
      </c>
      <c r="F56" s="16">
        <f t="shared" si="3"/>
        <v>1089</v>
      </c>
      <c r="G56" s="15" t="str">
        <f t="shared" si="1"/>
        <v>EDI_口銭区分(1089バイト目から1バイト)
/EDI_KOSEN_KBN(1 bytes from the 1089th byte)</v>
      </c>
      <c r="H56" s="15" t="str">
        <f t="shared" si="2"/>
        <v>[EDI送信DB_発注.EDI_口銭区分]であること。
/[J_EDI_SND_DB_HAC.EDI_KOSEN_KBN].</v>
      </c>
    </row>
    <row r="57" spans="2:8" ht="49.5" x14ac:dyDescent="0.4">
      <c r="B57" s="6">
        <f t="shared" si="0"/>
        <v>51</v>
      </c>
      <c r="C57" s="8" t="s">
        <v>108</v>
      </c>
      <c r="D57" s="8" t="s">
        <v>109</v>
      </c>
      <c r="E57" s="7">
        <v>13</v>
      </c>
      <c r="F57" s="16">
        <f t="shared" si="3"/>
        <v>1090</v>
      </c>
      <c r="G57" s="15" t="str">
        <f t="shared" si="1"/>
        <v>EDI_口銭単価(1090バイト目から13バイト)
/EDI_KOSEN_TANK(13 bytes from the 1090th byte)</v>
      </c>
      <c r="H57" s="15" t="str">
        <f t="shared" si="2"/>
        <v>[EDI送信DB_発注.EDI_口銭単価]であること。
/[J_EDI_SND_DB_HAC.EDI_KOSEN_TANK].</v>
      </c>
    </row>
    <row r="58" spans="2:8" ht="49.5" x14ac:dyDescent="0.4">
      <c r="B58" s="6">
        <f t="shared" si="0"/>
        <v>52</v>
      </c>
      <c r="C58" s="8" t="s">
        <v>110</v>
      </c>
      <c r="D58" s="8" t="s">
        <v>111</v>
      </c>
      <c r="E58" s="7">
        <v>30</v>
      </c>
      <c r="F58" s="16">
        <f t="shared" si="3"/>
        <v>1103</v>
      </c>
      <c r="G58" s="15" t="str">
        <f t="shared" si="1"/>
        <v>EDI_メーカ商品コード(1103バイト目から30バイト)
/EDI_MK_ITEM_CD(30 bytes from the 1103th byte)</v>
      </c>
      <c r="H58" s="15" t="str">
        <f t="shared" si="2"/>
        <v>[EDI送信DB_発注.EDI_メーカ商品コード]であること。
/[J_EDI_SND_DB_HAC.EDI_MK_ITEM_CD].</v>
      </c>
    </row>
    <row r="59" spans="2:8" ht="49.5" x14ac:dyDescent="0.4">
      <c r="B59" s="6">
        <f t="shared" si="0"/>
        <v>53</v>
      </c>
      <c r="C59" s="8" t="s">
        <v>112</v>
      </c>
      <c r="D59" s="8" t="s">
        <v>113</v>
      </c>
      <c r="E59" s="7">
        <v>100</v>
      </c>
      <c r="F59" s="16">
        <f t="shared" si="3"/>
        <v>1133</v>
      </c>
      <c r="G59" s="15" t="str">
        <f t="shared" si="1"/>
        <v>EDI_メーカ商品名(カナ)(1133バイト目から100バイト)
/EDI_MK_ITEM_NMK(100 bytes from the 1133th byte)</v>
      </c>
      <c r="H59" s="15" t="str">
        <f t="shared" si="2"/>
        <v>[EDI送信DB_発注.EDI_メーカ商品名(カナ)]であること。
/[J_EDI_SND_DB_HAC.EDI_MK_ITEM_NMK].</v>
      </c>
    </row>
    <row r="60" spans="2:8" ht="49.5" x14ac:dyDescent="0.4">
      <c r="B60" s="6">
        <f t="shared" si="0"/>
        <v>54</v>
      </c>
      <c r="C60" s="8" t="s">
        <v>114</v>
      </c>
      <c r="D60" s="8" t="s">
        <v>115</v>
      </c>
      <c r="E60" s="7">
        <v>100</v>
      </c>
      <c r="F60" s="16">
        <f t="shared" si="3"/>
        <v>1233</v>
      </c>
      <c r="G60" s="15" t="str">
        <f t="shared" si="1"/>
        <v>EDI_メーカ商品名(漢字)(1233バイト目から100バイト)
/EDI_MK_ITEM_NM_KANJI(100 bytes from the 1233th byte)</v>
      </c>
      <c r="H60" s="15" t="str">
        <f t="shared" si="2"/>
        <v>[EDI送信DB_発注.EDI_メーカ商品名(漢字)]であること。
/[J_EDI_SND_DB_HAC.EDI_MK_ITEM_NM_KANJI].</v>
      </c>
    </row>
    <row r="61" spans="2:8" ht="49.5" x14ac:dyDescent="0.4">
      <c r="B61" s="6">
        <f t="shared" si="0"/>
        <v>55</v>
      </c>
      <c r="C61" s="8" t="s">
        <v>116</v>
      </c>
      <c r="D61" s="8" t="s">
        <v>117</v>
      </c>
      <c r="E61" s="7">
        <v>20</v>
      </c>
      <c r="F61" s="16">
        <f t="shared" si="3"/>
        <v>1333</v>
      </c>
      <c r="G61" s="15" t="str">
        <f t="shared" si="1"/>
        <v>EDI_グレード(1333バイト目から20バイト)
/EDI_GRADE(20 bytes from the 1333th byte)</v>
      </c>
      <c r="H61" s="15" t="str">
        <f t="shared" si="2"/>
        <v>[EDI送信DB_発注.EDI_グレード]であること。
/[J_EDI_SND_DB_HAC.EDI_GRADE].</v>
      </c>
    </row>
    <row r="62" spans="2:8" ht="49.5" x14ac:dyDescent="0.4">
      <c r="B62" s="6">
        <f t="shared" si="0"/>
        <v>56</v>
      </c>
      <c r="C62" s="8" t="s">
        <v>118</v>
      </c>
      <c r="D62" s="8" t="s">
        <v>119</v>
      </c>
      <c r="E62" s="7">
        <v>11</v>
      </c>
      <c r="F62" s="16">
        <f t="shared" si="3"/>
        <v>1353</v>
      </c>
      <c r="G62" s="15" t="str">
        <f t="shared" si="1"/>
        <v>EDI_容量(1353バイト目から11バイト)
/EDI_YORYO(11 bytes from the 1353th byte)</v>
      </c>
      <c r="H62" s="15" t="str">
        <f t="shared" si="2"/>
        <v>[EDI送信DB_発注.EDI_容量]であること。
/[J_EDI_SND_DB_HAC.EDI_YORYO].</v>
      </c>
    </row>
    <row r="63" spans="2:8" ht="49.5" x14ac:dyDescent="0.4">
      <c r="B63" s="6">
        <f t="shared" si="0"/>
        <v>57</v>
      </c>
      <c r="C63" s="8" t="s">
        <v>120</v>
      </c>
      <c r="D63" s="8" t="s">
        <v>121</v>
      </c>
      <c r="E63" s="7">
        <v>5</v>
      </c>
      <c r="F63" s="16">
        <f t="shared" si="3"/>
        <v>1364</v>
      </c>
      <c r="G63" s="15" t="str">
        <f t="shared" si="1"/>
        <v>EDI_メーカ数量単位コード(1364バイト目から5バイト)
/EDI_MK_SU_UNIT_CD(5 bytes from the 1364th byte)</v>
      </c>
      <c r="H63" s="15" t="str">
        <f t="shared" si="2"/>
        <v>[EDI送信DB_発注.EDI_メーカ数量単位コード]であること。
/[J_EDI_SND_DB_HAC.EDI_MK_SU_UNIT_CD].</v>
      </c>
    </row>
    <row r="64" spans="2:8" ht="49.5" x14ac:dyDescent="0.4">
      <c r="B64" s="6">
        <f t="shared" si="0"/>
        <v>58</v>
      </c>
      <c r="C64" s="8" t="s">
        <v>122</v>
      </c>
      <c r="D64" s="8" t="s">
        <v>123</v>
      </c>
      <c r="E64" s="7">
        <v>40</v>
      </c>
      <c r="F64" s="16">
        <f t="shared" si="3"/>
        <v>1369</v>
      </c>
      <c r="G64" s="15" t="str">
        <f t="shared" si="1"/>
        <v>EDI_メーカ数量単位名(1369バイト目から40バイト)
/EDI_MK_SU_UNIT_NM(40 bytes from the 1369th byte)</v>
      </c>
      <c r="H64" s="15" t="str">
        <f t="shared" si="2"/>
        <v>[EDI送信DB_発注.EDI_メーカ数量単位名]であること。
/[J_EDI_SND_DB_HAC.EDI_MK_SU_UNIT_NM].</v>
      </c>
    </row>
    <row r="65" spans="2:8" ht="49.5" x14ac:dyDescent="0.4">
      <c r="B65" s="6">
        <f t="shared" si="0"/>
        <v>59</v>
      </c>
      <c r="C65" s="8" t="s">
        <v>124</v>
      </c>
      <c r="D65" s="8" t="s">
        <v>125</v>
      </c>
      <c r="E65" s="7">
        <v>5</v>
      </c>
      <c r="F65" s="16">
        <f t="shared" si="3"/>
        <v>1409</v>
      </c>
      <c r="G65" s="15" t="str">
        <f t="shared" si="1"/>
        <v>EDI_メーカ単価単位コード(1409バイト目から5バイト)
/EDI_MK_TANK_UNIT_CD(5 bytes from the 1409th byte)</v>
      </c>
      <c r="H65" s="15" t="str">
        <f t="shared" si="2"/>
        <v>[EDI送信DB_発注.EDI_メーカ単価単位コード]であること。
/[J_EDI_SND_DB_HAC.EDI_MK_TANK_UNIT_CD].</v>
      </c>
    </row>
    <row r="66" spans="2:8" ht="49.5" x14ac:dyDescent="0.4">
      <c r="B66" s="6">
        <f t="shared" si="0"/>
        <v>60</v>
      </c>
      <c r="C66" s="8" t="s">
        <v>126</v>
      </c>
      <c r="D66" s="8" t="s">
        <v>127</v>
      </c>
      <c r="E66" s="7">
        <v>40</v>
      </c>
      <c r="F66" s="16">
        <f t="shared" si="3"/>
        <v>1414</v>
      </c>
      <c r="G66" s="15" t="str">
        <f t="shared" si="1"/>
        <v>EDI_メーカ単価単位名(1414バイト目から40バイト)
/EDI_MK_TANK_UNIT_NM(40 bytes from the 1414th byte)</v>
      </c>
      <c r="H66" s="15" t="str">
        <f t="shared" si="2"/>
        <v>[EDI送信DB_発注.EDI_メーカ単価単位名]であること。
/[J_EDI_SND_DB_HAC.EDI_MK_TANK_UNIT_NM].</v>
      </c>
    </row>
    <row r="67" spans="2:8" ht="49.5" x14ac:dyDescent="0.4">
      <c r="B67" s="6">
        <f t="shared" si="0"/>
        <v>61</v>
      </c>
      <c r="C67" s="8" t="s">
        <v>128</v>
      </c>
      <c r="D67" s="8" t="s">
        <v>129</v>
      </c>
      <c r="E67" s="7">
        <v>5</v>
      </c>
      <c r="F67" s="16">
        <f t="shared" si="3"/>
        <v>1454</v>
      </c>
      <c r="G67" s="15" t="str">
        <f t="shared" si="1"/>
        <v>EDI_メーカ荷姿コード(1454バイト目から5バイト)
/EDI_MK_NISUGATA_CD(5 bytes from the 1454th byte)</v>
      </c>
      <c r="H67" s="15" t="str">
        <f t="shared" si="2"/>
        <v>[EDI送信DB_発注.EDI_メーカ荷姿コード]であること。
/[J_EDI_SND_DB_HAC.EDI_MK_NISUGATA_CD].</v>
      </c>
    </row>
    <row r="68" spans="2:8" ht="49.5" x14ac:dyDescent="0.4">
      <c r="B68" s="6">
        <f t="shared" si="0"/>
        <v>62</v>
      </c>
      <c r="C68" s="8" t="s">
        <v>130</v>
      </c>
      <c r="D68" s="8" t="s">
        <v>131</v>
      </c>
      <c r="E68" s="7">
        <v>40</v>
      </c>
      <c r="F68" s="16">
        <f t="shared" si="3"/>
        <v>1459</v>
      </c>
      <c r="G68" s="15" t="str">
        <f t="shared" si="1"/>
        <v>EDI_メーカ荷姿名(カナ)(1459バイト目から40バイト)
/EDI_MK_NISUGATA_NMK(40 bytes from the 1459th byte)</v>
      </c>
      <c r="H68" s="15" t="str">
        <f t="shared" si="2"/>
        <v>[EDI送信DB_発注.EDI_メーカ荷姿名(カナ)]であること。
/[J_EDI_SND_DB_HAC.EDI_MK_NISUGATA_NMK].</v>
      </c>
    </row>
    <row r="69" spans="2:8" ht="49.5" x14ac:dyDescent="0.4">
      <c r="B69" s="6">
        <f t="shared" si="0"/>
        <v>63</v>
      </c>
      <c r="C69" s="8" t="s">
        <v>132</v>
      </c>
      <c r="D69" s="8" t="s">
        <v>133</v>
      </c>
      <c r="E69" s="7">
        <v>10</v>
      </c>
      <c r="F69" s="16">
        <f t="shared" si="3"/>
        <v>1499</v>
      </c>
      <c r="G69" s="15" t="str">
        <f t="shared" si="1"/>
        <v>EDI_納入コメント(1499バイト目から10バイト)
/EDI_NONYU_COMMENT(10 bytes from the 1499th byte)</v>
      </c>
      <c r="H69" s="15" t="str">
        <f t="shared" si="2"/>
        <v>[EDI送信DB_発注.EDI_納入コメント]であること。
/[J_EDI_SND_DB_HAC.EDI_NONYU_COMMENT].</v>
      </c>
    </row>
    <row r="70" spans="2:8" ht="49.5" x14ac:dyDescent="0.4">
      <c r="B70" s="6">
        <f t="shared" si="0"/>
        <v>64</v>
      </c>
      <c r="C70" s="8" t="s">
        <v>134</v>
      </c>
      <c r="D70" s="8" t="s">
        <v>135</v>
      </c>
      <c r="E70" s="7">
        <v>44</v>
      </c>
      <c r="F70" s="16">
        <f t="shared" si="3"/>
        <v>1509</v>
      </c>
      <c r="G70" s="15" t="str">
        <f t="shared" si="1"/>
        <v>EDI_発注コメント(1509バイト目から44バイト)
/EDI_HAC_COMMENT(44 bytes from the 1509th byte)</v>
      </c>
      <c r="H70" s="15" t="str">
        <f t="shared" si="2"/>
        <v>[EDI送信DB_発注.EDI_発注コメント]であること。
/[J_EDI_SND_DB_HAC.EDI_HAC_COMMENT].</v>
      </c>
    </row>
    <row r="71" spans="2:8" ht="49.5" x14ac:dyDescent="0.4">
      <c r="B71" s="6">
        <f t="shared" si="0"/>
        <v>65</v>
      </c>
      <c r="C71" s="8" t="s">
        <v>136</v>
      </c>
      <c r="D71" s="8" t="s">
        <v>137</v>
      </c>
      <c r="E71" s="7">
        <v>32</v>
      </c>
      <c r="F71" s="16">
        <f t="shared" si="3"/>
        <v>1553</v>
      </c>
      <c r="G71" s="15" t="str">
        <f t="shared" si="1"/>
        <v>EDI_納品コメント(1553バイト目から32バイト)
/EDI_NOHIN_COMMENT(32 bytes from the 1553th byte)</v>
      </c>
      <c r="H71" s="15" t="str">
        <f t="shared" si="2"/>
        <v>[EDI送信DB_発注.EDI_納品コメント]であること。
/[J_EDI_SND_DB_HAC.EDI_NOHIN_COMMENT].</v>
      </c>
    </row>
    <row r="72" spans="2:8" ht="49.5" x14ac:dyDescent="0.4">
      <c r="B72" s="6">
        <f t="shared" ref="B72:B101" si="4">ROW()-6</f>
        <v>66</v>
      </c>
      <c r="C72" s="8" t="s">
        <v>138</v>
      </c>
      <c r="D72" s="8" t="s">
        <v>139</v>
      </c>
      <c r="E72" s="7">
        <v>20</v>
      </c>
      <c r="F72" s="16">
        <f t="shared" si="3"/>
        <v>1585</v>
      </c>
      <c r="G72" s="15" t="str">
        <f t="shared" ref="G72:G101" si="5">C72&amp;"("&amp;F72&amp;"バイト目から"&amp;E72&amp;"バイト)
/"&amp;D72&amp;"("&amp;E72&amp;" bytes from the "&amp;F72&amp;"th byte)"</f>
        <v>EDI_備考(1585バイト目から20バイト)
/EDI_NOTE(20 bytes from the 1585th byte)</v>
      </c>
      <c r="H72" s="15" t="str">
        <f t="shared" ref="H72:H101" si="6">"[EDI送信DB_発注." &amp; C72 &amp; "]であること。
/[J_EDI_SND_DB_HAC." &amp; D72 &amp; "]."</f>
        <v>[EDI送信DB_発注.EDI_備考]であること。
/[J_EDI_SND_DB_HAC.EDI_NOTE].</v>
      </c>
    </row>
    <row r="73" spans="2:8" ht="49.5" x14ac:dyDescent="0.4">
      <c r="B73" s="6">
        <f t="shared" si="4"/>
        <v>67</v>
      </c>
      <c r="C73" s="8" t="s">
        <v>140</v>
      </c>
      <c r="D73" s="8" t="s">
        <v>141</v>
      </c>
      <c r="E73" s="7">
        <v>40</v>
      </c>
      <c r="F73" s="16">
        <f t="shared" ref="F73:F101" si="7">E72+F72</f>
        <v>1605</v>
      </c>
      <c r="G73" s="15" t="str">
        <f t="shared" si="5"/>
        <v>EDI_特記事項(1605バイト目から40バイト)
/EDI_TOKKI_JIKO(40 bytes from the 1605th byte)</v>
      </c>
      <c r="H73" s="15" t="str">
        <f t="shared" si="6"/>
        <v>[EDI送信DB_発注.EDI_特記事項]であること。
/[J_EDI_SND_DB_HAC.EDI_TOKKI_JIKO].</v>
      </c>
    </row>
    <row r="74" spans="2:8" ht="49.5" x14ac:dyDescent="0.4">
      <c r="B74" s="6">
        <f t="shared" si="4"/>
        <v>68</v>
      </c>
      <c r="C74" s="8" t="s">
        <v>142</v>
      </c>
      <c r="D74" s="8" t="s">
        <v>143</v>
      </c>
      <c r="E74" s="7">
        <v>30</v>
      </c>
      <c r="F74" s="16">
        <f t="shared" si="7"/>
        <v>1645</v>
      </c>
      <c r="G74" s="15" t="str">
        <f t="shared" si="5"/>
        <v>EDI_配送指示(1645バイト目から30バイト)
/EDI_HAISO_SHIJI(30 bytes from the 1645th byte)</v>
      </c>
      <c r="H74" s="15" t="str">
        <f t="shared" si="6"/>
        <v>[EDI送信DB_発注.EDI_配送指示]であること。
/[J_EDI_SND_DB_HAC.EDI_HAISO_SHIJI].</v>
      </c>
    </row>
    <row r="75" spans="2:8" ht="49.5" x14ac:dyDescent="0.4">
      <c r="B75" s="6">
        <f t="shared" si="4"/>
        <v>69</v>
      </c>
      <c r="C75" s="8" t="s">
        <v>144</v>
      </c>
      <c r="D75" s="8" t="s">
        <v>145</v>
      </c>
      <c r="E75" s="7">
        <v>44</v>
      </c>
      <c r="F75" s="16">
        <f t="shared" si="7"/>
        <v>1675</v>
      </c>
      <c r="G75" s="15" t="str">
        <f t="shared" si="5"/>
        <v>EDI_納入要件(1675バイト目から44バイト)
/EDI_NONYU_YOKEN(44 bytes from the 1675th byte)</v>
      </c>
      <c r="H75" s="15" t="str">
        <f t="shared" si="6"/>
        <v>[EDI送信DB_発注.EDI_納入要件]であること。
/[J_EDI_SND_DB_HAC.EDI_NONYU_YOKEN].</v>
      </c>
    </row>
    <row r="76" spans="2:8" ht="49.5" x14ac:dyDescent="0.4">
      <c r="B76" s="6">
        <f t="shared" si="4"/>
        <v>70</v>
      </c>
      <c r="C76" s="8" t="s">
        <v>146</v>
      </c>
      <c r="D76" s="8" t="s">
        <v>147</v>
      </c>
      <c r="E76" s="7">
        <v>20</v>
      </c>
      <c r="F76" s="16">
        <f t="shared" si="7"/>
        <v>1719</v>
      </c>
      <c r="G76" s="15" t="str">
        <f t="shared" si="5"/>
        <v>EDI_メーカ受注者情報(1719バイト目から20バイト)
/EDI_MK_JUC_INF(20 bytes from the 1719th byte)</v>
      </c>
      <c r="H76" s="15" t="str">
        <f t="shared" si="6"/>
        <v>[EDI送信DB_発注.EDI_メーカ受注者情報]であること。
/[J_EDI_SND_DB_HAC.EDI_MK_JUC_INF].</v>
      </c>
    </row>
    <row r="77" spans="2:8" ht="66" x14ac:dyDescent="0.4">
      <c r="B77" s="6">
        <f t="shared" si="4"/>
        <v>71</v>
      </c>
      <c r="C77" s="8" t="s">
        <v>148</v>
      </c>
      <c r="D77" s="8" t="s">
        <v>149</v>
      </c>
      <c r="E77" s="7">
        <v>5</v>
      </c>
      <c r="F77" s="16">
        <f t="shared" si="7"/>
        <v>1739</v>
      </c>
      <c r="G77" s="15" t="str">
        <f t="shared" si="5"/>
        <v>EDI_メーカ受渡条件コード(1739バイト目から5バイト)
/EDI_MK_UKEWATASHI_JOKEN_CD(5 bytes from the 1739th byte)</v>
      </c>
      <c r="H77" s="15" t="str">
        <f t="shared" si="6"/>
        <v>[EDI送信DB_発注.EDI_メーカ受渡条件コード]であること。
/[J_EDI_SND_DB_HAC.EDI_MK_UKEWATASHI_JOKEN_CD].</v>
      </c>
    </row>
    <row r="78" spans="2:8" ht="49.5" x14ac:dyDescent="0.4">
      <c r="B78" s="6">
        <f t="shared" si="4"/>
        <v>72</v>
      </c>
      <c r="C78" s="8" t="s">
        <v>150</v>
      </c>
      <c r="D78" s="8" t="s">
        <v>151</v>
      </c>
      <c r="E78" s="7">
        <v>15</v>
      </c>
      <c r="F78" s="16">
        <f t="shared" si="7"/>
        <v>1744</v>
      </c>
      <c r="G78" s="15" t="str">
        <f t="shared" si="5"/>
        <v>EDI_決済条件(1744バイト目から15バイト)
/EDI_KESSAI_JOKEN(15 bytes from the 1744th byte)</v>
      </c>
      <c r="H78" s="15" t="str">
        <f t="shared" si="6"/>
        <v>[EDI送信DB_発注.EDI_決済条件]であること。
/[J_EDI_SND_DB_HAC.EDI_KESSAI_JOKEN].</v>
      </c>
    </row>
    <row r="79" spans="2:8" ht="49.5" x14ac:dyDescent="0.4">
      <c r="B79" s="6">
        <f t="shared" si="4"/>
        <v>73</v>
      </c>
      <c r="C79" s="8" t="s">
        <v>152</v>
      </c>
      <c r="D79" s="8" t="s">
        <v>153</v>
      </c>
      <c r="E79" s="7">
        <v>1</v>
      </c>
      <c r="F79" s="16">
        <f t="shared" si="7"/>
        <v>1759</v>
      </c>
      <c r="G79" s="15" t="str">
        <f t="shared" si="5"/>
        <v>EDI_緊急オーダーコード(1759バイト目から1バイト)
/EDI_KINKYU_ORDER_CD(1 bytes from the 1759th byte)</v>
      </c>
      <c r="H79" s="15" t="str">
        <f t="shared" si="6"/>
        <v>[EDI送信DB_発注.EDI_緊急オーダーコード]であること。
/[J_EDI_SND_DB_HAC.EDI_KINKYU_ORDER_CD].</v>
      </c>
    </row>
    <row r="80" spans="2:8" ht="49.5" x14ac:dyDescent="0.4">
      <c r="B80" s="6">
        <f t="shared" si="4"/>
        <v>74</v>
      </c>
      <c r="C80" s="8" t="s">
        <v>154</v>
      </c>
      <c r="D80" s="8" t="s">
        <v>155</v>
      </c>
      <c r="E80" s="7">
        <v>12</v>
      </c>
      <c r="F80" s="16">
        <f t="shared" si="7"/>
        <v>1760</v>
      </c>
      <c r="G80" s="15" t="str">
        <f t="shared" si="5"/>
        <v>EDI_輸送便コード(1760バイト目から12バイト)
/EDI_YUSO_BIN_CD(12 bytes from the 1760th byte)</v>
      </c>
      <c r="H80" s="15" t="str">
        <f t="shared" si="6"/>
        <v>[EDI送信DB_発注.EDI_輸送便コード]であること。
/[J_EDI_SND_DB_HAC.EDI_YUSO_BIN_CD].</v>
      </c>
    </row>
    <row r="81" spans="2:8" ht="49.5" x14ac:dyDescent="0.4">
      <c r="B81" s="6">
        <f t="shared" si="4"/>
        <v>75</v>
      </c>
      <c r="C81" s="8" t="s">
        <v>156</v>
      </c>
      <c r="D81" s="8" t="s">
        <v>157</v>
      </c>
      <c r="E81" s="7">
        <v>10</v>
      </c>
      <c r="F81" s="16">
        <f t="shared" si="7"/>
        <v>1772</v>
      </c>
      <c r="G81" s="15" t="str">
        <f t="shared" si="5"/>
        <v>EDI_納入希望時刻コード(1772バイト目から10バイト)
/EDI_NONYU_KIBO_TM_CD(10 bytes from the 1772th byte)</v>
      </c>
      <c r="H81" s="15" t="str">
        <f t="shared" si="6"/>
        <v>[EDI送信DB_発注.EDI_納入希望時刻コード]であること。
/[J_EDI_SND_DB_HAC.EDI_NONYU_KIBO_TM_CD].</v>
      </c>
    </row>
    <row r="82" spans="2:8" ht="49.5" x14ac:dyDescent="0.4">
      <c r="B82" s="6">
        <f t="shared" si="4"/>
        <v>76</v>
      </c>
      <c r="C82" s="8" t="s">
        <v>158</v>
      </c>
      <c r="D82" s="8" t="s">
        <v>159</v>
      </c>
      <c r="E82" s="7">
        <v>20</v>
      </c>
      <c r="F82" s="16">
        <f t="shared" si="7"/>
        <v>1782</v>
      </c>
      <c r="G82" s="15" t="str">
        <f t="shared" si="5"/>
        <v>EDI_納入希望時刻名称(1782バイト目から20バイト)
/EDI_NONYU_KIBO_TM_NM(20 bytes from the 1782th byte)</v>
      </c>
      <c r="H82" s="15" t="str">
        <f t="shared" si="6"/>
        <v>[EDI送信DB_発注.EDI_納入希望時刻名称]であること。
/[J_EDI_SND_DB_HAC.EDI_NONYU_KIBO_TM_NM].</v>
      </c>
    </row>
    <row r="83" spans="2:8" ht="66" x14ac:dyDescent="0.4">
      <c r="B83" s="6">
        <f t="shared" si="4"/>
        <v>77</v>
      </c>
      <c r="C83" s="8" t="s">
        <v>160</v>
      </c>
      <c r="D83" s="8" t="s">
        <v>161</v>
      </c>
      <c r="E83" s="7">
        <v>1</v>
      </c>
      <c r="F83" s="16">
        <f t="shared" si="7"/>
        <v>1802</v>
      </c>
      <c r="G83" s="15" t="str">
        <f t="shared" si="5"/>
        <v>EDI_納入希望時刻条件コード(1802バイト目から1バイト)
/EDI_NONYU_KIBO_TM_JOKEN_CD(1 bytes from the 1802th byte)</v>
      </c>
      <c r="H83" s="15" t="str">
        <f t="shared" si="6"/>
        <v>[EDI送信DB_発注.EDI_納入希望時刻条件コード]であること。
/[J_EDI_SND_DB_HAC.EDI_NONYU_KIBO_TM_JOKEN_CD].</v>
      </c>
    </row>
    <row r="84" spans="2:8" ht="49.5" x14ac:dyDescent="0.4">
      <c r="B84" s="6">
        <f t="shared" si="4"/>
        <v>78</v>
      </c>
      <c r="C84" s="8" t="s">
        <v>162</v>
      </c>
      <c r="D84" s="8" t="s">
        <v>163</v>
      </c>
      <c r="E84" s="7">
        <v>1</v>
      </c>
      <c r="F84" s="16">
        <f t="shared" si="7"/>
        <v>1803</v>
      </c>
      <c r="G84" s="15" t="str">
        <f t="shared" si="5"/>
        <v>EDI_LOT NO条件コード(1803バイト目から1バイト)
/EDI_LOT_NO_JOKEN_CD(1 bytes from the 1803th byte)</v>
      </c>
      <c r="H84" s="15" t="str">
        <f t="shared" si="6"/>
        <v>[EDI送信DB_発注.EDI_LOT NO条件コード]であること。
/[J_EDI_SND_DB_HAC.EDI_LOT_NO_JOKEN_CD].</v>
      </c>
    </row>
    <row r="85" spans="2:8" ht="49.5" x14ac:dyDescent="0.4">
      <c r="B85" s="6">
        <f t="shared" si="4"/>
        <v>79</v>
      </c>
      <c r="C85" s="8" t="s">
        <v>164</v>
      </c>
      <c r="D85" s="8" t="s">
        <v>165</v>
      </c>
      <c r="E85" s="7">
        <v>1</v>
      </c>
      <c r="F85" s="16">
        <f t="shared" si="7"/>
        <v>1804</v>
      </c>
      <c r="G85" s="15" t="str">
        <f t="shared" si="5"/>
        <v>EDI_ロット区分(1804バイト目から1バイト)
/EDI_LOT_KBN(1 bytes from the 1804th byte)</v>
      </c>
      <c r="H85" s="15" t="str">
        <f t="shared" si="6"/>
        <v>[EDI送信DB_発注.EDI_ロット区分]であること。
/[J_EDI_SND_DB_HAC.EDI_LOT_KBN].</v>
      </c>
    </row>
    <row r="86" spans="2:8" ht="49.5" x14ac:dyDescent="0.4">
      <c r="B86" s="6">
        <f t="shared" si="4"/>
        <v>80</v>
      </c>
      <c r="C86" s="8" t="s">
        <v>166</v>
      </c>
      <c r="D86" s="8" t="s">
        <v>167</v>
      </c>
      <c r="E86" s="7">
        <v>15</v>
      </c>
      <c r="F86" s="16">
        <f t="shared" si="7"/>
        <v>1805</v>
      </c>
      <c r="G86" s="15" t="str">
        <f t="shared" si="5"/>
        <v>EDI_ロット番号(1805バイト目から15バイト)
/EDI_LOT_NO(15 bytes from the 1805th byte)</v>
      </c>
      <c r="H86" s="15" t="str">
        <f t="shared" si="6"/>
        <v>[EDI送信DB_発注.EDI_ロット番号]であること。
/[J_EDI_SND_DB_HAC.EDI_LOT_NO].</v>
      </c>
    </row>
    <row r="87" spans="2:8" ht="49.5" x14ac:dyDescent="0.4">
      <c r="B87" s="6">
        <f t="shared" si="4"/>
        <v>81</v>
      </c>
      <c r="C87" s="8" t="s">
        <v>168</v>
      </c>
      <c r="D87" s="8" t="s">
        <v>169</v>
      </c>
      <c r="E87" s="7">
        <v>1</v>
      </c>
      <c r="F87" s="16">
        <f t="shared" si="7"/>
        <v>1820</v>
      </c>
      <c r="G87" s="15" t="str">
        <f t="shared" si="5"/>
        <v>EDI_メーカ国内・輸出区分(1820バイト目から1バイト)
/EDI_MK_DOM_EXP_KBN(1 bytes from the 1820th byte)</v>
      </c>
      <c r="H87" s="15" t="str">
        <f t="shared" si="6"/>
        <v>[EDI送信DB_発注.EDI_メーカ国内・輸出区分]であること。
/[J_EDI_SND_DB_HAC.EDI_MK_DOM_EXP_KBN].</v>
      </c>
    </row>
    <row r="88" spans="2:8" ht="49.5" x14ac:dyDescent="0.4">
      <c r="B88" s="6">
        <f t="shared" si="4"/>
        <v>82</v>
      </c>
      <c r="C88" s="8" t="s">
        <v>170</v>
      </c>
      <c r="D88" s="8" t="s">
        <v>171</v>
      </c>
      <c r="E88" s="7">
        <v>1</v>
      </c>
      <c r="F88" s="16">
        <f t="shared" si="7"/>
        <v>1821</v>
      </c>
      <c r="G88" s="15" t="str">
        <f t="shared" si="5"/>
        <v>EDI_数量確定区分(1821バイト目から1バイト)
/EDI_SU_KAKUTEI_KBN(1 bytes from the 1821th byte)</v>
      </c>
      <c r="H88" s="15" t="str">
        <f t="shared" si="6"/>
        <v>[EDI送信DB_発注.EDI_数量確定区分]であること。
/[J_EDI_SND_DB_HAC.EDI_SU_KAKUTEI_KBN].</v>
      </c>
    </row>
    <row r="89" spans="2:8" ht="49.5" x14ac:dyDescent="0.4">
      <c r="B89" s="6">
        <f t="shared" si="4"/>
        <v>83</v>
      </c>
      <c r="C89" s="8" t="s">
        <v>172</v>
      </c>
      <c r="D89" s="8" t="s">
        <v>173</v>
      </c>
      <c r="E89" s="7">
        <v>1</v>
      </c>
      <c r="F89" s="16">
        <f t="shared" si="7"/>
        <v>1822</v>
      </c>
      <c r="G89" s="15" t="str">
        <f t="shared" si="5"/>
        <v>EDI_単価区分(1822バイト目から1バイト)
/EDI_TANK_KBN(1 bytes from the 1822th byte)</v>
      </c>
      <c r="H89" s="15" t="str">
        <f t="shared" si="6"/>
        <v>[EDI送信DB_発注.EDI_単価区分]であること。
/[J_EDI_SND_DB_HAC.EDI_TANK_KBN].</v>
      </c>
    </row>
    <row r="90" spans="2:8" ht="49.5" x14ac:dyDescent="0.4">
      <c r="B90" s="6">
        <f t="shared" si="4"/>
        <v>84</v>
      </c>
      <c r="C90" s="8" t="s">
        <v>174</v>
      </c>
      <c r="D90" s="8" t="s">
        <v>175</v>
      </c>
      <c r="E90" s="7">
        <v>2</v>
      </c>
      <c r="F90" s="16">
        <f t="shared" si="7"/>
        <v>1823</v>
      </c>
      <c r="G90" s="15" t="str">
        <f t="shared" si="5"/>
        <v>EDI_課税区分(1823バイト目から2バイト)
/EDI_KAZEI_KBN(2 bytes from the 1823th byte)</v>
      </c>
      <c r="H90" s="15" t="str">
        <f t="shared" si="6"/>
        <v>[EDI送信DB_発注.EDI_課税区分]であること。
/[J_EDI_SND_DB_HAC.EDI_KAZEI_KBN].</v>
      </c>
    </row>
    <row r="91" spans="2:8" ht="49.5" x14ac:dyDescent="0.4">
      <c r="B91" s="6">
        <f t="shared" si="4"/>
        <v>85</v>
      </c>
      <c r="C91" s="8" t="s">
        <v>176</v>
      </c>
      <c r="D91" s="8" t="s">
        <v>177</v>
      </c>
      <c r="E91" s="7">
        <v>1</v>
      </c>
      <c r="F91" s="16">
        <f t="shared" si="7"/>
        <v>1825</v>
      </c>
      <c r="G91" s="15" t="str">
        <f t="shared" si="5"/>
        <v>EDI_オーダ区分(1825バイト目から1バイト)
/EDI_ORDER_KBN(1 bytes from the 1825th byte)</v>
      </c>
      <c r="H91" s="15" t="str">
        <f t="shared" si="6"/>
        <v>[EDI送信DB_発注.EDI_オーダ区分]であること。
/[J_EDI_SND_DB_HAC.EDI_ORDER_KBN].</v>
      </c>
    </row>
    <row r="92" spans="2:8" ht="49.5" x14ac:dyDescent="0.4">
      <c r="B92" s="6">
        <f t="shared" si="4"/>
        <v>86</v>
      </c>
      <c r="C92" s="8" t="s">
        <v>178</v>
      </c>
      <c r="D92" s="8" t="s">
        <v>179</v>
      </c>
      <c r="E92" s="7">
        <v>30</v>
      </c>
      <c r="F92" s="16">
        <f t="shared" si="7"/>
        <v>1826</v>
      </c>
      <c r="G92" s="15" t="str">
        <f t="shared" si="5"/>
        <v>EDI_予備欄(1826バイト目から30バイト)
/EDI_YOBI(30 bytes from the 1826th byte)</v>
      </c>
      <c r="H92" s="15" t="str">
        <f t="shared" si="6"/>
        <v>[EDI送信DB_発注.EDI_予備欄]であること。
/[J_EDI_SND_DB_HAC.EDI_YOBI].</v>
      </c>
    </row>
    <row r="93" spans="2:8" ht="49.5" x14ac:dyDescent="0.4">
      <c r="B93" s="6">
        <f t="shared" si="4"/>
        <v>87</v>
      </c>
      <c r="C93" s="8" t="s">
        <v>180</v>
      </c>
      <c r="D93" s="8" t="s">
        <v>181</v>
      </c>
      <c r="E93" s="7">
        <v>30</v>
      </c>
      <c r="F93" s="16">
        <f t="shared" si="7"/>
        <v>1856</v>
      </c>
      <c r="G93" s="15" t="str">
        <f t="shared" si="5"/>
        <v>EDI_予備欄(漢字)(1856バイト目から30バイト)
/EDI_YOBI_KANJI(30 bytes from the 1856th byte)</v>
      </c>
      <c r="H93" s="15" t="str">
        <f t="shared" si="6"/>
        <v>[EDI送信DB_発注.EDI_予備欄(漢字)]であること。
/[J_EDI_SND_DB_HAC.EDI_YOBI_KANJI].</v>
      </c>
    </row>
    <row r="94" spans="2:8" ht="49.5" x14ac:dyDescent="0.4">
      <c r="B94" s="6">
        <f t="shared" si="4"/>
        <v>88</v>
      </c>
      <c r="C94" s="8" t="s">
        <v>182</v>
      </c>
      <c r="D94" s="8" t="s">
        <v>183</v>
      </c>
      <c r="E94" s="7">
        <v>200</v>
      </c>
      <c r="F94" s="16">
        <f t="shared" si="7"/>
        <v>1886</v>
      </c>
      <c r="G94" s="15" t="str">
        <f t="shared" si="5"/>
        <v>IK自由使用欄1(1886バイト目から200バイト)
/IK_FREE_SPACE1(200 bytes from the 1886th byte)</v>
      </c>
      <c r="H94" s="15" t="str">
        <f t="shared" si="6"/>
        <v>[EDI送信DB_発注.IK自由使用欄1]であること。
/[J_EDI_SND_DB_HAC.IK_FREE_SPACE1].</v>
      </c>
    </row>
    <row r="95" spans="2:8" ht="49.5" x14ac:dyDescent="0.4">
      <c r="B95" s="6">
        <f t="shared" si="4"/>
        <v>89</v>
      </c>
      <c r="C95" s="8" t="s">
        <v>184</v>
      </c>
      <c r="D95" s="8" t="s">
        <v>185</v>
      </c>
      <c r="E95" s="7">
        <v>8</v>
      </c>
      <c r="F95" s="16">
        <f t="shared" si="7"/>
        <v>2086</v>
      </c>
      <c r="G95" s="15" t="str">
        <f t="shared" si="5"/>
        <v>登録年月日(2086バイト目から8バイト)
/REG_YMD(8 bytes from the 2086th byte)</v>
      </c>
      <c r="H95" s="15" t="str">
        <f t="shared" si="6"/>
        <v>[EDI送信DB_発注.登録年月日]であること。
/[J_EDI_SND_DB_HAC.REG_YMD].</v>
      </c>
    </row>
    <row r="96" spans="2:8" ht="49.5" x14ac:dyDescent="0.4">
      <c r="B96" s="6">
        <f t="shared" si="4"/>
        <v>90</v>
      </c>
      <c r="C96" s="8" t="s">
        <v>186</v>
      </c>
      <c r="D96" s="8" t="s">
        <v>187</v>
      </c>
      <c r="E96" s="7">
        <v>8</v>
      </c>
      <c r="F96" s="16">
        <f t="shared" si="7"/>
        <v>2094</v>
      </c>
      <c r="G96" s="15" t="str">
        <f t="shared" si="5"/>
        <v>修正年月日(2094バイト目から8バイト)
/MOD_YMD(8 bytes from the 2094th byte)</v>
      </c>
      <c r="H96" s="15" t="str">
        <f t="shared" si="6"/>
        <v>[EDI送信DB_発注.修正年月日]であること。
/[J_EDI_SND_DB_HAC.MOD_YMD].</v>
      </c>
    </row>
    <row r="97" spans="2:8" ht="49.5" x14ac:dyDescent="0.4">
      <c r="B97" s="6">
        <f t="shared" si="4"/>
        <v>91</v>
      </c>
      <c r="C97" s="8" t="s">
        <v>188</v>
      </c>
      <c r="D97" s="8" t="s">
        <v>189</v>
      </c>
      <c r="E97" s="7">
        <v>6</v>
      </c>
      <c r="F97" s="16">
        <f t="shared" si="7"/>
        <v>2102</v>
      </c>
      <c r="G97" s="15" t="str">
        <f t="shared" si="5"/>
        <v>発注入力時刻(2102バイト目から6バイト)
/HAC_INP_TM(6 bytes from the 2102th byte)</v>
      </c>
      <c r="H97" s="15" t="str">
        <f t="shared" si="6"/>
        <v>[EDI送信DB_発注.発注入力時刻]であること。
/[J_EDI_SND_DB_HAC.HAC_INP_TM].</v>
      </c>
    </row>
    <row r="98" spans="2:8" ht="49.5" x14ac:dyDescent="0.4">
      <c r="B98" s="6">
        <f t="shared" si="4"/>
        <v>92</v>
      </c>
      <c r="C98" s="8" t="s">
        <v>190</v>
      </c>
      <c r="D98" s="8" t="s">
        <v>191</v>
      </c>
      <c r="E98" s="7">
        <v>6</v>
      </c>
      <c r="F98" s="16">
        <f t="shared" si="7"/>
        <v>2108</v>
      </c>
      <c r="G98" s="15" t="str">
        <f t="shared" si="5"/>
        <v>発注修正時刻(2108バイト目から6バイト)
/HAC_MOD_TM(6 bytes from the 2108th byte)</v>
      </c>
      <c r="H98" s="15" t="str">
        <f t="shared" si="6"/>
        <v>[EDI送信DB_発注.発注修正時刻]であること。
/[J_EDI_SND_DB_HAC.HAC_MOD_TM].</v>
      </c>
    </row>
    <row r="99" spans="2:8" ht="49.5" x14ac:dyDescent="0.4">
      <c r="B99" s="6">
        <f t="shared" si="4"/>
        <v>93</v>
      </c>
      <c r="C99" s="8" t="s">
        <v>192</v>
      </c>
      <c r="D99" s="8" t="s">
        <v>193</v>
      </c>
      <c r="E99" s="9">
        <v>1</v>
      </c>
      <c r="F99" s="16">
        <f t="shared" si="7"/>
        <v>2114</v>
      </c>
      <c r="G99" s="15" t="str">
        <f t="shared" si="5"/>
        <v>削除区分(2114バイト目から1バイト)
/DEL_KBN(1 bytes from the 2114th byte)</v>
      </c>
      <c r="H99" s="15" t="str">
        <f t="shared" si="6"/>
        <v>[EDI送信DB_発注.削除区分]であること。
/[J_EDI_SND_DB_HAC.DEL_KBN].</v>
      </c>
    </row>
    <row r="100" spans="2:8" ht="49.5" x14ac:dyDescent="0.4">
      <c r="B100" s="6">
        <f t="shared" si="4"/>
        <v>94</v>
      </c>
      <c r="C100" s="8" t="s">
        <v>194</v>
      </c>
      <c r="D100" s="8" t="s">
        <v>195</v>
      </c>
      <c r="E100" s="7">
        <v>10</v>
      </c>
      <c r="F100" s="16">
        <f t="shared" si="7"/>
        <v>2115</v>
      </c>
      <c r="G100" s="15" t="str">
        <f t="shared" si="5"/>
        <v>処理受付番号(2115バイト目から10バイト)
/FUNC_UKETSUKE_NO(10 bytes from the 2115th byte)</v>
      </c>
      <c r="H100" s="15" t="str">
        <f t="shared" si="6"/>
        <v>[EDI送信DB_発注.処理受付番号]であること。
/[J_EDI_SND_DB_HAC.FUNC_UKETSUKE_NO].</v>
      </c>
    </row>
    <row r="101" spans="2:8" ht="49.5" x14ac:dyDescent="0.4">
      <c r="B101" s="6">
        <f t="shared" si="4"/>
        <v>95</v>
      </c>
      <c r="C101" s="8" t="s">
        <v>196</v>
      </c>
      <c r="D101" s="8" t="s">
        <v>196</v>
      </c>
      <c r="E101" s="7">
        <v>2</v>
      </c>
      <c r="F101" s="16">
        <f t="shared" si="7"/>
        <v>2125</v>
      </c>
      <c r="G101" s="15" t="str">
        <f t="shared" si="5"/>
        <v>FILLER(2125バイト目から2バイト)
/FILLER(2 bytes from the 2125th byte)</v>
      </c>
      <c r="H101" s="15" t="str">
        <f t="shared" si="6"/>
        <v>[EDI送信DB_発注.FILLER]であること。
/[J_EDI_SND_DB_HAC.FILLER].</v>
      </c>
    </row>
  </sheetData>
  <mergeCells count="2">
    <mergeCell ref="H5:H6"/>
    <mergeCell ref="G5:G6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D71D-656E-41D5-A500-09A32959E888}">
  <dimension ref="A157"/>
  <sheetViews>
    <sheetView showGridLines="0" topLeftCell="A133" zoomScale="85" zoomScaleNormal="85" workbookViewId="0">
      <selection activeCell="K165" sqref="K165"/>
    </sheetView>
  </sheetViews>
  <sheetFormatPr defaultRowHeight="18.75" x14ac:dyDescent="0.4"/>
  <sheetData>
    <row r="157" spans="1:1" s="18" customFormat="1" x14ac:dyDescent="0.4">
      <c r="A157" s="17" t="s">
        <v>202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S010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Hasni, Hani Safinaz Binti</cp:lastModifiedBy>
  <dcterms:created xsi:type="dcterms:W3CDTF">2025-07-16T04:35:30Z</dcterms:created>
  <dcterms:modified xsi:type="dcterms:W3CDTF">2025-07-16T06:45:58Z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2025-07-16T06:08:54Z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304e0428-cba5-4e01-bb4f-3d9157d5e461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