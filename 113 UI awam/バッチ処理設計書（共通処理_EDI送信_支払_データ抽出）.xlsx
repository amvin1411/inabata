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rustic\Desktop\matsuda\01_仕掛中\支払い・支払明細\"/>
    </mc:Choice>
  </mc:AlternateContent>
  <xr:revisionPtr revIDLastSave="0" documentId="13_ncr:1_{C639F9D9-4B28-48F5-B4CC-B7411DECC3ED}" xr6:coauthVersionLast="47" xr6:coauthVersionMax="47" xr10:uidLastSave="{00000000-0000-0000-0000-000000000000}"/>
  <bookViews>
    <workbookView xWindow="-108" yWindow="-108" windowWidth="23256" windowHeight="12456" tabRatio="817" xr2:uid="{00000000-000D-0000-FFFF-FFFF00000000}"/>
  </bookViews>
  <sheets>
    <sheet name="表紙" sheetId="15" r:id="rId1"/>
    <sheet name="変更履歴" sheetId="17" r:id="rId2"/>
    <sheet name="１．機能" sheetId="18" r:id="rId3"/>
    <sheet name="２．項目転送（EDI送信DB_支払）_更新" sheetId="28" r:id="rId4"/>
    <sheet name="３．項目転送（EDI採番マスタ）_更新" sheetId="31" r:id="rId5"/>
    <sheet name="４．項目転送（連携ファイル）" sheetId="33" r:id="rId6"/>
    <sheet name="５．【参考】項目転送取引先別一覧表" sheetId="36" r:id="rId7"/>
  </sheets>
  <definedNames>
    <definedName name="_1枚目">#REF!</definedName>
    <definedName name="_2枚目">#REF!</definedName>
    <definedName name="_3枚目">#REF!</definedName>
    <definedName name="_4枚目">#REF!</definedName>
    <definedName name="_xlnm._FilterDatabase" localSheetId="6" hidden="1">'５．【参考】項目転送取引先別一覧表'!$A$1:$P$293</definedName>
    <definedName name="a">#REF!</definedName>
    <definedName name="AA">#REF!</definedName>
    <definedName name="b">#REF!</definedName>
    <definedName name="B_下">#REF!</definedName>
    <definedName name="B_上">#REF!</definedName>
    <definedName name="CSV項目編集仕様">#REF!</definedName>
    <definedName name="dd">#REF!</definedName>
    <definedName name="DS_下">#REF!</definedName>
    <definedName name="DS_上">#REF!</definedName>
    <definedName name="ＤＳ担当">#REF!</definedName>
    <definedName name="GUI名称">#REF!</definedName>
    <definedName name="ＩＤ">#REF!</definedName>
    <definedName name="IO">#REF!</definedName>
    <definedName name="IT項目">#REF!</definedName>
    <definedName name="kkk">#REF!</definedName>
    <definedName name="NULL">#REF!</definedName>
    <definedName name="ON">#REF!</definedName>
    <definedName name="PCL_下">#REF!</definedName>
    <definedName name="PCL_上">#REF!</definedName>
    <definedName name="ＰＧ担当">#REF!</definedName>
    <definedName name="_xlnm.Print_Area" localSheetId="2">'１．機能'!$A$1:$AR$94</definedName>
    <definedName name="_xlnm.Print_Area" localSheetId="3">'２．項目転送（EDI送信DB_支払）_更新'!$A$1:$I$40</definedName>
    <definedName name="_xlnm.Print_Area" localSheetId="4">'３．項目転送（EDI採番マスタ）_更新'!$A$1:$I$23</definedName>
    <definedName name="_xlnm.Print_Area" localSheetId="5">'４．項目転送（連携ファイル）'!$A$1:$I$36</definedName>
    <definedName name="_xlnm.Print_Area" localSheetId="0">表紙!$A$1:$AZ$38</definedName>
    <definedName name="_xlnm.Print_Area" localSheetId="1">変更履歴!$A$1:$BQ$53</definedName>
    <definedName name="_xlnm.Print_Titles" localSheetId="2">'１．機能'!$1:$4</definedName>
    <definedName name="_xlnm.Print_Titles" localSheetId="3">'２．項目転送（EDI送信DB_支払）_更新'!$1:$8</definedName>
    <definedName name="_xlnm.Print_Titles" localSheetId="4">'３．項目転送（EDI採番マスタ）_更新'!$1:$8</definedName>
    <definedName name="_xlnm.Print_Titles" localSheetId="5">'４．項目転送（連携ファイル）'!$1:$8</definedName>
    <definedName name="_xlnm.Print_Titles" localSheetId="1">変更履歴!$1:$5</definedName>
    <definedName name="PT項目">#REF!</definedName>
    <definedName name="RI">#REF!</definedName>
    <definedName name="riyu">#REF!</definedName>
    <definedName name="RYZ">#REF!</definedName>
    <definedName name="STEP_下">#REF!</definedName>
    <definedName name="STEP_上">#REF!</definedName>
    <definedName name="UD">#REF!</definedName>
    <definedName name="x">[0]!x</definedName>
    <definedName name="カーソルキー移動↑↓←">#REF!</definedName>
    <definedName name="カテゴリ一覧">#REF!</definedName>
    <definedName name="クラス名">#REF!</definedName>
    <definedName name="サブシステム名">#REF!</definedName>
    <definedName name="システム名">#REF!</definedName>
    <definedName name="セパレータ">#REF!</definedName>
    <definedName name="タイトル">#REF!</definedName>
    <definedName name="チェック">#REF!</definedName>
    <definedName name="チェック実行アプリ">#REF!</definedName>
    <definedName name="ﾃｰﾌﾞﾙID群">#REF!</definedName>
    <definedName name="ファイル名">#REF!</definedName>
    <definedName name="ファンクションキー割当">#REF!</definedName>
    <definedName name="ブロック">#REF!</definedName>
    <definedName name="ブロックＩＤ">#REF!</definedName>
    <definedName name="レベル">#REF!</definedName>
    <definedName name="移行元ﾌｧｲﾙＩＤ">#REF!</definedName>
    <definedName name="移行元項目ＩＤ">#REF!</definedName>
    <definedName name="一意">#REF!</definedName>
    <definedName name="一覧２">#REF!</definedName>
    <definedName name="可変行表示">#REF!</definedName>
    <definedName name="確認区分">#REF!</definedName>
    <definedName name="管理No">#REF!</definedName>
    <definedName name="基準稼働時間">#REF!</definedName>
    <definedName name="期限">#REF!</definedName>
    <definedName name="機能名_選択">#REF!</definedName>
    <definedName name="共通">#REF!</definedName>
    <definedName name="業">#REF!</definedName>
    <definedName name="業務間連携">#REF!</definedName>
    <definedName name="区分">#REF!</definedName>
    <definedName name="繰返">#REF!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#REF!</definedName>
    <definedName name="検索条件_営業担当者">#REF!</definedName>
    <definedName name="検索条件_企業">#REF!</definedName>
    <definedName name="検索条件_企業グループ">#REF!</definedName>
    <definedName name="検索条件_月">#REF!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#REF!</definedName>
    <definedName name="検索条件_発注先">#REF!</definedName>
    <definedName name="検索条件_発注先企業">#REF!</definedName>
    <definedName name="検索条件_本支店">#REF!</definedName>
    <definedName name="検索条件_本部">#REF!</definedName>
    <definedName name="原因区分">#REF!</definedName>
    <definedName name="原因工程">#REF!</definedName>
    <definedName name="原因種別">#REF!</definedName>
    <definedName name="言語">#REF!</definedName>
    <definedName name="更新者">#REF!</definedName>
    <definedName name="更新日">#REF!</definedName>
    <definedName name="項番">#REF!</definedName>
    <definedName name="項目名CK">#REF!</definedName>
    <definedName name="項目名称">#REF!</definedName>
    <definedName name="仕様">#REF!</definedName>
    <definedName name="仕様確定">#REF!</definedName>
    <definedName name="指摘区分">#REF!</definedName>
    <definedName name="指摘種別">#REF!</definedName>
    <definedName name="質的分類">#REF!</definedName>
    <definedName name="主キー">#REF!</definedName>
    <definedName name="処理区分">#REF!</definedName>
    <definedName name="初期値">#REF!</definedName>
    <definedName name="所属">#REF!</definedName>
    <definedName name="数字">#REF!</definedName>
    <definedName name="数字編集出力仕様">#REF!</definedName>
    <definedName name="前工程">#REF!</definedName>
    <definedName name="対象工程">#REF!</definedName>
    <definedName name="抽出クラス">#REF!</definedName>
    <definedName name="日付編集出力仕様">#REF!</definedName>
    <definedName name="日本語">#REF!</definedName>
    <definedName name="日本語名">#REF!</definedName>
    <definedName name="日本語名称">#REF!</definedName>
    <definedName name="入出">#REF!</definedName>
    <definedName name="入出力項目">#REF!</definedName>
    <definedName name="入出力部品日本語名・クラス名対応表">#REF!</definedName>
    <definedName name="入力チェック">#REF!</definedName>
    <definedName name="年表示パターン">#REF!</definedName>
    <definedName name="発行日">#REF!</definedName>
    <definedName name="備考">#REF!</definedName>
    <definedName name="必須">#REF!</definedName>
    <definedName name="必須入力項目">#REF!</definedName>
    <definedName name="評価_PCL">#REF!</definedName>
    <definedName name="符号">#REF!</definedName>
    <definedName name="物理名">#REF!</definedName>
    <definedName name="本支店">#REF!</definedName>
    <definedName name="本支店2">#REF!</definedName>
    <definedName name="本部">#REF!</definedName>
    <definedName name="本部1">#REF!</definedName>
    <definedName name="目標値">#REF!</definedName>
    <definedName name="利用可否">#REF!</definedName>
    <definedName name="利用可否1">#REF!</definedName>
    <definedName name="類別選択">[0]!類別選択</definedName>
    <definedName name="連番">#REF!</definedName>
    <definedName name="論理データ型一覧">#REF!</definedName>
    <definedName name="論理データ型一覧２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33" l="1"/>
  <c r="A33" i="33"/>
  <c r="A14" i="31"/>
  <c r="A30" i="33"/>
  <c r="A27" i="33"/>
  <c r="A34" i="33"/>
  <c r="A31" i="33"/>
  <c r="P3" i="36"/>
  <c r="P4" i="36"/>
  <c r="P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P57" i="36"/>
  <c r="P58" i="36"/>
  <c r="P59" i="36"/>
  <c r="P60" i="36"/>
  <c r="P61" i="36"/>
  <c r="P62" i="36"/>
  <c r="P63" i="36"/>
  <c r="P64" i="36"/>
  <c r="P65" i="36"/>
  <c r="P66" i="36"/>
  <c r="P67" i="36"/>
  <c r="P68" i="36"/>
  <c r="P69" i="36"/>
  <c r="P70" i="36"/>
  <c r="P71" i="36"/>
  <c r="P72" i="36"/>
  <c r="P73" i="36"/>
  <c r="P74" i="36"/>
  <c r="P75" i="36"/>
  <c r="P76" i="36"/>
  <c r="P77" i="36"/>
  <c r="P78" i="36"/>
  <c r="P79" i="36"/>
  <c r="P80" i="36"/>
  <c r="P81" i="36"/>
  <c r="P82" i="36"/>
  <c r="P83" i="36"/>
  <c r="P84" i="36"/>
  <c r="P85" i="36"/>
  <c r="P86" i="36"/>
  <c r="P87" i="36"/>
  <c r="P88" i="36"/>
  <c r="P89" i="36"/>
  <c r="P90" i="36"/>
  <c r="P91" i="36"/>
  <c r="P92" i="36"/>
  <c r="P93" i="36"/>
  <c r="P94" i="36"/>
  <c r="P95" i="36"/>
  <c r="P96" i="36"/>
  <c r="P97" i="36"/>
  <c r="P98" i="36"/>
  <c r="P99" i="36"/>
  <c r="P100" i="36"/>
  <c r="P101" i="36"/>
  <c r="P102" i="36"/>
  <c r="P103" i="36"/>
  <c r="P104" i="36"/>
  <c r="P105" i="36"/>
  <c r="P106" i="36"/>
  <c r="P107" i="36"/>
  <c r="P108" i="36"/>
  <c r="P109" i="36"/>
  <c r="P110" i="36"/>
  <c r="P111" i="36"/>
  <c r="P112" i="36"/>
  <c r="P113" i="36"/>
  <c r="P114" i="36"/>
  <c r="P115" i="36"/>
  <c r="P116" i="36"/>
  <c r="P117" i="36"/>
  <c r="P118" i="36"/>
  <c r="P119" i="36"/>
  <c r="P120" i="36"/>
  <c r="P121" i="36"/>
  <c r="P122" i="36"/>
  <c r="P123" i="36"/>
  <c r="P124" i="36"/>
  <c r="P125" i="36"/>
  <c r="P126" i="36"/>
  <c r="P127" i="36"/>
  <c r="P128" i="36"/>
  <c r="P129" i="36"/>
  <c r="P130" i="36"/>
  <c r="P131" i="36"/>
  <c r="P132" i="36"/>
  <c r="P133" i="36"/>
  <c r="P134" i="36"/>
  <c r="P135" i="36"/>
  <c r="P136" i="36"/>
  <c r="P137" i="36"/>
  <c r="P138" i="36"/>
  <c r="P139" i="36"/>
  <c r="P140" i="36"/>
  <c r="P141" i="36"/>
  <c r="P142" i="36"/>
  <c r="P143" i="36"/>
  <c r="P144" i="36"/>
  <c r="P145" i="36"/>
  <c r="P146" i="36"/>
  <c r="P147" i="36"/>
  <c r="P148" i="36"/>
  <c r="P149" i="36"/>
  <c r="P150" i="36"/>
  <c r="P151" i="36"/>
  <c r="P152" i="36"/>
  <c r="P153" i="36"/>
  <c r="P154" i="36"/>
  <c r="P155" i="36"/>
  <c r="P156" i="36"/>
  <c r="P157" i="36"/>
  <c r="P158" i="36"/>
  <c r="P159" i="36"/>
  <c r="P160" i="36"/>
  <c r="P161" i="36"/>
  <c r="P162" i="36"/>
  <c r="P163" i="36"/>
  <c r="P164" i="36"/>
  <c r="P165" i="36"/>
  <c r="P166" i="36"/>
  <c r="P167" i="36"/>
  <c r="P168" i="36"/>
  <c r="P169" i="36"/>
  <c r="P170" i="36"/>
  <c r="P171" i="36"/>
  <c r="P172" i="36"/>
  <c r="P173" i="36"/>
  <c r="P174" i="36"/>
  <c r="P175" i="36"/>
  <c r="P176" i="36"/>
  <c r="P177" i="36"/>
  <c r="P178" i="36"/>
  <c r="P179" i="36"/>
  <c r="P180" i="36"/>
  <c r="P181" i="36"/>
  <c r="P182" i="36"/>
  <c r="P183" i="36"/>
  <c r="P184" i="36"/>
  <c r="P185" i="36"/>
  <c r="P186" i="36"/>
  <c r="P187" i="36"/>
  <c r="P188" i="36"/>
  <c r="P189" i="36"/>
  <c r="P190" i="36"/>
  <c r="P191" i="36"/>
  <c r="P192" i="36"/>
  <c r="P193" i="36"/>
  <c r="P194" i="36"/>
  <c r="P195" i="36"/>
  <c r="P196" i="36"/>
  <c r="P197" i="36"/>
  <c r="P198" i="36"/>
  <c r="P199" i="36"/>
  <c r="P200" i="36"/>
  <c r="P201" i="36"/>
  <c r="P202" i="36"/>
  <c r="P203" i="36"/>
  <c r="P204" i="36"/>
  <c r="P205" i="36"/>
  <c r="P206" i="36"/>
  <c r="P207" i="36"/>
  <c r="P208" i="36"/>
  <c r="P209" i="36"/>
  <c r="P210" i="36"/>
  <c r="P211" i="36"/>
  <c r="P212" i="36"/>
  <c r="P213" i="36"/>
  <c r="P214" i="36"/>
  <c r="P215" i="36"/>
  <c r="P216" i="36"/>
  <c r="P217" i="36"/>
  <c r="P218" i="36"/>
  <c r="P219" i="36"/>
  <c r="P220" i="36"/>
  <c r="P221" i="36"/>
  <c r="P222" i="36"/>
  <c r="P223" i="36"/>
  <c r="P224" i="36"/>
  <c r="P225" i="36"/>
  <c r="P226" i="36"/>
  <c r="P227" i="36"/>
  <c r="P228" i="36"/>
  <c r="P229" i="36"/>
  <c r="P230" i="36"/>
  <c r="P231" i="36"/>
  <c r="P232" i="36"/>
  <c r="P233" i="36"/>
  <c r="P234" i="36"/>
  <c r="P235" i="36"/>
  <c r="P236" i="36"/>
  <c r="P237" i="36"/>
  <c r="P238" i="36"/>
  <c r="P239" i="36"/>
  <c r="P240" i="36"/>
  <c r="P241" i="36"/>
  <c r="P242" i="36"/>
  <c r="P243" i="36"/>
  <c r="P244" i="36"/>
  <c r="P245" i="36"/>
  <c r="P246" i="36"/>
  <c r="P247" i="36"/>
  <c r="P248" i="36"/>
  <c r="P249" i="36"/>
  <c r="P250" i="36"/>
  <c r="P251" i="36"/>
  <c r="P252" i="36"/>
  <c r="P253" i="36"/>
  <c r="P254" i="36"/>
  <c r="P255" i="36"/>
  <c r="P256" i="36"/>
  <c r="P257" i="36"/>
  <c r="P258" i="36"/>
  <c r="P259" i="36"/>
  <c r="P260" i="36"/>
  <c r="P261" i="36"/>
  <c r="P262" i="36"/>
  <c r="P263" i="36"/>
  <c r="P264" i="36"/>
  <c r="P265" i="36"/>
  <c r="P266" i="36"/>
  <c r="P267" i="36"/>
  <c r="P268" i="36"/>
  <c r="P269" i="36"/>
  <c r="P270" i="36"/>
  <c r="P271" i="36"/>
  <c r="P272" i="36"/>
  <c r="P273" i="36"/>
  <c r="P274" i="36"/>
  <c r="P275" i="36"/>
  <c r="P276" i="36"/>
  <c r="P277" i="36"/>
  <c r="P278" i="36"/>
  <c r="P279" i="36"/>
  <c r="P280" i="36"/>
  <c r="P281" i="36"/>
  <c r="P282" i="36"/>
  <c r="P283" i="36"/>
  <c r="P284" i="36"/>
  <c r="P285" i="36"/>
  <c r="P2" i="36"/>
  <c r="P293" i="36" l="1"/>
  <c r="P292" i="36"/>
  <c r="P291" i="36"/>
  <c r="P290" i="36"/>
  <c r="P289" i="36"/>
  <c r="P288" i="36"/>
  <c r="P287" i="36"/>
  <c r="P286" i="36"/>
  <c r="A12" i="33" l="1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8" i="33"/>
  <c r="A29" i="33"/>
  <c r="A35" i="33"/>
  <c r="AG3" i="18" l="1"/>
  <c r="A10" i="33"/>
  <c r="A9" i="33"/>
  <c r="A11" i="33"/>
  <c r="A38" i="28" l="1"/>
  <c r="A37" i="28"/>
  <c r="A36" i="28"/>
  <c r="A35" i="28"/>
  <c r="A34" i="28"/>
  <c r="A39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2" i="31" l="1"/>
  <c r="A21" i="31"/>
  <c r="A20" i="31"/>
  <c r="A19" i="31"/>
  <c r="A18" i="31"/>
  <c r="A17" i="31"/>
  <c r="A16" i="31"/>
  <c r="A15" i="31"/>
  <c r="A13" i="31"/>
  <c r="A12" i="31"/>
  <c r="A11" i="31"/>
  <c r="A10" i="31"/>
  <c r="A9" i="31"/>
  <c r="AC3" i="18" l="1"/>
  <c r="A21" i="28" l="1"/>
  <c r="A20" i="28"/>
  <c r="A19" i="28"/>
  <c r="A18" i="28"/>
  <c r="A17" i="28"/>
  <c r="A16" i="28"/>
  <c r="A15" i="28"/>
  <c r="A14" i="28"/>
  <c r="A13" i="28"/>
  <c r="A12" i="28"/>
  <c r="A11" i="28"/>
  <c r="A10" i="28"/>
  <c r="A9" i="28"/>
  <c r="AJ3" i="18" l="1"/>
  <c r="X3" i="18"/>
  <c r="O3" i="18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<sst xmlns="http://schemas.openxmlformats.org/spreadsheetml/2006/main" count="1492" uniqueCount="803">
  <si>
    <t>稲畑産業株式会社様</t>
    <phoneticPr fontId="4"/>
  </si>
  <si>
    <t>EDIシステム</t>
    <phoneticPr fontId="4"/>
  </si>
  <si>
    <t>バッチ処理設計書</t>
    <rPh sb="7" eb="8">
      <t>ショ</t>
    </rPh>
    <phoneticPr fontId="4"/>
  </si>
  <si>
    <t>富士通株式会社</t>
    <rPh sb="0" eb="3">
      <t>フジツウ</t>
    </rPh>
    <rPh sb="3" eb="5">
      <t>カブシキ</t>
    </rPh>
    <rPh sb="5" eb="7">
      <t>カイシャ</t>
    </rPh>
    <phoneticPr fontId="4"/>
  </si>
  <si>
    <t>承認</t>
    <rPh sb="0" eb="2">
      <t>ショウニン</t>
    </rPh>
    <phoneticPr fontId="4"/>
  </si>
  <si>
    <t>作成</t>
    <rPh sb="0" eb="2">
      <t>サクセイ</t>
    </rPh>
    <phoneticPr fontId="4"/>
  </si>
  <si>
    <t>稲畑産業
株式会社</t>
    <rPh sb="0" eb="2">
      <t>イナバタ</t>
    </rPh>
    <rPh sb="2" eb="4">
      <t>サンギョウ</t>
    </rPh>
    <rPh sb="5" eb="9">
      <t>カブシキガイシャ</t>
    </rPh>
    <phoneticPr fontId="4"/>
  </si>
  <si>
    <t>バッチ処理設計書</t>
    <rPh sb="3" eb="5">
      <t>ショリ</t>
    </rPh>
    <rPh sb="5" eb="7">
      <t>セッケイ</t>
    </rPh>
    <rPh sb="7" eb="8">
      <t>ショ</t>
    </rPh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</si>
  <si>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</si>
  <si>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取引先略称ID</t>
    <rPh sb="0" eb="2">
      <t>トリヒキ</t>
    </rPh>
    <rPh sb="2" eb="3">
      <t>サキ</t>
    </rPh>
    <rPh sb="3" eb="5">
      <t>リャクショウ</t>
    </rPh>
    <phoneticPr fontId="4"/>
  </si>
  <si>
    <t>カテゴリ名</t>
    <phoneticPr fontId="4"/>
  </si>
  <si>
    <t>作成者</t>
    <rPh sb="0" eb="3">
      <t>サクセイシャ</t>
    </rPh>
    <phoneticPr fontId="4"/>
  </si>
  <si>
    <t>作成日</t>
    <rPh sb="0" eb="2">
      <t>サクセイ</t>
    </rPh>
    <rPh sb="2" eb="3">
      <t>ヒ</t>
    </rPh>
    <phoneticPr fontId="4"/>
  </si>
  <si>
    <t>更新者</t>
    <rPh sb="0" eb="2">
      <t>コウシン</t>
    </rPh>
    <rPh sb="2" eb="3">
      <t>シャ</t>
    </rPh>
    <phoneticPr fontId="4"/>
  </si>
  <si>
    <t>更新日</t>
    <rPh sb="0" eb="2">
      <t>コウシン</t>
    </rPh>
    <rPh sb="2" eb="3">
      <t>ヒ</t>
    </rPh>
    <phoneticPr fontId="4"/>
  </si>
  <si>
    <t>-</t>
    <phoneticPr fontId="4"/>
  </si>
  <si>
    <t>№</t>
    <phoneticPr fontId="4"/>
  </si>
  <si>
    <t>バージョン</t>
    <phoneticPr fontId="4"/>
  </si>
  <si>
    <t>変更日付</t>
    <rPh sb="0" eb="2">
      <t>ヘンコウ</t>
    </rPh>
    <rPh sb="2" eb="4">
      <t>ヒヅケ</t>
    </rPh>
    <phoneticPr fontId="4"/>
  </si>
  <si>
    <t>変更者</t>
    <rPh sb="0" eb="2">
      <t>ヘンコウ</t>
    </rPh>
    <rPh sb="2" eb="3">
      <t>シャ</t>
    </rPh>
    <phoneticPr fontId="4"/>
  </si>
  <si>
    <t>区分</t>
    <rPh sb="0" eb="2">
      <t>クブン</t>
    </rPh>
    <phoneticPr fontId="4"/>
  </si>
  <si>
    <t>変更管理番号</t>
    <phoneticPr fontId="4"/>
  </si>
  <si>
    <t>変更箇所</t>
  </si>
  <si>
    <t>変更内容</t>
    <rPh sb="0" eb="2">
      <t>ヘンコウ</t>
    </rPh>
    <rPh sb="2" eb="4">
      <t>ナイヨウ</t>
    </rPh>
    <phoneticPr fontId="4"/>
  </si>
  <si>
    <t>備考</t>
    <rPh sb="0" eb="2">
      <t>ビコウ</t>
    </rPh>
    <phoneticPr fontId="4"/>
  </si>
  <si>
    <t>新規</t>
  </si>
  <si>
    <t>新規作成</t>
    <rPh sb="0" eb="2">
      <t>シンキ</t>
    </rPh>
    <rPh sb="2" eb="4">
      <t>サクセイ</t>
    </rPh>
    <phoneticPr fontId="4"/>
  </si>
  <si>
    <t>①目的</t>
    <rPh sb="1" eb="3">
      <t>モクテキ</t>
    </rPh>
    <phoneticPr fontId="4"/>
  </si>
  <si>
    <t>②機能概要</t>
    <rPh sb="1" eb="3">
      <t>キノウ</t>
    </rPh>
    <rPh sb="3" eb="5">
      <t>ガイヨウ</t>
    </rPh>
    <phoneticPr fontId="4"/>
  </si>
  <si>
    <t>③入出力情報</t>
    <rPh sb="1" eb="4">
      <t>ニュウシュツリョク</t>
    </rPh>
    <rPh sb="4" eb="6">
      <t>ジョウホウ</t>
    </rPh>
    <phoneticPr fontId="4"/>
  </si>
  <si>
    <t>[入力]</t>
    <rPh sb="1" eb="3">
      <t>ニュウリョク</t>
    </rPh>
    <phoneticPr fontId="4"/>
  </si>
  <si>
    <t>テーブル名orファイル名</t>
    <rPh sb="4" eb="5">
      <t>メイ</t>
    </rPh>
    <rPh sb="11" eb="12">
      <t>メイ</t>
    </rPh>
    <phoneticPr fontId="4"/>
  </si>
  <si>
    <t>抽出条件</t>
    <phoneticPr fontId="4"/>
  </si>
  <si>
    <t>使用目的</t>
    <rPh sb="0" eb="2">
      <t>シヨウ</t>
    </rPh>
    <rPh sb="2" eb="4">
      <t>モクテキ</t>
    </rPh>
    <phoneticPr fontId="4"/>
  </si>
  <si>
    <t>[出力]</t>
    <rPh sb="1" eb="3">
      <t>シュツリョク</t>
    </rPh>
    <phoneticPr fontId="4"/>
  </si>
  <si>
    <t>更新条件</t>
    <rPh sb="0" eb="2">
      <t>コウシン</t>
    </rPh>
    <phoneticPr fontId="4"/>
  </si>
  <si>
    <t>④機能詳細</t>
    <rPh sb="1" eb="3">
      <t>キノウ</t>
    </rPh>
    <rPh sb="3" eb="5">
      <t>ショウサイ</t>
    </rPh>
    <phoneticPr fontId="4"/>
  </si>
  <si>
    <t>■</t>
    <phoneticPr fontId="4"/>
  </si>
  <si>
    <t>設      定      値</t>
    <rPh sb="0" eb="1">
      <t>セツ</t>
    </rPh>
    <rPh sb="7" eb="8">
      <t>サダム</t>
    </rPh>
    <rPh sb="14" eb="15">
      <t>チ</t>
    </rPh>
    <phoneticPr fontId="4"/>
  </si>
  <si>
    <t>№</t>
  </si>
  <si>
    <t>項目グループ</t>
    <phoneticPr fontId="4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</si>
  <si>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4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</si>
  <si>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4"/>
  </si>
  <si>
    <t>型</t>
    <rPh sb="0" eb="1">
      <t>ガタ</t>
    </rPh>
    <phoneticPr fontId="4"/>
  </si>
  <si>
    <t>桁数</t>
    <rPh sb="0" eb="2">
      <t>ケタスウ</t>
    </rPh>
    <phoneticPr fontId="4"/>
  </si>
  <si>
    <t>小数桁数</t>
    <rPh sb="0" eb="2">
      <t>ショウスウ</t>
    </rPh>
    <rPh sb="2" eb="4">
      <t>ケタスウ</t>
    </rPh>
    <phoneticPr fontId="4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</si>
  <si>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4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</si>
  <si>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4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</si>
  <si>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</si>
  <si>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</si>
  <si>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</si>
  <si>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</si>
  <si>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</si>
  <si>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</si>
  <si>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</si>
  <si>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</si>
  <si>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</si>
  <si>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</si>
  <si>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</si>
  <si>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</si>
  <si>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</si>
  <si>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</si>
  <si>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</si>
  <si>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</si>
  <si>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</si>
  <si>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</si>
  <si>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</si>
  <si>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4"/>
  </si>
  <si>
    <t>小数付き数値</t>
  </si>
  <si>
    <t>半角英数記号</t>
  </si>
  <si>
    <t>システム日時(YYYY/MM/DD HH:MI:SS)</t>
    <rPh sb="4" eb="6">
      <t>ニチジ</t>
    </rPh>
    <phoneticPr fontId="4"/>
  </si>
  <si>
    <t>FJ松田</t>
    <rPh sb="2" eb="4">
      <t>マツダ</t>
    </rPh>
    <phoneticPr fontId="4"/>
  </si>
  <si>
    <t>- Ver.2.00 -</t>
    <phoneticPr fontId="4"/>
  </si>
  <si>
    <t>EDI採番マスタ</t>
    <rPh sb="3" eb="5">
      <t>サイバン</t>
    </rPh>
    <phoneticPr fontId="4"/>
  </si>
  <si>
    <t xml:space="preserve">データ交換ID = (パラメータ)データ交換ID かつ </t>
    <phoneticPr fontId="4"/>
  </si>
  <si>
    <t>EDI採番種別 = '01' かつ EDI採番取得キー = 'ZZZZZZZZZZ'</t>
    <phoneticPr fontId="4"/>
  </si>
  <si>
    <t>(1) 対象データの抽出</t>
  </si>
  <si>
    <t>(3) EDI採番マスタの連番取得・更新（共通処理呼び出し）</t>
  </si>
  <si>
    <t>mplt_CMN_EDI採番マスタ連番取得更新 を呼び出し、以下の処理を行う。</t>
    <phoneticPr fontId="4"/>
  </si>
  <si>
    <t>【更新回数】＋1</t>
    <phoneticPr fontId="4"/>
  </si>
  <si>
    <t>EDI_機能カテゴリコード</t>
  </si>
  <si>
    <t>EDI_採番種別</t>
  </si>
  <si>
    <t>EDI_採番取得キー</t>
  </si>
  <si>
    <t>有効桁数</t>
  </si>
  <si>
    <t>EDI_連番</t>
  </si>
  <si>
    <t>【EDI_連番】＋1</t>
    <phoneticPr fontId="4"/>
  </si>
  <si>
    <t>データ交換ID</t>
  </si>
  <si>
    <t>EDI_メーカ荷姿名(漢字)</t>
  </si>
  <si>
    <t>販売先コード</t>
  </si>
  <si>
    <t>仕入先コード</t>
  </si>
  <si>
    <t>IK自由使用欄1</t>
  </si>
  <si>
    <t>IK自由使用欄2</t>
  </si>
  <si>
    <t>IK自由使用欄3</t>
  </si>
  <si>
    <t>IK自由使用欄4</t>
  </si>
  <si>
    <t>IK自由使用欄5</t>
  </si>
  <si>
    <t>IK自由使用欄6</t>
  </si>
  <si>
    <t>IK自由使用欄7</t>
  </si>
  <si>
    <t>IK自由使用欄8</t>
  </si>
  <si>
    <t>IK自由使用欄9</t>
  </si>
  <si>
    <t>IK自由使用欄10</t>
  </si>
  <si>
    <t>相手先別データ</t>
  </si>
  <si>
    <t>マスタ最終更新ユーザ</t>
  </si>
  <si>
    <t>マスタ最終更新日時</t>
  </si>
  <si>
    <t>DATA_KOKAN_ID</t>
  </si>
  <si>
    <t>EDI_TEKIYO_START_YMD</t>
  </si>
  <si>
    <t>EDI_MK_HACSHA_CD_SND</t>
  </si>
  <si>
    <t>EDI_MK_ATUKAITEN_CD</t>
  </si>
  <si>
    <t>EDI_MK_NISUGATA_NM</t>
  </si>
  <si>
    <t>EDI_MK_TORIHIKI_KBN</t>
  </si>
  <si>
    <t>HAN_CD</t>
  </si>
  <si>
    <t>SUP_CD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</si>
  <si>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</si>
  <si>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</si>
  <si>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</si>
  <si>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</si>
  <si>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</si>
  <si>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</si>
  <si>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</si>
  <si>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</si>
  <si>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</si>
  <si>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</si>
  <si>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AITE_SAKI_BETSU_DATA</t>
  </si>
  <si>
    <t>MST_UPDATE_USR</t>
  </si>
  <si>
    <t>MST_UPDATE_DT</t>
  </si>
  <si>
    <t>半角英数字</t>
  </si>
  <si>
    <t>日付(年月日)</t>
  </si>
  <si>
    <t>半角文字</t>
  </si>
  <si>
    <t>送信シーケンスNO</t>
  </si>
  <si>
    <t>商品コード</t>
  </si>
  <si>
    <t>売上単価</t>
  </si>
  <si>
    <t>EDI_送信状況種別</t>
  </si>
  <si>
    <t>送信日時</t>
  </si>
  <si>
    <t>送信データ削除区分</t>
  </si>
  <si>
    <t>処理受付番号</t>
  </si>
  <si>
    <t>SND_SEQ_NO</t>
  </si>
  <si>
    <t>EDI_KINO_CATEGORY_CD</t>
  </si>
  <si>
    <t>ITEM_CD</t>
  </si>
  <si>
    <t>HAC_NO</t>
  </si>
  <si>
    <t>HAC_GYO_NO</t>
  </si>
  <si>
    <t>JUC_YMD</t>
  </si>
  <si>
    <t>EDI_MK_JUC_NO</t>
  </si>
  <si>
    <t>EDI_MK_JUC_GYO_NO</t>
  </si>
  <si>
    <t>EDI_HAN_CHUMON_NO</t>
  </si>
  <si>
    <t>URI_TANK</t>
  </si>
  <si>
    <t>FUNC_UKETSUKE_NO</t>
  </si>
  <si>
    <t>【更新回数】＋1</t>
  </si>
  <si>
    <t>EDI_SAIBAN_SBT</t>
  </si>
  <si>
    <t>EDI_SAIBAN_SHUTOKU_KEY</t>
  </si>
  <si>
    <t>YUKO_KETA_SU</t>
  </si>
  <si>
    <t>EDI_REMBAN</t>
  </si>
  <si>
    <t>処理対象レコードの抽出</t>
    <phoneticPr fontId="4"/>
  </si>
  <si>
    <t>連携ファイルマッピング仕様</t>
    <rPh sb="0" eb="2">
      <t>レンケイ</t>
    </rPh>
    <rPh sb="11" eb="13">
      <t>シヨウ</t>
    </rPh>
    <phoneticPr fontId="4"/>
  </si>
  <si>
    <t>連携ファイル</t>
    <rPh sb="0" eb="2">
      <t>レンケイ</t>
    </rPh>
    <phoneticPr fontId="4"/>
  </si>
  <si>
    <t>対象データをもとに、各取引先向けの連携ファイルを作成する。</t>
    <phoneticPr fontId="4"/>
  </si>
  <si>
    <t>連携ファイル</t>
    <phoneticPr fontId="4"/>
  </si>
  <si>
    <t>・後続の処理に必要な各取引先向けの連携ファイルを作成する。</t>
    <phoneticPr fontId="4"/>
  </si>
  <si>
    <t>配置箇所：EDIサーバ\PRD\Temp\</t>
    <rPh sb="0" eb="2">
      <t>ハイチ</t>
    </rPh>
    <rPh sb="2" eb="4">
      <t>カショ</t>
    </rPh>
    <phoneticPr fontId="4"/>
  </si>
  <si>
    <t>・mplt_CMN_EDI採番マスタ連番取得更新を呼び出し、EDI採番マスタのEDI連番を取得・更新する。</t>
    <phoneticPr fontId="4"/>
  </si>
  <si>
    <t>採番済み連番＋対象レコード</t>
    <phoneticPr fontId="4"/>
  </si>
  <si>
    <t>連番の取得</t>
    <rPh sb="0" eb="2">
      <t>レンバン</t>
    </rPh>
    <rPh sb="3" eb="5">
      <t>シュトク</t>
    </rPh>
    <phoneticPr fontId="4"/>
  </si>
  <si>
    <t>EDI採番マスタ</t>
    <phoneticPr fontId="4"/>
  </si>
  <si>
    <t>取得したEDI連番を +1 してUPDATE</t>
    <phoneticPr fontId="4"/>
  </si>
  <si>
    <t>次回送信用の連番更新</t>
    <rPh sb="0" eb="2">
      <t>ジカイ</t>
    </rPh>
    <rPh sb="2" eb="5">
      <t>ソウシンヨウ</t>
    </rPh>
    <rPh sb="6" eb="8">
      <t>レンバン</t>
    </rPh>
    <rPh sb="8" eb="10">
      <t>コウシン</t>
    </rPh>
    <phoneticPr fontId="4"/>
  </si>
  <si>
    <t>対象レコードのEDI送信状況種別を "1"（処理中）に更新</t>
    <phoneticPr fontId="4"/>
  </si>
  <si>
    <t>対象レコードに取得済のEDI連番を設定</t>
    <phoneticPr fontId="4"/>
  </si>
  <si>
    <t>処理中フラグを設定</t>
    <rPh sb="0" eb="3">
      <t>ショリチュウ</t>
    </rPh>
    <rPh sb="7" eb="9">
      <t>セッテイ</t>
    </rPh>
    <phoneticPr fontId="4"/>
  </si>
  <si>
    <t xml:space="preserve">	個別処理への中間ファイルとして出力</t>
    <rPh sb="1" eb="3">
      <t>コベツ</t>
    </rPh>
    <rPh sb="3" eb="5">
      <t>ショリ</t>
    </rPh>
    <rPh sb="7" eb="9">
      <t>チュウカン</t>
    </rPh>
    <rPh sb="16" eb="18">
      <t>シュツリョク</t>
    </rPh>
    <phoneticPr fontId="4"/>
  </si>
  <si>
    <t>　　EDI_送信状況種別=0</t>
    <rPh sb="6" eb="8">
      <t>ソウシン</t>
    </rPh>
    <rPh sb="8" eb="10">
      <t>ジョウキョウ</t>
    </rPh>
    <rPh sb="10" eb="12">
      <t>シュベツ</t>
    </rPh>
    <phoneticPr fontId="4"/>
  </si>
  <si>
    <t>　　EDI採番取得キー='ZZZZZZZZZZ'</t>
  </si>
  <si>
    <t>②EDI採番マスタをEDI連番＋１でUPDATEする。</t>
    <phoneticPr fontId="4"/>
  </si>
  <si>
    <t>※(キー)⇒EDI採番種別='01'</t>
    <phoneticPr fontId="4"/>
  </si>
  <si>
    <t>※ﾃﾞｰﾀ交換ID=(ﾊﾟﾗﾒｰﾀ)ﾃﾞｰﾀ交換ID</t>
    <phoneticPr fontId="4"/>
  </si>
  <si>
    <t>①EDI採番マスタより対象のﾃﾞｰﾀをSELECT for Updateでレコードロックする。</t>
    <rPh sb="4" eb="5">
      <t>サイ</t>
    </rPh>
    <rPh sb="5" eb="6">
      <t>バン</t>
    </rPh>
    <phoneticPr fontId="4"/>
  </si>
  <si>
    <t>EDIミドル移行対応</t>
    <rPh sb="6" eb="8">
      <t>イコウ</t>
    </rPh>
    <rPh sb="8" eb="10">
      <t>タイオウ</t>
    </rPh>
    <phoneticPr fontId="4"/>
  </si>
  <si>
    <t>処理受付番号の付与</t>
    <rPh sb="0" eb="2">
      <t>ショリ</t>
    </rPh>
    <rPh sb="2" eb="4">
      <t>ウケツケ</t>
    </rPh>
    <rPh sb="4" eb="6">
      <t>バンゴウ</t>
    </rPh>
    <phoneticPr fontId="4"/>
  </si>
  <si>
    <t>処理受付番号に (3) で取得した EDI連番（SELECT時の値）を設定する。</t>
    <rPh sb="35" eb="37">
      <t>セッテイ</t>
    </rPh>
    <phoneticPr fontId="4"/>
  </si>
  <si>
    <t>〇</t>
    <phoneticPr fontId="4"/>
  </si>
  <si>
    <t>EDI採番マスタ　更新</t>
    <rPh sb="9" eb="11">
      <t>コウシン</t>
    </rPh>
    <phoneticPr fontId="4"/>
  </si>
  <si>
    <t>EDI採番マスタマッピング</t>
    <rPh sb="3" eb="5">
      <t>サイバン</t>
    </rPh>
    <phoneticPr fontId="4"/>
  </si>
  <si>
    <t>(4) 連携ファイルの作成</t>
    <phoneticPr fontId="4"/>
  </si>
  <si>
    <t>抽出条件：</t>
    <phoneticPr fontId="4"/>
  </si>
  <si>
    <t>・EDI_送信状況種別 = "0"（未処理）</t>
    <phoneticPr fontId="4"/>
  </si>
  <si>
    <t>・データ交換ID = （パラメータ）データ交換ID</t>
    <phoneticPr fontId="4"/>
  </si>
  <si>
    <t>EDI送信状況種別="1"（処理中）に設定</t>
    <phoneticPr fontId="4"/>
  </si>
  <si>
    <t>出力フォーマットは「４．項目転送（連携ファイル）」シートを参照。</t>
    <phoneticPr fontId="4"/>
  </si>
  <si>
    <t>※取得したEDI連番（SELECT時の値）は、後続の処理で使用する。</t>
    <rPh sb="26" eb="28">
      <t>ショリ</t>
    </rPh>
    <phoneticPr fontId="4"/>
  </si>
  <si>
    <t>FJ)松田</t>
    <rPh sb="3" eb="5">
      <t>マツダ</t>
    </rPh>
    <phoneticPr fontId="4"/>
  </si>
  <si>
    <t>【EDI採番マスタ.EDI_連番】</t>
    <phoneticPr fontId="4"/>
  </si>
  <si>
    <t>処理受付番号</t>
    <phoneticPr fontId="4"/>
  </si>
  <si>
    <t>FUNC_UKETSUKE_NO</t>
    <phoneticPr fontId="4"/>
  </si>
  <si>
    <t>支払・支払明細</t>
    <rPh sb="0" eb="2">
      <t>シハラ</t>
    </rPh>
    <rPh sb="3" eb="5">
      <t>シハラ</t>
    </rPh>
    <rPh sb="5" eb="7">
      <t>メイサイ</t>
    </rPh>
    <phoneticPr fontId="4"/>
  </si>
  <si>
    <t>R60795</t>
    <phoneticPr fontId="4"/>
  </si>
  <si>
    <t>・処理対象件数が1件以上の場合、共通処理 mplt_CMN_EDI送信DB_支払更新１ により送信状況種別を「1（処理中）」に更新する。</t>
    <phoneticPr fontId="4"/>
  </si>
  <si>
    <t>EDI送信DB_支払</t>
    <phoneticPr fontId="4"/>
  </si>
  <si>
    <t>EDI_機能カテゴリコード = A140 かつ EDI_送信状況種別 = 0</t>
    <phoneticPr fontId="4"/>
  </si>
  <si>
    <t>※(キー) 送信シーケンスNo</t>
    <phoneticPr fontId="4"/>
  </si>
  <si>
    <t>EDI送信DB_支払テーブルより、以下の条件で処理対象のデータを抽出し、件数を取得する。</t>
    <phoneticPr fontId="4"/>
  </si>
  <si>
    <t>・EDI_機能カテゴリコード = "A140"</t>
    <phoneticPr fontId="4"/>
  </si>
  <si>
    <t>(2) EDI送信DB_支払のステータス更新（共通処理呼び出し）</t>
    <phoneticPr fontId="4"/>
  </si>
  <si>
    <t>(1)で抽出したデータに対して、mplt_CMN_EDI送信DB_支払更新１を呼び出し、以下の処理を行う。</t>
    <phoneticPr fontId="4"/>
  </si>
  <si>
    <t>　　EDI_機能ｶﾃｺﾞﾘｺｰﾄﾞ=A140</t>
    <rPh sb="6" eb="8">
      <t>キノウ</t>
    </rPh>
    <phoneticPr fontId="4"/>
  </si>
  <si>
    <t>EDI送信DB_支払　更新</t>
    <rPh sb="11" eb="13">
      <t>コウシン</t>
    </rPh>
    <phoneticPr fontId="4"/>
  </si>
  <si>
    <t>販区</t>
  </si>
  <si>
    <t>起算日</t>
  </si>
  <si>
    <t>金種</t>
  </si>
  <si>
    <t>本支店コード</t>
  </si>
  <si>
    <t>締切年月日</t>
  </si>
  <si>
    <t>満期日</t>
  </si>
  <si>
    <t>銀行コード</t>
  </si>
  <si>
    <t>支店コード</t>
  </si>
  <si>
    <t>銀行名(カナ)</t>
  </si>
  <si>
    <t>支店名(カナ)</t>
  </si>
  <si>
    <t>振込先口座種別</t>
  </si>
  <si>
    <t>振込先口座NO</t>
  </si>
  <si>
    <t>EDI_今回支払金額</t>
  </si>
  <si>
    <t>支払年月日</t>
  </si>
  <si>
    <t>受信シーケンスNO</t>
  </si>
  <si>
    <t>"m_CMN_支払_データ抽出_010"</t>
    <phoneticPr fontId="4"/>
  </si>
  <si>
    <t>半角英字</t>
  </si>
  <si>
    <t>・支払データとEDI受信DB_仕入先を受信SEQ番号で結合し、結合データを作成する。</t>
    <rPh sb="1" eb="3">
      <t>シハラ</t>
    </rPh>
    <rPh sb="19" eb="21">
      <t>ジュシン</t>
    </rPh>
    <rPh sb="24" eb="26">
      <t>バンゴウ</t>
    </rPh>
    <rPh sb="27" eb="29">
      <t>ケツゴウ</t>
    </rPh>
    <rPh sb="31" eb="33">
      <t>ケツゴウ</t>
    </rPh>
    <rPh sb="37" eb="39">
      <t>サクセイ</t>
    </rPh>
    <phoneticPr fontId="4"/>
  </si>
  <si>
    <t>・結合データに、取得したEDI連番を設定し、連携ファイルとする。</t>
    <rPh sb="8" eb="10">
      <t>シュトク</t>
    </rPh>
    <rPh sb="18" eb="20">
      <t>セッテイ</t>
    </rPh>
    <phoneticPr fontId="4"/>
  </si>
  <si>
    <t>・EDI送信DB_支払より対象のデータを抽出し、EDI受信DB_仕入先と結合して、EDI採番マスタの連番を設定する。</t>
    <phoneticPr fontId="4"/>
  </si>
  <si>
    <t>計上状況種別</t>
  </si>
  <si>
    <t>KEIJO_JOKYO_SBT</t>
  </si>
  <si>
    <t>後のフローで使用するため、必須</t>
    <rPh sb="0" eb="1">
      <t>ノチ</t>
    </rPh>
    <rPh sb="6" eb="8">
      <t>シヨウ</t>
    </rPh>
    <rPh sb="13" eb="15">
      <t>ヒッス</t>
    </rPh>
    <phoneticPr fontId="4"/>
  </si>
  <si>
    <t>エラー種別</t>
  </si>
  <si>
    <t>ERR_SBT</t>
  </si>
  <si>
    <t>仕入伝票番号</t>
  </si>
  <si>
    <t>SIR_DEN_NO</t>
  </si>
  <si>
    <t>エラーメッセージ(否認理由)</t>
  </si>
  <si>
    <t>ERR_MSG_HININ_RIYU</t>
  </si>
  <si>
    <t>計上年月日</t>
  </si>
  <si>
    <t>KEIJO_YMD</t>
  </si>
  <si>
    <t>RCV_SEQ_NO</t>
  </si>
  <si>
    <t>EDI_照合キー</t>
  </si>
  <si>
    <t>EDI_SHOGO_KEY</t>
  </si>
  <si>
    <t>仕入先</t>
    <rPh sb="0" eb="2">
      <t>シイ</t>
    </rPh>
    <rPh sb="2" eb="3">
      <t>サキ</t>
    </rPh>
    <phoneticPr fontId="4"/>
  </si>
  <si>
    <t>EDI受信DB_仕入先　のPKのため</t>
    <rPh sb="3" eb="5">
      <t>ジュシン</t>
    </rPh>
    <rPh sb="8" eb="10">
      <t>シイ</t>
    </rPh>
    <rPh sb="10" eb="11">
      <t>サキ</t>
    </rPh>
    <phoneticPr fontId="4"/>
  </si>
  <si>
    <t>販売先不明区分</t>
  </si>
  <si>
    <t>HAN_FUMEI_KBN</t>
  </si>
  <si>
    <t>販売先コード(確定)</t>
  </si>
  <si>
    <t>HAN_CD_KAKUTEI</t>
  </si>
  <si>
    <t>受信時組織コード</t>
  </si>
  <si>
    <t>RCV_SOSHIKI_CD</t>
  </si>
  <si>
    <t>受信時組織コード(確定)</t>
  </si>
  <si>
    <t>RCV_SOSHIKI_CD_KAKUTEI</t>
  </si>
  <si>
    <t>確定仕入責任組織コード(旧)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キュウ</t>
    </rPh>
    <phoneticPr fontId="1"/>
  </si>
  <si>
    <t>CONFIRM_SIR_SKNIN_SSHK_CD_OLD</t>
  </si>
  <si>
    <t>確定仕入責任組織コード(新)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シン</t>
    </rPh>
    <phoneticPr fontId="1"/>
  </si>
  <si>
    <t>CONFIRM_SIR_SKNIN_SSHK_CD_NEW</t>
  </si>
  <si>
    <t>仕入先不明区分</t>
  </si>
  <si>
    <t>SUP_FUMEI_KBN</t>
  </si>
  <si>
    <t>仕入先コード(確定)</t>
  </si>
  <si>
    <t>SUP_CD_KAKUTEI</t>
  </si>
  <si>
    <t>商品不明区分</t>
  </si>
  <si>
    <t>ITEM_FUMEI_KBN</t>
  </si>
  <si>
    <t>商品コード(確定)</t>
  </si>
  <si>
    <t>ITEM_CD_KAKUTEI</t>
  </si>
  <si>
    <t>商品別称コード</t>
  </si>
  <si>
    <t>ITEM_BESSHO_CD</t>
  </si>
  <si>
    <t>倉庫不明区分</t>
  </si>
  <si>
    <t>SOKO_FUMEI_KBN</t>
  </si>
  <si>
    <t>倉庫コード</t>
  </si>
  <si>
    <t>SOKO_CD</t>
  </si>
  <si>
    <t>倉庫コード(確定)</t>
  </si>
  <si>
    <t>SOKO_CD_KAKUTEI</t>
  </si>
  <si>
    <t>本部コード</t>
  </si>
  <si>
    <t>HOMBU_CD</t>
  </si>
  <si>
    <t>納入先コード</t>
  </si>
  <si>
    <t>NNY_CD</t>
  </si>
  <si>
    <t>納入先コード(確定)</t>
  </si>
  <si>
    <t>NNY_CD_KAKUTEI</t>
  </si>
  <si>
    <t>納入先名</t>
  </si>
  <si>
    <t>NNY_NM</t>
  </si>
  <si>
    <t>納入先名称(確定)</t>
  </si>
  <si>
    <t>NNY_NM_KAKUTEI</t>
  </si>
  <si>
    <t>メニュー番号</t>
  </si>
  <si>
    <t>MENU_NO</t>
  </si>
  <si>
    <t>商品対比相手コード</t>
  </si>
  <si>
    <t>ITEM_TAIHI_AITE_CD</t>
  </si>
  <si>
    <t>販売先対比相手コード</t>
  </si>
  <si>
    <t>HAN_TAIHI_AITE_CD</t>
  </si>
  <si>
    <t>発注部署対比相手コード</t>
  </si>
  <si>
    <t>HAC_BUSHO_TAIHI_AITE_CD</t>
  </si>
  <si>
    <t>受信年月日</t>
  </si>
  <si>
    <t>RCV_YMD</t>
  </si>
  <si>
    <t>受信時刻</t>
  </si>
  <si>
    <t>RCV_TM</t>
  </si>
  <si>
    <t>受信処理結果通知</t>
  </si>
  <si>
    <t>RCV_FUNC_KEKKA_TSUCHI</t>
  </si>
  <si>
    <t>商品名追記</t>
  </si>
  <si>
    <t>ITEM_NM_TSUIKI</t>
  </si>
  <si>
    <t>売上金額本体</t>
  </si>
  <si>
    <t>URI_GAKU_HONTAI</t>
  </si>
  <si>
    <t>EDI_請求金額(確定)</t>
  </si>
  <si>
    <t>EDI_SEIKYU_GAKU_KAKUTEI</t>
  </si>
  <si>
    <t>EDI_消費税額(確定)</t>
  </si>
  <si>
    <t>EDI_SHOHIZEI_GAKU_KAKUTEI</t>
  </si>
  <si>
    <t>税込請求額(確定)</t>
  </si>
  <si>
    <t>ZEIKOMI_SEIKYU_GAKU_KAKUTEI</t>
  </si>
  <si>
    <t>仕入先計上年月日</t>
  </si>
  <si>
    <t>SUP_KEIJO_YMD</t>
  </si>
  <si>
    <t>仕入先売上NO</t>
  </si>
  <si>
    <t>SUP_URI_NO</t>
  </si>
  <si>
    <t>重量</t>
  </si>
  <si>
    <t>JURYO</t>
  </si>
  <si>
    <t>EDI_支払サイト</t>
  </si>
  <si>
    <t>EDI_PAY_SIGHT</t>
  </si>
  <si>
    <t>メモ</t>
  </si>
  <si>
    <t>MEMO</t>
  </si>
  <si>
    <t>訂正時の相手照合NO</t>
  </si>
  <si>
    <t>TEISEI_H_AITE_SHOGO_NO</t>
  </si>
  <si>
    <t>メーカ事業所</t>
  </si>
  <si>
    <t>MK_JIGYOSHO</t>
  </si>
  <si>
    <t>メーカ商品コード(FULL)</t>
  </si>
  <si>
    <t>MK_ITEM_CD_FULL</t>
  </si>
  <si>
    <t>出荷場所名(漢字)</t>
  </si>
  <si>
    <t>SHUKKA_BASHO_NM</t>
  </si>
  <si>
    <t>工場名</t>
  </si>
  <si>
    <t>KOJO_NM</t>
  </si>
  <si>
    <t>現場名</t>
  </si>
  <si>
    <t>GEMBA_NM</t>
  </si>
  <si>
    <t>販売区域</t>
  </si>
  <si>
    <t>HAN_ARER</t>
  </si>
  <si>
    <t>担当課コード</t>
  </si>
  <si>
    <t>TANTOKA_CD</t>
  </si>
  <si>
    <t>漢字備考種別</t>
    <rPh sb="0" eb="2">
      <t>カンジ</t>
    </rPh>
    <rPh sb="2" eb="4">
      <t>ビコウ</t>
    </rPh>
    <rPh sb="4" eb="6">
      <t>シュベツ</t>
    </rPh>
    <phoneticPr fontId="1"/>
  </si>
  <si>
    <t>KANJI_NOTE_SBT</t>
  </si>
  <si>
    <t>備考</t>
  </si>
  <si>
    <t>NOTE</t>
  </si>
  <si>
    <t>グレード/カラーNO</t>
  </si>
  <si>
    <t>GRADE_COLOR_NO</t>
  </si>
  <si>
    <t>EDI_商品巾</t>
  </si>
  <si>
    <t>EDI_ITEM_WIDTH</t>
  </si>
  <si>
    <t>EDI_商品長さ</t>
  </si>
  <si>
    <t>EDI_ITEM_LENGTH</t>
  </si>
  <si>
    <t>EDI_商品厚み</t>
  </si>
  <si>
    <t>EDI_ITEM_THICK</t>
  </si>
  <si>
    <t>EDI_商品代替品巾</t>
  </si>
  <si>
    <t>EDI_ITEM_DAITAIHIN_WIDTH</t>
  </si>
  <si>
    <t>販売先品番</t>
  </si>
  <si>
    <t>HAN_HIMBAN</t>
  </si>
  <si>
    <t>リスト出力用エラー内容</t>
  </si>
  <si>
    <t>LIST_OUT_YO_ERR_NAIYO</t>
  </si>
  <si>
    <t>売上伝票番号</t>
  </si>
  <si>
    <t>URI_DEN_NO</t>
  </si>
  <si>
    <t>相殺先受信シーケンスNO</t>
  </si>
  <si>
    <t>SOSAI_RCV_SEQ_NO</t>
  </si>
  <si>
    <t>EDI_支払締切年月日</t>
  </si>
  <si>
    <t>EDI_PAY_SHIMEKIRI_YMD</t>
  </si>
  <si>
    <t>変更後期日年月日</t>
  </si>
  <si>
    <t>HENKOGO_KIJITSU_YMD</t>
  </si>
  <si>
    <t>支払照合番号</t>
  </si>
  <si>
    <t>PAY_SHOGO_NO</t>
  </si>
  <si>
    <t>出荷請求確認番号(債務)</t>
  </si>
  <si>
    <t>SHUKKA_SEIKYU_CHK_NO_SAIMU</t>
  </si>
  <si>
    <t>計上状況種別(仮締め)</t>
  </si>
  <si>
    <t>KEIJO_JOKYO_SBT_KARISHIME</t>
  </si>
  <si>
    <t>EDI_支払締め種別</t>
  </si>
  <si>
    <t>EDI_PAY_SHIME_SBT</t>
  </si>
  <si>
    <t>EDI_支払種別</t>
  </si>
  <si>
    <t>EDI_PAY_SBT</t>
  </si>
  <si>
    <t>代表宛メール送信区分</t>
  </si>
  <si>
    <t>DAIHYOATE_MAIL_SND_KBN</t>
  </si>
  <si>
    <t>業務反映要否区分</t>
  </si>
  <si>
    <t>ACT_HANEI_YN_KBN</t>
  </si>
  <si>
    <t>業務反映済区分</t>
  </si>
  <si>
    <t>ACT_HANEI_ZUMI_KBN</t>
  </si>
  <si>
    <t>マスタ反映済区分</t>
  </si>
  <si>
    <t>MST_HANEI_ZUMI_KBN</t>
  </si>
  <si>
    <t>価格マスタ照合自動計上区分</t>
  </si>
  <si>
    <t>KAKAKU_MST_SHOGO_AUTO_ADD_KBN</t>
  </si>
  <si>
    <t>価格マスタ照合キー種別</t>
  </si>
  <si>
    <t>KAKAKU_MST_SHOGO_KEY_SBT</t>
  </si>
  <si>
    <t>価格マスタ照合キー</t>
  </si>
  <si>
    <t>KAKAKU_MST_SHOGO_KEY</t>
  </si>
  <si>
    <t>EDI_売上額確定済区分</t>
  </si>
  <si>
    <t>EDI_URI_GAKU_KAKUTEI_ZUMI_KBN</t>
  </si>
  <si>
    <t>自動計上対象外区分</t>
  </si>
  <si>
    <t>AUTO_ADD_TAISHOGAI_KBN</t>
  </si>
  <si>
    <t>ネットネット自動計上対象区分</t>
  </si>
  <si>
    <t>NETNET_AUTO_ADD_TAISHO_KBN</t>
  </si>
  <si>
    <t>出荷請求確認済区分</t>
  </si>
  <si>
    <t>SHUKKA_SEIKYU_CHK_ZUMI_KBN</t>
  </si>
  <si>
    <t>レコード削除可区分</t>
  </si>
  <si>
    <t>RECORD_DEL_KANO_KBN</t>
  </si>
  <si>
    <t>受信項目訂正可区分</t>
  </si>
  <si>
    <t>RCV_KOUMOKU_TEISEIKA_KBN</t>
  </si>
  <si>
    <t>リスト出力済区分</t>
  </si>
  <si>
    <t>LIST_OUT_ZUMI_KBN</t>
  </si>
  <si>
    <t>バッチ処理完了区分</t>
  </si>
  <si>
    <t>BATCH_FUNC_KANRYO_KBN</t>
  </si>
  <si>
    <t>仕入税処理コード</t>
    <rPh sb="0" eb="2">
      <t>シイレ</t>
    </rPh>
    <rPh sb="2" eb="3">
      <t>ゼイ</t>
    </rPh>
    <rPh sb="3" eb="5">
      <t>ショリ</t>
    </rPh>
    <phoneticPr fontId="1"/>
  </si>
  <si>
    <t>SIR_TAX_FUNC_CD</t>
  </si>
  <si>
    <t>仕入税処理コード(確定)</t>
    <rPh sb="0" eb="2">
      <t>シイレ</t>
    </rPh>
    <rPh sb="2" eb="3">
      <t>ゼイ</t>
    </rPh>
    <rPh sb="3" eb="5">
      <t>ショリ</t>
    </rPh>
    <rPh sb="9" eb="11">
      <t>カクテイ</t>
    </rPh>
    <phoneticPr fontId="1"/>
  </si>
  <si>
    <t>SIR_TAX_FUNC_CD_CONFIRM</t>
  </si>
  <si>
    <t>売上税処理コード</t>
    <rPh sb="0" eb="2">
      <t>ウリアゲ</t>
    </rPh>
    <rPh sb="2" eb="3">
      <t>ゼイ</t>
    </rPh>
    <rPh sb="3" eb="5">
      <t>ショリ</t>
    </rPh>
    <phoneticPr fontId="1"/>
  </si>
  <si>
    <t>URI_TAX_FUNC_CD</t>
  </si>
  <si>
    <t>売上税処理コード(確定)</t>
    <rPh sb="0" eb="2">
      <t>ウリアゲ</t>
    </rPh>
    <rPh sb="2" eb="3">
      <t>ゼイ</t>
    </rPh>
    <rPh sb="3" eb="5">
      <t>ショリ</t>
    </rPh>
    <rPh sb="9" eb="11">
      <t>カクテイ</t>
    </rPh>
    <phoneticPr fontId="1"/>
  </si>
  <si>
    <t>URI_TAX_FUNC_CD_CONFIRM</t>
  </si>
  <si>
    <t>営業担当者コード</t>
  </si>
  <si>
    <t>EIGYO_TANTO_CD</t>
  </si>
  <si>
    <t>入力担当者コード</t>
  </si>
  <si>
    <t>INP_TANTO_CD</t>
  </si>
  <si>
    <t>エラーレベル種別</t>
  </si>
  <si>
    <t>ERR_LEVEL_SBT</t>
  </si>
  <si>
    <t>仕入先回答種別</t>
  </si>
  <si>
    <t>SUP_KAITO_SBT</t>
  </si>
  <si>
    <t>ユーザ発注処理種別</t>
  </si>
  <si>
    <t>USR_HAC_FUNC_SBT</t>
  </si>
  <si>
    <t>請求確認作成種別</t>
  </si>
  <si>
    <t>SEIKYU_CHK_CREATE_SBT</t>
  </si>
  <si>
    <t>確認種別</t>
  </si>
  <si>
    <t>CHK_SBT</t>
  </si>
  <si>
    <t>EDI_計上種別</t>
  </si>
  <si>
    <t>EDI_KEIJO_SBT</t>
  </si>
  <si>
    <t>EDI_計上種別(確定)</t>
  </si>
  <si>
    <t>EDI_KEIJO_SBT_KAKUTEI</t>
  </si>
  <si>
    <t>自動取消実施状況種別</t>
  </si>
  <si>
    <t>AUTO_DEL_JISSHI_JOKYO_SBT</t>
  </si>
  <si>
    <t>業務エラーコード</t>
  </si>
  <si>
    <t>ACT_ERR_CD</t>
  </si>
  <si>
    <t>EDI_請求データ区分</t>
  </si>
  <si>
    <t>EDI_SEIKYU_DATA_KBN</t>
  </si>
  <si>
    <t>JPCA_リザーブ</t>
  </si>
  <si>
    <t>JPCA_RESERVE</t>
  </si>
  <si>
    <t>JPCA_BPID</t>
  </si>
  <si>
    <t>JPCA_送受信</t>
  </si>
  <si>
    <t>JPCA_SND_RCV</t>
  </si>
  <si>
    <t>JPCA_情報区分</t>
  </si>
  <si>
    <t>JPCA_INF_KBN</t>
  </si>
  <si>
    <t>JPCA_自社コード</t>
  </si>
  <si>
    <t>JPCA_JISHA_CD</t>
  </si>
  <si>
    <t>JPCA_相手先コード</t>
  </si>
  <si>
    <t>JPCA_AITE_SAKI_CD</t>
  </si>
  <si>
    <t>JPCA_仕入EDI_データ種別コード</t>
  </si>
  <si>
    <t>JPCA_SIR_EDI_DATA_SBT_CD</t>
  </si>
  <si>
    <t>JPCA_処理区分</t>
  </si>
  <si>
    <t>JPCA_FUNC_KBN</t>
  </si>
  <si>
    <t>JPCA_処理年月日</t>
  </si>
  <si>
    <t>JPCA_FUNC_YMD</t>
  </si>
  <si>
    <t>JPCA_処理時分秒</t>
  </si>
  <si>
    <t>JPCA_FUNC_HMS</t>
  </si>
  <si>
    <t>JPCA_赤黒区分</t>
  </si>
  <si>
    <t>JPCA_AKAKURO_KBN</t>
  </si>
  <si>
    <t>JPCA_発注者企業コード</t>
  </si>
  <si>
    <t>JPCA_HACSHA_KIGYO_CD</t>
  </si>
  <si>
    <t>JPCA_発注者部門コード</t>
  </si>
  <si>
    <t>JPCA_HACSHA_BMN_CD</t>
  </si>
  <si>
    <t>JPCA_新発注者企業コード</t>
  </si>
  <si>
    <t>JPCA_NEW_HACSHA_KIGYO_CD</t>
  </si>
  <si>
    <t>JPCA_新発注者部門コード</t>
  </si>
  <si>
    <t>JPCA_NEW_HACSHA_BMN_CD</t>
  </si>
  <si>
    <t>JPCA_受注者企業コード</t>
  </si>
  <si>
    <t>JPCA_JUC_KIGYO_CD</t>
  </si>
  <si>
    <t>JPCA_受注者部門コード</t>
  </si>
  <si>
    <t>JPCA_JUC_BMN_CD</t>
  </si>
  <si>
    <t>JPCA_請求者企業コード</t>
  </si>
  <si>
    <t>JPCA_SEIKYU_KIGYO_CD</t>
  </si>
  <si>
    <t>JPCA_請求者部門コード</t>
  </si>
  <si>
    <t>JPCA_SEIKYU_BMN_CD</t>
  </si>
  <si>
    <t>JPCA_支払者企業コード</t>
  </si>
  <si>
    <t>JPCA_PAY_KIGYO_CD</t>
  </si>
  <si>
    <t>JPCA_支払者部門コード</t>
  </si>
  <si>
    <t>JPCA_PAY_BMN_CD</t>
  </si>
  <si>
    <t>JPCA_契約番号</t>
  </si>
  <si>
    <t>JPCA_KEIYAKU_NO</t>
  </si>
  <si>
    <t>JPCA_実施年月日</t>
  </si>
  <si>
    <t>JPCA_JISSHI_YMD</t>
  </si>
  <si>
    <t>JPCA_EDI注文番号</t>
  </si>
  <si>
    <t>JPCA_EDI_CHUMON_NO</t>
  </si>
  <si>
    <t>JPCA_発注者注文日</t>
  </si>
  <si>
    <t>JPCA_HACSHA_CHUMON_D</t>
  </si>
  <si>
    <t>JPCA_発注者注文時刻</t>
  </si>
  <si>
    <t>JPCA_HACSHA_CHUMON_TM</t>
  </si>
  <si>
    <t>JPCA_オーダー区分</t>
  </si>
  <si>
    <t>JPCA_ORDER_KBN</t>
  </si>
  <si>
    <t>JPCA_連絡要否区分</t>
  </si>
  <si>
    <t>JPCA_RENRAKU_YN_KBN</t>
  </si>
  <si>
    <t>JPCA_数量指定区分</t>
  </si>
  <si>
    <t>JPCA_SU_SHITEI_KBN</t>
  </si>
  <si>
    <t>JPCA_発注コメント(カナ)</t>
  </si>
  <si>
    <t>JPCA_HAC_COMMENT_KANA</t>
  </si>
  <si>
    <t>JPCA_発注コメント(漢字)</t>
  </si>
  <si>
    <t>JPCA_HAC_COMMENT_KANJI</t>
  </si>
  <si>
    <t>JPCA_EDI受注番号</t>
  </si>
  <si>
    <t>JPCA_EDI_JUC_NO</t>
  </si>
  <si>
    <t>JPCA_受注者注文受付日</t>
  </si>
  <si>
    <t>JPCA_JUC_CHUMON_UKETSUKE_D</t>
  </si>
  <si>
    <t>JPCA_受注者注文受付時刻</t>
  </si>
  <si>
    <t>JPCA_JUC_CHUMON_UKETSUKE_TM</t>
  </si>
  <si>
    <t>JPCA_受注者注文確定日</t>
  </si>
  <si>
    <t>JPCA_JUC_CHUMON_KAKUTEI_D</t>
  </si>
  <si>
    <t>JPCA_分納区分</t>
  </si>
  <si>
    <t>JPCA_BUNNO_KBN</t>
  </si>
  <si>
    <t>JPCA_受注者処理区分</t>
  </si>
  <si>
    <t>JPCA_JUC_FUNC_KBN</t>
  </si>
  <si>
    <t>JPCA_品名グループ</t>
  </si>
  <si>
    <t>JPCA_ITEM_NM_GROUP</t>
  </si>
  <si>
    <t>JPCA_品名(カナ)</t>
  </si>
  <si>
    <t>JPCA_ITEM_NMK</t>
  </si>
  <si>
    <t>JPCA_品名(漢字)</t>
  </si>
  <si>
    <t>JPCA_ITEM_NM_KANJI</t>
  </si>
  <si>
    <t>JPCA_ロット番号指定区分</t>
  </si>
  <si>
    <t>JPCA_LOT_NO_SHITEI_KBN</t>
  </si>
  <si>
    <t>JPCA_ロット番号</t>
  </si>
  <si>
    <t>JPCA_LOT_NO</t>
  </si>
  <si>
    <t>JPCA_需要家企業コード</t>
  </si>
  <si>
    <t>JPCA_JUYOKA_KIGYO_CD</t>
  </si>
  <si>
    <t>JPCA_需要家部門コード</t>
  </si>
  <si>
    <t>JPCA_JUYOKA_BMN_CD</t>
  </si>
  <si>
    <t>JPCA_需要家名称(カナ)</t>
  </si>
  <si>
    <t>JPCA_JUYOKA_NMK</t>
  </si>
  <si>
    <t>JPCA_需要家名称(漢字)</t>
  </si>
  <si>
    <t>JPCA_JUYOKA_NM_KANJI</t>
  </si>
  <si>
    <t>JPCA_需要家注文番号</t>
  </si>
  <si>
    <t>JPCA_JUYOKA_CHUMON_NO</t>
  </si>
  <si>
    <t>JPCA_2次店企業コード</t>
  </si>
  <si>
    <t>JPCA_NIJITEN_KIGYO_CD</t>
  </si>
  <si>
    <t>JPCA_2次店部門コード</t>
  </si>
  <si>
    <t>JPCA_NIJITEN_BMN_CD</t>
  </si>
  <si>
    <t>JPCA_2次店名称(カナ)</t>
  </si>
  <si>
    <t>JPCA_NIJITEN_NMK</t>
  </si>
  <si>
    <t>JPCA_2次店名</t>
  </si>
  <si>
    <t>JPCA_NIJITEN_NM</t>
  </si>
  <si>
    <t>JPCA_3次店企業コード</t>
  </si>
  <si>
    <t>JPCA_SANJITEN_KIGYO_CD</t>
  </si>
  <si>
    <t>JPCA_3次店部門コード</t>
  </si>
  <si>
    <t>JPCA_SANJITEN_BMN_CD</t>
  </si>
  <si>
    <t>JPCA_3次店名(カナ)</t>
  </si>
  <si>
    <t>JPCA_SANJITEN_NMK</t>
  </si>
  <si>
    <t>JPCA_3次店名</t>
  </si>
  <si>
    <t>JPCA_SANJITEN_NM</t>
  </si>
  <si>
    <t>JPCA_決済条件締切日</t>
  </si>
  <si>
    <t>JPCA_KESSAI_JOKEN_SHIMEKIRI_D</t>
  </si>
  <si>
    <t>JPCA_決済条件起算日</t>
  </si>
  <si>
    <t>JPCA_KESSAI_JOKEN_KISAN_D</t>
  </si>
  <si>
    <t>JPCA_決済条件手段</t>
  </si>
  <si>
    <t>JPCA_KESSAI_JOKEN_SHUDAN</t>
  </si>
  <si>
    <t>JPCA_決済条件満期日</t>
  </si>
  <si>
    <t>JPCA_KESSAI_JOKEN_MANKI_D</t>
  </si>
  <si>
    <t>JPCA_決済基準</t>
  </si>
  <si>
    <t>JPCA_KESSAI_KIJUN</t>
  </si>
  <si>
    <t>JPCA_決済条件</t>
  </si>
  <si>
    <t>JPCA_KESSAI_JOKEN</t>
  </si>
  <si>
    <t>JPCA_数量確定区分</t>
  </si>
  <si>
    <t>JPCA_SU_KAKUTEI_KBN</t>
  </si>
  <si>
    <t>JPCA_販売単価</t>
  </si>
  <si>
    <t>JPCA_HAN_TANK</t>
  </si>
  <si>
    <t>JPCA_単価単位</t>
  </si>
  <si>
    <t>JPCA_TANK_UNIT</t>
  </si>
  <si>
    <t>JPCA_単価区分</t>
  </si>
  <si>
    <t>JPCA_TANK_KBN</t>
  </si>
  <si>
    <t>JPCA_口銭区分</t>
  </si>
  <si>
    <t>JPCA_KOSEN_KBN</t>
  </si>
  <si>
    <t>JPCA_口銭単価</t>
  </si>
  <si>
    <t>JPCA_KOSEN_TANK</t>
  </si>
  <si>
    <t>JPCA_口銭</t>
  </si>
  <si>
    <t>JPCA_KOSEN</t>
  </si>
  <si>
    <t>JPCA_2次店口銭区分</t>
  </si>
  <si>
    <t>JPCA_NIJITEN_KOSEN_KBN</t>
  </si>
  <si>
    <t>JPCA_2次店口銭単価</t>
  </si>
  <si>
    <t>JPCA_NIJITEN_KOSEN_TANK</t>
  </si>
  <si>
    <t>JPCA_2次店口銭</t>
  </si>
  <si>
    <t>JPCA_NIJITEN_KOSEN</t>
  </si>
  <si>
    <t>JPCA_納入先企業コード</t>
  </si>
  <si>
    <t>JPCA_NNY_KIGYO_CD</t>
  </si>
  <si>
    <t>JPCA_納入先部門コード</t>
  </si>
  <si>
    <t>JPCA_NNY_BMN_CD</t>
  </si>
  <si>
    <t>JPCA_納入先名称(カナ)</t>
  </si>
  <si>
    <t>JPCA_NNY_NMK</t>
  </si>
  <si>
    <t>JPCA_納入先名称(漢字)</t>
  </si>
  <si>
    <t>JPCA_NNY_NM_KANJI</t>
  </si>
  <si>
    <t>JPCA_EDI受渡条件</t>
  </si>
  <si>
    <t>JPCA_EDI_UKEWATASHI_JOKEN</t>
  </si>
  <si>
    <t>JPCA_受渡場所住所(カナ)</t>
  </si>
  <si>
    <t>JPCA_UKEWATASHI_BASHO_ADDRK</t>
  </si>
  <si>
    <t>JPCA_受渡場所住所(漢字)</t>
  </si>
  <si>
    <t>JPCA_UKEWATASHI_BASHO_ADDR</t>
  </si>
  <si>
    <t>JPCA_地区コード</t>
  </si>
  <si>
    <t>JPCA_CHIKU_CD</t>
  </si>
  <si>
    <t>JPCA_郵便番号</t>
  </si>
  <si>
    <t>JPCA_ZIP</t>
  </si>
  <si>
    <t>JPCA_EDI電話番号</t>
  </si>
  <si>
    <t>JPCA_EDI_TEL</t>
  </si>
  <si>
    <t>JPCA_FAX番号</t>
  </si>
  <si>
    <t>JPCA_FAX</t>
  </si>
  <si>
    <t>JPCA_希望納入年月日</t>
  </si>
  <si>
    <t>JPCA_KIBO_NONYU_YMD</t>
  </si>
  <si>
    <t>JPCA_希望納入時刻</t>
  </si>
  <si>
    <t>JPCA_KIBO_NONYU_TM</t>
  </si>
  <si>
    <t>JPCA_希望納入コメント</t>
  </si>
  <si>
    <t>JPCA_KIBO_NONYU_COMMENT</t>
  </si>
  <si>
    <t>JPCA_納入年月日(予定)</t>
  </si>
  <si>
    <t>JPCA_NONYU_YMD_YOTEI</t>
  </si>
  <si>
    <t>JPCA_納入要件(カナ)</t>
  </si>
  <si>
    <t>JPCA_NONYU_YOKEN_KANA</t>
  </si>
  <si>
    <t>JPCA_納入要件(漢字)</t>
  </si>
  <si>
    <t>JPCA_NONYU_YOKEN_KANJI</t>
  </si>
  <si>
    <t>JPCA_EDI支払金額</t>
  </si>
  <si>
    <t>JPCA_EDI_PAY_GAKU</t>
  </si>
  <si>
    <t>JPCA_支払整理番号</t>
  </si>
  <si>
    <t>JPCA_PAY_SEIRI_NO</t>
  </si>
  <si>
    <t>JPCA_手形番号(小切手番号)</t>
  </si>
  <si>
    <t>JPCA_TEGATA_NO_KOGITTE</t>
  </si>
  <si>
    <t>JPCA_振出銀行(コード)</t>
  </si>
  <si>
    <t>JPCA_ISSUE_BANK_CD</t>
  </si>
  <si>
    <t>JPCA_振出銀行(名称)</t>
  </si>
  <si>
    <t>JPCA_ISSUE_BANK_NM</t>
  </si>
  <si>
    <t>JPCA_振込銀行(コード)</t>
  </si>
  <si>
    <t>JPCA_FURIKOMI_BANK_CD</t>
  </si>
  <si>
    <t>JPCA_振込銀行(名称)</t>
  </si>
  <si>
    <t>JPCA_FURIKOMI_BANK_NM</t>
  </si>
  <si>
    <t>JPCA_口座番号</t>
  </si>
  <si>
    <t>JPCA_KOZA_NO</t>
  </si>
  <si>
    <t>JPCA_支払要件</t>
  </si>
  <si>
    <t>JPCA_PAY_YOKEN</t>
  </si>
  <si>
    <t>JPCA_注文数量</t>
  </si>
  <si>
    <t>JPCA_CHUMON_SU</t>
  </si>
  <si>
    <t>JPCA_注文・販売個数</t>
  </si>
  <si>
    <t>JPCA_CHUMON_HAN_KOSU</t>
  </si>
  <si>
    <t>JPCA_注文数量単位</t>
  </si>
  <si>
    <t>JPCA_CHUMON_SU_UNIT</t>
  </si>
  <si>
    <t>JPCA_販売数量</t>
  </si>
  <si>
    <t>JPCA_HAN_SU</t>
  </si>
  <si>
    <t>JPCA_金額算出数量</t>
  </si>
  <si>
    <t>JPCA_GAKU_CLC_SU</t>
  </si>
  <si>
    <t>JPCA_EDI荷姿</t>
  </si>
  <si>
    <t>JPCA_EDI_NISUGATA</t>
  </si>
  <si>
    <t>JPCA_容量</t>
  </si>
  <si>
    <t>JPCA_YORYO</t>
  </si>
  <si>
    <t>JPCA_販売金額</t>
  </si>
  <si>
    <t>JPCA_HAN_GAKU</t>
  </si>
  <si>
    <t>JPCA_EDI消費税額</t>
  </si>
  <si>
    <t>JPCA_EDI_SHOHIZEI_GAKU</t>
  </si>
  <si>
    <t>JPCA_税込請求額</t>
  </si>
  <si>
    <t>JPCA_ZEIKOMI_SEIKYU_GAKU</t>
  </si>
  <si>
    <t>JPCA_単価金額区分</t>
  </si>
  <si>
    <t>JPCA_TANK_GAKU_KBN</t>
  </si>
  <si>
    <t>JPCA_EDI取引区分コード</t>
  </si>
  <si>
    <t>JPCA_EDI_TORIHIKI_KBN_CD</t>
  </si>
  <si>
    <t>JPCA_遡及区分</t>
  </si>
  <si>
    <t>JPCA_SOKYU_KBN</t>
  </si>
  <si>
    <t>JPCA_出荷請求区分</t>
  </si>
  <si>
    <t>JPCA_SHUKKA_SEIKYU_KBN</t>
  </si>
  <si>
    <t>JPCA_課税区分</t>
  </si>
  <si>
    <t>JPCA_KAZEI_KBN</t>
  </si>
  <si>
    <t>JPCA_バックオーダー計上区分</t>
  </si>
  <si>
    <t>JPCA_BACK_ORDER_KEIJO_KBN</t>
  </si>
  <si>
    <t>JPCA_計上年月</t>
  </si>
  <si>
    <t>JPCA_KEIJO_YM</t>
  </si>
  <si>
    <t>JPCA_割増割引区分</t>
  </si>
  <si>
    <t>JPCA_WARIMASHI_HIKI_KBN</t>
  </si>
  <si>
    <t>JPCA_割増割引理由</t>
  </si>
  <si>
    <t>JPCA_WARIMASHI_HIKI_RIYU</t>
  </si>
  <si>
    <t>JPCA_出荷年月日(予定)</t>
  </si>
  <si>
    <t>JPCA_SHUKKA_YMD_YOTEI</t>
  </si>
  <si>
    <t>JPCA_出荷報告番号</t>
  </si>
  <si>
    <t>JPCA_SHUKKA_HOKOKU_NO</t>
  </si>
  <si>
    <t>JPCA_出荷請求番号</t>
  </si>
  <si>
    <t>JPCA_SHUKKA_SEIKYU_NO</t>
  </si>
  <si>
    <t>JPCA_出荷場所</t>
  </si>
  <si>
    <t>JPCA_SHUKKA_BASHO</t>
  </si>
  <si>
    <t>JPCA_出荷指示コメント(カナ)</t>
  </si>
  <si>
    <t>JPCA_SHUKKA_SHIJI_COMMENT_KANA</t>
  </si>
  <si>
    <t>JPCA_出荷指示コメント(漢字)</t>
  </si>
  <si>
    <t>JPCA_SHUKKA_SHIJI_COMMENT_KANJ</t>
  </si>
  <si>
    <t>JPCA_輸送手段</t>
  </si>
  <si>
    <t>JPCA_YUSO_SHUDAN</t>
  </si>
  <si>
    <t>JPCA_輸送車両</t>
  </si>
  <si>
    <t>JPCA_YUSO_SHARYO</t>
  </si>
  <si>
    <t>JPCA_発注者情報</t>
  </si>
  <si>
    <t>JPCA_HACSHA_INF</t>
  </si>
  <si>
    <t>JPCA_受注者情報</t>
  </si>
  <si>
    <t>JPCA_JUC_INF</t>
  </si>
  <si>
    <t>JPCA_国内輸出区分</t>
  </si>
  <si>
    <t>JPCA_DOM_EXP_KBN</t>
  </si>
  <si>
    <t>JPCA_エラー理由</t>
  </si>
  <si>
    <t>JPCA_ERR_RIYU</t>
  </si>
  <si>
    <t>JPCA_エラーコメント(カナ)</t>
  </si>
  <si>
    <t>JPCA_ERR_COMMENT_KANA</t>
  </si>
  <si>
    <t>JPCA_エラーコメント(漢字)</t>
  </si>
  <si>
    <t>JPCA_ERR_COMMENT_KANJI</t>
  </si>
  <si>
    <t>JPCA_請求確認区分</t>
  </si>
  <si>
    <t>JPCA_SEIKYU_CHK_KBN</t>
  </si>
  <si>
    <t>JPCA_予備欄(カナ)</t>
  </si>
  <si>
    <t>JPCA_YOBI_KANA</t>
  </si>
  <si>
    <t>JPCA_予備欄(漢字)</t>
  </si>
  <si>
    <t>JPCA_YOBI_KANJI</t>
  </si>
  <si>
    <t>支払い・支払い明細</t>
    <rPh sb="0" eb="9">
      <t>シハライテンシハライメイサイ</t>
    </rPh>
    <phoneticPr fontId="4"/>
  </si>
  <si>
    <t>日本触媒</t>
    <phoneticPr fontId="4"/>
  </si>
  <si>
    <t>三菱ケミカル</t>
    <phoneticPr fontId="4"/>
  </si>
  <si>
    <t>旭化成</t>
    <phoneticPr fontId="4"/>
  </si>
  <si>
    <t>住友化学</t>
    <phoneticPr fontId="4"/>
  </si>
  <si>
    <t>宇部興産</t>
    <phoneticPr fontId="4"/>
  </si>
  <si>
    <t>テクノUMG</t>
    <phoneticPr fontId="4"/>
  </si>
  <si>
    <t>日本PE・PP</t>
    <phoneticPr fontId="4"/>
  </si>
  <si>
    <t>ユニチカ</t>
    <phoneticPr fontId="4"/>
  </si>
  <si>
    <t>東洋紡</t>
    <phoneticPr fontId="4"/>
  </si>
  <si>
    <t>倉敷紡績</t>
    <phoneticPr fontId="4"/>
  </si>
  <si>
    <t>クラレ・クラﾄレ</t>
    <phoneticPr fontId="4"/>
  </si>
  <si>
    <t>販区</t>
    <phoneticPr fontId="4"/>
  </si>
  <si>
    <t>起算日</t>
    <phoneticPr fontId="4"/>
  </si>
  <si>
    <t>金種</t>
    <phoneticPr fontId="4"/>
  </si>
  <si>
    <t>締切年月日</t>
    <phoneticPr fontId="4"/>
  </si>
  <si>
    <t>銀行コード</t>
    <phoneticPr fontId="4"/>
  </si>
  <si>
    <t>振込先口座種別</t>
    <phoneticPr fontId="4"/>
  </si>
  <si>
    <t>〇</t>
  </si>
  <si>
    <t>振込先口座NO</t>
    <phoneticPr fontId="4"/>
  </si>
  <si>
    <t>EDI_今回支払金額</t>
    <phoneticPr fontId="4"/>
  </si>
  <si>
    <t>支払年月日</t>
    <phoneticPr fontId="4"/>
  </si>
  <si>
    <t>EDI_送信状況種別</t>
    <phoneticPr fontId="4"/>
  </si>
  <si>
    <t>送信日時</t>
    <phoneticPr fontId="4"/>
  </si>
  <si>
    <t>送信データ削除区分</t>
    <phoneticPr fontId="4"/>
  </si>
  <si>
    <t>EDI送信DB_支払　のPKのため</t>
    <rPh sb="8" eb="10">
      <t>シハライ</t>
    </rPh>
    <phoneticPr fontId="4"/>
  </si>
  <si>
    <t>受信シーケンスNO_2</t>
    <phoneticPr fontId="4"/>
  </si>
  <si>
    <t>【EDI受信DB_仕入先.受信シーケンスNO】</t>
    <phoneticPr fontId="4"/>
  </si>
  <si>
    <t>全半角混在</t>
  </si>
  <si>
    <t>【EDI受信DB_仕入先.相手先別データ】</t>
    <phoneticPr fontId="4"/>
  </si>
  <si>
    <t>【EDI送信DB_支払.送信シーケンスNO】</t>
    <rPh sb="9" eb="11">
      <t>シハライ</t>
    </rPh>
    <phoneticPr fontId="4"/>
  </si>
  <si>
    <t>【EDI送信DB_支払.データ交換ID】</t>
  </si>
  <si>
    <t>【EDI送信DB_支払.EDI_機能カテゴリコード】</t>
  </si>
  <si>
    <t>【EDI送信DB_支払.仕入先コード】</t>
  </si>
  <si>
    <t>【EDI送信DB_支払.販区】</t>
  </si>
  <si>
    <t>【EDI送信DB_支払.起算日】</t>
  </si>
  <si>
    <t>【EDI送信DB_支払.金種】</t>
  </si>
  <si>
    <t>【EDI送信DB_支払.本支店コード】</t>
  </si>
  <si>
    <t>【EDI送信DB_支払.締切年月日】</t>
  </si>
  <si>
    <t>【EDI送信DB_支払.満期日】</t>
  </si>
  <si>
    <t>【EDI送信DB_支払.銀行コード】</t>
  </si>
  <si>
    <t>【EDI送信DB_支払.支店コード】</t>
  </si>
  <si>
    <t>【EDI送信DB_支払.銀行名(カナ)】</t>
  </si>
  <si>
    <t>【EDI送信DB_支払.支店名(カナ)】</t>
  </si>
  <si>
    <t>【EDI送信DB_支払.振込先口座種別】</t>
  </si>
  <si>
    <t>【EDI送信DB_支払.振込先口座NO】</t>
  </si>
  <si>
    <t>【EDI送信DB_支払.EDI_今回支払金額】</t>
  </si>
  <si>
    <t>【EDI送信DB_支払.支払年月日】</t>
  </si>
  <si>
    <t>【EDI送信DB_支払.受信シーケンスNO】</t>
  </si>
  <si>
    <t>【EDI送信DB_支払.処理受付番号】</t>
  </si>
  <si>
    <t>ファイルに抽出した件数を出力する。</t>
    <rPh sb="5" eb="7">
      <t>チュウシュツ</t>
    </rPh>
    <rPh sb="9" eb="11">
      <t>ケンスウ</t>
    </rPh>
    <rPh sb="12" eb="14">
      <t>シュツリョク</t>
    </rPh>
    <phoneticPr fontId="4"/>
  </si>
  <si>
    <t>HAN_KBN</t>
  </si>
  <si>
    <t>KISAN_D</t>
  </si>
  <si>
    <t>KINSHU</t>
  </si>
  <si>
    <t>HONSHITEN_CD</t>
  </si>
  <si>
    <t>SHIMEKIRI_YMD</t>
  </si>
  <si>
    <t>MANKI_D</t>
  </si>
  <si>
    <t>BANK_CD</t>
  </si>
  <si>
    <t>SHITEN_CD</t>
  </si>
  <si>
    <t>BANK_NMK</t>
  </si>
  <si>
    <t>SHITEN_NMK</t>
  </si>
  <si>
    <t>FURIKOMI_KOZA_SBT</t>
  </si>
  <si>
    <t>FURIKOMI_KOZA_NO</t>
  </si>
  <si>
    <t>EDI_KONKAI_PAY_GAKU</t>
  </si>
  <si>
    <t>PAY_YMD</t>
  </si>
  <si>
    <t>EDI_SND_JOKYO_SBT</t>
  </si>
  <si>
    <t>SND_DT</t>
  </si>
  <si>
    <t>SND_DATA_DEL_KBN</t>
  </si>
  <si>
    <t>RCV_SEQ_NO_2</t>
    <phoneticPr fontId="4"/>
  </si>
  <si>
    <t>EDI受信DB_仕入先</t>
    <phoneticPr fontId="4"/>
  </si>
  <si>
    <t xml:space="preserve">EDI受信DB_仕入先.データ交換ID = (パラメータ)データ交換ID かつ </t>
    <phoneticPr fontId="4"/>
  </si>
  <si>
    <t>連携ファイル作成</t>
    <rPh sb="0" eb="2">
      <t>レンケイ</t>
    </rPh>
    <rPh sb="6" eb="8">
      <t>サクセイ</t>
    </rPh>
    <phoneticPr fontId="4"/>
  </si>
  <si>
    <t>FUNC_UKETSUKE_NO</t>
    <phoneticPr fontId="4"/>
  </si>
  <si>
    <t>DEL_KBN</t>
    <phoneticPr fontId="4"/>
  </si>
  <si>
    <t>・EDI送信DB_支払より、支払データを抽出し、処理対象件数を確認する。</t>
    <rPh sb="14" eb="16">
      <t>シハラ</t>
    </rPh>
    <phoneticPr fontId="4"/>
  </si>
  <si>
    <t>①EDI送信DB_支払より対象のﾃﾞｰﾀをSELECT for Updateでレコードロックする</t>
    <rPh sb="4" eb="6">
      <t>ソウシン</t>
    </rPh>
    <rPh sb="9" eb="11">
      <t>シハラ</t>
    </rPh>
    <rPh sb="13" eb="15">
      <t>タイショウ</t>
    </rPh>
    <phoneticPr fontId="4"/>
  </si>
  <si>
    <t>②EDI送信DB_支払をEDI送信状況種別="1"（処理中）にUPDATEする。</t>
    <rPh sb="9" eb="11">
      <t>シハラ</t>
    </rPh>
    <rPh sb="28" eb="29">
      <t>チュウ</t>
    </rPh>
    <phoneticPr fontId="3"/>
  </si>
  <si>
    <t>共通処理_EDI送信_支払_データ抽出</t>
    <phoneticPr fontId="4"/>
  </si>
  <si>
    <t>EDI送信DB_支払マッピング</t>
    <rPh sb="3" eb="5">
      <t>ソウシン</t>
    </rPh>
    <phoneticPr fontId="4"/>
  </si>
  <si>
    <t>EDI送信DB_支払</t>
    <rPh sb="3" eb="5">
      <t>ソウシン</t>
    </rPh>
    <rPh sb="8" eb="10">
      <t>シハライ</t>
    </rPh>
    <phoneticPr fontId="4"/>
  </si>
  <si>
    <t>EDI受信DB_仕入先.受信SEQ番号=支払データ.受信SEQ番号</t>
    <phoneticPr fontId="4"/>
  </si>
  <si>
    <t>【EDI送信DB_支払.送信データ削除区分】</t>
    <phoneticPr fontId="4"/>
  </si>
  <si>
    <t>削除区分</t>
    <phoneticPr fontId="4"/>
  </si>
  <si>
    <t>【EDI送信DB_支払.削除区分】</t>
    <phoneticPr fontId="4"/>
  </si>
  <si>
    <t>ファイル名:$取引先ID$A140S02001</t>
    <rPh sb="4" eb="5">
      <t>メイ</t>
    </rPh>
    <rPh sb="7" eb="10">
      <t>トリヒキサキ</t>
    </rPh>
    <phoneticPr fontId="4"/>
  </si>
  <si>
    <t>※件数が 0 件の場合は、リターンコード「10」を設定し、処理を異常終了する。</t>
    <rPh sb="32" eb="34">
      <t>イジョウ</t>
    </rPh>
    <phoneticPr fontId="4"/>
  </si>
  <si>
    <t>JPCA_EDI請求金額</t>
    <phoneticPr fontId="4"/>
  </si>
  <si>
    <t>AITE_SAKI_BETSU_DATA</t>
    <phoneticPr fontId="4"/>
  </si>
  <si>
    <t>JPCA_EDI_SEIKYU_GAKU</t>
    <phoneticPr fontId="4"/>
  </si>
  <si>
    <t>【EDI受信DB_仕入先.JPCA_EDI請求金額】</t>
    <phoneticPr fontId="4"/>
  </si>
  <si>
    <t>ファイル名:$取引先ID$A140S01001</t>
    <rPh sb="4" eb="5">
      <t>メイ</t>
    </rPh>
    <rPh sb="7" eb="10">
      <t>トリヒキサキ</t>
    </rPh>
    <phoneticPr fontId="4"/>
  </si>
  <si>
    <t>【EDI受信DB_仕入先.確定仕入責任組織コード(旧)】</t>
    <phoneticPr fontId="4"/>
  </si>
  <si>
    <t>CONFIRM_SIR_SKNIN_SSHK_CD_OLD</t>
    <phoneticPr fontId="4"/>
  </si>
  <si>
    <t>SND_SEQ_NO</t>
    <phoneticPr fontId="4"/>
  </si>
  <si>
    <t>DATA_KOKAN_ID</t>
    <phoneticPr fontId="4"/>
  </si>
  <si>
    <t>EDI_KINO_CATEGORY_CD</t>
    <phoneticPr fontId="4"/>
  </si>
  <si>
    <t>SUP_CD</t>
    <phoneticPr fontId="4"/>
  </si>
  <si>
    <t>HAN_KBN</t>
    <phoneticPr fontId="4"/>
  </si>
  <si>
    <t>KISAN_D</t>
    <phoneticPr fontId="4"/>
  </si>
  <si>
    <t>KINSHU</t>
    <phoneticPr fontId="4"/>
  </si>
  <si>
    <t>HONSHITEN_CD</t>
    <phoneticPr fontId="4"/>
  </si>
  <si>
    <t>SHIMEKIRI_YMD</t>
    <phoneticPr fontId="4"/>
  </si>
  <si>
    <t>MANKI_D</t>
    <phoneticPr fontId="4"/>
  </si>
  <si>
    <t>BANK_CD</t>
    <phoneticPr fontId="4"/>
  </si>
  <si>
    <t>SHITEN_CD</t>
    <phoneticPr fontId="4"/>
  </si>
  <si>
    <t>BANK_NMK</t>
    <phoneticPr fontId="4"/>
  </si>
  <si>
    <t>SHITEN_NMK</t>
    <phoneticPr fontId="4"/>
  </si>
  <si>
    <t>FURIKOMI_KOZA_SBT</t>
    <phoneticPr fontId="4"/>
  </si>
  <si>
    <t>FURIKOMI_KOZA_NO</t>
    <phoneticPr fontId="4"/>
  </si>
  <si>
    <t>EDI_KONKAI_PAY_GAKU</t>
    <phoneticPr fontId="4"/>
  </si>
  <si>
    <t>PAY_YMD</t>
    <phoneticPr fontId="4"/>
  </si>
  <si>
    <t>SND_DATA_DEL_KBN</t>
    <phoneticPr fontId="4"/>
  </si>
  <si>
    <t>RCV_SEQ_NO</t>
    <phoneticPr fontId="4"/>
  </si>
  <si>
    <t>数値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</si>
</sst>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5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u/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b/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84">
    <xf numFmtId="0" fontId="0" fillId="0" borderId="0">
      <alignment vertical="center"/>
    </xf>
    <xf numFmtId="0" fontId="5" fillId="0" borderId="0">
      <alignment horizontal="center" wrapText="1"/>
      <protection locked="0"/>
    </xf>
    <xf numFmtId="182" fontId="21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22" fillId="0" borderId="0"/>
    <xf numFmtId="14" fontId="5" fillId="0" borderId="0">
      <alignment horizontal="center" wrapText="1"/>
      <protection locked="0"/>
    </xf>
    <xf numFmtId="0" fontId="1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/>
    <xf numFmtId="0" fontId="23" fillId="0" borderId="0">
      <alignment vertical="center"/>
    </xf>
    <xf numFmtId="183" fontId="3" fillId="0" borderId="6">
      <alignment horizontal="right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0" borderId="0">
      <alignment horizontal="left"/>
    </xf>
    <xf numFmtId="38" fontId="28" fillId="3" borderId="0" applyNumberFormat="0" applyBorder="0" applyAlignment="0" applyProtection="0"/>
    <xf numFmtId="0" fontId="7" fillId="0" borderId="0" applyBorder="0"/>
    <xf numFmtId="10" fontId="28" fillId="23" borderId="6" applyNumberFormat="0" applyBorder="0" applyAlignment="0" applyProtection="0"/>
    <xf numFmtId="0" fontId="7" fillId="0" borderId="0"/>
    <xf numFmtId="0" fontId="29" fillId="0" borderId="0"/>
    <xf numFmtId="38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5" fontId="30" fillId="0" borderId="0" applyFont="0" applyFill="0" applyBorder="0" applyAlignment="0" applyProtection="0"/>
    <xf numFmtId="37" fontId="3" fillId="0" borderId="0"/>
    <xf numFmtId="10" fontId="22" fillId="0" borderId="0" applyFont="0" applyFill="0" applyBorder="0" applyAlignment="0" applyProtection="0"/>
    <xf numFmtId="4" fontId="27" fillId="0" borderId="0">
      <alignment horizontal="right"/>
    </xf>
    <xf numFmtId="4" fontId="31" fillId="0" borderId="0">
      <alignment horizontal="right"/>
    </xf>
    <xf numFmtId="0" fontId="32" fillId="0" borderId="0">
      <alignment horizontal="left"/>
    </xf>
    <xf numFmtId="0" fontId="33" fillId="0" borderId="0"/>
    <xf numFmtId="0" fontId="34" fillId="0" borderId="0">
      <alignment horizont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5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8" borderId="32" applyNumberFormat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0" fillId="30" borderId="33" applyNumberFormat="0" applyFont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31" borderId="3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9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0" fontId="43" fillId="0" borderId="36" applyNumberFormat="0" applyFill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46" fillId="31" borderId="40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178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0" fontId="48" fillId="14" borderId="35" applyNumberFormat="0" applyAlignment="0" applyProtection="0">
      <alignment vertical="center"/>
    </xf>
    <xf numFmtId="0" fontId="10" fillId="0" borderId="0">
      <alignment vertical="center"/>
    </xf>
    <xf numFmtId="0" fontId="3" fillId="0" borderId="0"/>
    <xf numFmtId="0" fontId="3" fillId="0" borderId="0"/>
    <xf numFmtId="186" fontId="7" fillId="0" borderId="0">
      <alignment vertical="center"/>
    </xf>
    <xf numFmtId="0" fontId="49" fillId="0" borderId="0"/>
    <xf numFmtId="0" fontId="50" fillId="1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</cellStyleXfs>
  <cellXfs count="180">
    <xf numFmtId="0" fontId="0" fillId="0" borderId="0" xfId="0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8" fillId="2" borderId="3" xfId="0" applyFont="1" applyFill="1" applyBorder="1">
      <alignment vertical="center"/>
    </xf>
    <xf numFmtId="0" fontId="8" fillId="2" borderId="0" xfId="0" applyFont="1" applyFill="1" applyAlignment="1">
      <alignment horizontal="left" vertical="center" indent="1"/>
    </xf>
    <xf numFmtId="0" fontId="12" fillId="2" borderId="0" xfId="0" applyFont="1" applyFill="1">
      <alignment vertical="center"/>
    </xf>
    <xf numFmtId="0" fontId="8" fillId="2" borderId="8" xfId="0" applyFont="1" applyFill="1" applyBorder="1">
      <alignment vertical="center"/>
    </xf>
    <xf numFmtId="0" fontId="8" fillId="2" borderId="9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9" fillId="2" borderId="3" xfId="0" applyFont="1" applyFill="1" applyBorder="1">
      <alignment vertical="center"/>
    </xf>
    <xf numFmtId="0" fontId="8" fillId="2" borderId="6" xfId="0" applyFont="1" applyFill="1" applyBorder="1">
      <alignment vertical="center"/>
    </xf>
    <xf numFmtId="0" fontId="8" fillId="7" borderId="10" xfId="0" applyFont="1" applyFill="1" applyBorder="1" applyAlignment="1">
      <alignment horizontal="centerContinuous" vertical="center"/>
    </xf>
    <xf numFmtId="0" fontId="12" fillId="2" borderId="0" xfId="9" applyFont="1" applyFill="1">
      <alignment vertical="center"/>
    </xf>
    <xf numFmtId="0" fontId="14" fillId="2" borderId="0" xfId="9" applyFont="1" applyFill="1">
      <alignment vertical="center"/>
    </xf>
    <xf numFmtId="49" fontId="18" fillId="2" borderId="0" xfId="9" applyNumberFormat="1" applyFont="1" applyFill="1" applyAlignment="1">
      <alignment horizontal="center" vertical="center"/>
    </xf>
    <xf numFmtId="49" fontId="18" fillId="2" borderId="0" xfId="9" applyNumberFormat="1" applyFont="1" applyFill="1" applyAlignment="1">
      <alignment horizontal="center" vertical="center" wrapText="1"/>
    </xf>
    <xf numFmtId="0" fontId="12" fillId="2" borderId="0" xfId="9" applyFont="1" applyFill="1" applyAlignment="1">
      <alignment horizontal="center" vertical="center" wrapText="1"/>
    </xf>
    <xf numFmtId="0" fontId="12" fillId="2" borderId="0" xfId="9" applyFont="1" applyFill="1" applyAlignment="1">
      <alignment horizontal="center" vertical="center"/>
    </xf>
    <xf numFmtId="0" fontId="7" fillId="0" borderId="0" xfId="9" applyFont="1">
      <alignment vertical="center"/>
    </xf>
    <xf numFmtId="0" fontId="20" fillId="0" borderId="0" xfId="9" applyFont="1">
      <alignment vertical="center"/>
    </xf>
    <xf numFmtId="0" fontId="7" fillId="2" borderId="3" xfId="9" applyFont="1" applyFill="1" applyBorder="1">
      <alignment vertical="center"/>
    </xf>
    <xf numFmtId="0" fontId="7" fillId="2" borderId="8" xfId="9" applyFont="1" applyFill="1" applyBorder="1">
      <alignment vertical="center"/>
    </xf>
    <xf numFmtId="0" fontId="7" fillId="0" borderId="4" xfId="9" applyFont="1" applyBorder="1">
      <alignment vertical="center"/>
    </xf>
    <xf numFmtId="0" fontId="7" fillId="0" borderId="5" xfId="9" applyFont="1" applyBorder="1" applyAlignment="1">
      <alignment horizontal="center" vertical="center"/>
    </xf>
    <xf numFmtId="0" fontId="7" fillId="0" borderId="5" xfId="9" applyFont="1" applyBorder="1">
      <alignment vertical="center"/>
    </xf>
    <xf numFmtId="0" fontId="7" fillId="0" borderId="5" xfId="9" applyFont="1" applyBorder="1" applyAlignment="1">
      <alignment horizontal="center" vertical="center" wrapText="1"/>
    </xf>
    <xf numFmtId="0" fontId="7" fillId="0" borderId="9" xfId="9" applyFont="1" applyBorder="1">
      <alignment vertical="center"/>
    </xf>
    <xf numFmtId="0" fontId="20" fillId="0" borderId="0" xfId="9" applyFont="1" applyAlignment="1">
      <alignment horizontal="center" vertical="center" wrapText="1"/>
    </xf>
    <xf numFmtId="0" fontId="20" fillId="0" borderId="0" xfId="9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8" fillId="2" borderId="10" xfId="10" applyFont="1" applyFill="1" applyBorder="1" applyAlignment="1">
      <alignment vertical="top"/>
    </xf>
    <xf numFmtId="0" fontId="8" fillId="8" borderId="12" xfId="0" applyFont="1" applyFill="1" applyBorder="1" applyAlignment="1">
      <alignment horizontal="centerContinuous" vertical="center"/>
    </xf>
    <xf numFmtId="0" fontId="8" fillId="2" borderId="4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11" fillId="0" borderId="0" xfId="8" applyFont="1">
      <alignment vertical="center"/>
    </xf>
    <xf numFmtId="0" fontId="51" fillId="0" borderId="0" xfId="8" applyFo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Continuous" vertical="center"/>
    </xf>
    <xf numFmtId="0" fontId="8" fillId="7" borderId="6" xfId="0" applyFont="1" applyFill="1" applyBorder="1" applyAlignment="1">
      <alignment horizontal="centerContinuous" vertical="center"/>
    </xf>
    <xf numFmtId="0" fontId="8" fillId="33" borderId="10" xfId="0" applyFont="1" applyFill="1" applyBorder="1">
      <alignment vertical="center"/>
    </xf>
    <xf numFmtId="0" fontId="8" fillId="33" borderId="41" xfId="0" applyFont="1" applyFill="1" applyBorder="1">
      <alignment vertical="center"/>
    </xf>
    <xf numFmtId="0" fontId="8" fillId="2" borderId="42" xfId="0" applyFont="1" applyFill="1" applyBorder="1">
      <alignment vertical="center"/>
    </xf>
    <xf numFmtId="0" fontId="8" fillId="2" borderId="43" xfId="0" applyFont="1" applyFill="1" applyBorder="1">
      <alignment vertical="center"/>
    </xf>
    <xf numFmtId="0" fontId="8" fillId="2" borderId="44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8" fillId="6" borderId="42" xfId="0" applyFont="1" applyFill="1" applyBorder="1">
      <alignment vertical="center"/>
    </xf>
    <xf numFmtId="0" fontId="8" fillId="33" borderId="42" xfId="0" applyFont="1" applyFill="1" applyBorder="1">
      <alignment vertical="center"/>
    </xf>
    <xf numFmtId="0" fontId="8" fillId="33" borderId="44" xfId="0" applyFont="1" applyFill="1" applyBorder="1">
      <alignment vertical="center"/>
    </xf>
    <xf numFmtId="0" fontId="12" fillId="2" borderId="42" xfId="0" applyFont="1" applyFill="1" applyBorder="1">
      <alignment vertical="center"/>
    </xf>
    <xf numFmtId="0" fontId="12" fillId="2" borderId="5" xfId="0" applyFont="1" applyFill="1" applyBorder="1">
      <alignment vertical="center"/>
    </xf>
    <xf numFmtId="0" fontId="7" fillId="0" borderId="43" xfId="9" applyFont="1" applyBorder="1">
      <alignment vertical="center"/>
    </xf>
    <xf numFmtId="0" fontId="7" fillId="0" borderId="42" xfId="9" applyFont="1" applyBorder="1">
      <alignment vertical="center"/>
    </xf>
    <xf numFmtId="0" fontId="7" fillId="0" borderId="44" xfId="9" applyFont="1" applyBorder="1">
      <alignment vertical="center"/>
    </xf>
    <xf numFmtId="0" fontId="7" fillId="0" borderId="41" xfId="9" applyFont="1" applyBorder="1" applyAlignment="1">
      <alignment vertical="top"/>
    </xf>
    <xf numFmtId="0" fontId="7" fillId="0" borderId="42" xfId="9" applyFont="1" applyBorder="1" applyAlignment="1">
      <alignment horizontal="center" vertical="center"/>
    </xf>
    <xf numFmtId="0" fontId="20" fillId="0" borderId="42" xfId="9" applyFont="1" applyBorder="1">
      <alignment vertical="center"/>
    </xf>
    <xf numFmtId="0" fontId="20" fillId="0" borderId="42" xfId="9" applyFont="1" applyBorder="1" applyAlignment="1">
      <alignment horizontal="center" vertical="center" wrapText="1"/>
    </xf>
    <xf numFmtId="0" fontId="20" fillId="0" borderId="42" xfId="9" applyFont="1" applyBorder="1" applyAlignment="1">
      <alignment horizontal="center" vertical="center"/>
    </xf>
    <xf numFmtId="0" fontId="8" fillId="0" borderId="42" xfId="9" applyFont="1" applyBorder="1">
      <alignment vertical="center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8" fillId="7" borderId="41" xfId="0" applyFont="1" applyFill="1" applyBorder="1" applyAlignment="1">
      <alignment horizontal="centerContinuous" vertical="center"/>
    </xf>
    <xf numFmtId="0" fontId="8" fillId="7" borderId="43" xfId="0" applyFont="1" applyFill="1" applyBorder="1" applyAlignment="1">
      <alignment horizontal="centerContinuous" vertical="center"/>
    </xf>
    <xf numFmtId="0" fontId="8" fillId="6" borderId="5" xfId="0" applyFont="1" applyFill="1" applyBorder="1">
      <alignment vertical="center"/>
    </xf>
    <xf numFmtId="0" fontId="8" fillId="7" borderId="2" xfId="0" applyFont="1" applyFill="1" applyBorder="1" applyAlignment="1">
      <alignment horizontal="centerContinuous" vertical="center"/>
    </xf>
    <xf numFmtId="0" fontId="8" fillId="0" borderId="10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20" fillId="0" borderId="46" xfId="83" applyFont="1" applyBorder="1" applyAlignment="1">
      <alignment vertical="center" wrapText="1"/>
    </xf>
    <xf numFmtId="0" fontId="52" fillId="34" borderId="6" xfId="0" applyFont="1" applyFill="1" applyBorder="1">
      <alignment vertical="center"/>
    </xf>
    <xf numFmtId="0" fontId="0" fillId="0" borderId="6" xfId="0" applyBorder="1">
      <alignment vertical="center"/>
    </xf>
    <xf numFmtId="0" fontId="8" fillId="6" borderId="10" xfId="0" applyFont="1" applyFill="1" applyBorder="1">
      <alignment vertical="center"/>
    </xf>
    <xf numFmtId="0" fontId="8" fillId="6" borderId="10" xfId="10" applyFont="1" applyFill="1" applyBorder="1" applyAlignment="1">
      <alignment vertical="top"/>
    </xf>
    <xf numFmtId="0" fontId="8" fillId="6" borderId="10" xfId="0" applyFont="1" applyFill="1" applyBorder="1" applyAlignment="1">
      <alignment horizontal="center" vertical="center"/>
    </xf>
    <xf numFmtId="0" fontId="8" fillId="6" borderId="46" xfId="0" applyFont="1" applyFill="1" applyBorder="1" applyAlignment="1">
      <alignment vertical="center" wrapText="1"/>
    </xf>
    <xf numFmtId="0" fontId="8" fillId="6" borderId="6" xfId="0" applyFont="1" applyFill="1" applyBorder="1">
      <alignment vertical="center"/>
    </xf>
    <xf numFmtId="0" fontId="12" fillId="2" borderId="3" xfId="9" applyFont="1" applyFill="1" applyBorder="1" applyAlignment="1">
      <alignment horizontal="center" vertical="center"/>
    </xf>
    <xf numFmtId="0" fontId="12" fillId="2" borderId="0" xfId="9" applyFont="1" applyFill="1" applyAlignment="1">
      <alignment horizontal="center" vertical="center"/>
    </xf>
    <xf numFmtId="0" fontId="12" fillId="2" borderId="8" xfId="9" applyFont="1" applyFill="1" applyBorder="1" applyAlignment="1">
      <alignment horizontal="center" vertical="center"/>
    </xf>
    <xf numFmtId="0" fontId="12" fillId="2" borderId="4" xfId="9" applyFont="1" applyFill="1" applyBorder="1" applyAlignment="1">
      <alignment horizontal="center" vertical="center"/>
    </xf>
    <xf numFmtId="0" fontId="12" fillId="2" borderId="5" xfId="9" applyFont="1" applyFill="1" applyBorder="1" applyAlignment="1">
      <alignment horizontal="center" vertical="center"/>
    </xf>
    <xf numFmtId="0" fontId="12" fillId="2" borderId="9" xfId="9" applyFont="1" applyFill="1" applyBorder="1" applyAlignment="1">
      <alignment horizontal="center" vertical="center"/>
    </xf>
    <xf numFmtId="0" fontId="12" fillId="0" borderId="3" xfId="9" applyFont="1" applyBorder="1" applyAlignment="1">
      <alignment horizontal="center" vertical="center"/>
    </xf>
    <xf numFmtId="0" fontId="12" fillId="0" borderId="0" xfId="9" applyFont="1" applyAlignment="1">
      <alignment horizontal="center" vertical="center"/>
    </xf>
    <xf numFmtId="0" fontId="12" fillId="0" borderId="8" xfId="9" applyFont="1" applyBorder="1" applyAlignment="1">
      <alignment horizontal="center" vertical="center"/>
    </xf>
    <xf numFmtId="0" fontId="12" fillId="0" borderId="4" xfId="9" applyFont="1" applyBorder="1" applyAlignment="1">
      <alignment horizontal="center" vertical="center"/>
    </xf>
    <xf numFmtId="0" fontId="12" fillId="0" borderId="5" xfId="9" applyFont="1" applyBorder="1" applyAlignment="1">
      <alignment horizontal="center" vertical="center"/>
    </xf>
    <xf numFmtId="0" fontId="12" fillId="0" borderId="9" xfId="9" applyFont="1" applyBorder="1" applyAlignment="1">
      <alignment horizontal="center" vertical="center"/>
    </xf>
    <xf numFmtId="0" fontId="19" fillId="2" borderId="0" xfId="9" applyFont="1" applyFill="1" applyAlignment="1">
      <alignment horizontal="center" vertical="center"/>
    </xf>
    <xf numFmtId="0" fontId="19" fillId="2" borderId="0" xfId="9" applyFont="1" applyFill="1" applyAlignment="1">
      <alignment horizontal="center" vertical="center" wrapText="1"/>
    </xf>
    <xf numFmtId="0" fontId="12" fillId="3" borderId="10" xfId="9" applyFont="1" applyFill="1" applyBorder="1" applyAlignment="1">
      <alignment horizontal="center" vertical="center"/>
    </xf>
    <xf numFmtId="0" fontId="12" fillId="3" borderId="41" xfId="9" applyFont="1" applyFill="1" applyBorder="1" applyAlignment="1">
      <alignment horizontal="center" vertical="center"/>
    </xf>
    <xf numFmtId="0" fontId="12" fillId="3" borderId="7" xfId="9" applyFont="1" applyFill="1" applyBorder="1" applyAlignment="1">
      <alignment horizontal="center" vertical="center"/>
    </xf>
    <xf numFmtId="14" fontId="12" fillId="2" borderId="13" xfId="9" applyNumberFormat="1" applyFont="1" applyFill="1" applyBorder="1" applyAlignment="1">
      <alignment horizontal="center" vertical="center"/>
    </xf>
    <xf numFmtId="0" fontId="12" fillId="2" borderId="14" xfId="9" applyFont="1" applyFill="1" applyBorder="1" applyAlignment="1">
      <alignment horizontal="center" vertical="center"/>
    </xf>
    <xf numFmtId="0" fontId="12" fillId="2" borderId="15" xfId="9" applyFont="1" applyFill="1" applyBorder="1" applyAlignment="1">
      <alignment horizontal="center" vertical="center"/>
    </xf>
    <xf numFmtId="0" fontId="15" fillId="2" borderId="0" xfId="9" applyFont="1" applyFill="1" applyAlignment="1">
      <alignment horizontal="center" vertical="center"/>
    </xf>
    <xf numFmtId="0" fontId="15" fillId="2" borderId="0" xfId="9" applyFont="1" applyFill="1" applyAlignment="1">
      <alignment horizontal="center" vertical="center" wrapText="1"/>
    </xf>
    <xf numFmtId="0" fontId="16" fillId="2" borderId="0" xfId="9" applyFont="1" applyFill="1" applyAlignment="1">
      <alignment horizontal="center" vertical="center"/>
    </xf>
    <xf numFmtId="0" fontId="16" fillId="2" borderId="0" xfId="9" applyFont="1" applyFill="1" applyAlignment="1">
      <alignment horizontal="center" vertical="center" wrapText="1"/>
    </xf>
    <xf numFmtId="49" fontId="17" fillId="2" borderId="0" xfId="9" applyNumberFormat="1" applyFont="1" applyFill="1" applyAlignment="1">
      <alignment horizontal="center" vertical="center"/>
    </xf>
    <xf numFmtId="49" fontId="17" fillId="2" borderId="0" xfId="9" applyNumberFormat="1" applyFont="1" applyFill="1" applyAlignment="1">
      <alignment horizontal="center" vertical="center" wrapText="1"/>
    </xf>
    <xf numFmtId="181" fontId="19" fillId="2" borderId="0" xfId="9" applyNumberFormat="1" applyFont="1" applyFill="1" applyAlignment="1">
      <alignment horizontal="center" vertical="center"/>
    </xf>
    <xf numFmtId="181" fontId="19" fillId="2" borderId="0" xfId="9" applyNumberFormat="1" applyFont="1" applyFill="1" applyAlignment="1">
      <alignment horizontal="center" vertical="center" wrapText="1"/>
    </xf>
    <xf numFmtId="0" fontId="7" fillId="0" borderId="10" xfId="9" applyFont="1" applyBorder="1" applyAlignment="1">
      <alignment horizontal="right" vertical="center"/>
    </xf>
    <xf numFmtId="0" fontId="7" fillId="0" borderId="7" xfId="9" applyFont="1" applyBorder="1" applyAlignment="1">
      <alignment horizontal="right" vertical="center"/>
    </xf>
    <xf numFmtId="0" fontId="7" fillId="0" borderId="10" xfId="9" applyFont="1" applyBorder="1" applyAlignment="1">
      <alignment horizontal="left" vertical="top" wrapText="1"/>
    </xf>
    <xf numFmtId="0" fontId="7" fillId="0" borderId="41" xfId="9" applyFont="1" applyBorder="1" applyAlignment="1">
      <alignment horizontal="left" vertical="top" wrapText="1"/>
    </xf>
    <xf numFmtId="0" fontId="7" fillId="0" borderId="7" xfId="9" applyFont="1" applyBorder="1" applyAlignment="1">
      <alignment horizontal="left" vertical="top" wrapText="1"/>
    </xf>
    <xf numFmtId="14" fontId="7" fillId="0" borderId="10" xfId="9" applyNumberFormat="1" applyFont="1" applyBorder="1" applyAlignment="1">
      <alignment horizontal="left" vertical="top" wrapText="1"/>
    </xf>
    <xf numFmtId="0" fontId="7" fillId="0" borderId="41" xfId="9" applyFont="1" applyBorder="1" applyAlignment="1">
      <alignment horizontal="center" vertical="top" wrapText="1"/>
    </xf>
    <xf numFmtId="0" fontId="7" fillId="0" borderId="2" xfId="9" applyFont="1" applyBorder="1" applyAlignment="1">
      <alignment horizontal="left" vertical="top" wrapText="1"/>
    </xf>
    <xf numFmtId="0" fontId="7" fillId="0" borderId="2" xfId="9" applyFont="1" applyBorder="1" applyAlignment="1">
      <alignment horizontal="center" vertical="top" wrapText="1"/>
    </xf>
    <xf numFmtId="0" fontId="20" fillId="5" borderId="10" xfId="9" applyFont="1" applyFill="1" applyBorder="1" applyAlignment="1">
      <alignment horizontal="center" vertical="center"/>
    </xf>
    <xf numFmtId="0" fontId="20" fillId="5" borderId="41" xfId="9" applyFont="1" applyFill="1" applyBorder="1" applyAlignment="1">
      <alignment horizontal="center" vertical="center"/>
    </xf>
    <xf numFmtId="0" fontId="20" fillId="5" borderId="7" xfId="9" applyFont="1" applyFill="1" applyBorder="1" applyAlignment="1">
      <alignment horizontal="center" vertical="center"/>
    </xf>
    <xf numFmtId="0" fontId="7" fillId="0" borderId="10" xfId="9" quotePrefix="1" applyFont="1" applyBorder="1" applyAlignment="1">
      <alignment horizontal="left" vertical="top" wrapText="1"/>
    </xf>
    <xf numFmtId="0" fontId="7" fillId="5" borderId="10" xfId="9" applyFont="1" applyFill="1" applyBorder="1" applyAlignment="1">
      <alignment horizontal="center" vertical="center"/>
    </xf>
    <xf numFmtId="0" fontId="7" fillId="5" borderId="7" xfId="9" applyFont="1" applyFill="1" applyBorder="1" applyAlignment="1">
      <alignment horizontal="center" vertical="center"/>
    </xf>
    <xf numFmtId="0" fontId="12" fillId="4" borderId="16" xfId="9" applyFont="1" applyFill="1" applyBorder="1" applyAlignment="1">
      <alignment horizontal="center" vertical="center" wrapText="1"/>
    </xf>
    <xf numFmtId="0" fontId="12" fillId="4" borderId="17" xfId="9" applyFont="1" applyFill="1" applyBorder="1" applyAlignment="1">
      <alignment horizontal="center" vertical="center" wrapText="1"/>
    </xf>
    <xf numFmtId="0" fontId="12" fillId="4" borderId="19" xfId="9" applyFont="1" applyFill="1" applyBorder="1" applyAlignment="1">
      <alignment horizontal="center" vertical="center" wrapText="1"/>
    </xf>
    <xf numFmtId="0" fontId="12" fillId="4" borderId="0" xfId="9" applyFont="1" applyFill="1" applyAlignment="1">
      <alignment horizontal="center" vertical="center" wrapText="1"/>
    </xf>
    <xf numFmtId="0" fontId="12" fillId="4" borderId="21" xfId="9" applyFont="1" applyFill="1" applyBorder="1" applyAlignment="1">
      <alignment horizontal="center" vertical="center" wrapText="1"/>
    </xf>
    <xf numFmtId="0" fontId="12" fillId="4" borderId="22" xfId="9" applyFont="1" applyFill="1" applyBorder="1" applyAlignment="1">
      <alignment horizontal="center" vertical="center" wrapText="1"/>
    </xf>
    <xf numFmtId="0" fontId="7" fillId="5" borderId="41" xfId="9" applyFont="1" applyFill="1" applyBorder="1" applyAlignment="1">
      <alignment horizontal="center" vertical="center"/>
    </xf>
    <xf numFmtId="0" fontId="12" fillId="0" borderId="16" xfId="9" applyFont="1" applyBorder="1" applyAlignment="1">
      <alignment horizontal="center" vertical="center"/>
    </xf>
    <xf numFmtId="0" fontId="12" fillId="0" borderId="17" xfId="9" applyFont="1" applyBorder="1" applyAlignment="1">
      <alignment horizontal="center" vertical="center"/>
    </xf>
    <xf numFmtId="0" fontId="12" fillId="0" borderId="18" xfId="9" applyFont="1" applyBorder="1" applyAlignment="1">
      <alignment horizontal="center" vertical="center"/>
    </xf>
    <xf numFmtId="0" fontId="12" fillId="0" borderId="19" xfId="9" applyFont="1" applyBorder="1" applyAlignment="1">
      <alignment horizontal="center" vertical="center"/>
    </xf>
    <xf numFmtId="0" fontId="12" fillId="0" borderId="20" xfId="9" applyFont="1" applyBorder="1" applyAlignment="1">
      <alignment horizontal="center" vertical="center"/>
    </xf>
    <xf numFmtId="0" fontId="12" fillId="0" borderId="21" xfId="9" applyFont="1" applyBorder="1" applyAlignment="1">
      <alignment horizontal="center" vertical="center"/>
    </xf>
    <xf numFmtId="0" fontId="12" fillId="0" borderId="22" xfId="9" applyFont="1" applyBorder="1" applyAlignment="1">
      <alignment horizontal="center" vertical="center"/>
    </xf>
    <xf numFmtId="0" fontId="12" fillId="0" borderId="23" xfId="9" applyFont="1" applyBorder="1" applyAlignment="1">
      <alignment horizontal="center" vertical="center"/>
    </xf>
    <xf numFmtId="0" fontId="12" fillId="32" borderId="24" xfId="0" applyFont="1" applyFill="1" applyBorder="1" applyAlignment="1">
      <alignment horizontal="center" vertical="center"/>
    </xf>
    <xf numFmtId="0" fontId="12" fillId="32" borderId="25" xfId="0" applyFont="1" applyFill="1" applyBorder="1" applyAlignment="1">
      <alignment horizontal="center" vertical="center"/>
    </xf>
    <xf numFmtId="0" fontId="12" fillId="32" borderId="26" xfId="0" applyFont="1" applyFill="1" applyBorder="1" applyAlignment="1">
      <alignment horizontal="center" vertical="center"/>
    </xf>
    <xf numFmtId="0" fontId="12" fillId="32" borderId="4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32" borderId="29" xfId="0" applyFont="1" applyFill="1" applyBorder="1" applyAlignment="1">
      <alignment horizontal="center" vertical="center"/>
    </xf>
    <xf numFmtId="0" fontId="12" fillId="32" borderId="30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80" fontId="12" fillId="2" borderId="26" xfId="0" applyNumberFormat="1" applyFont="1" applyFill="1" applyBorder="1" applyAlignment="1">
      <alignment horizontal="center" vertical="center"/>
    </xf>
    <xf numFmtId="180" fontId="12" fillId="2" borderId="41" xfId="0" applyNumberFormat="1" applyFont="1" applyFill="1" applyBorder="1" applyAlignment="1">
      <alignment horizontal="center" vertical="center"/>
    </xf>
    <xf numFmtId="180" fontId="12" fillId="2" borderId="30" xfId="0" applyNumberFormat="1" applyFont="1" applyFill="1" applyBorder="1" applyAlignment="1">
      <alignment horizontal="center" vertical="center"/>
    </xf>
    <xf numFmtId="180" fontId="12" fillId="2" borderId="27" xfId="0" applyNumberFormat="1" applyFont="1" applyFill="1" applyBorder="1" applyAlignment="1">
      <alignment horizontal="center" vertical="center"/>
    </xf>
    <xf numFmtId="180" fontId="12" fillId="2" borderId="28" xfId="0" applyNumberFormat="1" applyFont="1" applyFill="1" applyBorder="1" applyAlignment="1">
      <alignment horizontal="center" vertical="center"/>
    </xf>
    <xf numFmtId="180" fontId="12" fillId="2" borderId="3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80" fontId="12" fillId="2" borderId="2" xfId="0" applyNumberFormat="1" applyFont="1" applyFill="1" applyBorder="1" applyAlignment="1">
      <alignment horizontal="center" vertical="center"/>
    </xf>
    <xf numFmtId="0" fontId="7" fillId="5" borderId="6" xfId="9" applyFont="1" applyFill="1" applyBorder="1" applyAlignment="1">
      <alignment horizontal="center" vertical="center"/>
    </xf>
    <xf numFmtId="0" fontId="12" fillId="32" borderId="45" xfId="9" applyFont="1" applyFill="1" applyBorder="1" applyAlignment="1">
      <alignment horizontal="center" vertical="center" wrapText="1"/>
    </xf>
    <xf numFmtId="0" fontId="12" fillId="32" borderId="12" xfId="9" applyFont="1" applyFill="1" applyBorder="1" applyAlignment="1">
      <alignment horizontal="center" vertical="center" wrapText="1"/>
    </xf>
    <xf numFmtId="0" fontId="12" fillId="32" borderId="11" xfId="9" applyFont="1" applyFill="1" applyBorder="1" applyAlignment="1">
      <alignment horizontal="center" vertical="center" wrapText="1"/>
    </xf>
    <xf numFmtId="0" fontId="12" fillId="0" borderId="45" xfId="9" applyFont="1" applyBorder="1" applyAlignment="1">
      <alignment horizontal="center" vertical="center"/>
    </xf>
    <xf numFmtId="0" fontId="12" fillId="0" borderId="12" xfId="9" applyFont="1" applyBorder="1" applyAlignment="1">
      <alignment horizontal="center" vertical="center"/>
    </xf>
    <xf numFmtId="0" fontId="12" fillId="0" borderId="11" xfId="9" applyFont="1" applyBorder="1" applyAlignment="1">
      <alignment horizontal="center" vertical="center"/>
    </xf>
    <xf numFmtId="0" fontId="12" fillId="32" borderId="45" xfId="0" applyFont="1" applyFill="1" applyBorder="1" applyAlignment="1">
      <alignment horizontal="center" vertical="center"/>
    </xf>
    <xf numFmtId="0" fontId="12" fillId="32" borderId="11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80" fontId="12" fillId="2" borderId="45" xfId="0" applyNumberFormat="1" applyFont="1" applyFill="1" applyBorder="1" applyAlignment="1">
      <alignment horizontal="center" vertical="center"/>
    </xf>
    <xf numFmtId="180" fontId="12" fillId="2" borderId="11" xfId="0" applyNumberFormat="1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</cellXfs>
  <cellStyles count="84">
    <cellStyle name="11.5" xfId="12" xr:uid="{00000000-0005-0000-0000-000000000000}"/>
    <cellStyle name="20% - アクセント 1 2" xfId="13" xr:uid="{00000000-0005-0000-0000-000001000000}"/>
    <cellStyle name="20% - アクセント 2 2" xfId="14" xr:uid="{00000000-0005-0000-0000-000002000000}"/>
    <cellStyle name="20% - アクセント 3 2" xfId="15" xr:uid="{00000000-0005-0000-0000-000003000000}"/>
    <cellStyle name="20% - アクセント 4 2" xfId="16" xr:uid="{00000000-0005-0000-0000-000004000000}"/>
    <cellStyle name="20% - アクセント 5 2" xfId="17" xr:uid="{00000000-0005-0000-0000-000005000000}"/>
    <cellStyle name="20% - アクセント 6 2" xfId="18" xr:uid="{00000000-0005-0000-0000-000006000000}"/>
    <cellStyle name="40% - アクセント 1 2" xfId="19" xr:uid="{00000000-0005-0000-0000-000007000000}"/>
    <cellStyle name="40% - アクセント 2 2" xfId="20" xr:uid="{00000000-0005-0000-0000-000008000000}"/>
    <cellStyle name="40% - アクセント 3 2" xfId="21" xr:uid="{00000000-0005-0000-0000-000009000000}"/>
    <cellStyle name="40% - アクセント 4 2" xfId="22" xr:uid="{00000000-0005-0000-0000-00000A000000}"/>
    <cellStyle name="40% - アクセント 5 2" xfId="23" xr:uid="{00000000-0005-0000-0000-00000B000000}"/>
    <cellStyle name="40% - アクセント 6 2" xfId="24" xr:uid="{00000000-0005-0000-0000-00000C000000}"/>
    <cellStyle name="60% - アクセント 1 2" xfId="25" xr:uid="{00000000-0005-0000-0000-00000D000000}"/>
    <cellStyle name="60% - アクセント 2 2" xfId="26" xr:uid="{00000000-0005-0000-0000-00000E000000}"/>
    <cellStyle name="60% - アクセント 3 2" xfId="27" xr:uid="{00000000-0005-0000-0000-00000F000000}"/>
    <cellStyle name="60% - アクセント 4 2" xfId="28" xr:uid="{00000000-0005-0000-0000-000010000000}"/>
    <cellStyle name="60% - アクセント 5 2" xfId="29" xr:uid="{00000000-0005-0000-0000-000011000000}"/>
    <cellStyle name="60% - アクセント 6 2" xfId="30" xr:uid="{00000000-0005-0000-0000-000012000000}"/>
    <cellStyle name="args.style" xfId="1" xr:uid="{00000000-0005-0000-0000-000013000000}"/>
    <cellStyle name="Calc Currency (0)" xfId="2" xr:uid="{00000000-0005-0000-0000-000014000000}"/>
    <cellStyle name="entry" xfId="31" xr:uid="{00000000-0005-0000-0000-000015000000}"/>
    <cellStyle name="Grey" xfId="32" xr:uid="{00000000-0005-0000-0000-000016000000}"/>
    <cellStyle name="Header1" xfId="3" xr:uid="{00000000-0005-0000-0000-000017000000}"/>
    <cellStyle name="Header2" xfId="4" xr:uid="{00000000-0005-0000-0000-000018000000}"/>
    <cellStyle name="IBM(401K)" xfId="33" xr:uid="{00000000-0005-0000-0000-000019000000}"/>
    <cellStyle name="Input [yellow]" xfId="34" xr:uid="{00000000-0005-0000-0000-00001A000000}"/>
    <cellStyle name="J401K" xfId="35" xr:uid="{00000000-0005-0000-0000-00001B000000}"/>
    <cellStyle name="JT帳票" xfId="36" xr:uid="{00000000-0005-0000-0000-00001C000000}"/>
    <cellStyle name="Milliers [0]_AR1194" xfId="37" xr:uid="{00000000-0005-0000-0000-00001D000000}"/>
    <cellStyle name="Milliers_AR1194" xfId="38" xr:uid="{00000000-0005-0000-0000-00001E000000}"/>
    <cellStyle name="Mon騁aire [0]_AR1194" xfId="39" xr:uid="{00000000-0005-0000-0000-00001F000000}"/>
    <cellStyle name="Mon騁aire_AR1194" xfId="40" xr:uid="{00000000-0005-0000-0000-000020000000}"/>
    <cellStyle name="Normal - Style1" xfId="41" xr:uid="{00000000-0005-0000-0000-000021000000}"/>
    <cellStyle name="Normal_#18-Internet" xfId="5" xr:uid="{00000000-0005-0000-0000-000022000000}"/>
    <cellStyle name="per.style" xfId="6" xr:uid="{00000000-0005-0000-0000-000023000000}"/>
    <cellStyle name="Percent [2]" xfId="42" xr:uid="{00000000-0005-0000-0000-000024000000}"/>
    <cellStyle name="price" xfId="43" xr:uid="{00000000-0005-0000-0000-000025000000}"/>
    <cellStyle name="revised" xfId="44" xr:uid="{00000000-0005-0000-0000-000026000000}"/>
    <cellStyle name="section" xfId="45" xr:uid="{00000000-0005-0000-0000-000027000000}"/>
    <cellStyle name="subhead" xfId="46" xr:uid="{00000000-0005-0000-0000-000028000000}"/>
    <cellStyle name="title" xfId="47" xr:uid="{00000000-0005-0000-0000-000029000000}"/>
    <cellStyle name="アクセント 1 2" xfId="48" xr:uid="{00000000-0005-0000-0000-00002A000000}"/>
    <cellStyle name="アクセント 2 2" xfId="49" xr:uid="{00000000-0005-0000-0000-00002B000000}"/>
    <cellStyle name="アクセント 3 2" xfId="50" xr:uid="{00000000-0005-0000-0000-00002C000000}"/>
    <cellStyle name="アクセント 4 2" xfId="51" xr:uid="{00000000-0005-0000-0000-00002D000000}"/>
    <cellStyle name="アクセント 5 2" xfId="52" xr:uid="{00000000-0005-0000-0000-00002E000000}"/>
    <cellStyle name="アクセント 6 2" xfId="53" xr:uid="{00000000-0005-0000-0000-00002F000000}"/>
    <cellStyle name="センター" xfId="54" xr:uid="{00000000-0005-0000-0000-000030000000}"/>
    <cellStyle name="タイトル 2" xfId="55" xr:uid="{00000000-0005-0000-0000-000031000000}"/>
    <cellStyle name="チェック セル 2" xfId="56" xr:uid="{00000000-0005-0000-0000-000032000000}"/>
    <cellStyle name="どちらでもない 2" xfId="57" xr:uid="{00000000-0005-0000-0000-000033000000}"/>
    <cellStyle name="メモ 2" xfId="58" xr:uid="{00000000-0005-0000-0000-000034000000}"/>
    <cellStyle name="リンク セル 2" xfId="59" xr:uid="{00000000-0005-0000-0000-000035000000}"/>
    <cellStyle name="悪い 2" xfId="60" xr:uid="{00000000-0005-0000-0000-000036000000}"/>
    <cellStyle name="計算 2" xfId="61" xr:uid="{00000000-0005-0000-0000-000037000000}"/>
    <cellStyle name="警告文 2" xfId="62" xr:uid="{00000000-0005-0000-0000-000038000000}"/>
    <cellStyle name="桁蟻唇Ｆ [0.00]_laroux" xfId="63" xr:uid="{00000000-0005-0000-0000-000039000000}"/>
    <cellStyle name="桁蟻唇Ｆ_laroux" xfId="64" xr:uid="{00000000-0005-0000-0000-00003A000000}"/>
    <cellStyle name="見出し 1 2" xfId="65" xr:uid="{00000000-0005-0000-0000-00003B000000}"/>
    <cellStyle name="見出し 2 2" xfId="66" xr:uid="{00000000-0005-0000-0000-00003C000000}"/>
    <cellStyle name="見出し 3 2" xfId="67" xr:uid="{00000000-0005-0000-0000-00003D000000}"/>
    <cellStyle name="見出し 4 2" xfId="68" xr:uid="{00000000-0005-0000-0000-00003E000000}"/>
    <cellStyle name="集計 2" xfId="69" xr:uid="{00000000-0005-0000-0000-00003F000000}"/>
    <cellStyle name="出力 2" xfId="70" xr:uid="{00000000-0005-0000-0000-000040000000}"/>
    <cellStyle name="説明文 2" xfId="71" xr:uid="{00000000-0005-0000-0000-000041000000}"/>
    <cellStyle name="脱浦 [0.00]_laroux" xfId="72" xr:uid="{00000000-0005-0000-0000-000042000000}"/>
    <cellStyle name="脱浦_laroux" xfId="73" xr:uid="{00000000-0005-0000-0000-000043000000}"/>
    <cellStyle name="入力 2" xfId="74" xr:uid="{00000000-0005-0000-0000-000044000000}"/>
    <cellStyle name="標準" xfId="0" builtinId="0"/>
    <cellStyle name="標準 2" xfId="7" xr:uid="{00000000-0005-0000-0000-000046000000}"/>
    <cellStyle name="標準 3" xfId="11" xr:uid="{00000000-0005-0000-0000-000047000000}"/>
    <cellStyle name="標準 4" xfId="75" xr:uid="{00000000-0005-0000-0000-000048000000}"/>
    <cellStyle name="標準 5" xfId="76" xr:uid="{00000000-0005-0000-0000-000049000000}"/>
    <cellStyle name="標準 6" xfId="77" xr:uid="{00000000-0005-0000-0000-00004A000000}"/>
    <cellStyle name="標準 7" xfId="81" xr:uid="{00000000-0005-0000-0000-00004B000000}"/>
    <cellStyle name="標準 8" xfId="82" xr:uid="{00000000-0005-0000-0000-00004C000000}"/>
    <cellStyle name="標準 9" xfId="83" xr:uid="{4F4F0329-859B-4076-B7F2-7A453625A73F}"/>
    <cellStyle name="標準_000830_住友化学" xfId="8" xr:uid="{00000000-0005-0000-0000-00004D000000}"/>
    <cellStyle name="標準_01_論理データベースレイアウト定義書" xfId="9" xr:uid="{00000000-0005-0000-0000-00004E000000}"/>
    <cellStyle name="標準_Sheet1 2" xfId="10" xr:uid="{00000000-0005-0000-0000-00004F000000}"/>
    <cellStyle name="標準-2" xfId="78" xr:uid="{00000000-0005-0000-0000-000050000000}"/>
    <cellStyle name="未定義" xfId="79" xr:uid="{00000000-0005-0000-0000-000051000000}"/>
    <cellStyle name="良い 2" xfId="80" xr:uid="{00000000-0005-0000-0000-000052000000}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1570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25.06.03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支払・支払明細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F2B8539E-DD9C-4E5C-B5E6-AA2ED81E1AF7}"/>
            </a:ext>
          </a:extLst>
        </xdr:cNvPr>
        <xdr:cNvGrpSpPr>
          <a:grpSpLocks/>
        </xdr:cNvGrpSpPr>
      </xdr:nvGrpSpPr>
      <xdr:grpSpPr bwMode="auto">
        <a:xfrm>
          <a:off x="0" y="0"/>
          <a:ext cx="1114806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07F12E8-1DB3-46B6-5DB0-F7F7BC33CA51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F42AEB92-DE1F-9DA3-DB58-E59C1A2A90EF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9024AA85-9B5E-F5A7-FE98-5BB1E21D96C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D0272817-37C7-CEC3-2FA0-962939FFAC01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D096B90E-B35C-B247-3BE6-84044E7E81C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AF461DC4-D755-95C5-6630-D9F42AAFED8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91370D49-E978-BB6B-C9F9-B3B744BC5E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73F0155A-F0F9-1627-7196-A54B299956D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E0CFCB6A-CE0E-821F-AA41-797CB9C11C96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25.06.03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4185D734-2099-7554-C41B-C804F8B0D01D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88AB658-36E6-3D55-8A09-95AF0FAD050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9D41A41-35D6-1A06-0971-0BEB00F0A5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支払・支払明細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8289326-0901-1732-C638-7A023396B15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0FB17388-5D97-0CC9-FC38-D1081178CEF3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7BBAE3F-5B3F-1C5D-EC6D-58916BC6F9C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56AEBD63-0234-D140-6112-B019A2F4807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3227070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B3B94C03-D60B-4148-8C83-9CC9CFF14407}"/>
            </a:ext>
          </a:extLst>
        </xdr:cNvPr>
        <xdr:cNvGrpSpPr>
          <a:grpSpLocks/>
        </xdr:cNvGrpSpPr>
      </xdr:nvGrpSpPr>
      <xdr:grpSpPr bwMode="auto">
        <a:xfrm>
          <a:off x="0" y="0"/>
          <a:ext cx="1215771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5D417B1-E6F1-9E69-8D60-C2EE1A10C5F0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4C1F75E8-FCB6-1846-BF25-632500A4F6CA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D6C33FE0-96CF-7E35-303E-52783CC352A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7A33940-EE24-431D-2D96-26B2F8F432CA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6AD6DB38-F7DE-FBB1-7DB5-2B01A4C92C0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6382627E-25D7-6AFD-1A9C-065BF9A7EE69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37FDD5BA-6E3A-D513-13DE-61455090AE2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BAC20DC4-C607-D588-E017-7ABCE80617DC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5070CCD2-9FBD-6548-C5F3-1A32F10CA0DF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25.06.03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648B331A-5C4B-5FD7-C93B-B06B8407A04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9013AF48-8235-2FB5-7279-A5608C650C9F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48125E7D-F07F-4C60-40EE-54FBEF7306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支払・支払明細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840F0FD7-51C3-C8C1-10D1-585970DD9B8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10B81E8B-9C45-33B7-A0CB-31C5301314E5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EDA155B7-6AA5-25C0-0B5A-915F2EDE1AE3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71138016-E608-63BF-9EB0-982537CE316F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  <xdr:twoCellAnchor>
    <xdr:from>
      <xdr:col>6</xdr:col>
      <xdr:colOff>289560</xdr:colOff>
      <xdr:row>10</xdr:row>
      <xdr:rowOff>152400</xdr:rowOff>
    </xdr:from>
    <xdr:to>
      <xdr:col>7</xdr:col>
      <xdr:colOff>2026920</xdr:colOff>
      <xdr:row>16</xdr:row>
      <xdr:rowOff>114300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B769AF69-C306-0B66-2ECC-C285B284B437}"/>
            </a:ext>
          </a:extLst>
        </xdr:cNvPr>
        <xdr:cNvSpPr/>
      </xdr:nvSpPr>
      <xdr:spPr bwMode="auto">
        <a:xfrm>
          <a:off x="5928360" y="1828800"/>
          <a:ext cx="2247900" cy="967740"/>
        </a:xfrm>
        <a:prstGeom prst="wedgeRectCallout">
          <a:avLst>
            <a:gd name="adj1" fmla="val -64367"/>
            <a:gd name="adj2" fmla="val -32282"/>
          </a:avLst>
        </a:prstGeom>
        <a:ln>
          <a:headEnd/>
          <a:tailE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27432" tIns="18288" rIns="27432" bIns="18288" rtlCol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1" lang="en-US" altLang="ja-JP" sz="800" b="0" i="1" baseline="0">
              <a:effectLst/>
              <a:latin typeface="+mn-lt"/>
              <a:ea typeface="+mn-ea"/>
              <a:cs typeface="+mn-cs"/>
            </a:rPr>
            <a:t>ISEN</a:t>
          </a:r>
          <a:r>
            <a:rPr kumimoji="1" lang="ja-JP" altLang="en-US" sz="800" b="0" i="1" baseline="0">
              <a:effectLst/>
              <a:latin typeface="+mn-lt"/>
              <a:ea typeface="+mn-ea"/>
              <a:cs typeface="+mn-cs"/>
            </a:rPr>
            <a:t>対応で桁が</a:t>
          </a:r>
          <a:r>
            <a:rPr kumimoji="1" lang="en-US" altLang="ja-JP" sz="800" b="0" i="1" baseline="0">
              <a:effectLst/>
              <a:latin typeface="+mn-lt"/>
              <a:ea typeface="+mn-ea"/>
              <a:cs typeface="+mn-cs"/>
            </a:rPr>
            <a:t>14</a:t>
          </a:r>
          <a:r>
            <a:rPr kumimoji="1" lang="ja-JP" altLang="en-US" sz="800" b="0" i="1" baseline="0">
              <a:effectLst/>
              <a:latin typeface="+mn-lt"/>
              <a:ea typeface="+mn-ea"/>
              <a:cs typeface="+mn-cs"/>
            </a:rPr>
            <a:t>桁となる。</a:t>
          </a:r>
          <a:br>
            <a:rPr kumimoji="1" lang="en-US" altLang="ja-JP" sz="800" b="0" i="1" baseline="0">
              <a:effectLst/>
              <a:latin typeface="+mn-lt"/>
              <a:ea typeface="+mn-ea"/>
              <a:cs typeface="+mn-cs"/>
            </a:rPr>
          </a:br>
          <a:r>
            <a:rPr kumimoji="1" lang="en-US" altLang="ja-JP" sz="800" b="0" i="1" baseline="0">
              <a:effectLst/>
              <a:latin typeface="+mn-lt"/>
              <a:ea typeface="+mn-ea"/>
              <a:cs typeface="+mn-cs"/>
            </a:rPr>
            <a:t>14</a:t>
          </a:r>
          <a:r>
            <a:rPr kumimoji="1" lang="ja-JP" altLang="en-US" sz="800" b="0" i="1" baseline="0">
              <a:effectLst/>
              <a:latin typeface="+mn-lt"/>
              <a:ea typeface="+mn-ea"/>
              <a:cs typeface="+mn-cs"/>
            </a:rPr>
            <a:t>桁として桁拡張し取得できるなら、</a:t>
          </a:r>
          <a:r>
            <a:rPr kumimoji="1" lang="en-US" altLang="ja-JP" sz="800" b="0" i="1" baseline="0">
              <a:effectLst/>
              <a:latin typeface="+mn-lt"/>
              <a:ea typeface="+mn-ea"/>
              <a:cs typeface="+mn-cs"/>
            </a:rPr>
            <a:t>PG</a:t>
          </a:r>
          <a:r>
            <a:rPr kumimoji="1" lang="ja-JP" altLang="en-US" sz="800" b="0" i="1" baseline="0">
              <a:effectLst/>
              <a:latin typeface="+mn-lt"/>
              <a:ea typeface="+mn-ea"/>
              <a:cs typeface="+mn-cs"/>
            </a:rPr>
            <a:t>にて実装。</a:t>
          </a:r>
          <a:endParaRPr kumimoji="1" lang="en-US" altLang="ja-JP" sz="800" b="0" i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1" lang="ja-JP" altLang="en-US" sz="800" b="0" i="1" baseline="0">
              <a:effectLst/>
              <a:latin typeface="+mn-lt"/>
              <a:ea typeface="+mn-ea"/>
              <a:cs typeface="+mn-cs"/>
            </a:rPr>
            <a:t>実装不可の場合、ＩＳＥＮ対応にて改修とする。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view="pageBreakPreview" zoomScale="85" zoomScaleNormal="85" zoomScaleSheetLayoutView="85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03" t="s">
        <v>1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</row>
    <row r="9" spans="1:52">
      <c r="A9" s="103"/>
      <c r="B9" s="103"/>
      <c r="C9" s="103"/>
      <c r="D9" s="103"/>
      <c r="E9" s="103"/>
      <c r="F9" s="103"/>
      <c r="G9" s="103"/>
      <c r="H9" s="103"/>
      <c r="I9" s="104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</row>
    <row r="10" spans="1:52">
      <c r="A10" s="105" t="s">
        <v>2</v>
      </c>
      <c r="B10" s="105"/>
      <c r="C10" s="105"/>
      <c r="D10" s="105"/>
      <c r="E10" s="105"/>
      <c r="F10" s="105"/>
      <c r="G10" s="105"/>
      <c r="H10" s="105"/>
      <c r="I10" s="106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</row>
    <row r="11" spans="1:52">
      <c r="A11" s="105"/>
      <c r="B11" s="105"/>
      <c r="C11" s="105"/>
      <c r="D11" s="105"/>
      <c r="E11" s="105"/>
      <c r="F11" s="105"/>
      <c r="G11" s="105"/>
      <c r="H11" s="105"/>
      <c r="I11" s="106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</row>
    <row r="12" spans="1:52">
      <c r="A12" s="105"/>
      <c r="B12" s="105"/>
      <c r="C12" s="105"/>
      <c r="D12" s="105"/>
      <c r="E12" s="105"/>
      <c r="F12" s="105"/>
      <c r="G12" s="105"/>
      <c r="H12" s="105"/>
      <c r="I12" s="106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</row>
    <row r="13" spans="1:52">
      <c r="A13" s="105" t="s">
        <v>766</v>
      </c>
      <c r="B13" s="105"/>
      <c r="C13" s="105"/>
      <c r="D13" s="105"/>
      <c r="E13" s="105"/>
      <c r="F13" s="105"/>
      <c r="G13" s="105"/>
      <c r="H13" s="105"/>
      <c r="I13" s="106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</row>
    <row r="14" spans="1:52">
      <c r="A14" s="105"/>
      <c r="B14" s="105"/>
      <c r="C14" s="105"/>
      <c r="D14" s="105"/>
      <c r="E14" s="105"/>
      <c r="F14" s="105"/>
      <c r="G14" s="105"/>
      <c r="H14" s="105"/>
      <c r="I14" s="106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</row>
    <row r="15" spans="1:52">
      <c r="A15" s="105"/>
      <c r="B15" s="105"/>
      <c r="C15" s="105"/>
      <c r="D15" s="105"/>
      <c r="E15" s="105"/>
      <c r="F15" s="105"/>
      <c r="G15" s="105"/>
      <c r="H15" s="105"/>
      <c r="I15" s="106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</row>
    <row r="17" spans="1:52" ht="19.2">
      <c r="A17" s="107" t="s">
        <v>72</v>
      </c>
      <c r="B17" s="107"/>
      <c r="C17" s="107"/>
      <c r="D17" s="107"/>
      <c r="E17" s="107"/>
      <c r="F17" s="107"/>
      <c r="G17" s="107"/>
      <c r="H17" s="107"/>
      <c r="I17" s="108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09">
        <v>45811</v>
      </c>
      <c r="B22" s="109"/>
      <c r="C22" s="109"/>
      <c r="D22" s="109"/>
      <c r="E22" s="109"/>
      <c r="F22" s="109"/>
      <c r="G22" s="109"/>
      <c r="H22" s="109"/>
      <c r="I22" s="110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</row>
    <row r="23" spans="1:52">
      <c r="A23" s="109"/>
      <c r="B23" s="109"/>
      <c r="C23" s="109"/>
      <c r="D23" s="109"/>
      <c r="E23" s="109"/>
      <c r="F23" s="109"/>
      <c r="G23" s="109"/>
      <c r="H23" s="109"/>
      <c r="I23" s="110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</row>
    <row r="24" spans="1:52">
      <c r="A24" s="95" t="s">
        <v>3</v>
      </c>
      <c r="B24" s="95"/>
      <c r="C24" s="95"/>
      <c r="D24" s="95"/>
      <c r="E24" s="95"/>
      <c r="F24" s="95"/>
      <c r="G24" s="95"/>
      <c r="H24" s="95"/>
      <c r="I24" s="96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</row>
    <row r="25" spans="1:52">
      <c r="A25" s="95"/>
      <c r="B25" s="95"/>
      <c r="C25" s="95"/>
      <c r="D25" s="95"/>
      <c r="E25" s="95"/>
      <c r="F25" s="95"/>
      <c r="G25" s="95"/>
      <c r="H25" s="95"/>
      <c r="I25" s="96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</row>
    <row r="28" spans="1:52">
      <c r="V28" s="97" t="s">
        <v>4</v>
      </c>
      <c r="W28" s="98"/>
      <c r="X28" s="98"/>
      <c r="Y28" s="98"/>
      <c r="Z28" s="99"/>
      <c r="AA28" s="97" t="s">
        <v>5</v>
      </c>
      <c r="AB28" s="98"/>
      <c r="AC28" s="98"/>
      <c r="AD28" s="98"/>
      <c r="AE28" s="99"/>
    </row>
    <row r="29" spans="1:52">
      <c r="V29" s="100"/>
      <c r="W29" s="101"/>
      <c r="X29" s="101"/>
      <c r="Y29" s="101"/>
      <c r="Z29" s="102"/>
      <c r="AA29" s="100">
        <v>45811</v>
      </c>
      <c r="AB29" s="101"/>
      <c r="AC29" s="101"/>
      <c r="AD29" s="101"/>
      <c r="AE29" s="102"/>
    </row>
    <row r="30" spans="1:52">
      <c r="V30" s="83"/>
      <c r="W30" s="84"/>
      <c r="X30" s="84"/>
      <c r="Y30" s="84"/>
      <c r="Z30" s="85"/>
      <c r="AA30" s="89" t="s">
        <v>186</v>
      </c>
      <c r="AB30" s="90"/>
      <c r="AC30" s="90"/>
      <c r="AD30" s="90"/>
      <c r="AE30" s="91"/>
    </row>
    <row r="31" spans="1:52">
      <c r="V31" s="83"/>
      <c r="W31" s="84"/>
      <c r="X31" s="84"/>
      <c r="Y31" s="84"/>
      <c r="Z31" s="85"/>
      <c r="AA31" s="89"/>
      <c r="AB31" s="90"/>
      <c r="AC31" s="90"/>
      <c r="AD31" s="90"/>
      <c r="AE31" s="91"/>
    </row>
    <row r="32" spans="1:52">
      <c r="V32" s="83"/>
      <c r="W32" s="84"/>
      <c r="X32" s="84"/>
      <c r="Y32" s="84"/>
      <c r="Z32" s="85"/>
      <c r="AA32" s="89"/>
      <c r="AB32" s="90"/>
      <c r="AC32" s="90"/>
      <c r="AD32" s="90"/>
      <c r="AE32" s="91"/>
    </row>
    <row r="33" spans="22:31">
      <c r="V33" s="83"/>
      <c r="W33" s="84"/>
      <c r="X33" s="84"/>
      <c r="Y33" s="84"/>
      <c r="Z33" s="85"/>
      <c r="AA33" s="89"/>
      <c r="AB33" s="90"/>
      <c r="AC33" s="90"/>
      <c r="AD33" s="90"/>
      <c r="AE33" s="91"/>
    </row>
    <row r="34" spans="22:31">
      <c r="V34" s="86"/>
      <c r="W34" s="87"/>
      <c r="X34" s="87"/>
      <c r="Y34" s="87"/>
      <c r="Z34" s="88"/>
      <c r="AA34" s="92"/>
      <c r="AB34" s="93"/>
      <c r="AC34" s="93"/>
      <c r="AD34" s="93"/>
      <c r="AE34" s="94"/>
    </row>
  </sheetData>
  <mergeCells count="12">
    <mergeCell ref="A8:AZ9"/>
    <mergeCell ref="A10:AZ12"/>
    <mergeCell ref="A13:AZ15"/>
    <mergeCell ref="A17:AZ17"/>
    <mergeCell ref="A22:AZ23"/>
    <mergeCell ref="V30:Z34"/>
    <mergeCell ref="AA30:AE34"/>
    <mergeCell ref="A24:AZ25"/>
    <mergeCell ref="V28:Z28"/>
    <mergeCell ref="AA28:AE28"/>
    <mergeCell ref="V29:Z29"/>
    <mergeCell ref="AA29:AE29"/>
  </mergeCells>
  <phoneticPr fontId="4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4"/>
  <sheetViews>
    <sheetView showGridLines="0" view="pageBreakPreview" zoomScale="115" zoomScaleNormal="85" zoomScaleSheetLayoutView="115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126" t="s">
        <v>6</v>
      </c>
      <c r="B1" s="127"/>
      <c r="C1" s="127"/>
      <c r="D1" s="127"/>
      <c r="E1" s="127"/>
      <c r="F1" s="133" t="s">
        <v>7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5"/>
      <c r="T1" s="141" t="s">
        <v>8</v>
      </c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1" t="s">
        <v>9</v>
      </c>
      <c r="AI1" s="142"/>
      <c r="AJ1" s="142"/>
      <c r="AK1" s="142"/>
      <c r="AL1" s="142"/>
      <c r="AM1" s="142"/>
      <c r="AN1" s="142"/>
      <c r="AO1" s="142"/>
      <c r="AP1" s="142"/>
      <c r="AQ1" s="142"/>
      <c r="AR1" s="149"/>
      <c r="AS1" s="141" t="s">
        <v>10</v>
      </c>
      <c r="AT1" s="142"/>
      <c r="AU1" s="142"/>
      <c r="AV1" s="142"/>
      <c r="AW1" s="142"/>
      <c r="AX1" s="142"/>
      <c r="AY1" s="142"/>
      <c r="AZ1" s="142"/>
      <c r="BA1" s="149"/>
      <c r="BB1" s="141" t="s">
        <v>11</v>
      </c>
      <c r="BC1" s="142"/>
      <c r="BD1" s="142"/>
      <c r="BE1" s="149"/>
      <c r="BF1" s="141" t="s">
        <v>12</v>
      </c>
      <c r="BG1" s="142"/>
      <c r="BH1" s="142"/>
      <c r="BI1" s="149"/>
      <c r="BJ1" s="141" t="s">
        <v>13</v>
      </c>
      <c r="BK1" s="142"/>
      <c r="BL1" s="142"/>
      <c r="BM1" s="149"/>
      <c r="BN1" s="141" t="s">
        <v>14</v>
      </c>
      <c r="BO1" s="142"/>
      <c r="BP1" s="142"/>
      <c r="BQ1" s="149"/>
    </row>
    <row r="2" spans="1:69" ht="13.5" customHeight="1">
      <c r="A2" s="128"/>
      <c r="B2" s="129"/>
      <c r="C2" s="129"/>
      <c r="D2" s="129"/>
      <c r="E2" s="129"/>
      <c r="F2" s="136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137"/>
      <c r="T2" s="143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3"/>
      <c r="AI2" s="144"/>
      <c r="AJ2" s="144"/>
      <c r="AK2" s="144"/>
      <c r="AL2" s="144"/>
      <c r="AM2" s="144"/>
      <c r="AN2" s="144"/>
      <c r="AO2" s="144"/>
      <c r="AP2" s="144"/>
      <c r="AQ2" s="144"/>
      <c r="AR2" s="150"/>
      <c r="AS2" s="143"/>
      <c r="AT2" s="144"/>
      <c r="AU2" s="144"/>
      <c r="AV2" s="144"/>
      <c r="AW2" s="144"/>
      <c r="AX2" s="144"/>
      <c r="AY2" s="144"/>
      <c r="AZ2" s="144"/>
      <c r="BA2" s="150"/>
      <c r="BB2" s="143"/>
      <c r="BC2" s="144"/>
      <c r="BD2" s="144"/>
      <c r="BE2" s="150"/>
      <c r="BF2" s="143"/>
      <c r="BG2" s="144"/>
      <c r="BH2" s="144"/>
      <c r="BI2" s="150"/>
      <c r="BJ2" s="143"/>
      <c r="BK2" s="144"/>
      <c r="BL2" s="144"/>
      <c r="BM2" s="150"/>
      <c r="BN2" s="143"/>
      <c r="BO2" s="144"/>
      <c r="BP2" s="144"/>
      <c r="BQ2" s="150"/>
    </row>
    <row r="3" spans="1:69" ht="13.5" customHeight="1">
      <c r="A3" s="128"/>
      <c r="B3" s="129"/>
      <c r="C3" s="129"/>
      <c r="D3" s="129"/>
      <c r="E3" s="129"/>
      <c r="F3" s="136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137"/>
      <c r="T3" s="145" t="s">
        <v>15</v>
      </c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5" t="s">
        <v>15</v>
      </c>
      <c r="AI3" s="146"/>
      <c r="AJ3" s="146"/>
      <c r="AK3" s="146"/>
      <c r="AL3" s="146"/>
      <c r="AM3" s="146"/>
      <c r="AN3" s="146"/>
      <c r="AO3" s="146"/>
      <c r="AP3" s="146"/>
      <c r="AQ3" s="146"/>
      <c r="AR3" s="151"/>
      <c r="AS3" s="145" t="s">
        <v>190</v>
      </c>
      <c r="AT3" s="146"/>
      <c r="AU3" s="146"/>
      <c r="AV3" s="146"/>
      <c r="AW3" s="146"/>
      <c r="AX3" s="146"/>
      <c r="AY3" s="146"/>
      <c r="AZ3" s="146"/>
      <c r="BA3" s="151"/>
      <c r="BB3" s="145" t="s">
        <v>186</v>
      </c>
      <c r="BC3" s="146"/>
      <c r="BD3" s="146"/>
      <c r="BE3" s="151"/>
      <c r="BF3" s="153">
        <v>45811</v>
      </c>
      <c r="BG3" s="154"/>
      <c r="BH3" s="154"/>
      <c r="BI3" s="155"/>
      <c r="BJ3" s="145"/>
      <c r="BK3" s="159"/>
      <c r="BL3" s="159"/>
      <c r="BM3" s="151"/>
      <c r="BN3" s="153"/>
      <c r="BO3" s="160"/>
      <c r="BP3" s="160"/>
      <c r="BQ3" s="155"/>
    </row>
    <row r="4" spans="1:69" ht="13.5" customHeight="1" thickBot="1">
      <c r="A4" s="130"/>
      <c r="B4" s="131"/>
      <c r="C4" s="131"/>
      <c r="D4" s="131"/>
      <c r="E4" s="131"/>
      <c r="F4" s="138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  <c r="T4" s="147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7"/>
      <c r="AI4" s="148"/>
      <c r="AJ4" s="148"/>
      <c r="AK4" s="148"/>
      <c r="AL4" s="148"/>
      <c r="AM4" s="148"/>
      <c r="AN4" s="148"/>
      <c r="AO4" s="148"/>
      <c r="AP4" s="148"/>
      <c r="AQ4" s="148"/>
      <c r="AR4" s="152"/>
      <c r="AS4" s="147"/>
      <c r="AT4" s="148"/>
      <c r="AU4" s="148"/>
      <c r="AV4" s="148"/>
      <c r="AW4" s="148"/>
      <c r="AX4" s="148"/>
      <c r="AY4" s="148"/>
      <c r="AZ4" s="148"/>
      <c r="BA4" s="152"/>
      <c r="BB4" s="147"/>
      <c r="BC4" s="148"/>
      <c r="BD4" s="148"/>
      <c r="BE4" s="152"/>
      <c r="BF4" s="156"/>
      <c r="BG4" s="157"/>
      <c r="BH4" s="157"/>
      <c r="BI4" s="158"/>
      <c r="BJ4" s="147"/>
      <c r="BK4" s="148"/>
      <c r="BL4" s="148"/>
      <c r="BM4" s="152"/>
      <c r="BN4" s="156"/>
      <c r="BO4" s="157"/>
      <c r="BP4" s="157"/>
      <c r="BQ4" s="158"/>
    </row>
    <row r="5" spans="1:69" ht="13.5" customHeight="1">
      <c r="I5" s="21"/>
      <c r="J5" s="21"/>
    </row>
    <row r="6" spans="1:69" ht="13.5" customHeight="1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8"/>
    </row>
    <row r="7" spans="1:69" ht="13.5" customHeight="1">
      <c r="A7" s="22"/>
      <c r="B7" s="161" t="s">
        <v>16</v>
      </c>
      <c r="C7" s="161"/>
      <c r="D7" s="124" t="s">
        <v>17</v>
      </c>
      <c r="E7" s="132"/>
      <c r="F7" s="132"/>
      <c r="G7" s="125"/>
      <c r="H7" s="161" t="s">
        <v>18</v>
      </c>
      <c r="I7" s="161"/>
      <c r="J7" s="161"/>
      <c r="K7" s="161"/>
      <c r="L7" s="161" t="s">
        <v>19</v>
      </c>
      <c r="M7" s="161"/>
      <c r="N7" s="161"/>
      <c r="O7" s="124" t="s">
        <v>20</v>
      </c>
      <c r="P7" s="125"/>
      <c r="Q7" s="120" t="s">
        <v>21</v>
      </c>
      <c r="R7" s="121"/>
      <c r="S7" s="121"/>
      <c r="T7" s="122"/>
      <c r="U7" s="124" t="s">
        <v>22</v>
      </c>
      <c r="V7" s="132"/>
      <c r="W7" s="132"/>
      <c r="X7" s="132"/>
      <c r="Y7" s="132"/>
      <c r="Z7" s="132"/>
      <c r="AA7" s="132"/>
      <c r="AB7" s="132"/>
      <c r="AC7" s="132"/>
      <c r="AD7" s="132"/>
      <c r="AE7" s="125"/>
      <c r="AF7" s="124" t="s">
        <v>23</v>
      </c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25"/>
      <c r="AY7" s="124" t="s">
        <v>24</v>
      </c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25"/>
      <c r="BQ7" s="23"/>
    </row>
    <row r="8" spans="1:69" ht="12">
      <c r="A8" s="22"/>
      <c r="B8" s="111">
        <f t="shared" ref="B8:B52" si="0">ROW()-7</f>
        <v>1</v>
      </c>
      <c r="C8" s="112"/>
      <c r="D8" s="123" t="s">
        <v>67</v>
      </c>
      <c r="E8" s="114"/>
      <c r="F8" s="114"/>
      <c r="G8" s="115"/>
      <c r="H8" s="116">
        <v>45811</v>
      </c>
      <c r="I8" s="114"/>
      <c r="J8" s="114"/>
      <c r="K8" s="115"/>
      <c r="L8" s="113" t="s">
        <v>71</v>
      </c>
      <c r="M8" s="114"/>
      <c r="N8" s="115"/>
      <c r="O8" s="113" t="s">
        <v>25</v>
      </c>
      <c r="P8" s="115"/>
      <c r="Q8" s="113" t="s">
        <v>191</v>
      </c>
      <c r="R8" s="114"/>
      <c r="S8" s="114"/>
      <c r="T8" s="115"/>
      <c r="U8" s="113"/>
      <c r="V8" s="114"/>
      <c r="W8" s="114"/>
      <c r="X8" s="114"/>
      <c r="Y8" s="114"/>
      <c r="Z8" s="114"/>
      <c r="AA8" s="114"/>
      <c r="AB8" s="114"/>
      <c r="AC8" s="114"/>
      <c r="AD8" s="114"/>
      <c r="AE8" s="115"/>
      <c r="AF8" s="113" t="s">
        <v>26</v>
      </c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5"/>
      <c r="AY8" s="113" t="s">
        <v>173</v>
      </c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  <c r="BP8" s="115"/>
      <c r="BQ8" s="23"/>
    </row>
    <row r="9" spans="1:69" ht="12">
      <c r="A9" s="22"/>
      <c r="B9" s="111">
        <f t="shared" si="0"/>
        <v>2</v>
      </c>
      <c r="C9" s="112"/>
      <c r="D9" s="113"/>
      <c r="E9" s="118"/>
      <c r="F9" s="118"/>
      <c r="G9" s="115"/>
      <c r="H9" s="116"/>
      <c r="I9" s="119"/>
      <c r="J9" s="119"/>
      <c r="K9" s="115"/>
      <c r="L9" s="113"/>
      <c r="M9" s="118"/>
      <c r="N9" s="115"/>
      <c r="O9" s="113"/>
      <c r="P9" s="115"/>
      <c r="Q9" s="113"/>
      <c r="R9" s="118"/>
      <c r="S9" s="118"/>
      <c r="T9" s="115"/>
      <c r="U9" s="113"/>
      <c r="V9" s="118"/>
      <c r="W9" s="118"/>
      <c r="X9" s="118"/>
      <c r="Y9" s="118"/>
      <c r="Z9" s="118"/>
      <c r="AA9" s="118"/>
      <c r="AB9" s="118"/>
      <c r="AC9" s="118"/>
      <c r="AD9" s="118"/>
      <c r="AE9" s="115"/>
      <c r="AF9" s="113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5"/>
      <c r="AY9" s="113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5"/>
      <c r="BQ9" s="23"/>
    </row>
    <row r="10" spans="1:69" ht="12">
      <c r="A10" s="22"/>
      <c r="B10" s="111">
        <f t="shared" si="0"/>
        <v>3</v>
      </c>
      <c r="C10" s="112"/>
      <c r="D10" s="113"/>
      <c r="E10" s="114"/>
      <c r="F10" s="114"/>
      <c r="G10" s="115"/>
      <c r="H10" s="116"/>
      <c r="I10" s="117"/>
      <c r="J10" s="117"/>
      <c r="K10" s="115"/>
      <c r="L10" s="113"/>
      <c r="M10" s="114"/>
      <c r="N10" s="115"/>
      <c r="O10" s="113"/>
      <c r="P10" s="115"/>
      <c r="Q10" s="113"/>
      <c r="R10" s="114"/>
      <c r="S10" s="114"/>
      <c r="T10" s="115"/>
      <c r="U10" s="113"/>
      <c r="V10" s="114"/>
      <c r="W10" s="114"/>
      <c r="X10" s="114"/>
      <c r="Y10" s="114"/>
      <c r="Z10" s="114"/>
      <c r="AA10" s="114"/>
      <c r="AB10" s="114"/>
      <c r="AC10" s="114"/>
      <c r="AD10" s="114"/>
      <c r="AE10" s="115"/>
      <c r="AF10" s="113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5"/>
      <c r="AY10" s="113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5"/>
      <c r="BQ10" s="23"/>
    </row>
    <row r="11" spans="1:69" ht="12">
      <c r="A11" s="22"/>
      <c r="B11" s="111">
        <f t="shared" si="0"/>
        <v>4</v>
      </c>
      <c r="C11" s="112"/>
      <c r="D11" s="113"/>
      <c r="E11" s="114"/>
      <c r="F11" s="114"/>
      <c r="G11" s="115"/>
      <c r="H11" s="116"/>
      <c r="I11" s="117"/>
      <c r="J11" s="117"/>
      <c r="K11" s="115"/>
      <c r="L11" s="113"/>
      <c r="M11" s="114"/>
      <c r="N11" s="115"/>
      <c r="O11" s="113"/>
      <c r="P11" s="115"/>
      <c r="Q11" s="113"/>
      <c r="R11" s="114"/>
      <c r="S11" s="114"/>
      <c r="T11" s="115"/>
      <c r="U11" s="113"/>
      <c r="V11" s="114"/>
      <c r="W11" s="114"/>
      <c r="X11" s="114"/>
      <c r="Y11" s="114"/>
      <c r="Z11" s="114"/>
      <c r="AA11" s="114"/>
      <c r="AB11" s="114"/>
      <c r="AC11" s="114"/>
      <c r="AD11" s="114"/>
      <c r="AE11" s="115"/>
      <c r="AF11" s="113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5"/>
      <c r="AY11" s="113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  <c r="BP11" s="115"/>
      <c r="BQ11" s="23"/>
    </row>
    <row r="12" spans="1:69" ht="12">
      <c r="A12" s="22"/>
      <c r="B12" s="111">
        <f t="shared" si="0"/>
        <v>5</v>
      </c>
      <c r="C12" s="112"/>
      <c r="D12" s="113"/>
      <c r="E12" s="114"/>
      <c r="F12" s="114"/>
      <c r="G12" s="115"/>
      <c r="H12" s="116"/>
      <c r="I12" s="117"/>
      <c r="J12" s="117"/>
      <c r="K12" s="115"/>
      <c r="L12" s="113"/>
      <c r="M12" s="114"/>
      <c r="N12" s="115"/>
      <c r="O12" s="113"/>
      <c r="P12" s="115"/>
      <c r="Q12" s="113"/>
      <c r="R12" s="114"/>
      <c r="S12" s="114"/>
      <c r="T12" s="115"/>
      <c r="U12" s="113"/>
      <c r="V12" s="114"/>
      <c r="W12" s="114"/>
      <c r="X12" s="114"/>
      <c r="Y12" s="114"/>
      <c r="Z12" s="114"/>
      <c r="AA12" s="114"/>
      <c r="AB12" s="114"/>
      <c r="AC12" s="114"/>
      <c r="AD12" s="114"/>
      <c r="AE12" s="115"/>
      <c r="AF12" s="113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5"/>
      <c r="AY12" s="113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5"/>
      <c r="BQ12" s="23"/>
    </row>
    <row r="13" spans="1:69" ht="12">
      <c r="A13" s="22"/>
      <c r="B13" s="111">
        <f t="shared" si="0"/>
        <v>6</v>
      </c>
      <c r="C13" s="112"/>
      <c r="D13" s="113"/>
      <c r="E13" s="114"/>
      <c r="F13" s="114"/>
      <c r="G13" s="115"/>
      <c r="H13" s="116"/>
      <c r="I13" s="117"/>
      <c r="J13" s="117"/>
      <c r="K13" s="115"/>
      <c r="L13" s="113"/>
      <c r="M13" s="114"/>
      <c r="N13" s="115"/>
      <c r="O13" s="113"/>
      <c r="P13" s="115"/>
      <c r="Q13" s="113"/>
      <c r="R13" s="114"/>
      <c r="S13" s="114"/>
      <c r="T13" s="115"/>
      <c r="U13" s="113"/>
      <c r="V13" s="114"/>
      <c r="W13" s="114"/>
      <c r="X13" s="114"/>
      <c r="Y13" s="114"/>
      <c r="Z13" s="114"/>
      <c r="AA13" s="114"/>
      <c r="AB13" s="114"/>
      <c r="AC13" s="114"/>
      <c r="AD13" s="114"/>
      <c r="AE13" s="115"/>
      <c r="AF13" s="113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5"/>
      <c r="AY13" s="113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5"/>
      <c r="BQ13" s="23"/>
    </row>
    <row r="14" spans="1:69" ht="12">
      <c r="A14" s="22"/>
      <c r="B14" s="111">
        <f t="shared" si="0"/>
        <v>7</v>
      </c>
      <c r="C14" s="112"/>
      <c r="D14" s="113"/>
      <c r="E14" s="114"/>
      <c r="F14" s="114"/>
      <c r="G14" s="115"/>
      <c r="H14" s="116"/>
      <c r="I14" s="117"/>
      <c r="J14" s="117"/>
      <c r="K14" s="115"/>
      <c r="L14" s="113"/>
      <c r="M14" s="114"/>
      <c r="N14" s="115"/>
      <c r="O14" s="113"/>
      <c r="P14" s="115"/>
      <c r="Q14" s="113"/>
      <c r="R14" s="114"/>
      <c r="S14" s="114"/>
      <c r="T14" s="115"/>
      <c r="U14" s="113"/>
      <c r="V14" s="114"/>
      <c r="W14" s="114"/>
      <c r="X14" s="114"/>
      <c r="Y14" s="114"/>
      <c r="Z14" s="114"/>
      <c r="AA14" s="114"/>
      <c r="AB14" s="114"/>
      <c r="AC14" s="114"/>
      <c r="AD14" s="114"/>
      <c r="AE14" s="115"/>
      <c r="AF14" s="113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5"/>
      <c r="AY14" s="113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  <c r="BP14" s="115"/>
      <c r="BQ14" s="23"/>
    </row>
    <row r="15" spans="1:69" ht="12">
      <c r="A15" s="22"/>
      <c r="B15" s="111">
        <f t="shared" si="0"/>
        <v>8</v>
      </c>
      <c r="C15" s="112"/>
      <c r="D15" s="113"/>
      <c r="E15" s="114"/>
      <c r="F15" s="114"/>
      <c r="G15" s="115"/>
      <c r="H15" s="116"/>
      <c r="I15" s="117"/>
      <c r="J15" s="117"/>
      <c r="K15" s="115"/>
      <c r="L15" s="113"/>
      <c r="M15" s="114"/>
      <c r="N15" s="115"/>
      <c r="O15" s="113"/>
      <c r="P15" s="115"/>
      <c r="Q15" s="113"/>
      <c r="R15" s="114"/>
      <c r="S15" s="114"/>
      <c r="T15" s="115"/>
      <c r="U15" s="113"/>
      <c r="V15" s="114"/>
      <c r="W15" s="114"/>
      <c r="X15" s="114"/>
      <c r="Y15" s="114"/>
      <c r="Z15" s="114"/>
      <c r="AA15" s="114"/>
      <c r="AB15" s="114"/>
      <c r="AC15" s="114"/>
      <c r="AD15" s="114"/>
      <c r="AE15" s="115"/>
      <c r="AF15" s="113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5"/>
      <c r="AY15" s="113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  <c r="BP15" s="115"/>
      <c r="BQ15" s="23"/>
    </row>
    <row r="16" spans="1:69" ht="12">
      <c r="A16" s="22"/>
      <c r="B16" s="111">
        <f t="shared" si="0"/>
        <v>9</v>
      </c>
      <c r="C16" s="112"/>
      <c r="D16" s="113"/>
      <c r="E16" s="114"/>
      <c r="F16" s="114"/>
      <c r="G16" s="115"/>
      <c r="H16" s="116"/>
      <c r="I16" s="117"/>
      <c r="J16" s="117"/>
      <c r="K16" s="115"/>
      <c r="L16" s="113"/>
      <c r="M16" s="114"/>
      <c r="N16" s="115"/>
      <c r="O16" s="113"/>
      <c r="P16" s="115"/>
      <c r="Q16" s="113"/>
      <c r="R16" s="114"/>
      <c r="S16" s="114"/>
      <c r="T16" s="115"/>
      <c r="U16" s="113"/>
      <c r="V16" s="114"/>
      <c r="W16" s="114"/>
      <c r="X16" s="114"/>
      <c r="Y16" s="114"/>
      <c r="Z16" s="114"/>
      <c r="AA16" s="114"/>
      <c r="AB16" s="114"/>
      <c r="AC16" s="114"/>
      <c r="AD16" s="114"/>
      <c r="AE16" s="115"/>
      <c r="AF16" s="113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5"/>
      <c r="AY16" s="113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5"/>
      <c r="BQ16" s="23"/>
    </row>
    <row r="17" spans="1:69" ht="12">
      <c r="A17" s="22"/>
      <c r="B17" s="111">
        <f t="shared" si="0"/>
        <v>10</v>
      </c>
      <c r="C17" s="112"/>
      <c r="D17" s="113"/>
      <c r="E17" s="114"/>
      <c r="F17" s="114"/>
      <c r="G17" s="115"/>
      <c r="H17" s="116"/>
      <c r="I17" s="117"/>
      <c r="J17" s="117"/>
      <c r="K17" s="115"/>
      <c r="L17" s="113"/>
      <c r="M17" s="114"/>
      <c r="N17" s="115"/>
      <c r="O17" s="113"/>
      <c r="P17" s="115"/>
      <c r="Q17" s="113"/>
      <c r="R17" s="114"/>
      <c r="S17" s="114"/>
      <c r="T17" s="115"/>
      <c r="U17" s="113"/>
      <c r="V17" s="114"/>
      <c r="W17" s="114"/>
      <c r="X17" s="114"/>
      <c r="Y17" s="114"/>
      <c r="Z17" s="114"/>
      <c r="AA17" s="114"/>
      <c r="AB17" s="114"/>
      <c r="AC17" s="114"/>
      <c r="AD17" s="114"/>
      <c r="AE17" s="115"/>
      <c r="AF17" s="113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5"/>
      <c r="AY17" s="113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5"/>
      <c r="BQ17" s="23"/>
    </row>
    <row r="18" spans="1:69" ht="12">
      <c r="A18" s="22"/>
      <c r="B18" s="111">
        <f t="shared" si="0"/>
        <v>11</v>
      </c>
      <c r="C18" s="112"/>
      <c r="D18" s="113"/>
      <c r="E18" s="114"/>
      <c r="F18" s="114"/>
      <c r="G18" s="115"/>
      <c r="H18" s="116"/>
      <c r="I18" s="117"/>
      <c r="J18" s="117"/>
      <c r="K18" s="115"/>
      <c r="L18" s="113"/>
      <c r="M18" s="114"/>
      <c r="N18" s="115"/>
      <c r="O18" s="113"/>
      <c r="P18" s="115"/>
      <c r="Q18" s="113"/>
      <c r="R18" s="114"/>
      <c r="S18" s="114"/>
      <c r="T18" s="115"/>
      <c r="U18" s="113"/>
      <c r="V18" s="114"/>
      <c r="W18" s="114"/>
      <c r="X18" s="114"/>
      <c r="Y18" s="114"/>
      <c r="Z18" s="114"/>
      <c r="AA18" s="114"/>
      <c r="AB18" s="114"/>
      <c r="AC18" s="114"/>
      <c r="AD18" s="114"/>
      <c r="AE18" s="115"/>
      <c r="AF18" s="113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5"/>
      <c r="AY18" s="113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5"/>
      <c r="BQ18" s="23"/>
    </row>
    <row r="19" spans="1:69" ht="12">
      <c r="A19" s="22"/>
      <c r="B19" s="111">
        <f t="shared" si="0"/>
        <v>12</v>
      </c>
      <c r="C19" s="112"/>
      <c r="D19" s="113"/>
      <c r="E19" s="114"/>
      <c r="F19" s="114"/>
      <c r="G19" s="115"/>
      <c r="H19" s="116"/>
      <c r="I19" s="117"/>
      <c r="J19" s="117"/>
      <c r="K19" s="115"/>
      <c r="L19" s="113"/>
      <c r="M19" s="114"/>
      <c r="N19" s="115"/>
      <c r="O19" s="113"/>
      <c r="P19" s="115"/>
      <c r="Q19" s="113"/>
      <c r="R19" s="114"/>
      <c r="S19" s="114"/>
      <c r="T19" s="115"/>
      <c r="U19" s="113"/>
      <c r="V19" s="114"/>
      <c r="W19" s="114"/>
      <c r="X19" s="114"/>
      <c r="Y19" s="114"/>
      <c r="Z19" s="114"/>
      <c r="AA19" s="114"/>
      <c r="AB19" s="114"/>
      <c r="AC19" s="114"/>
      <c r="AD19" s="114"/>
      <c r="AE19" s="115"/>
      <c r="AF19" s="113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5"/>
      <c r="AY19" s="113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BO19" s="114"/>
      <c r="BP19" s="115"/>
      <c r="BQ19" s="23"/>
    </row>
    <row r="20" spans="1:69" ht="12">
      <c r="A20" s="22"/>
      <c r="B20" s="111">
        <f t="shared" si="0"/>
        <v>13</v>
      </c>
      <c r="C20" s="112"/>
      <c r="D20" s="113"/>
      <c r="E20" s="114"/>
      <c r="F20" s="114"/>
      <c r="G20" s="115"/>
      <c r="H20" s="116"/>
      <c r="I20" s="117"/>
      <c r="J20" s="117"/>
      <c r="K20" s="115"/>
      <c r="L20" s="113"/>
      <c r="M20" s="114"/>
      <c r="N20" s="115"/>
      <c r="O20" s="113"/>
      <c r="P20" s="115"/>
      <c r="Q20" s="113"/>
      <c r="R20" s="114"/>
      <c r="S20" s="114"/>
      <c r="T20" s="115"/>
      <c r="U20" s="113"/>
      <c r="V20" s="114"/>
      <c r="W20" s="114"/>
      <c r="X20" s="114"/>
      <c r="Y20" s="114"/>
      <c r="Z20" s="114"/>
      <c r="AA20" s="114"/>
      <c r="AB20" s="114"/>
      <c r="AC20" s="114"/>
      <c r="AD20" s="114"/>
      <c r="AE20" s="115"/>
      <c r="AF20" s="113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5"/>
      <c r="AY20" s="113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5"/>
      <c r="BQ20" s="23"/>
    </row>
    <row r="21" spans="1:69" ht="12">
      <c r="A21" s="22"/>
      <c r="B21" s="111">
        <f t="shared" si="0"/>
        <v>14</v>
      </c>
      <c r="C21" s="112"/>
      <c r="D21" s="113"/>
      <c r="E21" s="114"/>
      <c r="F21" s="114"/>
      <c r="G21" s="115"/>
      <c r="H21" s="116"/>
      <c r="I21" s="117"/>
      <c r="J21" s="117"/>
      <c r="K21" s="115"/>
      <c r="L21" s="113"/>
      <c r="M21" s="114"/>
      <c r="N21" s="115"/>
      <c r="O21" s="113"/>
      <c r="P21" s="115"/>
      <c r="Q21" s="113"/>
      <c r="R21" s="114"/>
      <c r="S21" s="114"/>
      <c r="T21" s="115"/>
      <c r="U21" s="113"/>
      <c r="V21" s="114"/>
      <c r="W21" s="114"/>
      <c r="X21" s="114"/>
      <c r="Y21" s="114"/>
      <c r="Z21" s="114"/>
      <c r="AA21" s="114"/>
      <c r="AB21" s="114"/>
      <c r="AC21" s="114"/>
      <c r="AD21" s="114"/>
      <c r="AE21" s="115"/>
      <c r="AF21" s="113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5"/>
      <c r="AY21" s="113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5"/>
      <c r="BQ21" s="23"/>
    </row>
    <row r="22" spans="1:69" ht="12">
      <c r="A22" s="22"/>
      <c r="B22" s="111">
        <f t="shared" si="0"/>
        <v>15</v>
      </c>
      <c r="C22" s="112"/>
      <c r="D22" s="113"/>
      <c r="E22" s="114"/>
      <c r="F22" s="114"/>
      <c r="G22" s="115"/>
      <c r="H22" s="116"/>
      <c r="I22" s="117"/>
      <c r="J22" s="117"/>
      <c r="K22" s="115"/>
      <c r="L22" s="113"/>
      <c r="M22" s="114"/>
      <c r="N22" s="115"/>
      <c r="O22" s="113"/>
      <c r="P22" s="115"/>
      <c r="Q22" s="113"/>
      <c r="R22" s="114"/>
      <c r="S22" s="114"/>
      <c r="T22" s="115"/>
      <c r="U22" s="113"/>
      <c r="V22" s="114"/>
      <c r="W22" s="114"/>
      <c r="X22" s="114"/>
      <c r="Y22" s="114"/>
      <c r="Z22" s="114"/>
      <c r="AA22" s="114"/>
      <c r="AB22" s="114"/>
      <c r="AC22" s="114"/>
      <c r="AD22" s="114"/>
      <c r="AE22" s="115"/>
      <c r="AF22" s="113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5"/>
      <c r="AY22" s="113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5"/>
      <c r="BQ22" s="23"/>
    </row>
    <row r="23" spans="1:69" ht="12">
      <c r="A23" s="22"/>
      <c r="B23" s="111">
        <f t="shared" si="0"/>
        <v>16</v>
      </c>
      <c r="C23" s="112"/>
      <c r="D23" s="113"/>
      <c r="E23" s="114"/>
      <c r="F23" s="114"/>
      <c r="G23" s="115"/>
      <c r="H23" s="116"/>
      <c r="I23" s="117"/>
      <c r="J23" s="117"/>
      <c r="K23" s="115"/>
      <c r="L23" s="113"/>
      <c r="M23" s="114"/>
      <c r="N23" s="115"/>
      <c r="O23" s="113"/>
      <c r="P23" s="115"/>
      <c r="Q23" s="113"/>
      <c r="R23" s="114"/>
      <c r="S23" s="114"/>
      <c r="T23" s="115"/>
      <c r="U23" s="113"/>
      <c r="V23" s="114"/>
      <c r="W23" s="114"/>
      <c r="X23" s="114"/>
      <c r="Y23" s="114"/>
      <c r="Z23" s="114"/>
      <c r="AA23" s="114"/>
      <c r="AB23" s="114"/>
      <c r="AC23" s="114"/>
      <c r="AD23" s="114"/>
      <c r="AE23" s="115"/>
      <c r="AF23" s="113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5"/>
      <c r="AY23" s="113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5"/>
      <c r="BQ23" s="23"/>
    </row>
    <row r="24" spans="1:69" ht="12">
      <c r="A24" s="22"/>
      <c r="B24" s="111">
        <f t="shared" si="0"/>
        <v>17</v>
      </c>
      <c r="C24" s="112"/>
      <c r="D24" s="113"/>
      <c r="E24" s="114"/>
      <c r="F24" s="114"/>
      <c r="G24" s="115"/>
      <c r="H24" s="116"/>
      <c r="I24" s="117"/>
      <c r="J24" s="117"/>
      <c r="K24" s="115"/>
      <c r="L24" s="113"/>
      <c r="M24" s="114"/>
      <c r="N24" s="115"/>
      <c r="O24" s="113"/>
      <c r="P24" s="115"/>
      <c r="Q24" s="113"/>
      <c r="R24" s="114"/>
      <c r="S24" s="114"/>
      <c r="T24" s="115"/>
      <c r="U24" s="113"/>
      <c r="V24" s="114"/>
      <c r="W24" s="114"/>
      <c r="X24" s="114"/>
      <c r="Y24" s="114"/>
      <c r="Z24" s="114"/>
      <c r="AA24" s="114"/>
      <c r="AB24" s="114"/>
      <c r="AC24" s="114"/>
      <c r="AD24" s="114"/>
      <c r="AE24" s="115"/>
      <c r="AF24" s="113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5"/>
      <c r="AY24" s="113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5"/>
      <c r="BQ24" s="23"/>
    </row>
    <row r="25" spans="1:69" ht="12">
      <c r="A25" s="22"/>
      <c r="B25" s="111">
        <f t="shared" si="0"/>
        <v>18</v>
      </c>
      <c r="C25" s="112"/>
      <c r="D25" s="113"/>
      <c r="E25" s="114"/>
      <c r="F25" s="114"/>
      <c r="G25" s="115"/>
      <c r="H25" s="116"/>
      <c r="I25" s="117"/>
      <c r="J25" s="117"/>
      <c r="K25" s="115"/>
      <c r="L25" s="113"/>
      <c r="M25" s="114"/>
      <c r="N25" s="115"/>
      <c r="O25" s="113"/>
      <c r="P25" s="115"/>
      <c r="Q25" s="113"/>
      <c r="R25" s="114"/>
      <c r="S25" s="114"/>
      <c r="T25" s="115"/>
      <c r="U25" s="113"/>
      <c r="V25" s="114"/>
      <c r="W25" s="114"/>
      <c r="X25" s="114"/>
      <c r="Y25" s="114"/>
      <c r="Z25" s="114"/>
      <c r="AA25" s="114"/>
      <c r="AB25" s="114"/>
      <c r="AC25" s="114"/>
      <c r="AD25" s="114"/>
      <c r="AE25" s="115"/>
      <c r="AF25" s="113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5"/>
      <c r="AY25" s="113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5"/>
      <c r="BQ25" s="23"/>
    </row>
    <row r="26" spans="1:69" ht="12">
      <c r="A26" s="22"/>
      <c r="B26" s="111">
        <f t="shared" si="0"/>
        <v>19</v>
      </c>
      <c r="C26" s="112"/>
      <c r="D26" s="113"/>
      <c r="E26" s="114"/>
      <c r="F26" s="114"/>
      <c r="G26" s="115"/>
      <c r="H26" s="116"/>
      <c r="I26" s="117"/>
      <c r="J26" s="117"/>
      <c r="K26" s="115"/>
      <c r="L26" s="113"/>
      <c r="M26" s="114"/>
      <c r="N26" s="115"/>
      <c r="O26" s="113"/>
      <c r="P26" s="115"/>
      <c r="Q26" s="113"/>
      <c r="R26" s="114"/>
      <c r="S26" s="114"/>
      <c r="T26" s="115"/>
      <c r="U26" s="113"/>
      <c r="V26" s="114"/>
      <c r="W26" s="114"/>
      <c r="X26" s="114"/>
      <c r="Y26" s="114"/>
      <c r="Z26" s="114"/>
      <c r="AA26" s="114"/>
      <c r="AB26" s="114"/>
      <c r="AC26" s="114"/>
      <c r="AD26" s="114"/>
      <c r="AE26" s="115"/>
      <c r="AF26" s="113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5"/>
      <c r="AY26" s="113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BO26" s="114"/>
      <c r="BP26" s="115"/>
      <c r="BQ26" s="23"/>
    </row>
    <row r="27" spans="1:69" ht="12">
      <c r="A27" s="22"/>
      <c r="B27" s="111">
        <f t="shared" si="0"/>
        <v>20</v>
      </c>
      <c r="C27" s="112"/>
      <c r="D27" s="113"/>
      <c r="E27" s="114"/>
      <c r="F27" s="114"/>
      <c r="G27" s="115"/>
      <c r="H27" s="116"/>
      <c r="I27" s="117"/>
      <c r="J27" s="117"/>
      <c r="K27" s="115"/>
      <c r="L27" s="113"/>
      <c r="M27" s="114"/>
      <c r="N27" s="115"/>
      <c r="O27" s="113"/>
      <c r="P27" s="115"/>
      <c r="Q27" s="113"/>
      <c r="R27" s="114"/>
      <c r="S27" s="114"/>
      <c r="T27" s="115"/>
      <c r="U27" s="113"/>
      <c r="V27" s="114"/>
      <c r="W27" s="114"/>
      <c r="X27" s="114"/>
      <c r="Y27" s="114"/>
      <c r="Z27" s="114"/>
      <c r="AA27" s="114"/>
      <c r="AB27" s="114"/>
      <c r="AC27" s="114"/>
      <c r="AD27" s="114"/>
      <c r="AE27" s="115"/>
      <c r="AF27" s="113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5"/>
      <c r="AY27" s="113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5"/>
      <c r="BQ27" s="23"/>
    </row>
    <row r="28" spans="1:69" ht="12">
      <c r="A28" s="22"/>
      <c r="B28" s="111">
        <f t="shared" si="0"/>
        <v>21</v>
      </c>
      <c r="C28" s="112"/>
      <c r="D28" s="113"/>
      <c r="E28" s="114"/>
      <c r="F28" s="114"/>
      <c r="G28" s="115"/>
      <c r="H28" s="116"/>
      <c r="I28" s="117"/>
      <c r="J28" s="117"/>
      <c r="K28" s="115"/>
      <c r="L28" s="113"/>
      <c r="M28" s="114"/>
      <c r="N28" s="115"/>
      <c r="O28" s="113"/>
      <c r="P28" s="115"/>
      <c r="Q28" s="113"/>
      <c r="R28" s="114"/>
      <c r="S28" s="114"/>
      <c r="T28" s="115"/>
      <c r="U28" s="113"/>
      <c r="V28" s="114"/>
      <c r="W28" s="114"/>
      <c r="X28" s="114"/>
      <c r="Y28" s="114"/>
      <c r="Z28" s="114"/>
      <c r="AA28" s="114"/>
      <c r="AB28" s="114"/>
      <c r="AC28" s="114"/>
      <c r="AD28" s="114"/>
      <c r="AE28" s="115"/>
      <c r="AF28" s="113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5"/>
      <c r="AY28" s="113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BO28" s="114"/>
      <c r="BP28" s="115"/>
      <c r="BQ28" s="23"/>
    </row>
    <row r="29" spans="1:69" ht="12">
      <c r="A29" s="22"/>
      <c r="B29" s="111">
        <f t="shared" si="0"/>
        <v>22</v>
      </c>
      <c r="C29" s="112"/>
      <c r="D29" s="113"/>
      <c r="E29" s="114"/>
      <c r="F29" s="114"/>
      <c r="G29" s="115"/>
      <c r="H29" s="116"/>
      <c r="I29" s="117"/>
      <c r="J29" s="117"/>
      <c r="K29" s="115"/>
      <c r="L29" s="113"/>
      <c r="M29" s="114"/>
      <c r="N29" s="115"/>
      <c r="O29" s="113"/>
      <c r="P29" s="115"/>
      <c r="Q29" s="113"/>
      <c r="R29" s="114"/>
      <c r="S29" s="114"/>
      <c r="T29" s="115"/>
      <c r="U29" s="113"/>
      <c r="V29" s="114"/>
      <c r="W29" s="114"/>
      <c r="X29" s="114"/>
      <c r="Y29" s="114"/>
      <c r="Z29" s="114"/>
      <c r="AA29" s="114"/>
      <c r="AB29" s="114"/>
      <c r="AC29" s="114"/>
      <c r="AD29" s="114"/>
      <c r="AE29" s="115"/>
      <c r="AF29" s="113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5"/>
      <c r="AY29" s="113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5"/>
      <c r="BQ29" s="23"/>
    </row>
    <row r="30" spans="1:69" ht="12">
      <c r="A30" s="22"/>
      <c r="B30" s="111">
        <f t="shared" si="0"/>
        <v>23</v>
      </c>
      <c r="C30" s="112"/>
      <c r="D30" s="113"/>
      <c r="E30" s="114"/>
      <c r="F30" s="114"/>
      <c r="G30" s="115"/>
      <c r="H30" s="116"/>
      <c r="I30" s="117"/>
      <c r="J30" s="117"/>
      <c r="K30" s="115"/>
      <c r="L30" s="113"/>
      <c r="M30" s="114"/>
      <c r="N30" s="115"/>
      <c r="O30" s="113"/>
      <c r="P30" s="115"/>
      <c r="Q30" s="113"/>
      <c r="R30" s="114"/>
      <c r="S30" s="114"/>
      <c r="T30" s="115"/>
      <c r="U30" s="113"/>
      <c r="V30" s="114"/>
      <c r="W30" s="114"/>
      <c r="X30" s="114"/>
      <c r="Y30" s="114"/>
      <c r="Z30" s="114"/>
      <c r="AA30" s="114"/>
      <c r="AB30" s="114"/>
      <c r="AC30" s="114"/>
      <c r="AD30" s="114"/>
      <c r="AE30" s="115"/>
      <c r="AF30" s="113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5"/>
      <c r="AY30" s="113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  <c r="BO30" s="114"/>
      <c r="BP30" s="115"/>
      <c r="BQ30" s="23"/>
    </row>
    <row r="31" spans="1:69" ht="12">
      <c r="A31" s="22"/>
      <c r="B31" s="111">
        <f t="shared" si="0"/>
        <v>24</v>
      </c>
      <c r="C31" s="112"/>
      <c r="D31" s="113"/>
      <c r="E31" s="114"/>
      <c r="F31" s="114"/>
      <c r="G31" s="115"/>
      <c r="H31" s="116"/>
      <c r="I31" s="117"/>
      <c r="J31" s="117"/>
      <c r="K31" s="115"/>
      <c r="L31" s="113"/>
      <c r="M31" s="114"/>
      <c r="N31" s="115"/>
      <c r="O31" s="113"/>
      <c r="P31" s="115"/>
      <c r="Q31" s="113"/>
      <c r="R31" s="114"/>
      <c r="S31" s="114"/>
      <c r="T31" s="115"/>
      <c r="U31" s="113"/>
      <c r="V31" s="114"/>
      <c r="W31" s="114"/>
      <c r="X31" s="114"/>
      <c r="Y31" s="114"/>
      <c r="Z31" s="114"/>
      <c r="AA31" s="114"/>
      <c r="AB31" s="114"/>
      <c r="AC31" s="114"/>
      <c r="AD31" s="114"/>
      <c r="AE31" s="115"/>
      <c r="AF31" s="113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5"/>
      <c r="AY31" s="113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5"/>
      <c r="BQ31" s="23"/>
    </row>
    <row r="32" spans="1:69" ht="12">
      <c r="A32" s="22"/>
      <c r="B32" s="111">
        <f t="shared" si="0"/>
        <v>25</v>
      </c>
      <c r="C32" s="112"/>
      <c r="D32" s="113"/>
      <c r="E32" s="114"/>
      <c r="F32" s="114"/>
      <c r="G32" s="115"/>
      <c r="H32" s="116"/>
      <c r="I32" s="117"/>
      <c r="J32" s="117"/>
      <c r="K32" s="115"/>
      <c r="L32" s="113"/>
      <c r="M32" s="114"/>
      <c r="N32" s="115"/>
      <c r="O32" s="113"/>
      <c r="P32" s="115"/>
      <c r="Q32" s="113"/>
      <c r="R32" s="114"/>
      <c r="S32" s="114"/>
      <c r="T32" s="115"/>
      <c r="U32" s="113"/>
      <c r="V32" s="114"/>
      <c r="W32" s="114"/>
      <c r="X32" s="114"/>
      <c r="Y32" s="114"/>
      <c r="Z32" s="114"/>
      <c r="AA32" s="114"/>
      <c r="AB32" s="114"/>
      <c r="AC32" s="114"/>
      <c r="AD32" s="114"/>
      <c r="AE32" s="115"/>
      <c r="AF32" s="113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5"/>
      <c r="AY32" s="113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5"/>
      <c r="BQ32" s="23"/>
    </row>
    <row r="33" spans="1:69" ht="12">
      <c r="A33" s="22"/>
      <c r="B33" s="111">
        <f t="shared" si="0"/>
        <v>26</v>
      </c>
      <c r="C33" s="112"/>
      <c r="D33" s="113"/>
      <c r="E33" s="114"/>
      <c r="F33" s="114"/>
      <c r="G33" s="115"/>
      <c r="H33" s="116"/>
      <c r="I33" s="117"/>
      <c r="J33" s="117"/>
      <c r="K33" s="115"/>
      <c r="L33" s="113"/>
      <c r="M33" s="114"/>
      <c r="N33" s="115"/>
      <c r="O33" s="113"/>
      <c r="P33" s="115"/>
      <c r="Q33" s="113"/>
      <c r="R33" s="114"/>
      <c r="S33" s="114"/>
      <c r="T33" s="115"/>
      <c r="U33" s="113"/>
      <c r="V33" s="114"/>
      <c r="W33" s="114"/>
      <c r="X33" s="114"/>
      <c r="Y33" s="114"/>
      <c r="Z33" s="114"/>
      <c r="AA33" s="114"/>
      <c r="AB33" s="114"/>
      <c r="AC33" s="114"/>
      <c r="AD33" s="114"/>
      <c r="AE33" s="115"/>
      <c r="AF33" s="113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5"/>
      <c r="AY33" s="113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5"/>
      <c r="BQ33" s="23"/>
    </row>
    <row r="34" spans="1:69" ht="12">
      <c r="A34" s="22"/>
      <c r="B34" s="111">
        <f t="shared" si="0"/>
        <v>27</v>
      </c>
      <c r="C34" s="112"/>
      <c r="D34" s="113"/>
      <c r="E34" s="114"/>
      <c r="F34" s="114"/>
      <c r="G34" s="115"/>
      <c r="H34" s="116"/>
      <c r="I34" s="117"/>
      <c r="J34" s="117"/>
      <c r="K34" s="115"/>
      <c r="L34" s="113"/>
      <c r="M34" s="114"/>
      <c r="N34" s="115"/>
      <c r="O34" s="113"/>
      <c r="P34" s="115"/>
      <c r="Q34" s="113"/>
      <c r="R34" s="114"/>
      <c r="S34" s="114"/>
      <c r="T34" s="115"/>
      <c r="U34" s="113"/>
      <c r="V34" s="114"/>
      <c r="W34" s="114"/>
      <c r="X34" s="114"/>
      <c r="Y34" s="114"/>
      <c r="Z34" s="114"/>
      <c r="AA34" s="114"/>
      <c r="AB34" s="114"/>
      <c r="AC34" s="114"/>
      <c r="AD34" s="114"/>
      <c r="AE34" s="115"/>
      <c r="AF34" s="113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5"/>
      <c r="AY34" s="113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BO34" s="114"/>
      <c r="BP34" s="115"/>
      <c r="BQ34" s="23"/>
    </row>
    <row r="35" spans="1:69" ht="12">
      <c r="A35" s="22"/>
      <c r="B35" s="111">
        <f t="shared" si="0"/>
        <v>28</v>
      </c>
      <c r="C35" s="112"/>
      <c r="D35" s="113"/>
      <c r="E35" s="114"/>
      <c r="F35" s="114"/>
      <c r="G35" s="115"/>
      <c r="H35" s="116"/>
      <c r="I35" s="117"/>
      <c r="J35" s="117"/>
      <c r="K35" s="115"/>
      <c r="L35" s="113"/>
      <c r="M35" s="114"/>
      <c r="N35" s="115"/>
      <c r="O35" s="113"/>
      <c r="P35" s="115"/>
      <c r="Q35" s="113"/>
      <c r="R35" s="114"/>
      <c r="S35" s="114"/>
      <c r="T35" s="115"/>
      <c r="U35" s="113"/>
      <c r="V35" s="114"/>
      <c r="W35" s="114"/>
      <c r="X35" s="114"/>
      <c r="Y35" s="114"/>
      <c r="Z35" s="114"/>
      <c r="AA35" s="114"/>
      <c r="AB35" s="114"/>
      <c r="AC35" s="114"/>
      <c r="AD35" s="114"/>
      <c r="AE35" s="115"/>
      <c r="AF35" s="113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5"/>
      <c r="AY35" s="113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  <c r="BP35" s="115"/>
      <c r="BQ35" s="23"/>
    </row>
    <row r="36" spans="1:69" ht="12">
      <c r="A36" s="22"/>
      <c r="B36" s="111">
        <f t="shared" si="0"/>
        <v>29</v>
      </c>
      <c r="C36" s="112"/>
      <c r="D36" s="113"/>
      <c r="E36" s="114"/>
      <c r="F36" s="114"/>
      <c r="G36" s="115"/>
      <c r="H36" s="116"/>
      <c r="I36" s="117"/>
      <c r="J36" s="117"/>
      <c r="K36" s="115"/>
      <c r="L36" s="113"/>
      <c r="M36" s="114"/>
      <c r="N36" s="115"/>
      <c r="O36" s="113"/>
      <c r="P36" s="115"/>
      <c r="Q36" s="113"/>
      <c r="R36" s="114"/>
      <c r="S36" s="114"/>
      <c r="T36" s="115"/>
      <c r="U36" s="113"/>
      <c r="V36" s="114"/>
      <c r="W36" s="114"/>
      <c r="X36" s="114"/>
      <c r="Y36" s="114"/>
      <c r="Z36" s="114"/>
      <c r="AA36" s="114"/>
      <c r="AB36" s="114"/>
      <c r="AC36" s="114"/>
      <c r="AD36" s="114"/>
      <c r="AE36" s="115"/>
      <c r="AF36" s="113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5"/>
      <c r="AY36" s="113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  <c r="BP36" s="115"/>
      <c r="BQ36" s="23"/>
    </row>
    <row r="37" spans="1:69" ht="12">
      <c r="A37" s="22"/>
      <c r="B37" s="111">
        <f t="shared" si="0"/>
        <v>30</v>
      </c>
      <c r="C37" s="112"/>
      <c r="D37" s="113"/>
      <c r="E37" s="114"/>
      <c r="F37" s="114"/>
      <c r="G37" s="115"/>
      <c r="H37" s="116"/>
      <c r="I37" s="117"/>
      <c r="J37" s="117"/>
      <c r="K37" s="115"/>
      <c r="L37" s="113"/>
      <c r="M37" s="114"/>
      <c r="N37" s="115"/>
      <c r="O37" s="113"/>
      <c r="P37" s="115"/>
      <c r="Q37" s="113"/>
      <c r="R37" s="114"/>
      <c r="S37" s="114"/>
      <c r="T37" s="115"/>
      <c r="U37" s="113"/>
      <c r="V37" s="114"/>
      <c r="W37" s="114"/>
      <c r="X37" s="114"/>
      <c r="Y37" s="114"/>
      <c r="Z37" s="114"/>
      <c r="AA37" s="114"/>
      <c r="AB37" s="114"/>
      <c r="AC37" s="114"/>
      <c r="AD37" s="114"/>
      <c r="AE37" s="115"/>
      <c r="AF37" s="113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5"/>
      <c r="AY37" s="113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5"/>
      <c r="BQ37" s="23"/>
    </row>
    <row r="38" spans="1:69" ht="12">
      <c r="A38" s="22"/>
      <c r="B38" s="111">
        <f t="shared" si="0"/>
        <v>31</v>
      </c>
      <c r="C38" s="112"/>
      <c r="D38" s="113"/>
      <c r="E38" s="114"/>
      <c r="F38" s="114"/>
      <c r="G38" s="115"/>
      <c r="H38" s="116"/>
      <c r="I38" s="117"/>
      <c r="J38" s="117"/>
      <c r="K38" s="115"/>
      <c r="L38" s="113"/>
      <c r="M38" s="114"/>
      <c r="N38" s="115"/>
      <c r="O38" s="113"/>
      <c r="P38" s="115"/>
      <c r="Q38" s="113"/>
      <c r="R38" s="114"/>
      <c r="S38" s="114"/>
      <c r="T38" s="115"/>
      <c r="U38" s="113"/>
      <c r="V38" s="114"/>
      <c r="W38" s="114"/>
      <c r="X38" s="114"/>
      <c r="Y38" s="114"/>
      <c r="Z38" s="114"/>
      <c r="AA38" s="114"/>
      <c r="AB38" s="114"/>
      <c r="AC38" s="114"/>
      <c r="AD38" s="114"/>
      <c r="AE38" s="115"/>
      <c r="AF38" s="113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5"/>
      <c r="AY38" s="113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  <c r="BP38" s="115"/>
      <c r="BQ38" s="23"/>
    </row>
    <row r="39" spans="1:69" ht="12">
      <c r="A39" s="22"/>
      <c r="B39" s="111">
        <f t="shared" si="0"/>
        <v>32</v>
      </c>
      <c r="C39" s="112"/>
      <c r="D39" s="113"/>
      <c r="E39" s="114"/>
      <c r="F39" s="114"/>
      <c r="G39" s="115"/>
      <c r="H39" s="116"/>
      <c r="I39" s="117"/>
      <c r="J39" s="117"/>
      <c r="K39" s="115"/>
      <c r="L39" s="113"/>
      <c r="M39" s="114"/>
      <c r="N39" s="115"/>
      <c r="O39" s="113"/>
      <c r="P39" s="115"/>
      <c r="Q39" s="113"/>
      <c r="R39" s="114"/>
      <c r="S39" s="114"/>
      <c r="T39" s="115"/>
      <c r="U39" s="113"/>
      <c r="V39" s="114"/>
      <c r="W39" s="114"/>
      <c r="X39" s="114"/>
      <c r="Y39" s="114"/>
      <c r="Z39" s="114"/>
      <c r="AA39" s="114"/>
      <c r="AB39" s="114"/>
      <c r="AC39" s="114"/>
      <c r="AD39" s="114"/>
      <c r="AE39" s="115"/>
      <c r="AF39" s="113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5"/>
      <c r="AY39" s="113"/>
      <c r="AZ39" s="114"/>
      <c r="BA39" s="114"/>
      <c r="BB39" s="114"/>
      <c r="BC39" s="114"/>
      <c r="BD39" s="114"/>
      <c r="BE39" s="114"/>
      <c r="BF39" s="114"/>
      <c r="BG39" s="114"/>
      <c r="BH39" s="114"/>
      <c r="BI39" s="114"/>
      <c r="BJ39" s="114"/>
      <c r="BK39" s="114"/>
      <c r="BL39" s="114"/>
      <c r="BM39" s="114"/>
      <c r="BN39" s="114"/>
      <c r="BO39" s="114"/>
      <c r="BP39" s="115"/>
      <c r="BQ39" s="23"/>
    </row>
    <row r="40" spans="1:69" ht="12">
      <c r="A40" s="22"/>
      <c r="B40" s="111">
        <f t="shared" si="0"/>
        <v>33</v>
      </c>
      <c r="C40" s="112"/>
      <c r="D40" s="113"/>
      <c r="E40" s="114"/>
      <c r="F40" s="114"/>
      <c r="G40" s="115"/>
      <c r="H40" s="116"/>
      <c r="I40" s="117"/>
      <c r="J40" s="117"/>
      <c r="K40" s="115"/>
      <c r="L40" s="113"/>
      <c r="M40" s="114"/>
      <c r="N40" s="115"/>
      <c r="O40" s="113"/>
      <c r="P40" s="115"/>
      <c r="Q40" s="113"/>
      <c r="R40" s="114"/>
      <c r="S40" s="114"/>
      <c r="T40" s="115"/>
      <c r="U40" s="113"/>
      <c r="V40" s="114"/>
      <c r="W40" s="114"/>
      <c r="X40" s="114"/>
      <c r="Y40" s="114"/>
      <c r="Z40" s="114"/>
      <c r="AA40" s="114"/>
      <c r="AB40" s="114"/>
      <c r="AC40" s="114"/>
      <c r="AD40" s="114"/>
      <c r="AE40" s="115"/>
      <c r="AF40" s="113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5"/>
      <c r="AY40" s="113"/>
      <c r="AZ40" s="114"/>
      <c r="BA40" s="114"/>
      <c r="BB40" s="114"/>
      <c r="BC40" s="114"/>
      <c r="BD40" s="114"/>
      <c r="BE40" s="114"/>
      <c r="BF40" s="114"/>
      <c r="BG40" s="114"/>
      <c r="BH40" s="114"/>
      <c r="BI40" s="114"/>
      <c r="BJ40" s="114"/>
      <c r="BK40" s="114"/>
      <c r="BL40" s="114"/>
      <c r="BM40" s="114"/>
      <c r="BN40" s="114"/>
      <c r="BO40" s="114"/>
      <c r="BP40" s="115"/>
      <c r="BQ40" s="23"/>
    </row>
    <row r="41" spans="1:69" ht="12">
      <c r="A41" s="22"/>
      <c r="B41" s="111">
        <f t="shared" si="0"/>
        <v>34</v>
      </c>
      <c r="C41" s="112"/>
      <c r="D41" s="113"/>
      <c r="E41" s="114"/>
      <c r="F41" s="114"/>
      <c r="G41" s="115"/>
      <c r="H41" s="116"/>
      <c r="I41" s="117"/>
      <c r="J41" s="117"/>
      <c r="K41" s="115"/>
      <c r="L41" s="113"/>
      <c r="M41" s="114"/>
      <c r="N41" s="115"/>
      <c r="O41" s="113"/>
      <c r="P41" s="115"/>
      <c r="Q41" s="113"/>
      <c r="R41" s="114"/>
      <c r="S41" s="114"/>
      <c r="T41" s="115"/>
      <c r="U41" s="113"/>
      <c r="V41" s="114"/>
      <c r="W41" s="114"/>
      <c r="X41" s="114"/>
      <c r="Y41" s="114"/>
      <c r="Z41" s="114"/>
      <c r="AA41" s="114"/>
      <c r="AB41" s="114"/>
      <c r="AC41" s="114"/>
      <c r="AD41" s="114"/>
      <c r="AE41" s="115"/>
      <c r="AF41" s="113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5"/>
      <c r="AY41" s="113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 s="114"/>
      <c r="BP41" s="115"/>
      <c r="BQ41" s="23"/>
    </row>
    <row r="42" spans="1:69" ht="12">
      <c r="A42" s="22"/>
      <c r="B42" s="111">
        <f t="shared" si="0"/>
        <v>35</v>
      </c>
      <c r="C42" s="112"/>
      <c r="D42" s="113"/>
      <c r="E42" s="114"/>
      <c r="F42" s="114"/>
      <c r="G42" s="115"/>
      <c r="H42" s="116"/>
      <c r="I42" s="117"/>
      <c r="J42" s="117"/>
      <c r="K42" s="115"/>
      <c r="L42" s="113"/>
      <c r="M42" s="114"/>
      <c r="N42" s="115"/>
      <c r="O42" s="113"/>
      <c r="P42" s="115"/>
      <c r="Q42" s="113"/>
      <c r="R42" s="114"/>
      <c r="S42" s="114"/>
      <c r="T42" s="115"/>
      <c r="U42" s="113"/>
      <c r="V42" s="114"/>
      <c r="W42" s="114"/>
      <c r="X42" s="114"/>
      <c r="Y42" s="114"/>
      <c r="Z42" s="114"/>
      <c r="AA42" s="114"/>
      <c r="AB42" s="114"/>
      <c r="AC42" s="114"/>
      <c r="AD42" s="114"/>
      <c r="AE42" s="115"/>
      <c r="AF42" s="113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5"/>
      <c r="AY42" s="113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114"/>
      <c r="BK42" s="114"/>
      <c r="BL42" s="114"/>
      <c r="BM42" s="114"/>
      <c r="BN42" s="114"/>
      <c r="BO42" s="114"/>
      <c r="BP42" s="115"/>
      <c r="BQ42" s="23"/>
    </row>
    <row r="43" spans="1:69" ht="12">
      <c r="A43" s="22"/>
      <c r="B43" s="111">
        <f t="shared" si="0"/>
        <v>36</v>
      </c>
      <c r="C43" s="112"/>
      <c r="D43" s="113"/>
      <c r="E43" s="114"/>
      <c r="F43" s="114"/>
      <c r="G43" s="115"/>
      <c r="H43" s="116"/>
      <c r="I43" s="117"/>
      <c r="J43" s="117"/>
      <c r="K43" s="115"/>
      <c r="L43" s="113"/>
      <c r="M43" s="114"/>
      <c r="N43" s="115"/>
      <c r="O43" s="113"/>
      <c r="P43" s="115"/>
      <c r="Q43" s="113"/>
      <c r="R43" s="114"/>
      <c r="S43" s="114"/>
      <c r="T43" s="115"/>
      <c r="U43" s="113"/>
      <c r="V43" s="114"/>
      <c r="W43" s="114"/>
      <c r="X43" s="114"/>
      <c r="Y43" s="114"/>
      <c r="Z43" s="114"/>
      <c r="AA43" s="114"/>
      <c r="AB43" s="114"/>
      <c r="AC43" s="114"/>
      <c r="AD43" s="114"/>
      <c r="AE43" s="115"/>
      <c r="AF43" s="113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5"/>
      <c r="AY43" s="113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14"/>
      <c r="BP43" s="115"/>
      <c r="BQ43" s="23"/>
    </row>
    <row r="44" spans="1:69" ht="12">
      <c r="A44" s="22"/>
      <c r="B44" s="111">
        <f t="shared" si="0"/>
        <v>37</v>
      </c>
      <c r="C44" s="112"/>
      <c r="D44" s="113"/>
      <c r="E44" s="114"/>
      <c r="F44" s="114"/>
      <c r="G44" s="115"/>
      <c r="H44" s="116"/>
      <c r="I44" s="117"/>
      <c r="J44" s="117"/>
      <c r="K44" s="115"/>
      <c r="L44" s="113"/>
      <c r="M44" s="114"/>
      <c r="N44" s="115"/>
      <c r="O44" s="113"/>
      <c r="P44" s="115"/>
      <c r="Q44" s="113"/>
      <c r="R44" s="114"/>
      <c r="S44" s="114"/>
      <c r="T44" s="115"/>
      <c r="U44" s="113"/>
      <c r="V44" s="114"/>
      <c r="W44" s="114"/>
      <c r="X44" s="114"/>
      <c r="Y44" s="114"/>
      <c r="Z44" s="114"/>
      <c r="AA44" s="114"/>
      <c r="AB44" s="114"/>
      <c r="AC44" s="114"/>
      <c r="AD44" s="114"/>
      <c r="AE44" s="115"/>
      <c r="AF44" s="113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5"/>
      <c r="AY44" s="113"/>
      <c r="AZ44" s="114"/>
      <c r="BA44" s="114"/>
      <c r="BB44" s="114"/>
      <c r="BC44" s="114"/>
      <c r="BD44" s="114"/>
      <c r="BE44" s="114"/>
      <c r="BF44" s="114"/>
      <c r="BG44" s="114"/>
      <c r="BH44" s="114"/>
      <c r="BI44" s="114"/>
      <c r="BJ44" s="114"/>
      <c r="BK44" s="114"/>
      <c r="BL44" s="114"/>
      <c r="BM44" s="114"/>
      <c r="BN44" s="114"/>
      <c r="BO44" s="114"/>
      <c r="BP44" s="115"/>
      <c r="BQ44" s="23"/>
    </row>
    <row r="45" spans="1:69" ht="12">
      <c r="A45" s="22"/>
      <c r="B45" s="111">
        <f t="shared" si="0"/>
        <v>38</v>
      </c>
      <c r="C45" s="112"/>
      <c r="D45" s="113"/>
      <c r="E45" s="114"/>
      <c r="F45" s="114"/>
      <c r="G45" s="115"/>
      <c r="H45" s="116"/>
      <c r="I45" s="117"/>
      <c r="J45" s="117"/>
      <c r="K45" s="115"/>
      <c r="L45" s="113"/>
      <c r="M45" s="114"/>
      <c r="N45" s="115"/>
      <c r="O45" s="113"/>
      <c r="P45" s="115"/>
      <c r="Q45" s="113"/>
      <c r="R45" s="114"/>
      <c r="S45" s="114"/>
      <c r="T45" s="115"/>
      <c r="U45" s="113"/>
      <c r="V45" s="114"/>
      <c r="W45" s="114"/>
      <c r="X45" s="114"/>
      <c r="Y45" s="114"/>
      <c r="Z45" s="114"/>
      <c r="AA45" s="114"/>
      <c r="AB45" s="114"/>
      <c r="AC45" s="114"/>
      <c r="AD45" s="114"/>
      <c r="AE45" s="115"/>
      <c r="AF45" s="113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5"/>
      <c r="AY45" s="113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4"/>
      <c r="BK45" s="114"/>
      <c r="BL45" s="114"/>
      <c r="BM45" s="114"/>
      <c r="BN45" s="114"/>
      <c r="BO45" s="114"/>
      <c r="BP45" s="115"/>
      <c r="BQ45" s="23"/>
    </row>
    <row r="46" spans="1:69" ht="12">
      <c r="A46" s="22"/>
      <c r="B46" s="111">
        <f t="shared" si="0"/>
        <v>39</v>
      </c>
      <c r="C46" s="112"/>
      <c r="D46" s="113"/>
      <c r="E46" s="114"/>
      <c r="F46" s="114"/>
      <c r="G46" s="115"/>
      <c r="H46" s="116"/>
      <c r="I46" s="117"/>
      <c r="J46" s="117"/>
      <c r="K46" s="115"/>
      <c r="L46" s="113"/>
      <c r="M46" s="114"/>
      <c r="N46" s="115"/>
      <c r="O46" s="113"/>
      <c r="P46" s="115"/>
      <c r="Q46" s="113"/>
      <c r="R46" s="114"/>
      <c r="S46" s="114"/>
      <c r="T46" s="115"/>
      <c r="U46" s="113"/>
      <c r="V46" s="114"/>
      <c r="W46" s="114"/>
      <c r="X46" s="114"/>
      <c r="Y46" s="114"/>
      <c r="Z46" s="114"/>
      <c r="AA46" s="114"/>
      <c r="AB46" s="114"/>
      <c r="AC46" s="114"/>
      <c r="AD46" s="114"/>
      <c r="AE46" s="115"/>
      <c r="AF46" s="113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5"/>
      <c r="AY46" s="113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114"/>
      <c r="BK46" s="114"/>
      <c r="BL46" s="114"/>
      <c r="BM46" s="114"/>
      <c r="BN46" s="114"/>
      <c r="BO46" s="114"/>
      <c r="BP46" s="115"/>
      <c r="BQ46" s="23"/>
    </row>
    <row r="47" spans="1:69" ht="12">
      <c r="A47" s="22"/>
      <c r="B47" s="111">
        <f t="shared" si="0"/>
        <v>40</v>
      </c>
      <c r="C47" s="112"/>
      <c r="D47" s="113"/>
      <c r="E47" s="114"/>
      <c r="F47" s="114"/>
      <c r="G47" s="115"/>
      <c r="H47" s="116"/>
      <c r="I47" s="117"/>
      <c r="J47" s="117"/>
      <c r="K47" s="115"/>
      <c r="L47" s="113"/>
      <c r="M47" s="114"/>
      <c r="N47" s="115"/>
      <c r="O47" s="113"/>
      <c r="P47" s="115"/>
      <c r="Q47" s="113"/>
      <c r="R47" s="114"/>
      <c r="S47" s="114"/>
      <c r="T47" s="115"/>
      <c r="U47" s="113"/>
      <c r="V47" s="114"/>
      <c r="W47" s="114"/>
      <c r="X47" s="114"/>
      <c r="Y47" s="114"/>
      <c r="Z47" s="114"/>
      <c r="AA47" s="114"/>
      <c r="AB47" s="114"/>
      <c r="AC47" s="114"/>
      <c r="AD47" s="114"/>
      <c r="AE47" s="115"/>
      <c r="AF47" s="113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5"/>
      <c r="AY47" s="113"/>
      <c r="AZ47" s="114"/>
      <c r="BA47" s="114"/>
      <c r="BB47" s="114"/>
      <c r="BC47" s="114"/>
      <c r="BD47" s="114"/>
      <c r="BE47" s="114"/>
      <c r="BF47" s="114"/>
      <c r="BG47" s="114"/>
      <c r="BH47" s="114"/>
      <c r="BI47" s="114"/>
      <c r="BJ47" s="114"/>
      <c r="BK47" s="114"/>
      <c r="BL47" s="114"/>
      <c r="BM47" s="114"/>
      <c r="BN47" s="114"/>
      <c r="BO47" s="114"/>
      <c r="BP47" s="115"/>
      <c r="BQ47" s="23"/>
    </row>
    <row r="48" spans="1:69" ht="12">
      <c r="A48" s="22"/>
      <c r="B48" s="111">
        <f t="shared" si="0"/>
        <v>41</v>
      </c>
      <c r="C48" s="112"/>
      <c r="D48" s="113"/>
      <c r="E48" s="114"/>
      <c r="F48" s="114"/>
      <c r="G48" s="115"/>
      <c r="H48" s="116"/>
      <c r="I48" s="117"/>
      <c r="J48" s="117"/>
      <c r="K48" s="115"/>
      <c r="L48" s="113"/>
      <c r="M48" s="114"/>
      <c r="N48" s="115"/>
      <c r="O48" s="113"/>
      <c r="P48" s="115"/>
      <c r="Q48" s="113"/>
      <c r="R48" s="114"/>
      <c r="S48" s="114"/>
      <c r="T48" s="115"/>
      <c r="U48" s="113"/>
      <c r="V48" s="114"/>
      <c r="W48" s="114"/>
      <c r="X48" s="114"/>
      <c r="Y48" s="114"/>
      <c r="Z48" s="114"/>
      <c r="AA48" s="114"/>
      <c r="AB48" s="114"/>
      <c r="AC48" s="114"/>
      <c r="AD48" s="114"/>
      <c r="AE48" s="115"/>
      <c r="AF48" s="113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5"/>
      <c r="AY48" s="113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114"/>
      <c r="BK48" s="114"/>
      <c r="BL48" s="114"/>
      <c r="BM48" s="114"/>
      <c r="BN48" s="114"/>
      <c r="BO48" s="114"/>
      <c r="BP48" s="115"/>
      <c r="BQ48" s="23"/>
    </row>
    <row r="49" spans="1:69" ht="12">
      <c r="A49" s="22"/>
      <c r="B49" s="111">
        <f t="shared" si="0"/>
        <v>42</v>
      </c>
      <c r="C49" s="112"/>
      <c r="D49" s="113"/>
      <c r="E49" s="114"/>
      <c r="F49" s="114"/>
      <c r="G49" s="115"/>
      <c r="H49" s="116"/>
      <c r="I49" s="117"/>
      <c r="J49" s="117"/>
      <c r="K49" s="115"/>
      <c r="L49" s="113"/>
      <c r="M49" s="114"/>
      <c r="N49" s="115"/>
      <c r="O49" s="113"/>
      <c r="P49" s="115"/>
      <c r="Q49" s="113"/>
      <c r="R49" s="114"/>
      <c r="S49" s="114"/>
      <c r="T49" s="115"/>
      <c r="U49" s="113"/>
      <c r="V49" s="114"/>
      <c r="W49" s="114"/>
      <c r="X49" s="114"/>
      <c r="Y49" s="114"/>
      <c r="Z49" s="114"/>
      <c r="AA49" s="114"/>
      <c r="AB49" s="114"/>
      <c r="AC49" s="114"/>
      <c r="AD49" s="114"/>
      <c r="AE49" s="115"/>
      <c r="AF49" s="113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5"/>
      <c r="AY49" s="113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114"/>
      <c r="BK49" s="114"/>
      <c r="BL49" s="114"/>
      <c r="BM49" s="114"/>
      <c r="BN49" s="114"/>
      <c r="BO49" s="114"/>
      <c r="BP49" s="115"/>
      <c r="BQ49" s="23"/>
    </row>
    <row r="50" spans="1:69" ht="12">
      <c r="A50" s="22"/>
      <c r="B50" s="111">
        <f t="shared" si="0"/>
        <v>43</v>
      </c>
      <c r="C50" s="112"/>
      <c r="D50" s="113"/>
      <c r="E50" s="114"/>
      <c r="F50" s="114"/>
      <c r="G50" s="115"/>
      <c r="H50" s="116"/>
      <c r="I50" s="117"/>
      <c r="J50" s="117"/>
      <c r="K50" s="115"/>
      <c r="L50" s="113"/>
      <c r="M50" s="114"/>
      <c r="N50" s="115"/>
      <c r="O50" s="113"/>
      <c r="P50" s="115"/>
      <c r="Q50" s="113"/>
      <c r="R50" s="114"/>
      <c r="S50" s="114"/>
      <c r="T50" s="115"/>
      <c r="U50" s="113"/>
      <c r="V50" s="114"/>
      <c r="W50" s="114"/>
      <c r="X50" s="114"/>
      <c r="Y50" s="114"/>
      <c r="Z50" s="114"/>
      <c r="AA50" s="114"/>
      <c r="AB50" s="114"/>
      <c r="AC50" s="114"/>
      <c r="AD50" s="114"/>
      <c r="AE50" s="115"/>
      <c r="AF50" s="113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5"/>
      <c r="AY50" s="113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 s="114"/>
      <c r="BP50" s="115"/>
      <c r="BQ50" s="23"/>
    </row>
    <row r="51" spans="1:69" ht="12">
      <c r="A51" s="22"/>
      <c r="B51" s="111">
        <f t="shared" si="0"/>
        <v>44</v>
      </c>
      <c r="C51" s="112"/>
      <c r="D51" s="113"/>
      <c r="E51" s="114"/>
      <c r="F51" s="114"/>
      <c r="G51" s="115"/>
      <c r="H51" s="116"/>
      <c r="I51" s="117"/>
      <c r="J51" s="117"/>
      <c r="K51" s="115"/>
      <c r="L51" s="113"/>
      <c r="M51" s="114"/>
      <c r="N51" s="115"/>
      <c r="O51" s="113"/>
      <c r="P51" s="115"/>
      <c r="Q51" s="113"/>
      <c r="R51" s="114"/>
      <c r="S51" s="114"/>
      <c r="T51" s="115"/>
      <c r="U51" s="113"/>
      <c r="V51" s="114"/>
      <c r="W51" s="114"/>
      <c r="X51" s="114"/>
      <c r="Y51" s="114"/>
      <c r="Z51" s="114"/>
      <c r="AA51" s="114"/>
      <c r="AB51" s="114"/>
      <c r="AC51" s="114"/>
      <c r="AD51" s="114"/>
      <c r="AE51" s="115"/>
      <c r="AF51" s="113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5"/>
      <c r="AY51" s="113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5"/>
      <c r="BQ51" s="23"/>
    </row>
    <row r="52" spans="1:69" ht="12">
      <c r="A52" s="22"/>
      <c r="B52" s="111">
        <f t="shared" si="0"/>
        <v>45</v>
      </c>
      <c r="C52" s="112"/>
      <c r="D52" s="113"/>
      <c r="E52" s="114"/>
      <c r="F52" s="114"/>
      <c r="G52" s="115"/>
      <c r="H52" s="116"/>
      <c r="I52" s="117"/>
      <c r="J52" s="117"/>
      <c r="K52" s="115"/>
      <c r="L52" s="113"/>
      <c r="M52" s="114"/>
      <c r="N52" s="115"/>
      <c r="O52" s="113"/>
      <c r="P52" s="115"/>
      <c r="Q52" s="113"/>
      <c r="R52" s="114"/>
      <c r="S52" s="114"/>
      <c r="T52" s="115"/>
      <c r="U52" s="113"/>
      <c r="V52" s="114"/>
      <c r="W52" s="114"/>
      <c r="X52" s="114"/>
      <c r="Y52" s="114"/>
      <c r="Z52" s="114"/>
      <c r="AA52" s="114"/>
      <c r="AB52" s="114"/>
      <c r="AC52" s="114"/>
      <c r="AD52" s="114"/>
      <c r="AE52" s="115"/>
      <c r="AF52" s="113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5"/>
      <c r="AY52" s="113"/>
      <c r="AZ52" s="114"/>
      <c r="BA52" s="114"/>
      <c r="BB52" s="114"/>
      <c r="BC52" s="114"/>
      <c r="BD52" s="114"/>
      <c r="BE52" s="114"/>
      <c r="BF52" s="114"/>
      <c r="BG52" s="114"/>
      <c r="BH52" s="114"/>
      <c r="BI52" s="114"/>
      <c r="BJ52" s="114"/>
      <c r="BK52" s="114"/>
      <c r="BL52" s="114"/>
      <c r="BM52" s="114"/>
      <c r="BN52" s="114"/>
      <c r="BO52" s="114"/>
      <c r="BP52" s="115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28"/>
    </row>
    <row r="54" spans="1:69" ht="13.5" customHeight="1">
      <c r="A54" s="56"/>
      <c r="B54" s="60"/>
      <c r="C54" s="60"/>
      <c r="D54" s="60"/>
      <c r="E54" s="60"/>
      <c r="F54" s="60"/>
      <c r="G54" s="60"/>
      <c r="H54" s="61"/>
      <c r="I54" s="62"/>
      <c r="J54" s="63"/>
      <c r="K54" s="61"/>
      <c r="L54" s="57"/>
      <c r="M54" s="57"/>
      <c r="N54" s="57"/>
      <c r="O54" s="57"/>
      <c r="P54" s="57"/>
      <c r="Q54" s="57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</row>
  </sheetData>
  <mergeCells count="430"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</mergeCells>
  <phoneticPr fontId="4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  <rowBreaks count="1" manualBreakCount="1">
    <brk id="53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9"/>
  <sheetViews>
    <sheetView showGridLines="0" view="pageBreakPreview" zoomScale="115" zoomScaleNormal="100" zoomScaleSheetLayoutView="115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162" t="s">
        <v>6</v>
      </c>
      <c r="B1" s="162"/>
      <c r="C1" s="162"/>
      <c r="D1" s="162"/>
      <c r="E1" s="165" t="s">
        <v>7</v>
      </c>
      <c r="F1" s="165"/>
      <c r="G1" s="165"/>
      <c r="H1" s="165"/>
      <c r="I1" s="165"/>
      <c r="J1" s="165"/>
      <c r="K1" s="165"/>
      <c r="L1" s="165"/>
      <c r="M1" s="165"/>
      <c r="N1" s="165"/>
      <c r="O1" s="168" t="s">
        <v>8</v>
      </c>
      <c r="P1" s="168"/>
      <c r="Q1" s="168"/>
      <c r="R1" s="168"/>
      <c r="S1" s="168"/>
      <c r="T1" s="168"/>
      <c r="U1" s="168"/>
      <c r="V1" s="168"/>
      <c r="W1" s="168"/>
      <c r="X1" s="168" t="s">
        <v>9</v>
      </c>
      <c r="Y1" s="168"/>
      <c r="Z1" s="168"/>
      <c r="AA1" s="168"/>
      <c r="AB1" s="168"/>
      <c r="AC1" s="168" t="s">
        <v>10</v>
      </c>
      <c r="AD1" s="168"/>
      <c r="AE1" s="168"/>
      <c r="AF1" s="168"/>
      <c r="AG1" s="168" t="s">
        <v>11</v>
      </c>
      <c r="AH1" s="168"/>
      <c r="AI1" s="168"/>
      <c r="AJ1" s="168" t="s">
        <v>12</v>
      </c>
      <c r="AK1" s="168"/>
      <c r="AL1" s="168"/>
      <c r="AM1" s="168" t="s">
        <v>13</v>
      </c>
      <c r="AN1" s="168"/>
      <c r="AO1" s="168"/>
      <c r="AP1" s="168" t="s">
        <v>14</v>
      </c>
      <c r="AQ1" s="168"/>
      <c r="AR1" s="168"/>
    </row>
    <row r="2" spans="1:44">
      <c r="A2" s="163"/>
      <c r="B2" s="163"/>
      <c r="C2" s="163"/>
      <c r="D2" s="163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</row>
    <row r="3" spans="1:44">
      <c r="A3" s="163"/>
      <c r="B3" s="163"/>
      <c r="C3" s="163"/>
      <c r="D3" s="163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70" t="str">
        <f>変更履歴!T3</f>
        <v>-</v>
      </c>
      <c r="P3" s="170"/>
      <c r="Q3" s="170"/>
      <c r="R3" s="170"/>
      <c r="S3" s="170"/>
      <c r="T3" s="170"/>
      <c r="U3" s="170"/>
      <c r="V3" s="170"/>
      <c r="W3" s="170"/>
      <c r="X3" s="170" t="str">
        <f>変更履歴!AH3</f>
        <v>-</v>
      </c>
      <c r="Y3" s="170"/>
      <c r="Z3" s="170"/>
      <c r="AA3" s="170"/>
      <c r="AB3" s="170"/>
      <c r="AC3" s="172" t="str">
        <f>変更履歴!AS3</f>
        <v>支払・支払明細</v>
      </c>
      <c r="AD3" s="172"/>
      <c r="AE3" s="172"/>
      <c r="AF3" s="172"/>
      <c r="AG3" s="170" t="str">
        <f>変更履歴!BB3</f>
        <v>FJ)松田</v>
      </c>
      <c r="AH3" s="170"/>
      <c r="AI3" s="170"/>
      <c r="AJ3" s="174">
        <f>変更履歴!BF3</f>
        <v>45811</v>
      </c>
      <c r="AK3" s="174"/>
      <c r="AL3" s="174"/>
      <c r="AM3" s="176"/>
      <c r="AN3" s="176"/>
      <c r="AO3" s="176"/>
      <c r="AP3" s="174"/>
      <c r="AQ3" s="174"/>
      <c r="AR3" s="174"/>
    </row>
    <row r="4" spans="1:44">
      <c r="A4" s="164"/>
      <c r="B4" s="164"/>
      <c r="C4" s="164"/>
      <c r="D4" s="164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3"/>
      <c r="AD4" s="173"/>
      <c r="AE4" s="173"/>
      <c r="AF4" s="173"/>
      <c r="AG4" s="171"/>
      <c r="AH4" s="171"/>
      <c r="AI4" s="171"/>
      <c r="AJ4" s="175"/>
      <c r="AK4" s="175"/>
      <c r="AL4" s="175"/>
      <c r="AM4" s="177"/>
      <c r="AN4" s="177"/>
      <c r="AO4" s="177"/>
      <c r="AP4" s="175"/>
      <c r="AQ4" s="175"/>
      <c r="AR4" s="175"/>
    </row>
    <row r="5" spans="1:44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8"/>
    </row>
    <row r="6" spans="1:44">
      <c r="A6" s="5"/>
      <c r="B6" s="37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8"/>
    </row>
    <row r="7" spans="1:44">
      <c r="A7" s="5"/>
      <c r="B7" s="3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8"/>
    </row>
    <row r="8" spans="1:44">
      <c r="A8" s="5"/>
      <c r="B8" s="6"/>
      <c r="C8" s="3" t="s">
        <v>221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8"/>
    </row>
    <row r="9" spans="1:44">
      <c r="A9" s="5"/>
      <c r="B9" s="6"/>
      <c r="C9" s="3" t="s">
        <v>155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8"/>
    </row>
    <row r="10" spans="1:44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8"/>
    </row>
    <row r="11" spans="1:44">
      <c r="A11" s="5"/>
      <c r="B11" s="37" t="s">
        <v>28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8"/>
    </row>
    <row r="12" spans="1:44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8"/>
    </row>
    <row r="13" spans="1:44">
      <c r="A13" s="5"/>
      <c r="B13" s="3"/>
      <c r="C13" s="3" t="s">
        <v>763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8"/>
    </row>
    <row r="14" spans="1:44">
      <c r="A14" s="5"/>
      <c r="B14" s="3"/>
      <c r="C14" s="3" t="s">
        <v>192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8"/>
    </row>
    <row r="15" spans="1:44">
      <c r="A15" s="5"/>
      <c r="B15" s="3"/>
      <c r="C15" s="3" t="s">
        <v>157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8"/>
    </row>
    <row r="16" spans="1:44">
      <c r="A16" s="5"/>
      <c r="B16" s="3"/>
      <c r="C16" s="3" t="s">
        <v>219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8"/>
    </row>
    <row r="17" spans="1:44">
      <c r="A17" s="5"/>
      <c r="B17" s="3"/>
      <c r="C17" s="3" t="s">
        <v>220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8"/>
    </row>
    <row r="18" spans="1:44" s="2" customFormat="1" ht="12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8"/>
    </row>
    <row r="19" spans="1:44" s="2" customFormat="1">
      <c r="A19" s="5"/>
      <c r="B19" s="37" t="s">
        <v>29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8"/>
    </row>
    <row r="20" spans="1:44" s="2" customFormat="1">
      <c r="A20" s="5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8"/>
    </row>
    <row r="21" spans="1:44" s="2" customFormat="1">
      <c r="A21" s="5"/>
      <c r="B21" s="7"/>
      <c r="C21" s="3" t="s">
        <v>30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8"/>
    </row>
    <row r="22" spans="1:44" s="2" customFormat="1">
      <c r="A22" s="5"/>
      <c r="B22" s="7"/>
      <c r="C22" s="43" t="s">
        <v>31</v>
      </c>
      <c r="D22" s="44"/>
      <c r="E22" s="44"/>
      <c r="F22" s="44"/>
      <c r="G22" s="44"/>
      <c r="H22" s="44"/>
      <c r="I22" s="44"/>
      <c r="J22" s="44"/>
      <c r="K22" s="44"/>
      <c r="L22" s="44"/>
      <c r="M22" s="43" t="s">
        <v>32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3" t="s">
        <v>33</v>
      </c>
      <c r="AF22" s="52"/>
      <c r="AG22" s="52"/>
      <c r="AH22" s="52"/>
      <c r="AI22" s="52"/>
      <c r="AJ22" s="52"/>
      <c r="AK22" s="52"/>
      <c r="AL22" s="44"/>
      <c r="AM22" s="44"/>
      <c r="AN22" s="44"/>
      <c r="AO22" s="44"/>
      <c r="AP22" s="44"/>
      <c r="AQ22" s="53"/>
      <c r="AR22" s="8"/>
    </row>
    <row r="23" spans="1:44" s="2" customFormat="1">
      <c r="A23" s="5"/>
      <c r="B23" s="7"/>
      <c r="C23" s="46" t="s">
        <v>193</v>
      </c>
      <c r="D23" s="45"/>
      <c r="E23" s="45"/>
      <c r="F23" s="45"/>
      <c r="G23" s="45"/>
      <c r="H23" s="45"/>
      <c r="I23" s="45"/>
      <c r="J23" s="45"/>
      <c r="K23" s="45"/>
      <c r="L23" s="47"/>
      <c r="M23" s="46" t="s">
        <v>74</v>
      </c>
      <c r="N23" s="45"/>
      <c r="O23" s="45"/>
      <c r="P23" s="45"/>
      <c r="Q23" s="45"/>
      <c r="R23" s="45"/>
      <c r="S23" s="51"/>
      <c r="T23" s="51"/>
      <c r="U23" s="51"/>
      <c r="V23" s="51"/>
      <c r="W23" s="51"/>
      <c r="X23" s="51"/>
      <c r="Y23" s="51"/>
      <c r="Z23" s="51"/>
      <c r="AA23" s="51"/>
      <c r="AB23" s="45"/>
      <c r="AC23" s="45"/>
      <c r="AD23" s="47"/>
      <c r="AE23" s="46" t="s">
        <v>150</v>
      </c>
      <c r="AF23" s="45"/>
      <c r="AG23" s="45"/>
      <c r="AH23" s="45"/>
      <c r="AI23" s="45"/>
      <c r="AJ23" s="45"/>
      <c r="AK23" s="45"/>
      <c r="AL23" s="45"/>
      <c r="AM23" s="54"/>
      <c r="AN23" s="54"/>
      <c r="AO23" s="54"/>
      <c r="AP23" s="45"/>
      <c r="AQ23" s="47"/>
      <c r="AR23" s="8"/>
    </row>
    <row r="24" spans="1:44" s="2" customFormat="1">
      <c r="A24" s="5"/>
      <c r="B24" s="7"/>
      <c r="C24" s="35"/>
      <c r="D24" s="36"/>
      <c r="E24" s="36"/>
      <c r="F24" s="36"/>
      <c r="G24" s="36"/>
      <c r="H24" s="36"/>
      <c r="I24" s="36"/>
      <c r="J24" s="36"/>
      <c r="K24" s="36"/>
      <c r="L24" s="9"/>
      <c r="M24" s="35" t="s">
        <v>194</v>
      </c>
      <c r="N24" s="36"/>
      <c r="O24" s="36"/>
      <c r="P24" s="36"/>
      <c r="Q24" s="36"/>
      <c r="R24" s="36"/>
      <c r="S24" s="70"/>
      <c r="T24" s="70"/>
      <c r="U24" s="70"/>
      <c r="V24" s="70"/>
      <c r="W24" s="70"/>
      <c r="X24" s="70"/>
      <c r="Y24" s="70"/>
      <c r="Z24" s="70"/>
      <c r="AA24" s="70"/>
      <c r="AB24" s="36"/>
      <c r="AC24" s="36"/>
      <c r="AD24" s="9"/>
      <c r="AE24" s="35"/>
      <c r="AF24" s="36"/>
      <c r="AG24" s="36"/>
      <c r="AH24" s="36"/>
      <c r="AI24" s="36"/>
      <c r="AJ24" s="36"/>
      <c r="AK24" s="36"/>
      <c r="AL24" s="36"/>
      <c r="AM24" s="55"/>
      <c r="AN24" s="55"/>
      <c r="AO24" s="55"/>
      <c r="AP24" s="36"/>
      <c r="AQ24" s="9"/>
      <c r="AR24" s="8"/>
    </row>
    <row r="25" spans="1:44" s="2" customFormat="1">
      <c r="A25" s="5"/>
      <c r="B25" s="7"/>
      <c r="C25" s="46" t="s">
        <v>73</v>
      </c>
      <c r="D25" s="45"/>
      <c r="E25" s="45"/>
      <c r="F25" s="45"/>
      <c r="G25" s="45"/>
      <c r="H25" s="45"/>
      <c r="I25" s="45"/>
      <c r="J25" s="45"/>
      <c r="K25" s="45"/>
      <c r="L25" s="47"/>
      <c r="M25" s="46" t="s">
        <v>75</v>
      </c>
      <c r="N25" s="45"/>
      <c r="O25" s="45"/>
      <c r="P25" s="45"/>
      <c r="Q25" s="45"/>
      <c r="R25" s="45"/>
      <c r="S25" s="51"/>
      <c r="T25" s="51"/>
      <c r="U25" s="51"/>
      <c r="V25" s="51"/>
      <c r="W25" s="51"/>
      <c r="X25" s="51"/>
      <c r="Y25" s="51"/>
      <c r="Z25" s="51"/>
      <c r="AA25" s="51"/>
      <c r="AB25" s="45"/>
      <c r="AC25" s="45"/>
      <c r="AD25" s="47"/>
      <c r="AE25" s="46" t="s">
        <v>159</v>
      </c>
      <c r="AF25" s="45"/>
      <c r="AG25" s="45"/>
      <c r="AH25" s="45"/>
      <c r="AI25" s="45"/>
      <c r="AJ25" s="45"/>
      <c r="AK25" s="45"/>
      <c r="AL25" s="45"/>
      <c r="AM25" s="54"/>
      <c r="AN25" s="54"/>
      <c r="AO25" s="54"/>
      <c r="AP25" s="45"/>
      <c r="AQ25" s="47"/>
      <c r="AR25" s="8"/>
    </row>
    <row r="26" spans="1:44" s="2" customFormat="1">
      <c r="A26" s="5"/>
      <c r="B26" s="7"/>
      <c r="C26" s="49"/>
      <c r="D26" s="48"/>
      <c r="E26" s="48"/>
      <c r="F26" s="48"/>
      <c r="G26" s="48"/>
      <c r="H26" s="48"/>
      <c r="I26" s="48"/>
      <c r="J26" s="48"/>
      <c r="K26" s="48"/>
      <c r="L26" s="50"/>
      <c r="M26" s="49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50"/>
      <c r="AE26" s="35"/>
      <c r="AF26" s="48"/>
      <c r="AG26" s="48"/>
      <c r="AH26" s="48"/>
      <c r="AI26" s="48"/>
      <c r="AJ26" s="48"/>
      <c r="AK26" s="48"/>
      <c r="AL26" s="48"/>
      <c r="AM26" s="55"/>
      <c r="AN26" s="55"/>
      <c r="AO26" s="55"/>
      <c r="AP26" s="36"/>
      <c r="AQ26" s="9"/>
      <c r="AR26" s="8"/>
    </row>
    <row r="27" spans="1:44" s="2" customFormat="1">
      <c r="A27" s="5"/>
      <c r="B27" s="7"/>
      <c r="C27" s="46" t="s">
        <v>758</v>
      </c>
      <c r="D27" s="45"/>
      <c r="E27" s="45"/>
      <c r="F27" s="45"/>
      <c r="G27" s="45"/>
      <c r="H27" s="45"/>
      <c r="I27" s="45"/>
      <c r="J27" s="45"/>
      <c r="K27" s="45"/>
      <c r="L27" s="47"/>
      <c r="M27" s="46" t="s">
        <v>759</v>
      </c>
      <c r="N27" s="45"/>
      <c r="O27" s="45"/>
      <c r="P27" s="45"/>
      <c r="Q27" s="45"/>
      <c r="R27" s="45"/>
      <c r="S27" s="51"/>
      <c r="T27" s="51"/>
      <c r="U27" s="51"/>
      <c r="V27" s="51"/>
      <c r="W27" s="51"/>
      <c r="X27" s="51"/>
      <c r="Y27" s="51"/>
      <c r="Z27" s="51"/>
      <c r="AA27" s="51"/>
      <c r="AB27" s="45"/>
      <c r="AC27" s="45"/>
      <c r="AD27" s="47"/>
      <c r="AE27" s="46" t="s">
        <v>760</v>
      </c>
      <c r="AF27" s="45"/>
      <c r="AG27" s="45"/>
      <c r="AH27" s="45"/>
      <c r="AI27" s="45"/>
      <c r="AJ27" s="45"/>
      <c r="AK27" s="45"/>
      <c r="AL27" s="45"/>
      <c r="AM27" s="54"/>
      <c r="AN27" s="54"/>
      <c r="AO27" s="54"/>
      <c r="AP27" s="45"/>
      <c r="AQ27" s="47"/>
      <c r="AR27" s="8"/>
    </row>
    <row r="28" spans="1:44" s="2" customFormat="1">
      <c r="A28" s="5"/>
      <c r="B28" s="7"/>
      <c r="C28" s="35"/>
      <c r="D28" s="36"/>
      <c r="E28" s="36"/>
      <c r="F28" s="36"/>
      <c r="G28" s="36"/>
      <c r="H28" s="36"/>
      <c r="I28" s="36"/>
      <c r="J28" s="36"/>
      <c r="K28" s="36"/>
      <c r="L28" s="9"/>
      <c r="M28" s="35" t="s">
        <v>769</v>
      </c>
      <c r="N28" s="36"/>
      <c r="O28" s="36"/>
      <c r="P28" s="36"/>
      <c r="Q28" s="36"/>
      <c r="R28" s="36"/>
      <c r="S28" s="70"/>
      <c r="T28" s="70"/>
      <c r="U28" s="70"/>
      <c r="V28" s="70"/>
      <c r="W28" s="70"/>
      <c r="X28" s="70"/>
      <c r="Y28" s="70"/>
      <c r="Z28" s="70"/>
      <c r="AA28" s="70"/>
      <c r="AB28" s="36"/>
      <c r="AC28" s="36"/>
      <c r="AD28" s="9"/>
      <c r="AE28" s="35"/>
      <c r="AF28" s="36"/>
      <c r="AG28" s="36"/>
      <c r="AH28" s="36"/>
      <c r="AI28" s="36"/>
      <c r="AJ28" s="36"/>
      <c r="AK28" s="36"/>
      <c r="AL28" s="36"/>
      <c r="AM28" s="55"/>
      <c r="AN28" s="55"/>
      <c r="AO28" s="55"/>
      <c r="AP28" s="36"/>
      <c r="AQ28" s="9"/>
      <c r="AR28" s="8"/>
    </row>
    <row r="29" spans="1:44" s="2" customFormat="1">
      <c r="A29" s="5"/>
      <c r="B29" s="7"/>
      <c r="AR29" s="8"/>
    </row>
    <row r="30" spans="1:44" s="2" customFormat="1">
      <c r="A30" s="5"/>
      <c r="B30" s="7"/>
      <c r="AR30" s="8"/>
    </row>
    <row r="31" spans="1:44" s="2" customFormat="1">
      <c r="A31" s="5"/>
      <c r="B31" s="7"/>
      <c r="AR31" s="8"/>
    </row>
    <row r="32" spans="1:44" s="2" customFormat="1">
      <c r="A32" s="5"/>
      <c r="B32" s="7"/>
      <c r="C32" s="3" t="s">
        <v>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7"/>
      <c r="AN32" s="7"/>
      <c r="AO32" s="7"/>
      <c r="AP32" s="3"/>
      <c r="AQ32" s="3"/>
      <c r="AR32" s="8"/>
    </row>
    <row r="33" spans="1:44" s="2" customFormat="1">
      <c r="A33" s="5"/>
      <c r="B33" s="7"/>
      <c r="C33" s="43" t="s">
        <v>31</v>
      </c>
      <c r="D33" s="44"/>
      <c r="E33" s="44"/>
      <c r="F33" s="44"/>
      <c r="G33" s="44"/>
      <c r="H33" s="44"/>
      <c r="I33" s="44"/>
      <c r="J33" s="44"/>
      <c r="K33" s="44"/>
      <c r="L33" s="44"/>
      <c r="M33" s="43" t="s">
        <v>35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3" t="s">
        <v>33</v>
      </c>
      <c r="AF33" s="52"/>
      <c r="AG33" s="52"/>
      <c r="AH33" s="52"/>
      <c r="AI33" s="52"/>
      <c r="AJ33" s="52"/>
      <c r="AK33" s="52"/>
      <c r="AL33" s="44"/>
      <c r="AM33" s="44"/>
      <c r="AN33" s="44"/>
      <c r="AO33" s="44"/>
      <c r="AP33" s="44"/>
      <c r="AQ33" s="53"/>
      <c r="AR33" s="8"/>
    </row>
    <row r="34" spans="1:44" s="2" customFormat="1">
      <c r="A34" s="5"/>
      <c r="B34" s="7"/>
      <c r="C34" s="46" t="s">
        <v>193</v>
      </c>
      <c r="D34" s="45"/>
      <c r="E34" s="45"/>
      <c r="F34" s="45"/>
      <c r="G34" s="45"/>
      <c r="H34" s="45"/>
      <c r="I34" s="45"/>
      <c r="J34" s="45"/>
      <c r="K34" s="45"/>
      <c r="L34" s="47"/>
      <c r="M34" s="46" t="s">
        <v>163</v>
      </c>
      <c r="N34" s="45"/>
      <c r="O34" s="45"/>
      <c r="P34" s="45"/>
      <c r="Q34" s="45"/>
      <c r="R34" s="45"/>
      <c r="S34" s="51"/>
      <c r="T34" s="51"/>
      <c r="U34" s="51"/>
      <c r="V34" s="51"/>
      <c r="W34" s="51"/>
      <c r="X34" s="51"/>
      <c r="Y34" s="51"/>
      <c r="Z34" s="51"/>
      <c r="AA34" s="51"/>
      <c r="AB34" s="45"/>
      <c r="AC34" s="45"/>
      <c r="AD34" s="47"/>
      <c r="AE34" s="46" t="s">
        <v>165</v>
      </c>
      <c r="AF34" s="45"/>
      <c r="AG34" s="45"/>
      <c r="AH34" s="45"/>
      <c r="AI34" s="45"/>
      <c r="AJ34" s="45"/>
      <c r="AK34" s="45"/>
      <c r="AL34" s="45"/>
      <c r="AM34" s="54"/>
      <c r="AN34" s="54"/>
      <c r="AO34" s="54"/>
      <c r="AP34" s="45"/>
      <c r="AQ34" s="47"/>
      <c r="AR34" s="8"/>
    </row>
    <row r="35" spans="1:44" s="2" customFormat="1">
      <c r="A35" s="5"/>
      <c r="C35" s="49"/>
      <c r="D35" s="48"/>
      <c r="E35" s="48"/>
      <c r="F35" s="48"/>
      <c r="G35" s="48"/>
      <c r="H35" s="48"/>
      <c r="I35" s="48"/>
      <c r="J35" s="48"/>
      <c r="K35" s="48"/>
      <c r="L35" s="50"/>
      <c r="M35" s="35" t="s">
        <v>195</v>
      </c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50"/>
      <c r="AE35" s="35"/>
      <c r="AF35" s="48"/>
      <c r="AG35" s="48"/>
      <c r="AH35" s="48"/>
      <c r="AI35" s="48"/>
      <c r="AJ35" s="48"/>
      <c r="AK35" s="48"/>
      <c r="AL35" s="48"/>
      <c r="AM35" s="55"/>
      <c r="AN35" s="55"/>
      <c r="AO35" s="55"/>
      <c r="AP35" s="36"/>
      <c r="AQ35" s="9"/>
      <c r="AR35" s="8"/>
    </row>
    <row r="36" spans="1:44" s="2" customFormat="1">
      <c r="A36" s="5"/>
      <c r="B36" s="3"/>
      <c r="C36" s="46" t="s">
        <v>160</v>
      </c>
      <c r="D36" s="45"/>
      <c r="E36" s="45"/>
      <c r="F36" s="45"/>
      <c r="G36" s="45"/>
      <c r="H36" s="45"/>
      <c r="I36" s="45"/>
      <c r="J36" s="45"/>
      <c r="K36" s="45"/>
      <c r="L36" s="47"/>
      <c r="M36" s="46" t="s">
        <v>161</v>
      </c>
      <c r="N36" s="45"/>
      <c r="O36" s="45"/>
      <c r="P36" s="45"/>
      <c r="Q36" s="45"/>
      <c r="R36" s="45"/>
      <c r="S36" s="51"/>
      <c r="T36" s="51"/>
      <c r="U36" s="51"/>
      <c r="V36" s="51"/>
      <c r="W36" s="51"/>
      <c r="X36" s="51"/>
      <c r="Y36" s="51"/>
      <c r="Z36" s="51"/>
      <c r="AA36" s="51"/>
      <c r="AB36" s="45"/>
      <c r="AC36" s="45"/>
      <c r="AD36" s="47"/>
      <c r="AE36" s="46" t="s">
        <v>162</v>
      </c>
      <c r="AF36" s="45"/>
      <c r="AG36" s="45"/>
      <c r="AH36" s="45"/>
      <c r="AI36" s="45"/>
      <c r="AJ36" s="45"/>
      <c r="AK36" s="45"/>
      <c r="AL36" s="45"/>
      <c r="AM36" s="54"/>
      <c r="AN36" s="54"/>
      <c r="AO36" s="54"/>
      <c r="AP36" s="45"/>
      <c r="AQ36" s="47"/>
      <c r="AR36" s="8"/>
    </row>
    <row r="37" spans="1:44" s="2" customFormat="1">
      <c r="A37" s="5"/>
      <c r="B37" s="3"/>
      <c r="C37" s="49"/>
      <c r="D37" s="48"/>
      <c r="E37" s="48"/>
      <c r="F37" s="48"/>
      <c r="G37" s="48"/>
      <c r="H37" s="48"/>
      <c r="I37" s="48"/>
      <c r="J37" s="48"/>
      <c r="K37" s="48"/>
      <c r="L37" s="50"/>
      <c r="M37" s="49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50"/>
      <c r="AE37" s="35"/>
      <c r="AF37" s="48"/>
      <c r="AG37" s="48"/>
      <c r="AH37" s="48"/>
      <c r="AI37" s="48"/>
      <c r="AJ37" s="48"/>
      <c r="AK37" s="48"/>
      <c r="AL37" s="48"/>
      <c r="AM37" s="55"/>
      <c r="AN37" s="55"/>
      <c r="AO37" s="55"/>
      <c r="AP37" s="36"/>
      <c r="AQ37" s="9"/>
      <c r="AR37" s="8"/>
    </row>
    <row r="38" spans="1:44" s="2" customFormat="1">
      <c r="A38" s="5"/>
      <c r="B38" s="3"/>
      <c r="C38" s="46" t="s">
        <v>154</v>
      </c>
      <c r="D38" s="45"/>
      <c r="E38" s="45"/>
      <c r="F38" s="45"/>
      <c r="G38" s="45"/>
      <c r="H38" s="45"/>
      <c r="I38" s="45"/>
      <c r="J38" s="45"/>
      <c r="K38" s="45"/>
      <c r="L38" s="47"/>
      <c r="M38" s="46" t="s">
        <v>158</v>
      </c>
      <c r="N38" s="45"/>
      <c r="O38" s="45"/>
      <c r="P38" s="45"/>
      <c r="Q38" s="45"/>
      <c r="R38" s="45"/>
      <c r="S38" s="51"/>
      <c r="T38" s="51"/>
      <c r="U38" s="51"/>
      <c r="V38" s="51"/>
      <c r="W38" s="51"/>
      <c r="X38" s="51"/>
      <c r="Y38" s="51"/>
      <c r="Z38" s="51"/>
      <c r="AA38" s="51"/>
      <c r="AB38" s="45"/>
      <c r="AC38" s="45"/>
      <c r="AD38" s="47"/>
      <c r="AE38" s="46" t="s">
        <v>166</v>
      </c>
      <c r="AF38" s="45"/>
      <c r="AG38" s="45"/>
      <c r="AH38" s="45"/>
      <c r="AI38" s="45"/>
      <c r="AJ38" s="45"/>
      <c r="AK38" s="45"/>
      <c r="AL38" s="45"/>
      <c r="AM38" s="54"/>
      <c r="AN38" s="54"/>
      <c r="AO38" s="54"/>
      <c r="AP38" s="45"/>
      <c r="AQ38" s="47"/>
      <c r="AR38" s="8"/>
    </row>
    <row r="39" spans="1:44" s="2" customFormat="1">
      <c r="A39" s="5"/>
      <c r="B39" s="3"/>
      <c r="C39" s="49"/>
      <c r="D39" s="48"/>
      <c r="E39" s="48"/>
      <c r="F39" s="48"/>
      <c r="G39" s="48"/>
      <c r="H39" s="48"/>
      <c r="I39" s="48"/>
      <c r="J39" s="48"/>
      <c r="K39" s="48"/>
      <c r="L39" s="50"/>
      <c r="M39" s="35" t="s">
        <v>164</v>
      </c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50"/>
      <c r="AE39" s="35" t="s">
        <v>174</v>
      </c>
      <c r="AF39" s="48"/>
      <c r="AG39" s="48"/>
      <c r="AH39" s="48"/>
      <c r="AI39" s="48"/>
      <c r="AJ39" s="48"/>
      <c r="AK39" s="48"/>
      <c r="AL39" s="48"/>
      <c r="AM39" s="55"/>
      <c r="AN39" s="55"/>
      <c r="AO39" s="55"/>
      <c r="AP39" s="36"/>
      <c r="AQ39" s="9"/>
      <c r="AR39" s="8"/>
    </row>
    <row r="40" spans="1:44" s="2" customFormat="1" ht="12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8"/>
    </row>
    <row r="41" spans="1:44" s="2" customFormat="1" ht="12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8"/>
    </row>
    <row r="42" spans="1:44" s="2" customFormat="1" ht="1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8"/>
    </row>
    <row r="43" spans="1:44" s="2" customFormat="1" ht="12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8"/>
    </row>
    <row r="44" spans="1:44" s="2" customFormat="1" ht="12">
      <c r="A44" s="46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7"/>
    </row>
    <row r="45" spans="1:44" s="2" customFormat="1" ht="12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8"/>
    </row>
    <row r="46" spans="1:44" s="2" customFormat="1">
      <c r="A46" s="5"/>
      <c r="B46" s="37" t="s">
        <v>36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8"/>
    </row>
    <row r="47" spans="1:44" s="2" customFormat="1" ht="12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8"/>
    </row>
    <row r="48" spans="1:44" s="2" customFormat="1" ht="12">
      <c r="A48" s="5"/>
      <c r="B48" s="3"/>
      <c r="C48" s="3" t="s">
        <v>76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8"/>
    </row>
    <row r="49" spans="1:44" s="2" customFormat="1" ht="12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8"/>
    </row>
    <row r="50" spans="1:44" s="2" customFormat="1" ht="12">
      <c r="A50" s="5"/>
      <c r="B50" s="3"/>
      <c r="C50" s="3"/>
      <c r="D50" s="3" t="s">
        <v>196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8"/>
    </row>
    <row r="51" spans="1:44" s="2" customFormat="1" ht="12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8"/>
    </row>
    <row r="52" spans="1:44" s="2" customFormat="1" ht="12">
      <c r="A52" s="5"/>
      <c r="B52" s="3"/>
      <c r="C52" s="3"/>
      <c r="D52" s="3" t="s">
        <v>180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8"/>
    </row>
    <row r="53" spans="1:44" s="2" customFormat="1" ht="12">
      <c r="A53" s="5"/>
      <c r="B53" s="3"/>
      <c r="C53" s="3"/>
      <c r="E53" s="3" t="s">
        <v>182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8"/>
    </row>
    <row r="54" spans="1:44" s="2" customFormat="1" ht="12">
      <c r="A54" s="5"/>
      <c r="B54" s="3"/>
      <c r="C54" s="3"/>
      <c r="E54" s="3" t="s">
        <v>197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8"/>
    </row>
    <row r="55" spans="1:44" s="2" customFormat="1" ht="12">
      <c r="A55" s="5"/>
      <c r="E55" s="3" t="s">
        <v>181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8"/>
    </row>
    <row r="56" spans="1:44" s="2" customFormat="1" ht="12">
      <c r="A56" s="5"/>
      <c r="D56" s="3" t="s">
        <v>774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8"/>
    </row>
    <row r="57" spans="1:44" s="2" customFormat="1" ht="12">
      <c r="A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8"/>
    </row>
    <row r="58" spans="1:44" s="2" customFormat="1" ht="12">
      <c r="A58" s="5"/>
      <c r="D58" s="3" t="s">
        <v>739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8"/>
    </row>
    <row r="59" spans="1:44" s="2" customFormat="1" ht="12">
      <c r="A59" s="5"/>
      <c r="D59" s="3"/>
      <c r="E59" s="3" t="s">
        <v>156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8"/>
    </row>
    <row r="60" spans="1:44" s="2" customFormat="1" ht="12" customHeight="1">
      <c r="A60" s="5"/>
      <c r="D60" s="3"/>
      <c r="E60" s="3" t="s">
        <v>779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8"/>
    </row>
    <row r="61" spans="1:44" s="3" customFormat="1" ht="12" customHeight="1">
      <c r="A61" s="5"/>
      <c r="AR61" s="8"/>
    </row>
    <row r="62" spans="1:44" s="3" customFormat="1" ht="12" customHeight="1">
      <c r="A62" s="5"/>
      <c r="C62" s="3" t="s">
        <v>198</v>
      </c>
      <c r="AR62" s="8"/>
    </row>
    <row r="63" spans="1:44" s="3" customFormat="1" ht="12" customHeight="1">
      <c r="A63" s="5"/>
      <c r="AR63" s="8"/>
    </row>
    <row r="64" spans="1:44" s="3" customFormat="1" ht="12" customHeight="1">
      <c r="A64" s="5"/>
      <c r="D64" s="3" t="s">
        <v>199</v>
      </c>
      <c r="AR64" s="8"/>
    </row>
    <row r="65" spans="1:45" s="3" customFormat="1" ht="12" customHeight="1">
      <c r="A65" s="5"/>
      <c r="AR65" s="8"/>
    </row>
    <row r="66" spans="1:45" s="3" customFormat="1" ht="12" customHeight="1">
      <c r="A66" s="5"/>
      <c r="E66" s="3" t="s">
        <v>764</v>
      </c>
      <c r="AR66" s="8"/>
    </row>
    <row r="67" spans="1:45" s="3" customFormat="1" ht="12" customHeight="1">
      <c r="A67" s="5"/>
      <c r="E67" s="3" t="s">
        <v>171</v>
      </c>
      <c r="AR67" s="8"/>
    </row>
    <row r="68" spans="1:45" s="3" customFormat="1" ht="12" customHeight="1">
      <c r="A68" s="5"/>
      <c r="E68" s="3" t="s">
        <v>200</v>
      </c>
      <c r="AR68" s="8"/>
    </row>
    <row r="69" spans="1:45" s="3" customFormat="1" ht="12" customHeight="1">
      <c r="A69" s="5"/>
      <c r="E69" s="3" t="s">
        <v>167</v>
      </c>
      <c r="AR69" s="8"/>
    </row>
    <row r="70" spans="1:45" s="3" customFormat="1" ht="12" customHeight="1">
      <c r="A70" s="5"/>
      <c r="AR70" s="8"/>
    </row>
    <row r="71" spans="1:45" s="3" customFormat="1" ht="12" customHeight="1">
      <c r="A71" s="5"/>
      <c r="E71" s="3" t="s">
        <v>765</v>
      </c>
      <c r="AR71" s="8"/>
    </row>
    <row r="72" spans="1:45" s="3" customFormat="1" ht="12" customHeight="1">
      <c r="A72" s="5"/>
      <c r="E72" s="3" t="s">
        <v>195</v>
      </c>
      <c r="AR72" s="8"/>
    </row>
    <row r="73" spans="1:45" s="2" customFormat="1" ht="12" customHeight="1">
      <c r="A73" s="5"/>
      <c r="B73" s="3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8"/>
      <c r="AS73" s="3"/>
    </row>
    <row r="74" spans="1:45" s="3" customFormat="1" ht="12" customHeight="1">
      <c r="A74" s="5"/>
      <c r="C74" s="3" t="s">
        <v>77</v>
      </c>
      <c r="AR74" s="8"/>
    </row>
    <row r="75" spans="1:45" s="3" customFormat="1" ht="12" customHeight="1">
      <c r="A75" s="5"/>
      <c r="AR75" s="8"/>
    </row>
    <row r="76" spans="1:45" s="3" customFormat="1" ht="12" customHeight="1">
      <c r="A76" s="5"/>
      <c r="D76" s="3" t="s">
        <v>78</v>
      </c>
      <c r="AR76" s="8"/>
    </row>
    <row r="77" spans="1:45" s="3" customFormat="1" ht="12" customHeight="1">
      <c r="A77" s="5"/>
      <c r="B77" s="2"/>
      <c r="D77" s="2"/>
      <c r="AR77" s="8"/>
    </row>
    <row r="78" spans="1:45" s="3" customFormat="1" ht="12" customHeight="1">
      <c r="A78" s="5"/>
      <c r="B78" s="2"/>
      <c r="C78" s="2"/>
      <c r="E78" s="3" t="s">
        <v>172</v>
      </c>
      <c r="AR78" s="8"/>
    </row>
    <row r="79" spans="1:45" s="3" customFormat="1" ht="12" customHeight="1">
      <c r="A79" s="5"/>
      <c r="E79" s="3" t="s">
        <v>170</v>
      </c>
      <c r="AR79" s="8"/>
    </row>
    <row r="80" spans="1:45" s="3" customFormat="1" ht="12" customHeight="1">
      <c r="A80" s="5"/>
      <c r="E80" s="3" t="s">
        <v>168</v>
      </c>
      <c r="AR80" s="8"/>
    </row>
    <row r="81" spans="1:45" s="3" customFormat="1" ht="12" customHeight="1">
      <c r="A81" s="5"/>
      <c r="E81" s="3" t="s">
        <v>185</v>
      </c>
      <c r="AR81" s="8"/>
    </row>
    <row r="82" spans="1:45" s="3" customFormat="1" ht="12" customHeight="1">
      <c r="A82" s="5"/>
      <c r="AR82" s="8"/>
    </row>
    <row r="83" spans="1:45" s="3" customFormat="1" ht="12" customHeight="1">
      <c r="A83" s="5"/>
      <c r="E83" s="3" t="s">
        <v>169</v>
      </c>
      <c r="AR83" s="8"/>
    </row>
    <row r="84" spans="1:45" s="3" customFormat="1" ht="12" customHeight="1">
      <c r="A84" s="5"/>
      <c r="E84" s="3" t="s">
        <v>170</v>
      </c>
      <c r="AR84" s="8"/>
    </row>
    <row r="85" spans="1:45" s="3" customFormat="1" ht="12" customHeight="1">
      <c r="A85" s="5"/>
      <c r="E85" s="3" t="s">
        <v>168</v>
      </c>
      <c r="AR85" s="8"/>
    </row>
    <row r="86" spans="1:45" s="2" customFormat="1" ht="12" customHeight="1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8"/>
      <c r="AS86" s="3"/>
    </row>
    <row r="87" spans="1:45" s="2" customFormat="1" ht="12" customHeight="1">
      <c r="A87" s="5"/>
      <c r="B87" s="3"/>
      <c r="C87" s="3" t="s">
        <v>179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8"/>
      <c r="AS87" s="3"/>
    </row>
    <row r="88" spans="1:45" s="2" customFormat="1" ht="12" customHeight="1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8"/>
      <c r="AS88" s="3"/>
    </row>
    <row r="89" spans="1:45" s="2" customFormat="1" ht="12" customHeight="1">
      <c r="A89" s="5"/>
      <c r="B89" s="3"/>
      <c r="C89" s="3"/>
      <c r="D89" s="3" t="s">
        <v>153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8"/>
      <c r="AS89" s="3"/>
    </row>
    <row r="90" spans="1:45" s="2" customFormat="1" ht="12" customHeight="1">
      <c r="A90" s="5"/>
      <c r="B90" s="3"/>
      <c r="C90" s="3"/>
      <c r="D90" s="3" t="s">
        <v>175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8"/>
      <c r="AS90" s="3"/>
    </row>
    <row r="91" spans="1:45" s="2" customFormat="1" ht="12" customHeight="1">
      <c r="A91" s="5"/>
      <c r="B91" s="3"/>
      <c r="C91" s="3"/>
      <c r="D91" s="3" t="s">
        <v>184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8"/>
      <c r="AS91" s="3"/>
    </row>
    <row r="92" spans="1:45" s="2" customFormat="1" ht="12" customHeight="1">
      <c r="A92" s="5"/>
      <c r="B92" s="3"/>
      <c r="C92" s="3"/>
      <c r="D92" s="3"/>
      <c r="E92" s="3" t="s">
        <v>156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8"/>
      <c r="AS92" s="3"/>
    </row>
    <row r="93" spans="1:45" s="2" customFormat="1" ht="12" customHeight="1">
      <c r="A93" s="5"/>
      <c r="B93" s="3"/>
      <c r="C93" s="3"/>
      <c r="D93" s="3"/>
      <c r="E93" s="3" t="s">
        <v>773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8"/>
      <c r="AS93" s="3"/>
    </row>
    <row r="94" spans="1:45" s="2" customFormat="1" ht="12" customHeight="1">
      <c r="A94" s="3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9"/>
      <c r="AS94" s="3"/>
    </row>
    <row r="95" spans="1:45" s="2" customFormat="1" ht="12"/>
    <row r="96" spans="1:45" s="2" customFormat="1" ht="12"/>
    <row r="97" spans="1:44" s="2" customFormat="1" ht="12"/>
    <row r="98" spans="1:44" s="2" customFormat="1" ht="12"/>
    <row r="99" spans="1:44" s="2" customFormat="1" ht="12"/>
    <row r="100" spans="1:44" s="2" customFormat="1" ht="12"/>
    <row r="101" spans="1:44" s="2" customFormat="1" ht="12"/>
    <row r="102" spans="1:44" s="2" customFormat="1" ht="12"/>
    <row r="103" spans="1:44" s="2" customFormat="1" ht="12"/>
    <row r="104" spans="1:44" s="2" customFormat="1" ht="12"/>
    <row r="105" spans="1:44" s="2" customFormat="1" ht="12"/>
    <row r="106" spans="1:44" s="2" customFormat="1" ht="12"/>
    <row r="107" spans="1:44" s="2" customFormat="1" ht="12"/>
    <row r="108" spans="1:44" s="2" customFormat="1" ht="12"/>
    <row r="109" spans="1:4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</sheetData>
  <mergeCells count="16"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</mergeCells>
  <phoneticPr fontId="4"/>
  <pageMargins left="0.39370078740157483" right="0.39370078740157483" top="0.78740157480314965" bottom="0.78740157480314965" header="0.59055118110236227" footer="0.59055118110236227"/>
  <pageSetup paperSize="9" scale="70" orientation="landscape" r:id="rId1"/>
  <headerFooter alignWithMargins="0">
    <oddFooter>&amp;C&amp;P / &amp;N ページ&amp;RCopyright  ©　富士通株式会社　2017</oddFooter>
  </headerFooter>
  <rowBreaks count="1" manualBreakCount="1">
    <brk id="43" max="4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4"/>
  <sheetViews>
    <sheetView view="pageBreakPreview" zoomScaleNormal="100" zoomScaleSheetLayoutView="100" workbookViewId="0">
      <pane ySplit="8" topLeftCell="A27" activePane="bottomLeft" state="frozen"/>
      <selection sqref="A1:D4"/>
      <selection pane="bottomLeft" activeCell="C32" sqref="C32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201</v>
      </c>
      <c r="C6" s="4"/>
      <c r="D6" s="4"/>
      <c r="E6" s="3"/>
      <c r="F6" s="3"/>
      <c r="G6" s="3"/>
      <c r="H6" s="3"/>
      <c r="I6" s="8"/>
    </row>
    <row r="7" spans="1:9">
      <c r="A7" s="13" t="s">
        <v>767</v>
      </c>
      <c r="B7" s="68"/>
      <c r="C7" s="68"/>
      <c r="D7" s="68"/>
      <c r="E7" s="68"/>
      <c r="F7" s="68"/>
      <c r="G7" s="68"/>
      <c r="H7" s="178" t="s">
        <v>38</v>
      </c>
      <c r="I7" s="179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127</v>
      </c>
      <c r="D9" s="10" t="s">
        <v>782</v>
      </c>
      <c r="E9" s="40" t="s">
        <v>124</v>
      </c>
      <c r="F9" s="40">
        <v>10</v>
      </c>
      <c r="G9" s="40"/>
      <c r="H9" s="10"/>
      <c r="I9" s="12"/>
    </row>
    <row r="10" spans="1:9" ht="13.5" customHeight="1">
      <c r="A10" s="12">
        <f t="shared" ref="A10:A39" si="0">ROW()-8</f>
        <v>2</v>
      </c>
      <c r="B10" s="10"/>
      <c r="C10" s="10" t="s">
        <v>86</v>
      </c>
      <c r="D10" s="10" t="s">
        <v>103</v>
      </c>
      <c r="E10" s="40" t="s">
        <v>124</v>
      </c>
      <c r="F10" s="40">
        <v>6</v>
      </c>
      <c r="G10" s="40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80</v>
      </c>
      <c r="D11" s="10" t="s">
        <v>135</v>
      </c>
      <c r="E11" s="40" t="s">
        <v>124</v>
      </c>
      <c r="F11" s="40">
        <v>4</v>
      </c>
      <c r="G11" s="40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89</v>
      </c>
      <c r="D12" s="10" t="s">
        <v>110</v>
      </c>
      <c r="E12" s="40" t="s">
        <v>48</v>
      </c>
      <c r="F12" s="40">
        <v>10</v>
      </c>
      <c r="G12" s="40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202</v>
      </c>
      <c r="D13" s="10" t="s">
        <v>740</v>
      </c>
      <c r="E13" s="40" t="s">
        <v>124</v>
      </c>
      <c r="F13" s="40">
        <v>3</v>
      </c>
      <c r="G13" s="40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203</v>
      </c>
      <c r="D14" s="33" t="s">
        <v>741</v>
      </c>
      <c r="E14" s="40" t="s">
        <v>124</v>
      </c>
      <c r="F14" s="40">
        <v>8</v>
      </c>
      <c r="G14" s="40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204</v>
      </c>
      <c r="D15" s="10" t="s">
        <v>742</v>
      </c>
      <c r="E15" s="40" t="s">
        <v>218</v>
      </c>
      <c r="F15" s="40">
        <v>1</v>
      </c>
      <c r="G15" s="40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205</v>
      </c>
      <c r="D16" s="33" t="s">
        <v>743</v>
      </c>
      <c r="E16" s="40" t="s">
        <v>48</v>
      </c>
      <c r="F16" s="40">
        <v>1</v>
      </c>
      <c r="G16" s="40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206</v>
      </c>
      <c r="D17" s="33" t="s">
        <v>744</v>
      </c>
      <c r="E17" s="40" t="s">
        <v>125</v>
      </c>
      <c r="F17" s="40">
        <v>8</v>
      </c>
      <c r="G17" s="40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207</v>
      </c>
      <c r="D18" s="10" t="s">
        <v>745</v>
      </c>
      <c r="E18" s="40" t="s">
        <v>124</v>
      </c>
      <c r="F18" s="40">
        <v>8</v>
      </c>
      <c r="G18" s="40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208</v>
      </c>
      <c r="D19" s="10" t="s">
        <v>746</v>
      </c>
      <c r="E19" s="40" t="s">
        <v>48</v>
      </c>
      <c r="F19" s="40">
        <v>4</v>
      </c>
      <c r="G19" s="40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209</v>
      </c>
      <c r="D20" s="10" t="s">
        <v>747</v>
      </c>
      <c r="E20" s="40" t="s">
        <v>48</v>
      </c>
      <c r="F20" s="40">
        <v>3</v>
      </c>
      <c r="G20" s="40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210</v>
      </c>
      <c r="D21" s="33" t="s">
        <v>748</v>
      </c>
      <c r="E21" s="40" t="s">
        <v>126</v>
      </c>
      <c r="F21" s="40">
        <v>40</v>
      </c>
      <c r="G21" s="40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211</v>
      </c>
      <c r="D22" s="10" t="s">
        <v>749</v>
      </c>
      <c r="E22" s="40" t="s">
        <v>126</v>
      </c>
      <c r="F22" s="40">
        <v>40</v>
      </c>
      <c r="G22" s="40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212</v>
      </c>
      <c r="D23" s="10" t="s">
        <v>750</v>
      </c>
      <c r="E23" s="40" t="s">
        <v>48</v>
      </c>
      <c r="F23" s="40">
        <v>1</v>
      </c>
      <c r="G23" s="40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213</v>
      </c>
      <c r="D24" s="10" t="s">
        <v>751</v>
      </c>
      <c r="E24" s="40" t="s">
        <v>124</v>
      </c>
      <c r="F24" s="40">
        <v>7</v>
      </c>
      <c r="G24" s="40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214</v>
      </c>
      <c r="D25" s="33" t="s">
        <v>752</v>
      </c>
      <c r="E25" s="40" t="s">
        <v>68</v>
      </c>
      <c r="F25" s="40">
        <v>13</v>
      </c>
      <c r="G25" s="40">
        <v>0</v>
      </c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215</v>
      </c>
      <c r="D26" s="33" t="s">
        <v>753</v>
      </c>
      <c r="E26" s="40" t="s">
        <v>125</v>
      </c>
      <c r="F26" s="40">
        <v>8</v>
      </c>
      <c r="G26" s="40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130</v>
      </c>
      <c r="D27" s="10" t="s">
        <v>754</v>
      </c>
      <c r="E27" s="40" t="s">
        <v>124</v>
      </c>
      <c r="F27" s="40">
        <v>1</v>
      </c>
      <c r="G27" s="40"/>
      <c r="H27" s="33"/>
      <c r="I27" s="12" t="s">
        <v>183</v>
      </c>
    </row>
    <row r="28" spans="1:9" s="2" customFormat="1" ht="13.5" customHeight="1">
      <c r="A28" s="12">
        <f t="shared" si="0"/>
        <v>20</v>
      </c>
      <c r="B28" s="10"/>
      <c r="C28" s="33" t="s">
        <v>131</v>
      </c>
      <c r="D28" s="33" t="s">
        <v>755</v>
      </c>
      <c r="E28" s="40" t="s">
        <v>49</v>
      </c>
      <c r="F28" s="40">
        <v>19</v>
      </c>
      <c r="G28" s="40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132</v>
      </c>
      <c r="D29" s="10" t="s">
        <v>756</v>
      </c>
      <c r="E29" s="40" t="s">
        <v>48</v>
      </c>
      <c r="F29" s="40">
        <v>1</v>
      </c>
      <c r="G29" s="40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216</v>
      </c>
      <c r="D30" s="10" t="s">
        <v>233</v>
      </c>
      <c r="E30" s="40" t="s">
        <v>124</v>
      </c>
      <c r="F30" s="40">
        <v>10</v>
      </c>
      <c r="G30" s="40"/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133</v>
      </c>
      <c r="D31" s="10" t="s">
        <v>144</v>
      </c>
      <c r="E31" s="40" t="s">
        <v>68</v>
      </c>
      <c r="F31" s="40">
        <v>10</v>
      </c>
      <c r="G31" s="40">
        <v>0</v>
      </c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50</v>
      </c>
      <c r="D32" s="10" t="s">
        <v>51</v>
      </c>
      <c r="E32" s="40" t="s">
        <v>48</v>
      </c>
      <c r="F32" s="40">
        <v>1</v>
      </c>
      <c r="G32" s="40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52</v>
      </c>
      <c r="D33" s="33" t="s">
        <v>53</v>
      </c>
      <c r="E33" s="40" t="s">
        <v>49</v>
      </c>
      <c r="F33" s="40">
        <v>19</v>
      </c>
      <c r="G33" s="40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54</v>
      </c>
      <c r="D34" s="33" t="s">
        <v>55</v>
      </c>
      <c r="E34" s="40" t="s">
        <v>69</v>
      </c>
      <c r="F34" s="40">
        <v>20</v>
      </c>
      <c r="G34" s="40"/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57</v>
      </c>
      <c r="D35" s="10" t="s">
        <v>58</v>
      </c>
      <c r="E35" s="40" t="s">
        <v>49</v>
      </c>
      <c r="F35" s="40">
        <v>64</v>
      </c>
      <c r="G35" s="40"/>
      <c r="H35" s="33"/>
      <c r="I35" s="12"/>
    </row>
    <row r="36" spans="1:9" s="2" customFormat="1" ht="13.5" customHeight="1">
      <c r="A36" s="12">
        <f t="shared" si="0"/>
        <v>28</v>
      </c>
      <c r="B36" s="10"/>
      <c r="C36" s="10" t="s">
        <v>59</v>
      </c>
      <c r="D36" s="10" t="s">
        <v>60</v>
      </c>
      <c r="E36" s="40" t="s">
        <v>49</v>
      </c>
      <c r="F36" s="40">
        <v>19</v>
      </c>
      <c r="G36" s="40"/>
      <c r="H36" s="33"/>
      <c r="I36" s="12" t="s">
        <v>70</v>
      </c>
    </row>
    <row r="37" spans="1:9" s="2" customFormat="1" ht="13.5" customHeight="1">
      <c r="A37" s="12">
        <f t="shared" si="0"/>
        <v>29</v>
      </c>
      <c r="B37" s="10"/>
      <c r="C37" s="10" t="s">
        <v>61</v>
      </c>
      <c r="D37" s="10" t="s">
        <v>62</v>
      </c>
      <c r="E37" s="40" t="s">
        <v>69</v>
      </c>
      <c r="F37" s="40">
        <v>20</v>
      </c>
      <c r="G37" s="40"/>
      <c r="H37" s="33"/>
      <c r="I37" s="12" t="s">
        <v>56</v>
      </c>
    </row>
    <row r="38" spans="1:9" s="2" customFormat="1" ht="13.5" customHeight="1">
      <c r="A38" s="12">
        <f t="shared" si="0"/>
        <v>30</v>
      </c>
      <c r="B38" s="10"/>
      <c r="C38" s="10" t="s">
        <v>63</v>
      </c>
      <c r="D38" s="10" t="s">
        <v>64</v>
      </c>
      <c r="E38" s="40" t="s">
        <v>49</v>
      </c>
      <c r="F38" s="40">
        <v>64</v>
      </c>
      <c r="G38" s="40"/>
      <c r="H38" s="33"/>
      <c r="I38" s="12" t="s">
        <v>217</v>
      </c>
    </row>
    <row r="39" spans="1:9" s="2" customFormat="1" ht="13.2" customHeight="1">
      <c r="A39" s="12">
        <f t="shared" si="0"/>
        <v>31</v>
      </c>
      <c r="B39" s="10"/>
      <c r="C39" s="10" t="s">
        <v>65</v>
      </c>
      <c r="D39" s="10" t="s">
        <v>66</v>
      </c>
      <c r="E39" s="40" t="s">
        <v>68</v>
      </c>
      <c r="F39" s="40">
        <v>9</v>
      </c>
      <c r="G39" s="40">
        <v>0</v>
      </c>
      <c r="H39" s="33"/>
      <c r="I39" s="12" t="s">
        <v>145</v>
      </c>
    </row>
    <row r="40" spans="1:9" s="2" customFormat="1" ht="12"/>
    <row r="41" spans="1:9" s="2" customFormat="1" ht="12"/>
    <row r="42" spans="1:9" s="2" customFormat="1" ht="12"/>
    <row r="43" spans="1:9" s="2" customFormat="1" ht="12"/>
    <row r="44" spans="1:9" s="2" customFormat="1" ht="12"/>
    <row r="45" spans="1:9" s="2" customFormat="1" ht="12"/>
    <row r="46" spans="1:9" s="2" customFormat="1" ht="12"/>
    <row r="47" spans="1:9" s="2" customFormat="1" ht="12"/>
    <row r="48" spans="1:9" s="2" customFormat="1" ht="12"/>
    <row r="49" s="2" customFormat="1" ht="12"/>
    <row r="50" s="2" customFormat="1" ht="12"/>
    <row r="51" s="2" customFormat="1" ht="12"/>
    <row r="52" s="2" customFormat="1" ht="12"/>
    <row r="53" s="2" customFormat="1" ht="12"/>
    <row r="54" s="2" customFormat="1" ht="12"/>
  </sheetData>
  <mergeCells count="1">
    <mergeCell ref="H7:I7"/>
  </mergeCells>
  <phoneticPr fontId="4"/>
  <dataValidations count="1">
    <dataValidation type="list" allowBlank="1" showInputMessage="1" showErrorMessage="1" sqref="E9:E39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4C2-05D7-428A-BD60-971B8A015EA1}">
  <sheetPr>
    <pageSetUpPr fitToPage="1"/>
  </sheetPr>
  <dimension ref="A1:I37"/>
  <sheetViews>
    <sheetView view="pageBreakPreview" zoomScaleNormal="100" zoomScaleSheetLayoutView="100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3.109375" style="1" customWidth="1"/>
    <col min="2" max="2" width="10.33203125" style="1" bestFit="1" customWidth="1"/>
    <col min="3" max="3" width="25.33203125" style="1" bestFit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177</v>
      </c>
      <c r="C6" s="4"/>
      <c r="D6" s="4"/>
      <c r="E6" s="3"/>
      <c r="F6" s="3"/>
      <c r="G6" s="3"/>
      <c r="H6" s="3"/>
      <c r="I6" s="8"/>
    </row>
    <row r="7" spans="1:9">
      <c r="A7" s="13" t="s">
        <v>178</v>
      </c>
      <c r="B7" s="68"/>
      <c r="C7" s="68"/>
      <c r="D7" s="68"/>
      <c r="E7" s="68"/>
      <c r="F7" s="68"/>
      <c r="G7" s="68"/>
      <c r="H7" s="178" t="s">
        <v>38</v>
      </c>
      <c r="I7" s="179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81</v>
      </c>
      <c r="D9" s="10" t="s">
        <v>146</v>
      </c>
      <c r="E9" s="40" t="s">
        <v>124</v>
      </c>
      <c r="F9" s="40">
        <v>2</v>
      </c>
      <c r="G9" s="40"/>
      <c r="H9" s="10"/>
      <c r="I9" s="12"/>
    </row>
    <row r="10" spans="1:9" ht="13.5" customHeight="1">
      <c r="A10" s="12">
        <f t="shared" ref="A10:A22" si="0">ROW()-8</f>
        <v>2</v>
      </c>
      <c r="B10" s="10"/>
      <c r="C10" s="10" t="s">
        <v>82</v>
      </c>
      <c r="D10" s="10" t="s">
        <v>147</v>
      </c>
      <c r="E10" s="40" t="s">
        <v>124</v>
      </c>
      <c r="F10" s="40">
        <v>10</v>
      </c>
      <c r="G10" s="40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83</v>
      </c>
      <c r="D11" s="10" t="s">
        <v>148</v>
      </c>
      <c r="E11" s="40" t="s">
        <v>68</v>
      </c>
      <c r="F11" s="40">
        <v>2</v>
      </c>
      <c r="G11" s="40">
        <v>0</v>
      </c>
      <c r="H11" s="10"/>
      <c r="I11" s="12"/>
    </row>
    <row r="12" spans="1:9" s="2" customFormat="1" ht="13.5" customHeight="1">
      <c r="A12" s="12">
        <f t="shared" si="0"/>
        <v>4</v>
      </c>
      <c r="B12" s="10"/>
      <c r="C12" s="10" t="s">
        <v>84</v>
      </c>
      <c r="D12" s="10" t="s">
        <v>149</v>
      </c>
      <c r="E12" s="40" t="s">
        <v>68</v>
      </c>
      <c r="F12" s="40">
        <v>10</v>
      </c>
      <c r="G12" s="40">
        <v>0</v>
      </c>
      <c r="H12" s="33"/>
      <c r="I12" s="12" t="s">
        <v>85</v>
      </c>
    </row>
    <row r="13" spans="1:9" s="2" customFormat="1" ht="13.5" customHeight="1">
      <c r="A13" s="12">
        <f t="shared" si="0"/>
        <v>5</v>
      </c>
      <c r="B13" s="10"/>
      <c r="C13" s="10" t="s">
        <v>101</v>
      </c>
      <c r="D13" s="10" t="s">
        <v>122</v>
      </c>
      <c r="E13" s="40" t="s">
        <v>48</v>
      </c>
      <c r="F13" s="40">
        <v>5</v>
      </c>
      <c r="G13" s="40"/>
      <c r="H13" s="33"/>
      <c r="I13" s="12"/>
    </row>
    <row r="14" spans="1:9" s="2" customFormat="1" ht="13.5" customHeight="1">
      <c r="A14" s="12">
        <f t="shared" si="0"/>
        <v>6</v>
      </c>
      <c r="B14" s="10"/>
      <c r="C14" s="10" t="s">
        <v>102</v>
      </c>
      <c r="D14" s="10" t="s">
        <v>123</v>
      </c>
      <c r="E14" s="40" t="s">
        <v>49</v>
      </c>
      <c r="F14" s="40">
        <v>19</v>
      </c>
      <c r="G14" s="40"/>
      <c r="H14" s="33"/>
      <c r="I14" s="12"/>
    </row>
    <row r="15" spans="1:9" s="2" customFormat="1" ht="13.5" customHeight="1">
      <c r="A15" s="12">
        <f t="shared" si="0"/>
        <v>7</v>
      </c>
      <c r="B15" s="10"/>
      <c r="C15" s="33" t="s">
        <v>50</v>
      </c>
      <c r="D15" s="33" t="s">
        <v>51</v>
      </c>
      <c r="E15" s="40" t="s">
        <v>48</v>
      </c>
      <c r="F15" s="40">
        <v>1</v>
      </c>
      <c r="G15" s="40"/>
      <c r="H15" s="33"/>
      <c r="I15" s="12"/>
    </row>
    <row r="16" spans="1:9" s="2" customFormat="1" ht="13.5" customHeight="1">
      <c r="A16" s="12">
        <f t="shared" si="0"/>
        <v>8</v>
      </c>
      <c r="B16" s="10"/>
      <c r="C16" s="10" t="s">
        <v>52</v>
      </c>
      <c r="D16" s="10" t="s">
        <v>53</v>
      </c>
      <c r="E16" s="40" t="s">
        <v>49</v>
      </c>
      <c r="F16" s="40">
        <v>19</v>
      </c>
      <c r="G16" s="40"/>
      <c r="H16" s="10"/>
      <c r="I16" s="12"/>
    </row>
    <row r="17" spans="1:9" s="2" customFormat="1" ht="13.5" customHeight="1">
      <c r="A17" s="12">
        <f t="shared" si="0"/>
        <v>9</v>
      </c>
      <c r="B17" s="10"/>
      <c r="C17" s="33" t="s">
        <v>54</v>
      </c>
      <c r="D17" s="33" t="s">
        <v>55</v>
      </c>
      <c r="E17" s="40" t="s">
        <v>69</v>
      </c>
      <c r="F17" s="40">
        <v>20</v>
      </c>
      <c r="G17" s="40"/>
      <c r="H17" s="33"/>
      <c r="I17" s="12"/>
    </row>
    <row r="18" spans="1:9" s="2" customFormat="1" ht="13.5" customHeight="1">
      <c r="A18" s="12">
        <f t="shared" si="0"/>
        <v>10</v>
      </c>
      <c r="B18" s="10"/>
      <c r="C18" s="33" t="s">
        <v>57</v>
      </c>
      <c r="D18" s="33" t="s">
        <v>58</v>
      </c>
      <c r="E18" s="40" t="s">
        <v>49</v>
      </c>
      <c r="F18" s="40">
        <v>64</v>
      </c>
      <c r="G18" s="40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59</v>
      </c>
      <c r="D19" s="10" t="s">
        <v>60</v>
      </c>
      <c r="E19" s="40" t="s">
        <v>49</v>
      </c>
      <c r="F19" s="40">
        <v>19</v>
      </c>
      <c r="G19" s="40"/>
      <c r="H19" s="10"/>
      <c r="I19" s="12" t="s">
        <v>70</v>
      </c>
    </row>
    <row r="20" spans="1:9" s="2" customFormat="1" ht="13.5" customHeight="1">
      <c r="A20" s="12">
        <f t="shared" si="0"/>
        <v>12</v>
      </c>
      <c r="B20" s="10"/>
      <c r="C20" s="10" t="s">
        <v>61</v>
      </c>
      <c r="D20" s="10" t="s">
        <v>62</v>
      </c>
      <c r="E20" s="40" t="s">
        <v>69</v>
      </c>
      <c r="F20" s="40">
        <v>20</v>
      </c>
      <c r="G20" s="40"/>
      <c r="H20" s="33"/>
      <c r="I20" s="12" t="s">
        <v>56</v>
      </c>
    </row>
    <row r="21" spans="1:9" s="2" customFormat="1" ht="13.5" customHeight="1">
      <c r="A21" s="12">
        <f t="shared" si="0"/>
        <v>13</v>
      </c>
      <c r="B21" s="10"/>
      <c r="C21" s="33" t="s">
        <v>63</v>
      </c>
      <c r="D21" s="33" t="s">
        <v>64</v>
      </c>
      <c r="E21" s="40" t="s">
        <v>49</v>
      </c>
      <c r="F21" s="40">
        <v>64</v>
      </c>
      <c r="G21" s="40"/>
      <c r="H21" s="10"/>
      <c r="I21" s="12" t="s">
        <v>217</v>
      </c>
    </row>
    <row r="22" spans="1:9" s="2" customFormat="1" ht="13.5" customHeight="1">
      <c r="A22" s="12">
        <f t="shared" si="0"/>
        <v>14</v>
      </c>
      <c r="B22" s="10"/>
      <c r="C22" s="10" t="s">
        <v>65</v>
      </c>
      <c r="D22" s="10" t="s">
        <v>66</v>
      </c>
      <c r="E22" s="40" t="s">
        <v>68</v>
      </c>
      <c r="F22" s="40">
        <v>9</v>
      </c>
      <c r="G22" s="40">
        <v>0</v>
      </c>
      <c r="H22" s="33"/>
      <c r="I22" s="12" t="s">
        <v>79</v>
      </c>
    </row>
    <row r="23" spans="1:9" s="2" customFormat="1" ht="12"/>
    <row r="24" spans="1:9" s="2" customFormat="1" ht="12"/>
    <row r="25" spans="1:9" s="2" customFormat="1" ht="12"/>
    <row r="26" spans="1:9" s="2" customFormat="1" ht="12"/>
    <row r="27" spans="1:9" s="2" customFormat="1" ht="12"/>
    <row r="28" spans="1:9" s="2" customFormat="1" ht="12"/>
    <row r="29" spans="1:9" s="2" customFormat="1" ht="12"/>
    <row r="30" spans="1:9" s="2" customFormat="1" ht="12"/>
    <row r="31" spans="1:9" s="2" customFormat="1" ht="12"/>
    <row r="32" spans="1:9" s="2" customFormat="1" ht="12"/>
    <row r="33" s="2" customFormat="1" ht="12"/>
    <row r="34" s="2" customFormat="1" ht="12"/>
    <row r="35" s="2" customFormat="1" ht="12"/>
    <row r="36" s="2" customFormat="1" ht="12"/>
    <row r="37" s="2" customFormat="1" ht="12"/>
  </sheetData>
  <mergeCells count="1">
    <mergeCell ref="H7:I7"/>
  </mergeCells>
  <phoneticPr fontId="4"/>
  <dataValidations count="1">
    <dataValidation type="list" allowBlank="1" showInputMessage="1" showErrorMessage="1" sqref="E9:E22" xr:uid="{9D1C69AA-1E72-4EF6-ADF3-2B3C55BF1851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3972-F388-4DB1-8F81-8FDD9084C1B8}">
  <sheetPr>
    <pageSetUpPr fitToPage="1"/>
  </sheetPr>
  <dimension ref="A1:I50"/>
  <sheetViews>
    <sheetView view="pageBreakPreview" zoomScaleNormal="100" zoomScaleSheetLayoutView="100" workbookViewId="0">
      <pane ySplit="8" topLeftCell="A9" activePane="bottomLeft" state="frozen"/>
      <selection sqref="A1:D4"/>
      <selection pane="bottomLeft"/>
    </sheetView>
  </sheetViews>
  <sheetFormatPr defaultColWidth="7.6640625" defaultRowHeight="13.2"/>
  <cols>
    <col min="1" max="1" width="3.109375" style="1" customWidth="1"/>
    <col min="2" max="2" width="10.44140625" style="1" bestFit="1" customWidth="1"/>
    <col min="3" max="3" width="27.21875" style="1" bestFit="1" customWidth="1"/>
    <col min="4" max="4" width="24.77734375" style="1" bestFit="1" customWidth="1"/>
    <col min="5" max="5" width="12.21875" style="1" bestFit="1" customWidth="1"/>
    <col min="6" max="6" width="4.44140625" style="1" bestFit="1" customWidth="1"/>
    <col min="7" max="7" width="7.44140625" style="1" bestFit="1" customWidth="1"/>
    <col min="8" max="8" width="40.5546875" style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151</v>
      </c>
      <c r="C6" s="4"/>
      <c r="D6" s="4"/>
      <c r="E6" s="4"/>
      <c r="F6" s="4"/>
      <c r="G6" s="4"/>
      <c r="H6" s="3"/>
      <c r="I6" s="8"/>
    </row>
    <row r="7" spans="1:9">
      <c r="A7" s="13" t="s">
        <v>152</v>
      </c>
      <c r="B7" s="71"/>
      <c r="C7" s="71"/>
      <c r="D7" s="71"/>
      <c r="E7" s="71"/>
      <c r="F7" s="71"/>
      <c r="G7" s="71"/>
      <c r="H7" s="178" t="s">
        <v>38</v>
      </c>
      <c r="I7" s="179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127</v>
      </c>
      <c r="D9" s="72" t="s">
        <v>782</v>
      </c>
      <c r="E9" s="40" t="s">
        <v>124</v>
      </c>
      <c r="F9" s="75">
        <v>10</v>
      </c>
      <c r="G9" s="10"/>
      <c r="H9" s="10" t="s">
        <v>719</v>
      </c>
      <c r="I9" s="12"/>
    </row>
    <row r="10" spans="1:9" ht="13.5" customHeight="1">
      <c r="A10" s="12">
        <f t="shared" ref="A10:A34" si="0">ROW()-8</f>
        <v>2</v>
      </c>
      <c r="B10" s="10"/>
      <c r="C10" s="10" t="s">
        <v>86</v>
      </c>
      <c r="D10" s="72" t="s">
        <v>783</v>
      </c>
      <c r="E10" s="40" t="s">
        <v>124</v>
      </c>
      <c r="F10" s="10">
        <v>6</v>
      </c>
      <c r="G10" s="10"/>
      <c r="H10" s="10" t="s">
        <v>720</v>
      </c>
      <c r="I10" s="12"/>
    </row>
    <row r="11" spans="1:9" ht="13.5" customHeight="1">
      <c r="A11" s="12">
        <f>ROW()-8</f>
        <v>3</v>
      </c>
      <c r="B11" s="10"/>
      <c r="C11" s="10" t="s">
        <v>80</v>
      </c>
      <c r="D11" s="72" t="s">
        <v>784</v>
      </c>
      <c r="E11" s="40" t="s">
        <v>124</v>
      </c>
      <c r="F11" s="10">
        <v>4</v>
      </c>
      <c r="G11" s="10"/>
      <c r="H11" s="10" t="s">
        <v>721</v>
      </c>
      <c r="I11" s="12"/>
    </row>
    <row r="12" spans="1:9" ht="13.5" customHeight="1">
      <c r="A12" s="12">
        <f t="shared" si="0"/>
        <v>4</v>
      </c>
      <c r="B12" s="10"/>
      <c r="C12" s="10" t="s">
        <v>89</v>
      </c>
      <c r="D12" s="72" t="s">
        <v>785</v>
      </c>
      <c r="E12" s="40" t="s">
        <v>48</v>
      </c>
      <c r="F12" s="10">
        <v>10</v>
      </c>
      <c r="G12" s="10"/>
      <c r="H12" s="10" t="s">
        <v>722</v>
      </c>
      <c r="I12" s="12"/>
    </row>
    <row r="13" spans="1:9" ht="13.5" customHeight="1">
      <c r="A13" s="12">
        <f t="shared" si="0"/>
        <v>5</v>
      </c>
      <c r="B13" s="10"/>
      <c r="C13" s="10" t="s">
        <v>202</v>
      </c>
      <c r="D13" s="72" t="s">
        <v>786</v>
      </c>
      <c r="E13" s="40" t="s">
        <v>124</v>
      </c>
      <c r="F13" s="10">
        <v>3</v>
      </c>
      <c r="G13" s="10"/>
      <c r="H13" s="10" t="s">
        <v>723</v>
      </c>
      <c r="I13" s="12"/>
    </row>
    <row r="14" spans="1:9" ht="13.5" customHeight="1">
      <c r="A14" s="12">
        <f t="shared" si="0"/>
        <v>6</v>
      </c>
      <c r="B14" s="10"/>
      <c r="C14" s="10" t="s">
        <v>203</v>
      </c>
      <c r="D14" s="72" t="s">
        <v>787</v>
      </c>
      <c r="E14" s="40" t="s">
        <v>124</v>
      </c>
      <c r="F14" s="10">
        <v>8</v>
      </c>
      <c r="G14" s="10"/>
      <c r="H14" s="33" t="s">
        <v>724</v>
      </c>
      <c r="I14" s="73"/>
    </row>
    <row r="15" spans="1:9" ht="13.5" customHeight="1">
      <c r="A15" s="12">
        <f t="shared" si="0"/>
        <v>7</v>
      </c>
      <c r="B15" s="10"/>
      <c r="C15" s="10" t="s">
        <v>204</v>
      </c>
      <c r="D15" s="72" t="s">
        <v>788</v>
      </c>
      <c r="E15" s="40" t="s">
        <v>218</v>
      </c>
      <c r="F15" s="10">
        <v>1</v>
      </c>
      <c r="G15" s="10"/>
      <c r="H15" s="10" t="s">
        <v>725</v>
      </c>
      <c r="I15" s="73"/>
    </row>
    <row r="16" spans="1:9" ht="13.5" customHeight="1">
      <c r="A16" s="12">
        <f t="shared" si="0"/>
        <v>8</v>
      </c>
      <c r="B16" s="10"/>
      <c r="C16" s="10" t="s">
        <v>205</v>
      </c>
      <c r="D16" s="72" t="s">
        <v>789</v>
      </c>
      <c r="E16" s="40" t="s">
        <v>48</v>
      </c>
      <c r="F16" s="10">
        <v>1</v>
      </c>
      <c r="G16" s="10"/>
      <c r="H16" s="33" t="s">
        <v>726</v>
      </c>
      <c r="I16" s="12"/>
    </row>
    <row r="17" spans="1:9" ht="13.5" customHeight="1">
      <c r="A17" s="12">
        <f t="shared" si="0"/>
        <v>9</v>
      </c>
      <c r="B17" s="10"/>
      <c r="C17" s="10" t="s">
        <v>206</v>
      </c>
      <c r="D17" s="72" t="s">
        <v>790</v>
      </c>
      <c r="E17" s="40" t="s">
        <v>125</v>
      </c>
      <c r="F17" s="10">
        <v>8</v>
      </c>
      <c r="G17" s="10"/>
      <c r="H17" s="33" t="s">
        <v>727</v>
      </c>
      <c r="I17" s="12"/>
    </row>
    <row r="18" spans="1:9" ht="13.5" customHeight="1">
      <c r="A18" s="12">
        <f t="shared" si="0"/>
        <v>10</v>
      </c>
      <c r="B18" s="72"/>
      <c r="C18" s="72" t="s">
        <v>207</v>
      </c>
      <c r="D18" s="72" t="s">
        <v>791</v>
      </c>
      <c r="E18" s="74" t="s">
        <v>124</v>
      </c>
      <c r="F18" s="72">
        <v>8</v>
      </c>
      <c r="G18" s="74"/>
      <c r="H18" s="10" t="s">
        <v>728</v>
      </c>
      <c r="I18" s="73"/>
    </row>
    <row r="19" spans="1:9" ht="13.5" customHeight="1">
      <c r="A19" s="12">
        <f t="shared" si="0"/>
        <v>11</v>
      </c>
      <c r="B19" s="10"/>
      <c r="C19" s="10" t="s">
        <v>208</v>
      </c>
      <c r="D19" s="72" t="s">
        <v>792</v>
      </c>
      <c r="E19" s="40" t="s">
        <v>48</v>
      </c>
      <c r="F19" s="10">
        <v>4</v>
      </c>
      <c r="G19" s="10"/>
      <c r="H19" s="10" t="s">
        <v>729</v>
      </c>
      <c r="I19" s="12"/>
    </row>
    <row r="20" spans="1:9" ht="13.5" customHeight="1">
      <c r="A20" s="12">
        <f t="shared" si="0"/>
        <v>12</v>
      </c>
      <c r="B20" s="10"/>
      <c r="C20" s="10" t="s">
        <v>209</v>
      </c>
      <c r="D20" s="72" t="s">
        <v>793</v>
      </c>
      <c r="E20" s="40" t="s">
        <v>48</v>
      </c>
      <c r="F20" s="10">
        <v>3</v>
      </c>
      <c r="G20" s="10"/>
      <c r="H20" s="10" t="s">
        <v>730</v>
      </c>
      <c r="I20" s="12"/>
    </row>
    <row r="21" spans="1:9" ht="13.5" customHeight="1">
      <c r="A21" s="12">
        <f t="shared" si="0"/>
        <v>13</v>
      </c>
      <c r="B21" s="10"/>
      <c r="C21" s="10" t="s">
        <v>210</v>
      </c>
      <c r="D21" s="72" t="s">
        <v>794</v>
      </c>
      <c r="E21" s="40" t="s">
        <v>126</v>
      </c>
      <c r="F21" s="10">
        <v>40</v>
      </c>
      <c r="G21" s="10"/>
      <c r="H21" s="33" t="s">
        <v>731</v>
      </c>
      <c r="I21" s="12"/>
    </row>
    <row r="22" spans="1:9" ht="13.5" customHeight="1">
      <c r="A22" s="12">
        <f t="shared" si="0"/>
        <v>14</v>
      </c>
      <c r="B22" s="10"/>
      <c r="C22" s="10" t="s">
        <v>211</v>
      </c>
      <c r="D22" s="72" t="s">
        <v>795</v>
      </c>
      <c r="E22" s="40" t="s">
        <v>126</v>
      </c>
      <c r="F22" s="72">
        <v>40</v>
      </c>
      <c r="G22" s="72"/>
      <c r="H22" s="10" t="s">
        <v>732</v>
      </c>
      <c r="I22" s="12"/>
    </row>
    <row r="23" spans="1:9" ht="13.5" customHeight="1">
      <c r="A23" s="12">
        <f t="shared" si="0"/>
        <v>15</v>
      </c>
      <c r="B23" s="10"/>
      <c r="C23" s="10" t="s">
        <v>212</v>
      </c>
      <c r="D23" s="72" t="s">
        <v>796</v>
      </c>
      <c r="E23" s="40" t="s">
        <v>48</v>
      </c>
      <c r="F23" s="72">
        <v>1</v>
      </c>
      <c r="G23" s="72"/>
      <c r="H23" s="10" t="s">
        <v>733</v>
      </c>
      <c r="I23" s="12"/>
    </row>
    <row r="24" spans="1:9" ht="13.5" customHeight="1">
      <c r="A24" s="12">
        <f t="shared" si="0"/>
        <v>16</v>
      </c>
      <c r="B24" s="10"/>
      <c r="C24" s="10" t="s">
        <v>213</v>
      </c>
      <c r="D24" s="72" t="s">
        <v>797</v>
      </c>
      <c r="E24" s="40" t="s">
        <v>124</v>
      </c>
      <c r="F24" s="72">
        <v>7</v>
      </c>
      <c r="G24" s="72"/>
      <c r="H24" s="10" t="s">
        <v>734</v>
      </c>
      <c r="I24" s="12"/>
    </row>
    <row r="25" spans="1:9" ht="13.5" customHeight="1">
      <c r="A25" s="12">
        <f t="shared" si="0"/>
        <v>17</v>
      </c>
      <c r="B25" s="10"/>
      <c r="C25" s="10" t="s">
        <v>214</v>
      </c>
      <c r="D25" s="72" t="s">
        <v>798</v>
      </c>
      <c r="E25" s="40" t="s">
        <v>802</v>
      </c>
      <c r="F25" s="72">
        <v>13</v>
      </c>
      <c r="G25" s="72">
        <v>0</v>
      </c>
      <c r="H25" s="33" t="s">
        <v>735</v>
      </c>
      <c r="I25" s="12"/>
    </row>
    <row r="26" spans="1:9" ht="13.5" customHeight="1">
      <c r="A26" s="12">
        <f t="shared" si="0"/>
        <v>18</v>
      </c>
      <c r="B26" s="10"/>
      <c r="C26" s="10" t="s">
        <v>215</v>
      </c>
      <c r="D26" s="72" t="s">
        <v>799</v>
      </c>
      <c r="E26" s="40" t="s">
        <v>125</v>
      </c>
      <c r="F26" s="72">
        <v>8</v>
      </c>
      <c r="G26" s="72"/>
      <c r="H26" s="33" t="s">
        <v>736</v>
      </c>
      <c r="I26" s="12"/>
    </row>
    <row r="27" spans="1:9" s="2" customFormat="1" ht="13.5" customHeight="1">
      <c r="A27" s="12">
        <f t="shared" si="0"/>
        <v>19</v>
      </c>
      <c r="B27" s="10"/>
      <c r="C27" s="10" t="s">
        <v>713</v>
      </c>
      <c r="D27" s="10" t="s">
        <v>800</v>
      </c>
      <c r="E27" s="40" t="s">
        <v>48</v>
      </c>
      <c r="F27" s="10">
        <v>1</v>
      </c>
      <c r="G27" s="40"/>
      <c r="H27" s="33" t="s">
        <v>770</v>
      </c>
      <c r="I27" s="12"/>
    </row>
    <row r="28" spans="1:9" ht="13.5" customHeight="1">
      <c r="A28" s="12">
        <f t="shared" si="0"/>
        <v>20</v>
      </c>
      <c r="B28" s="10"/>
      <c r="C28" s="10" t="s">
        <v>216</v>
      </c>
      <c r="D28" s="10" t="s">
        <v>801</v>
      </c>
      <c r="E28" s="40" t="s">
        <v>124</v>
      </c>
      <c r="F28" s="72">
        <v>10</v>
      </c>
      <c r="G28" s="72"/>
      <c r="H28" s="10" t="s">
        <v>737</v>
      </c>
      <c r="I28" s="12"/>
    </row>
    <row r="29" spans="1:9" ht="13.5" customHeight="1">
      <c r="A29" s="12">
        <f t="shared" si="0"/>
        <v>21</v>
      </c>
      <c r="B29" s="10"/>
      <c r="C29" s="10" t="s">
        <v>133</v>
      </c>
      <c r="D29" s="10" t="s">
        <v>189</v>
      </c>
      <c r="E29" s="40" t="s">
        <v>802</v>
      </c>
      <c r="F29" s="72">
        <v>10</v>
      </c>
      <c r="G29" s="72">
        <v>0</v>
      </c>
      <c r="H29" s="10" t="s">
        <v>738</v>
      </c>
      <c r="I29" s="12"/>
    </row>
    <row r="30" spans="1:9" s="2" customFormat="1" ht="13.5" customHeight="1">
      <c r="A30" s="12">
        <f t="shared" si="0"/>
        <v>22</v>
      </c>
      <c r="B30" s="10"/>
      <c r="C30" s="10" t="s">
        <v>771</v>
      </c>
      <c r="D30" s="10" t="s">
        <v>762</v>
      </c>
      <c r="E30" s="40" t="s">
        <v>48</v>
      </c>
      <c r="F30" s="10">
        <v>1</v>
      </c>
      <c r="G30" s="40"/>
      <c r="H30" s="33" t="s">
        <v>772</v>
      </c>
      <c r="I30" s="12"/>
    </row>
    <row r="31" spans="1:9" s="2" customFormat="1" ht="13.5" customHeight="1">
      <c r="A31" s="12">
        <f t="shared" si="0"/>
        <v>23</v>
      </c>
      <c r="B31" s="10"/>
      <c r="C31" s="33" t="s">
        <v>715</v>
      </c>
      <c r="D31" s="10" t="s">
        <v>757</v>
      </c>
      <c r="E31" s="40" t="s">
        <v>126</v>
      </c>
      <c r="F31" s="33">
        <v>10</v>
      </c>
      <c r="G31" s="33"/>
      <c r="H31" s="12" t="s">
        <v>716</v>
      </c>
      <c r="I31" s="12"/>
    </row>
    <row r="32" spans="1:9" s="2" customFormat="1" ht="13.5" customHeight="1">
      <c r="A32" s="12">
        <f t="shared" si="0"/>
        <v>24</v>
      </c>
      <c r="B32" s="78"/>
      <c r="C32" s="79" t="s">
        <v>246</v>
      </c>
      <c r="D32" s="78" t="s">
        <v>781</v>
      </c>
      <c r="E32" s="80" t="s">
        <v>124</v>
      </c>
      <c r="F32" s="81">
        <v>5</v>
      </c>
      <c r="G32" s="79"/>
      <c r="H32" s="82" t="s">
        <v>780</v>
      </c>
      <c r="I32" s="12"/>
    </row>
    <row r="33" spans="1:9" s="2" customFormat="1" ht="13.5" customHeight="1">
      <c r="A33" s="12">
        <f t="shared" si="0"/>
        <v>25</v>
      </c>
      <c r="B33" s="10"/>
      <c r="C33" s="33" t="s">
        <v>775</v>
      </c>
      <c r="D33" s="10" t="s">
        <v>777</v>
      </c>
      <c r="E33" s="40" t="s">
        <v>802</v>
      </c>
      <c r="F33" s="72">
        <v>13</v>
      </c>
      <c r="G33" s="72">
        <v>0</v>
      </c>
      <c r="H33" s="12" t="s">
        <v>778</v>
      </c>
      <c r="I33" s="12"/>
    </row>
    <row r="34" spans="1:9" ht="13.5" customHeight="1">
      <c r="A34" s="12">
        <f t="shared" si="0"/>
        <v>26</v>
      </c>
      <c r="B34" s="10"/>
      <c r="C34" s="72" t="s">
        <v>100</v>
      </c>
      <c r="D34" s="72" t="s">
        <v>776</v>
      </c>
      <c r="E34" s="40" t="s">
        <v>717</v>
      </c>
      <c r="F34" s="72">
        <v>4000</v>
      </c>
      <c r="G34" s="72"/>
      <c r="H34" s="73" t="s">
        <v>718</v>
      </c>
      <c r="I34" s="12"/>
    </row>
    <row r="35" spans="1:9" ht="13.5" customHeight="1">
      <c r="A35" s="12">
        <f t="shared" ref="A35" si="1">ROW()-8</f>
        <v>27</v>
      </c>
      <c r="B35" s="10"/>
      <c r="C35" s="72" t="s">
        <v>188</v>
      </c>
      <c r="D35" s="72" t="s">
        <v>189</v>
      </c>
      <c r="E35" s="40" t="s">
        <v>802</v>
      </c>
      <c r="F35" s="72">
        <v>10</v>
      </c>
      <c r="G35" s="72">
        <v>0</v>
      </c>
      <c r="H35" s="12" t="s">
        <v>187</v>
      </c>
      <c r="I35" s="12"/>
    </row>
    <row r="36" spans="1:9" s="2" customFormat="1" ht="12"/>
    <row r="37" spans="1:9" s="2" customFormat="1" ht="12"/>
    <row r="38" spans="1:9" s="2" customFormat="1" ht="12"/>
    <row r="39" spans="1:9" s="2" customFormat="1" ht="12"/>
    <row r="40" spans="1:9" s="2" customFormat="1" ht="12"/>
    <row r="41" spans="1:9" s="2" customFormat="1" ht="12"/>
    <row r="42" spans="1:9" s="2" customFormat="1" ht="12"/>
    <row r="43" spans="1:9" s="2" customFormat="1" ht="12"/>
    <row r="44" spans="1:9" s="2" customFormat="1" ht="12"/>
    <row r="45" spans="1:9" s="2" customFormat="1" ht="12"/>
    <row r="46" spans="1:9" s="2" customFormat="1" ht="12"/>
    <row r="47" spans="1:9" s="2" customFormat="1" ht="12"/>
    <row r="48" spans="1:9" s="2" customFormat="1" ht="12"/>
    <row r="49" s="2" customFormat="1" ht="12"/>
    <row r="50" s="2" customFormat="1" ht="12"/>
  </sheetData>
  <mergeCells count="1">
    <mergeCell ref="H7:I7"/>
  </mergeCells>
  <phoneticPr fontId="4"/>
  <dataValidations count="2">
    <dataValidation type="list" allowBlank="1" showInputMessage="1" showErrorMessage="1" sqref="E9:E26 E28:E29 E31:E35" xr:uid="{C58A4FE9-1C88-4A25-85CC-0DC081150491}">
      <formula1>"数値,全角文字,半角文字,全半角混在"</formula1>
    </dataValidation>
    <dataValidation type="list" allowBlank="1" showInputMessage="1" showErrorMessage="1" sqref="E27 E30" xr:uid="{8714C7BC-0BDD-48F4-B005-002C36E324FB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0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8E47-177B-4D8B-92AC-DB45F5690E2C}">
  <sheetPr filterMode="1"/>
  <dimension ref="A1:P293"/>
  <sheetViews>
    <sheetView zoomScale="85" zoomScaleNormal="85" workbookViewId="0"/>
  </sheetViews>
  <sheetFormatPr defaultRowHeight="13.2"/>
  <cols>
    <col min="1" max="1" width="18.6640625" customWidth="1"/>
    <col min="2" max="2" width="28.88671875" bestFit="1" customWidth="1"/>
    <col min="3" max="3" width="36.21875" bestFit="1" customWidth="1"/>
    <col min="4" max="4" width="13" bestFit="1" customWidth="1"/>
    <col min="5" max="5" width="12.6640625" customWidth="1"/>
    <col min="6" max="6" width="13" bestFit="1" customWidth="1"/>
    <col min="7" max="14" width="11" bestFit="1" customWidth="1"/>
    <col min="15" max="15" width="29.33203125" bestFit="1" customWidth="1"/>
  </cols>
  <sheetData>
    <row r="1" spans="1:16">
      <c r="A1" s="42" t="s">
        <v>40</v>
      </c>
      <c r="B1" s="42" t="s">
        <v>41</v>
      </c>
      <c r="C1" s="42" t="s">
        <v>42</v>
      </c>
      <c r="D1" s="76" t="s">
        <v>690</v>
      </c>
      <c r="E1" s="76" t="s">
        <v>691</v>
      </c>
      <c r="F1" s="76" t="s">
        <v>692</v>
      </c>
      <c r="G1" s="76" t="s">
        <v>693</v>
      </c>
      <c r="H1" s="76" t="s">
        <v>694</v>
      </c>
      <c r="I1" s="76" t="s">
        <v>695</v>
      </c>
      <c r="J1" s="76" t="s">
        <v>696</v>
      </c>
      <c r="K1" s="76" t="s">
        <v>697</v>
      </c>
      <c r="L1" s="76" t="s">
        <v>698</v>
      </c>
      <c r="M1" s="76" t="s">
        <v>699</v>
      </c>
      <c r="N1" s="76" t="s">
        <v>700</v>
      </c>
      <c r="O1" s="76" t="s">
        <v>24</v>
      </c>
    </row>
    <row r="2" spans="1:16">
      <c r="A2" s="77" t="s">
        <v>768</v>
      </c>
      <c r="B2" s="77" t="s">
        <v>127</v>
      </c>
      <c r="C2" s="77" t="s">
        <v>134</v>
      </c>
      <c r="D2" s="77" t="s">
        <v>176</v>
      </c>
      <c r="E2" s="77" t="s">
        <v>176</v>
      </c>
      <c r="F2" s="77" t="s">
        <v>176</v>
      </c>
      <c r="G2" s="77" t="s">
        <v>176</v>
      </c>
      <c r="H2" s="77" t="s">
        <v>176</v>
      </c>
      <c r="I2" s="77" t="s">
        <v>176</v>
      </c>
      <c r="J2" s="77" t="s">
        <v>176</v>
      </c>
      <c r="K2" s="77" t="s">
        <v>176</v>
      </c>
      <c r="L2" s="77" t="s">
        <v>176</v>
      </c>
      <c r="M2" s="77" t="s">
        <v>176</v>
      </c>
      <c r="N2" s="77" t="s">
        <v>176</v>
      </c>
      <c r="O2" s="77" t="s">
        <v>714</v>
      </c>
      <c r="P2" t="b">
        <f>COUNTIF(D2:N2,"〇")&gt;=1</f>
        <v>1</v>
      </c>
    </row>
    <row r="3" spans="1:16">
      <c r="A3" s="77" t="s">
        <v>768</v>
      </c>
      <c r="B3" s="77" t="s">
        <v>86</v>
      </c>
      <c r="C3" s="77" t="s">
        <v>103</v>
      </c>
      <c r="D3" s="77" t="s">
        <v>176</v>
      </c>
      <c r="E3" s="77" t="s">
        <v>176</v>
      </c>
      <c r="F3" s="77" t="s">
        <v>176</v>
      </c>
      <c r="G3" s="77" t="s">
        <v>176</v>
      </c>
      <c r="H3" s="77" t="s">
        <v>176</v>
      </c>
      <c r="I3" s="77" t="s">
        <v>176</v>
      </c>
      <c r="J3" s="77" t="s">
        <v>176</v>
      </c>
      <c r="K3" s="77" t="s">
        <v>176</v>
      </c>
      <c r="L3" s="77" t="s">
        <v>176</v>
      </c>
      <c r="M3" s="77" t="s">
        <v>176</v>
      </c>
      <c r="N3" s="77" t="s">
        <v>176</v>
      </c>
      <c r="O3" s="77" t="s">
        <v>224</v>
      </c>
      <c r="P3" t="b">
        <f t="shared" ref="P3:P66" si="0">COUNTIF(D3:N3,"〇")&gt;=1</f>
        <v>1</v>
      </c>
    </row>
    <row r="4" spans="1:16">
      <c r="A4" s="77" t="s">
        <v>768</v>
      </c>
      <c r="B4" s="77" t="s">
        <v>80</v>
      </c>
      <c r="C4" s="77" t="s">
        <v>135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 t="s">
        <v>176</v>
      </c>
      <c r="O4" s="77" t="s">
        <v>224</v>
      </c>
      <c r="P4" t="b">
        <f t="shared" si="0"/>
        <v>1</v>
      </c>
    </row>
    <row r="5" spans="1:16">
      <c r="A5" s="77" t="s">
        <v>768</v>
      </c>
      <c r="B5" s="77" t="s">
        <v>89</v>
      </c>
      <c r="C5" s="77" t="s">
        <v>110</v>
      </c>
      <c r="D5" s="77" t="s">
        <v>176</v>
      </c>
      <c r="E5" s="77" t="s">
        <v>176</v>
      </c>
      <c r="F5" s="77"/>
      <c r="G5" s="77" t="s">
        <v>176</v>
      </c>
      <c r="H5" s="77" t="s">
        <v>176</v>
      </c>
      <c r="I5" s="77" t="s">
        <v>176</v>
      </c>
      <c r="J5" s="77" t="s">
        <v>176</v>
      </c>
      <c r="K5" s="77" t="s">
        <v>176</v>
      </c>
      <c r="L5" s="77" t="s">
        <v>176</v>
      </c>
      <c r="M5" s="77" t="s">
        <v>176</v>
      </c>
      <c r="N5" s="77" t="s">
        <v>176</v>
      </c>
      <c r="O5" s="77" t="s">
        <v>224</v>
      </c>
      <c r="P5" t="b">
        <f t="shared" si="0"/>
        <v>1</v>
      </c>
    </row>
    <row r="6" spans="1:16">
      <c r="A6" s="77" t="s">
        <v>768</v>
      </c>
      <c r="B6" s="77" t="s">
        <v>701</v>
      </c>
      <c r="C6" s="77" t="s">
        <v>740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 t="s">
        <v>176</v>
      </c>
      <c r="O6" s="77" t="s">
        <v>224</v>
      </c>
      <c r="P6" t="b">
        <f t="shared" si="0"/>
        <v>1</v>
      </c>
    </row>
    <row r="7" spans="1:16">
      <c r="A7" s="77" t="s">
        <v>768</v>
      </c>
      <c r="B7" s="77" t="s">
        <v>702</v>
      </c>
      <c r="C7" s="77" t="s">
        <v>741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 t="s">
        <v>176</v>
      </c>
      <c r="O7" s="77" t="s">
        <v>224</v>
      </c>
      <c r="P7" t="b">
        <f t="shared" si="0"/>
        <v>1</v>
      </c>
    </row>
    <row r="8" spans="1:16">
      <c r="A8" s="77" t="s">
        <v>768</v>
      </c>
      <c r="B8" s="77" t="s">
        <v>703</v>
      </c>
      <c r="C8" s="77" t="s">
        <v>742</v>
      </c>
      <c r="D8" s="77" t="s">
        <v>176</v>
      </c>
      <c r="E8" s="77" t="s">
        <v>176</v>
      </c>
      <c r="F8" s="77"/>
      <c r="G8" s="77" t="s">
        <v>176</v>
      </c>
      <c r="H8" s="77" t="s">
        <v>176</v>
      </c>
      <c r="I8" s="77" t="s">
        <v>176</v>
      </c>
      <c r="J8" s="77" t="s">
        <v>176</v>
      </c>
      <c r="K8" s="77" t="s">
        <v>176</v>
      </c>
      <c r="L8" s="77"/>
      <c r="M8" s="77"/>
      <c r="N8" s="77" t="s">
        <v>176</v>
      </c>
      <c r="O8" s="77" t="s">
        <v>224</v>
      </c>
      <c r="P8" t="b">
        <f t="shared" si="0"/>
        <v>1</v>
      </c>
    </row>
    <row r="9" spans="1:16">
      <c r="A9" s="77" t="s">
        <v>768</v>
      </c>
      <c r="B9" s="77" t="s">
        <v>205</v>
      </c>
      <c r="C9" s="77" t="s">
        <v>743</v>
      </c>
      <c r="D9" s="77" t="s">
        <v>176</v>
      </c>
      <c r="E9" s="77" t="s">
        <v>176</v>
      </c>
      <c r="F9" s="77"/>
      <c r="G9" s="77" t="s">
        <v>176</v>
      </c>
      <c r="H9" s="77" t="s">
        <v>176</v>
      </c>
      <c r="I9" s="77" t="s">
        <v>176</v>
      </c>
      <c r="J9" s="77" t="s">
        <v>176</v>
      </c>
      <c r="K9" s="77" t="s">
        <v>176</v>
      </c>
      <c r="L9" s="77" t="s">
        <v>176</v>
      </c>
      <c r="M9" s="77" t="s">
        <v>176</v>
      </c>
      <c r="N9" s="77" t="s">
        <v>176</v>
      </c>
      <c r="O9" s="77" t="s">
        <v>224</v>
      </c>
      <c r="P9" t="b">
        <f t="shared" si="0"/>
        <v>1</v>
      </c>
    </row>
    <row r="10" spans="1:16">
      <c r="A10" s="77" t="s">
        <v>768</v>
      </c>
      <c r="B10" s="77" t="s">
        <v>704</v>
      </c>
      <c r="C10" s="77" t="s">
        <v>744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 t="s">
        <v>176</v>
      </c>
      <c r="O10" s="77" t="s">
        <v>224</v>
      </c>
      <c r="P10" t="b">
        <f t="shared" si="0"/>
        <v>1</v>
      </c>
    </row>
    <row r="11" spans="1:16">
      <c r="A11" s="77" t="s">
        <v>768</v>
      </c>
      <c r="B11" s="77" t="s">
        <v>207</v>
      </c>
      <c r="C11" s="77" t="s">
        <v>745</v>
      </c>
      <c r="D11" s="77" t="s">
        <v>176</v>
      </c>
      <c r="E11" s="77" t="s">
        <v>176</v>
      </c>
      <c r="F11" s="77"/>
      <c r="G11" s="77"/>
      <c r="H11" s="77" t="s">
        <v>176</v>
      </c>
      <c r="I11" s="77"/>
      <c r="J11" s="77" t="s">
        <v>176</v>
      </c>
      <c r="K11" s="77" t="s">
        <v>176</v>
      </c>
      <c r="L11" s="77" t="s">
        <v>176</v>
      </c>
      <c r="M11" s="77" t="s">
        <v>176</v>
      </c>
      <c r="N11" s="77" t="s">
        <v>176</v>
      </c>
      <c r="O11" s="77" t="s">
        <v>224</v>
      </c>
      <c r="P11" t="b">
        <f t="shared" si="0"/>
        <v>1</v>
      </c>
    </row>
    <row r="12" spans="1:16">
      <c r="A12" s="77" t="s">
        <v>768</v>
      </c>
      <c r="B12" s="77" t="s">
        <v>705</v>
      </c>
      <c r="C12" s="77" t="s">
        <v>746</v>
      </c>
      <c r="D12" s="77" t="s">
        <v>176</v>
      </c>
      <c r="E12" s="77" t="s">
        <v>176</v>
      </c>
      <c r="F12" s="77"/>
      <c r="G12" s="77"/>
      <c r="H12" s="77" t="s">
        <v>176</v>
      </c>
      <c r="I12" s="77" t="s">
        <v>176</v>
      </c>
      <c r="J12" s="77"/>
      <c r="K12" s="77"/>
      <c r="L12" s="77" t="s">
        <v>176</v>
      </c>
      <c r="M12" s="77" t="s">
        <v>176</v>
      </c>
      <c r="N12" s="77" t="s">
        <v>176</v>
      </c>
      <c r="O12" s="77" t="s">
        <v>224</v>
      </c>
      <c r="P12" t="b">
        <f t="shared" si="0"/>
        <v>1</v>
      </c>
    </row>
    <row r="13" spans="1:16">
      <c r="A13" s="77" t="s">
        <v>768</v>
      </c>
      <c r="B13" s="77" t="s">
        <v>209</v>
      </c>
      <c r="C13" s="77" t="s">
        <v>747</v>
      </c>
      <c r="D13" s="77" t="s">
        <v>176</v>
      </c>
      <c r="E13" s="77" t="s">
        <v>176</v>
      </c>
      <c r="F13" s="77"/>
      <c r="G13" s="77"/>
      <c r="H13" s="77" t="s">
        <v>176</v>
      </c>
      <c r="I13" s="77" t="s">
        <v>176</v>
      </c>
      <c r="J13" s="77"/>
      <c r="K13" s="77"/>
      <c r="L13" s="77" t="s">
        <v>176</v>
      </c>
      <c r="M13" s="77" t="s">
        <v>176</v>
      </c>
      <c r="N13" s="77" t="s">
        <v>176</v>
      </c>
      <c r="O13" s="77" t="s">
        <v>224</v>
      </c>
      <c r="P13" t="b">
        <f t="shared" si="0"/>
        <v>1</v>
      </c>
    </row>
    <row r="14" spans="1:16">
      <c r="A14" s="77" t="s">
        <v>768</v>
      </c>
      <c r="B14" s="77" t="s">
        <v>210</v>
      </c>
      <c r="C14" s="77" t="s">
        <v>748</v>
      </c>
      <c r="D14" s="77" t="s">
        <v>176</v>
      </c>
      <c r="E14" s="77" t="s">
        <v>176</v>
      </c>
      <c r="F14" s="77"/>
      <c r="G14" s="77"/>
      <c r="H14" s="77" t="s">
        <v>176</v>
      </c>
      <c r="I14" s="77" t="s">
        <v>176</v>
      </c>
      <c r="J14" s="77"/>
      <c r="K14" s="77"/>
      <c r="L14" s="77" t="s">
        <v>176</v>
      </c>
      <c r="M14" s="77" t="s">
        <v>176</v>
      </c>
      <c r="N14" s="77" t="s">
        <v>176</v>
      </c>
      <c r="O14" s="77" t="s">
        <v>224</v>
      </c>
      <c r="P14" t="b">
        <f t="shared" si="0"/>
        <v>1</v>
      </c>
    </row>
    <row r="15" spans="1:16">
      <c r="A15" s="77" t="s">
        <v>768</v>
      </c>
      <c r="B15" s="77" t="s">
        <v>211</v>
      </c>
      <c r="C15" s="77" t="s">
        <v>749</v>
      </c>
      <c r="D15" s="77" t="s">
        <v>176</v>
      </c>
      <c r="E15" s="77" t="s">
        <v>176</v>
      </c>
      <c r="F15" s="77"/>
      <c r="G15" s="77"/>
      <c r="H15" s="77" t="s">
        <v>176</v>
      </c>
      <c r="I15" s="77" t="s">
        <v>176</v>
      </c>
      <c r="J15" s="77"/>
      <c r="K15" s="77"/>
      <c r="L15" s="77" t="s">
        <v>176</v>
      </c>
      <c r="M15" s="77" t="s">
        <v>176</v>
      </c>
      <c r="N15" s="77" t="s">
        <v>176</v>
      </c>
      <c r="O15" s="77" t="s">
        <v>224</v>
      </c>
      <c r="P15" t="b">
        <f t="shared" si="0"/>
        <v>1</v>
      </c>
    </row>
    <row r="16" spans="1:16">
      <c r="A16" s="77" t="s">
        <v>768</v>
      </c>
      <c r="B16" s="77" t="s">
        <v>706</v>
      </c>
      <c r="C16" s="77" t="s">
        <v>750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 t="s">
        <v>707</v>
      </c>
      <c r="O16" s="77" t="s">
        <v>224</v>
      </c>
      <c r="P16" t="b">
        <f t="shared" si="0"/>
        <v>1</v>
      </c>
    </row>
    <row r="17" spans="1:16">
      <c r="A17" s="77" t="s">
        <v>768</v>
      </c>
      <c r="B17" s="77" t="s">
        <v>708</v>
      </c>
      <c r="C17" s="77" t="s">
        <v>751</v>
      </c>
      <c r="D17" s="77"/>
      <c r="E17" s="77" t="s">
        <v>176</v>
      </c>
      <c r="F17" s="77"/>
      <c r="G17" s="77"/>
      <c r="H17" s="77"/>
      <c r="I17" s="77"/>
      <c r="J17" s="77"/>
      <c r="K17" s="77"/>
      <c r="L17" s="77"/>
      <c r="M17" s="77"/>
      <c r="N17" s="77" t="s">
        <v>176</v>
      </c>
      <c r="O17" s="77" t="s">
        <v>224</v>
      </c>
      <c r="P17" t="b">
        <f t="shared" si="0"/>
        <v>1</v>
      </c>
    </row>
    <row r="18" spans="1:16">
      <c r="A18" s="77" t="s">
        <v>768</v>
      </c>
      <c r="B18" s="77" t="s">
        <v>709</v>
      </c>
      <c r="C18" s="77" t="s">
        <v>752</v>
      </c>
      <c r="D18" s="77" t="s">
        <v>176</v>
      </c>
      <c r="E18" s="77" t="s">
        <v>176</v>
      </c>
      <c r="F18" s="77" t="s">
        <v>176</v>
      </c>
      <c r="G18" s="77" t="s">
        <v>176</v>
      </c>
      <c r="H18" s="77" t="s">
        <v>176</v>
      </c>
      <c r="I18" s="77" t="s">
        <v>176</v>
      </c>
      <c r="J18" s="77" t="s">
        <v>176</v>
      </c>
      <c r="K18" s="77" t="s">
        <v>176</v>
      </c>
      <c r="L18" s="77" t="s">
        <v>176</v>
      </c>
      <c r="M18" s="77" t="s">
        <v>176</v>
      </c>
      <c r="N18" s="77" t="s">
        <v>176</v>
      </c>
      <c r="O18" s="77" t="s">
        <v>224</v>
      </c>
      <c r="P18" t="b">
        <f t="shared" si="0"/>
        <v>1</v>
      </c>
    </row>
    <row r="19" spans="1:16">
      <c r="A19" s="77" t="s">
        <v>768</v>
      </c>
      <c r="B19" s="77" t="s">
        <v>710</v>
      </c>
      <c r="C19" s="77" t="s">
        <v>753</v>
      </c>
      <c r="D19" s="77"/>
      <c r="E19" s="77"/>
      <c r="F19" s="77"/>
      <c r="G19" s="77"/>
      <c r="H19" s="77"/>
      <c r="I19" s="77" t="s">
        <v>176</v>
      </c>
      <c r="J19" s="77" t="s">
        <v>176</v>
      </c>
      <c r="K19" s="77" t="s">
        <v>176</v>
      </c>
      <c r="L19" s="77" t="s">
        <v>176</v>
      </c>
      <c r="M19" s="77"/>
      <c r="N19" s="77" t="s">
        <v>176</v>
      </c>
      <c r="O19" s="77" t="s">
        <v>224</v>
      </c>
      <c r="P19" t="b">
        <f t="shared" si="0"/>
        <v>1</v>
      </c>
    </row>
    <row r="20" spans="1:16" hidden="1">
      <c r="A20" s="77" t="s">
        <v>768</v>
      </c>
      <c r="B20" s="77" t="s">
        <v>711</v>
      </c>
      <c r="C20" s="77" t="s">
        <v>104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 t="s">
        <v>224</v>
      </c>
      <c r="P20" t="b">
        <f t="shared" si="0"/>
        <v>0</v>
      </c>
    </row>
    <row r="21" spans="1:16" hidden="1">
      <c r="A21" s="77" t="s">
        <v>768</v>
      </c>
      <c r="B21" s="77" t="s">
        <v>712</v>
      </c>
      <c r="C21" s="77" t="s">
        <v>108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 t="s">
        <v>224</v>
      </c>
      <c r="P21" t="b">
        <f t="shared" si="0"/>
        <v>0</v>
      </c>
    </row>
    <row r="22" spans="1:16">
      <c r="A22" s="77" t="s">
        <v>768</v>
      </c>
      <c r="B22" s="77" t="s">
        <v>713</v>
      </c>
      <c r="C22" s="77" t="s">
        <v>105</v>
      </c>
      <c r="D22" s="77" t="s">
        <v>176</v>
      </c>
      <c r="E22" s="77" t="s">
        <v>176</v>
      </c>
      <c r="F22" s="77" t="s">
        <v>176</v>
      </c>
      <c r="G22" s="77" t="s">
        <v>176</v>
      </c>
      <c r="H22" s="77" t="s">
        <v>176</v>
      </c>
      <c r="I22" s="77" t="s">
        <v>176</v>
      </c>
      <c r="J22" s="77" t="s">
        <v>176</v>
      </c>
      <c r="K22" s="77" t="s">
        <v>176</v>
      </c>
      <c r="L22" s="77" t="s">
        <v>176</v>
      </c>
      <c r="M22" s="77" t="s">
        <v>176</v>
      </c>
      <c r="N22" s="77" t="s">
        <v>176</v>
      </c>
      <c r="O22" s="77" t="s">
        <v>224</v>
      </c>
      <c r="P22" t="b">
        <f t="shared" si="0"/>
        <v>1</v>
      </c>
    </row>
    <row r="23" spans="1:16">
      <c r="A23" s="77" t="s">
        <v>768</v>
      </c>
      <c r="B23" s="77" t="s">
        <v>216</v>
      </c>
      <c r="C23" s="10" t="s">
        <v>233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 t="s">
        <v>176</v>
      </c>
      <c r="O23" s="77" t="s">
        <v>224</v>
      </c>
      <c r="P23" t="b">
        <f t="shared" si="0"/>
        <v>1</v>
      </c>
    </row>
    <row r="24" spans="1:16">
      <c r="A24" s="77" t="s">
        <v>768</v>
      </c>
      <c r="B24" s="77" t="s">
        <v>133</v>
      </c>
      <c r="C24" s="77" t="s">
        <v>761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 t="s">
        <v>176</v>
      </c>
      <c r="O24" s="77" t="s">
        <v>224</v>
      </c>
      <c r="P24" t="b">
        <f t="shared" si="0"/>
        <v>1</v>
      </c>
    </row>
    <row r="25" spans="1:16" hidden="1">
      <c r="A25" s="77" t="s">
        <v>689</v>
      </c>
      <c r="B25" s="77" t="s">
        <v>50</v>
      </c>
      <c r="C25" s="77" t="s">
        <v>762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 t="s">
        <v>224</v>
      </c>
      <c r="P25" t="b">
        <f t="shared" si="0"/>
        <v>0</v>
      </c>
    </row>
    <row r="26" spans="1:16" hidden="1">
      <c r="A26" s="77" t="s">
        <v>689</v>
      </c>
      <c r="B26" s="77" t="s">
        <v>52</v>
      </c>
      <c r="C26" s="77" t="s">
        <v>137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 t="s">
        <v>224</v>
      </c>
      <c r="P26" t="b">
        <f t="shared" si="0"/>
        <v>0</v>
      </c>
    </row>
    <row r="27" spans="1:16" hidden="1">
      <c r="A27" s="77" t="s">
        <v>689</v>
      </c>
      <c r="B27" s="77" t="s">
        <v>54</v>
      </c>
      <c r="C27" s="77" t="s">
        <v>138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 t="s">
        <v>224</v>
      </c>
      <c r="P27" t="b">
        <f t="shared" si="0"/>
        <v>0</v>
      </c>
    </row>
    <row r="28" spans="1:16" hidden="1">
      <c r="A28" s="77" t="s">
        <v>689</v>
      </c>
      <c r="B28" s="77" t="s">
        <v>57</v>
      </c>
      <c r="C28" s="77" t="s">
        <v>139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 t="s">
        <v>224</v>
      </c>
      <c r="P28" t="b">
        <f t="shared" si="0"/>
        <v>0</v>
      </c>
    </row>
    <row r="29" spans="1:16" hidden="1">
      <c r="A29" s="77" t="s">
        <v>689</v>
      </c>
      <c r="B29" s="77" t="s">
        <v>59</v>
      </c>
      <c r="C29" s="77" t="s">
        <v>140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 t="s">
        <v>224</v>
      </c>
      <c r="P29" t="b">
        <f t="shared" si="0"/>
        <v>0</v>
      </c>
    </row>
    <row r="30" spans="1:16" hidden="1">
      <c r="A30" s="77" t="s">
        <v>689</v>
      </c>
      <c r="B30" s="77" t="s">
        <v>61</v>
      </c>
      <c r="C30" s="77" t="s">
        <v>141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 t="s">
        <v>224</v>
      </c>
      <c r="P30" t="b">
        <f t="shared" si="0"/>
        <v>0</v>
      </c>
    </row>
    <row r="31" spans="1:16" hidden="1">
      <c r="A31" s="77" t="s">
        <v>689</v>
      </c>
      <c r="B31" s="77" t="s">
        <v>63</v>
      </c>
      <c r="C31" s="77" t="s">
        <v>142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 t="s">
        <v>224</v>
      </c>
      <c r="P31" t="b">
        <f t="shared" si="0"/>
        <v>0</v>
      </c>
    </row>
    <row r="32" spans="1:16" hidden="1">
      <c r="A32" s="77" t="s">
        <v>689</v>
      </c>
      <c r="B32" s="77" t="s">
        <v>65</v>
      </c>
      <c r="C32" s="77" t="s">
        <v>106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 t="s">
        <v>224</v>
      </c>
      <c r="P32" t="b">
        <f t="shared" si="0"/>
        <v>0</v>
      </c>
    </row>
    <row r="33" spans="1:16">
      <c r="A33" s="77" t="s">
        <v>236</v>
      </c>
      <c r="B33" s="77" t="s">
        <v>216</v>
      </c>
      <c r="C33" s="77" t="s">
        <v>233</v>
      </c>
      <c r="D33" s="77" t="s">
        <v>176</v>
      </c>
      <c r="E33" s="77" t="s">
        <v>176</v>
      </c>
      <c r="F33" s="77" t="s">
        <v>176</v>
      </c>
      <c r="G33" s="77" t="s">
        <v>176</v>
      </c>
      <c r="H33" s="77" t="s">
        <v>176</v>
      </c>
      <c r="I33" s="77" t="s">
        <v>176</v>
      </c>
      <c r="J33" s="77" t="s">
        <v>176</v>
      </c>
      <c r="K33" s="77" t="s">
        <v>176</v>
      </c>
      <c r="L33" s="77" t="s">
        <v>176</v>
      </c>
      <c r="M33" s="77" t="s">
        <v>176</v>
      </c>
      <c r="N33" s="77" t="s">
        <v>176</v>
      </c>
      <c r="O33" s="77" t="s">
        <v>237</v>
      </c>
      <c r="P33" t="b">
        <f t="shared" si="0"/>
        <v>1</v>
      </c>
    </row>
    <row r="34" spans="1:16" hidden="1">
      <c r="A34" s="77" t="s">
        <v>236</v>
      </c>
      <c r="B34" s="77" t="s">
        <v>86</v>
      </c>
      <c r="C34" s="77" t="s">
        <v>103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t="b">
        <f t="shared" si="0"/>
        <v>0</v>
      </c>
    </row>
    <row r="35" spans="1:16" hidden="1">
      <c r="A35" s="77" t="s">
        <v>236</v>
      </c>
      <c r="B35" s="77" t="s">
        <v>80</v>
      </c>
      <c r="C35" s="77" t="s">
        <v>135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t="b">
        <f t="shared" si="0"/>
        <v>0</v>
      </c>
    </row>
    <row r="36" spans="1:16" hidden="1">
      <c r="A36" s="77" t="s">
        <v>236</v>
      </c>
      <c r="B36" s="77" t="s">
        <v>238</v>
      </c>
      <c r="C36" s="77" t="s">
        <v>239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t="b">
        <f t="shared" si="0"/>
        <v>0</v>
      </c>
    </row>
    <row r="37" spans="1:16" hidden="1">
      <c r="A37" s="77" t="s">
        <v>236</v>
      </c>
      <c r="B37" s="77" t="s">
        <v>88</v>
      </c>
      <c r="C37" s="77" t="s">
        <v>109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t="b">
        <f t="shared" si="0"/>
        <v>0</v>
      </c>
    </row>
    <row r="38" spans="1:16" hidden="1">
      <c r="A38" s="77" t="s">
        <v>236</v>
      </c>
      <c r="B38" s="77" t="s">
        <v>240</v>
      </c>
      <c r="C38" s="77" t="s">
        <v>241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t="b">
        <f t="shared" si="0"/>
        <v>0</v>
      </c>
    </row>
    <row r="39" spans="1:16" hidden="1">
      <c r="A39" s="77" t="s">
        <v>236</v>
      </c>
      <c r="B39" s="77" t="s">
        <v>242</v>
      </c>
      <c r="C39" s="77" t="s">
        <v>243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t="b">
        <f t="shared" si="0"/>
        <v>0</v>
      </c>
    </row>
    <row r="40" spans="1:16" hidden="1">
      <c r="A40" s="77" t="s">
        <v>236</v>
      </c>
      <c r="B40" s="77" t="s">
        <v>244</v>
      </c>
      <c r="C40" s="77" t="s">
        <v>245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t="b">
        <f t="shared" si="0"/>
        <v>0</v>
      </c>
    </row>
    <row r="41" spans="1:16">
      <c r="A41" s="77" t="s">
        <v>236</v>
      </c>
      <c r="B41" s="77" t="s">
        <v>246</v>
      </c>
      <c r="C41" s="77" t="s">
        <v>247</v>
      </c>
      <c r="D41" s="77"/>
      <c r="E41" s="77"/>
      <c r="F41" s="77"/>
      <c r="G41" s="77"/>
      <c r="H41" s="77"/>
      <c r="I41" s="77"/>
      <c r="J41" s="77"/>
      <c r="K41" s="77" t="s">
        <v>176</v>
      </c>
      <c r="L41" s="77" t="s">
        <v>176</v>
      </c>
      <c r="M41" s="77" t="s">
        <v>176</v>
      </c>
      <c r="N41" s="77" t="s">
        <v>176</v>
      </c>
      <c r="O41" s="77" t="s">
        <v>224</v>
      </c>
      <c r="P41" t="b">
        <f t="shared" si="0"/>
        <v>1</v>
      </c>
    </row>
    <row r="42" spans="1:16" hidden="1">
      <c r="A42" s="77" t="s">
        <v>236</v>
      </c>
      <c r="B42" s="77" t="s">
        <v>248</v>
      </c>
      <c r="C42" s="77" t="s">
        <v>249</v>
      </c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t="b">
        <f t="shared" si="0"/>
        <v>0</v>
      </c>
    </row>
    <row r="43" spans="1:16" hidden="1">
      <c r="A43" s="77" t="s">
        <v>236</v>
      </c>
      <c r="B43" s="77" t="s">
        <v>250</v>
      </c>
      <c r="C43" s="77" t="s">
        <v>251</v>
      </c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t="b">
        <f t="shared" si="0"/>
        <v>0</v>
      </c>
    </row>
    <row r="44" spans="1:16" hidden="1">
      <c r="A44" s="77" t="s">
        <v>236</v>
      </c>
      <c r="B44" s="77" t="s">
        <v>89</v>
      </c>
      <c r="C44" s="77" t="s">
        <v>110</v>
      </c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t="b">
        <f t="shared" si="0"/>
        <v>0</v>
      </c>
    </row>
    <row r="45" spans="1:16" hidden="1">
      <c r="A45" s="77" t="s">
        <v>236</v>
      </c>
      <c r="B45" s="77" t="s">
        <v>252</v>
      </c>
      <c r="C45" s="77" t="s">
        <v>253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t="b">
        <f t="shared" si="0"/>
        <v>0</v>
      </c>
    </row>
    <row r="46" spans="1:16" hidden="1">
      <c r="A46" s="77" t="s">
        <v>236</v>
      </c>
      <c r="B46" s="77" t="s">
        <v>254</v>
      </c>
      <c r="C46" s="77" t="s">
        <v>255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t="b">
        <f t="shared" si="0"/>
        <v>0</v>
      </c>
    </row>
    <row r="47" spans="1:16" hidden="1">
      <c r="A47" s="77" t="s">
        <v>236</v>
      </c>
      <c r="B47" s="77" t="s">
        <v>128</v>
      </c>
      <c r="C47" s="77" t="s">
        <v>136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t="b">
        <f t="shared" si="0"/>
        <v>0</v>
      </c>
    </row>
    <row r="48" spans="1:16" hidden="1">
      <c r="A48" s="77" t="s">
        <v>236</v>
      </c>
      <c r="B48" s="77" t="s">
        <v>256</v>
      </c>
      <c r="C48" s="77" t="s">
        <v>257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t="b">
        <f t="shared" si="0"/>
        <v>0</v>
      </c>
    </row>
    <row r="49" spans="1:16" hidden="1">
      <c r="A49" s="77" t="s">
        <v>236</v>
      </c>
      <c r="B49" s="77" t="s">
        <v>258</v>
      </c>
      <c r="C49" s="77" t="s">
        <v>259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t="b">
        <f t="shared" si="0"/>
        <v>0</v>
      </c>
    </row>
    <row r="50" spans="1:16" hidden="1">
      <c r="A50" s="77" t="s">
        <v>236</v>
      </c>
      <c r="B50" s="77" t="s">
        <v>260</v>
      </c>
      <c r="C50" s="77" t="s">
        <v>261</v>
      </c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t="b">
        <f t="shared" si="0"/>
        <v>0</v>
      </c>
    </row>
    <row r="51" spans="1:16" hidden="1">
      <c r="A51" s="77" t="s">
        <v>236</v>
      </c>
      <c r="B51" s="77" t="s">
        <v>262</v>
      </c>
      <c r="C51" s="77" t="s">
        <v>263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t="b">
        <f t="shared" si="0"/>
        <v>0</v>
      </c>
    </row>
    <row r="52" spans="1:16" hidden="1">
      <c r="A52" s="77" t="s">
        <v>236</v>
      </c>
      <c r="B52" s="77" t="s">
        <v>264</v>
      </c>
      <c r="C52" s="77" t="s">
        <v>265</v>
      </c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t="b">
        <f t="shared" si="0"/>
        <v>0</v>
      </c>
    </row>
    <row r="53" spans="1:16" hidden="1">
      <c r="A53" s="77" t="s">
        <v>236</v>
      </c>
      <c r="B53" s="77" t="s">
        <v>266</v>
      </c>
      <c r="C53" s="77" t="s">
        <v>267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t="b">
        <f t="shared" si="0"/>
        <v>0</v>
      </c>
    </row>
    <row r="54" spans="1:16" hidden="1">
      <c r="A54" s="77" t="s">
        <v>236</v>
      </c>
      <c r="B54" s="77" t="s">
        <v>268</v>
      </c>
      <c r="C54" s="77" t="s">
        <v>269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t="b">
        <f t="shared" si="0"/>
        <v>0</v>
      </c>
    </row>
    <row r="55" spans="1:16" hidden="1">
      <c r="A55" s="77" t="s">
        <v>236</v>
      </c>
      <c r="B55" s="77" t="s">
        <v>270</v>
      </c>
      <c r="C55" s="77" t="s">
        <v>271</v>
      </c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t="b">
        <f t="shared" si="0"/>
        <v>0</v>
      </c>
    </row>
    <row r="56" spans="1:16" hidden="1">
      <c r="A56" s="77" t="s">
        <v>236</v>
      </c>
      <c r="B56" s="77" t="s">
        <v>272</v>
      </c>
      <c r="C56" s="77" t="s">
        <v>273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t="b">
        <f t="shared" si="0"/>
        <v>0</v>
      </c>
    </row>
    <row r="57" spans="1:16" hidden="1">
      <c r="A57" s="77" t="s">
        <v>236</v>
      </c>
      <c r="B57" s="77" t="s">
        <v>274</v>
      </c>
      <c r="C57" s="77" t="s">
        <v>275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t="b">
        <f t="shared" si="0"/>
        <v>0</v>
      </c>
    </row>
    <row r="58" spans="1:16" hidden="1">
      <c r="A58" s="77" t="s">
        <v>236</v>
      </c>
      <c r="B58" s="77" t="s">
        <v>276</v>
      </c>
      <c r="C58" s="77" t="s">
        <v>277</v>
      </c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t="b">
        <f t="shared" si="0"/>
        <v>0</v>
      </c>
    </row>
    <row r="59" spans="1:16" hidden="1">
      <c r="A59" s="77" t="s">
        <v>236</v>
      </c>
      <c r="B59" s="77" t="s">
        <v>278</v>
      </c>
      <c r="C59" s="77" t="s">
        <v>279</v>
      </c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t="b">
        <f t="shared" si="0"/>
        <v>0</v>
      </c>
    </row>
    <row r="60" spans="1:16" hidden="1">
      <c r="A60" s="77" t="s">
        <v>236</v>
      </c>
      <c r="B60" s="77" t="s">
        <v>280</v>
      </c>
      <c r="C60" s="77" t="s">
        <v>281</v>
      </c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t="b">
        <f t="shared" si="0"/>
        <v>0</v>
      </c>
    </row>
    <row r="61" spans="1:16" hidden="1">
      <c r="A61" s="77" t="s">
        <v>236</v>
      </c>
      <c r="B61" s="77" t="s">
        <v>282</v>
      </c>
      <c r="C61" s="77" t="s">
        <v>283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t="b">
        <f t="shared" si="0"/>
        <v>0</v>
      </c>
    </row>
    <row r="62" spans="1:16" hidden="1">
      <c r="A62" s="77" t="s">
        <v>236</v>
      </c>
      <c r="B62" s="77" t="s">
        <v>234</v>
      </c>
      <c r="C62" s="77" t="s">
        <v>235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t="b">
        <f t="shared" si="0"/>
        <v>0</v>
      </c>
    </row>
    <row r="63" spans="1:16" hidden="1">
      <c r="A63" s="77" t="s">
        <v>236</v>
      </c>
      <c r="B63" s="77" t="s">
        <v>133</v>
      </c>
      <c r="C63" s="77" t="s">
        <v>144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t="b">
        <f t="shared" si="0"/>
        <v>0</v>
      </c>
    </row>
    <row r="64" spans="1:16" hidden="1">
      <c r="A64" s="77" t="s">
        <v>236</v>
      </c>
      <c r="B64" s="77" t="s">
        <v>284</v>
      </c>
      <c r="C64" s="77" t="s">
        <v>285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t="b">
        <f t="shared" si="0"/>
        <v>0</v>
      </c>
    </row>
    <row r="65" spans="1:16" hidden="1">
      <c r="A65" s="77" t="s">
        <v>236</v>
      </c>
      <c r="B65" s="77" t="s">
        <v>286</v>
      </c>
      <c r="C65" s="77" t="s">
        <v>287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t="b">
        <f t="shared" si="0"/>
        <v>0</v>
      </c>
    </row>
    <row r="66" spans="1:16" hidden="1">
      <c r="A66" s="77" t="s">
        <v>236</v>
      </c>
      <c r="B66" s="77" t="s">
        <v>288</v>
      </c>
      <c r="C66" s="77" t="s">
        <v>289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t="b">
        <f t="shared" si="0"/>
        <v>0</v>
      </c>
    </row>
    <row r="67" spans="1:16" hidden="1">
      <c r="A67" s="77" t="s">
        <v>236</v>
      </c>
      <c r="B67" s="77" t="s">
        <v>229</v>
      </c>
      <c r="C67" s="77" t="s">
        <v>230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t="b">
        <f t="shared" ref="P67:P130" si="1">COUNTIF(D67:N67,"〇")&gt;=1</f>
        <v>0</v>
      </c>
    </row>
    <row r="68" spans="1:16" hidden="1">
      <c r="A68" s="77" t="s">
        <v>236</v>
      </c>
      <c r="B68" s="77" t="s">
        <v>90</v>
      </c>
      <c r="C68" s="77" t="s">
        <v>111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t="b">
        <f t="shared" si="1"/>
        <v>0</v>
      </c>
    </row>
    <row r="69" spans="1:16" hidden="1">
      <c r="A69" s="77" t="s">
        <v>236</v>
      </c>
      <c r="B69" s="77" t="s">
        <v>91</v>
      </c>
      <c r="C69" s="77" t="s">
        <v>112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t="b">
        <f t="shared" si="1"/>
        <v>0</v>
      </c>
    </row>
    <row r="70" spans="1:16" hidden="1">
      <c r="A70" s="77" t="s">
        <v>236</v>
      </c>
      <c r="B70" s="77" t="s">
        <v>92</v>
      </c>
      <c r="C70" s="77" t="s">
        <v>113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t="b">
        <f t="shared" si="1"/>
        <v>0</v>
      </c>
    </row>
    <row r="71" spans="1:16" hidden="1">
      <c r="A71" s="77" t="s">
        <v>236</v>
      </c>
      <c r="B71" s="77" t="s">
        <v>93</v>
      </c>
      <c r="C71" s="77" t="s">
        <v>114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t="b">
        <f t="shared" si="1"/>
        <v>0</v>
      </c>
    </row>
    <row r="72" spans="1:16" hidden="1">
      <c r="A72" s="77" t="s">
        <v>236</v>
      </c>
      <c r="B72" s="77" t="s">
        <v>94</v>
      </c>
      <c r="C72" s="77" t="s">
        <v>115</v>
      </c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t="b">
        <f t="shared" si="1"/>
        <v>0</v>
      </c>
    </row>
    <row r="73" spans="1:16" hidden="1">
      <c r="A73" s="77" t="s">
        <v>236</v>
      </c>
      <c r="B73" s="77" t="s">
        <v>95</v>
      </c>
      <c r="C73" s="77" t="s">
        <v>116</v>
      </c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t="b">
        <f t="shared" si="1"/>
        <v>0</v>
      </c>
    </row>
    <row r="74" spans="1:16" hidden="1">
      <c r="A74" s="77" t="s">
        <v>236</v>
      </c>
      <c r="B74" s="77" t="s">
        <v>96</v>
      </c>
      <c r="C74" s="77" t="s">
        <v>117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t="b">
        <f t="shared" si="1"/>
        <v>0</v>
      </c>
    </row>
    <row r="75" spans="1:16" hidden="1">
      <c r="A75" s="77" t="s">
        <v>236</v>
      </c>
      <c r="B75" s="77" t="s">
        <v>97</v>
      </c>
      <c r="C75" s="77" t="s">
        <v>118</v>
      </c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t="b">
        <f t="shared" si="1"/>
        <v>0</v>
      </c>
    </row>
    <row r="76" spans="1:16" hidden="1">
      <c r="A76" s="77" t="s">
        <v>236</v>
      </c>
      <c r="B76" s="77" t="s">
        <v>98</v>
      </c>
      <c r="C76" s="77" t="s">
        <v>119</v>
      </c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t="b">
        <f t="shared" si="1"/>
        <v>0</v>
      </c>
    </row>
    <row r="77" spans="1:16" hidden="1">
      <c r="A77" s="77" t="s">
        <v>236</v>
      </c>
      <c r="B77" s="77" t="s">
        <v>99</v>
      </c>
      <c r="C77" s="77" t="s">
        <v>120</v>
      </c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t="b">
        <f t="shared" si="1"/>
        <v>0</v>
      </c>
    </row>
    <row r="78" spans="1:16" hidden="1">
      <c r="A78" s="77" t="s">
        <v>236</v>
      </c>
      <c r="B78" s="77" t="s">
        <v>290</v>
      </c>
      <c r="C78" s="77" t="s">
        <v>291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t="b">
        <f t="shared" si="1"/>
        <v>0</v>
      </c>
    </row>
    <row r="79" spans="1:16" hidden="1">
      <c r="A79" s="77" t="s">
        <v>236</v>
      </c>
      <c r="B79" s="77" t="s">
        <v>129</v>
      </c>
      <c r="C79" s="77" t="s">
        <v>143</v>
      </c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t="b">
        <f t="shared" si="1"/>
        <v>0</v>
      </c>
    </row>
    <row r="80" spans="1:16" hidden="1">
      <c r="A80" s="77" t="s">
        <v>236</v>
      </c>
      <c r="B80" s="77" t="s">
        <v>292</v>
      </c>
      <c r="C80" s="77" t="s">
        <v>293</v>
      </c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t="b">
        <f t="shared" si="1"/>
        <v>0</v>
      </c>
    </row>
    <row r="81" spans="1:16" hidden="1">
      <c r="A81" s="77" t="s">
        <v>236</v>
      </c>
      <c r="B81" s="77" t="s">
        <v>294</v>
      </c>
      <c r="C81" s="77" t="s">
        <v>295</v>
      </c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t="b">
        <f t="shared" si="1"/>
        <v>0</v>
      </c>
    </row>
    <row r="82" spans="1:16" hidden="1">
      <c r="A82" s="77" t="s">
        <v>236</v>
      </c>
      <c r="B82" s="77" t="s">
        <v>296</v>
      </c>
      <c r="C82" s="77" t="s">
        <v>297</v>
      </c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t="b">
        <f t="shared" si="1"/>
        <v>0</v>
      </c>
    </row>
    <row r="83" spans="1:16" hidden="1">
      <c r="A83" s="77" t="s">
        <v>236</v>
      </c>
      <c r="B83" s="77" t="s">
        <v>298</v>
      </c>
      <c r="C83" s="77" t="s">
        <v>299</v>
      </c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t="b">
        <f t="shared" si="1"/>
        <v>0</v>
      </c>
    </row>
    <row r="84" spans="1:16" hidden="1">
      <c r="A84" s="77" t="s">
        <v>236</v>
      </c>
      <c r="B84" s="77" t="s">
        <v>300</v>
      </c>
      <c r="C84" s="77" t="s">
        <v>301</v>
      </c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t="b">
        <f t="shared" si="1"/>
        <v>0</v>
      </c>
    </row>
    <row r="85" spans="1:16" hidden="1">
      <c r="A85" s="77" t="s">
        <v>236</v>
      </c>
      <c r="B85" s="77" t="s">
        <v>231</v>
      </c>
      <c r="C85" s="77" t="s">
        <v>232</v>
      </c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t="b">
        <f t="shared" si="1"/>
        <v>0</v>
      </c>
    </row>
    <row r="86" spans="1:16" hidden="1">
      <c r="A86" s="77" t="s">
        <v>236</v>
      </c>
      <c r="B86" s="77" t="s">
        <v>302</v>
      </c>
      <c r="C86" s="77" t="s">
        <v>303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t="b">
        <f t="shared" si="1"/>
        <v>0</v>
      </c>
    </row>
    <row r="87" spans="1:16" hidden="1">
      <c r="A87" s="77" t="s">
        <v>236</v>
      </c>
      <c r="B87" s="77" t="s">
        <v>304</v>
      </c>
      <c r="C87" s="77" t="s">
        <v>305</v>
      </c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t="b">
        <f t="shared" si="1"/>
        <v>0</v>
      </c>
    </row>
    <row r="88" spans="1:16" hidden="1">
      <c r="A88" s="77" t="s">
        <v>236</v>
      </c>
      <c r="B88" s="77" t="s">
        <v>306</v>
      </c>
      <c r="C88" s="77" t="s">
        <v>307</v>
      </c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t="b">
        <f t="shared" si="1"/>
        <v>0</v>
      </c>
    </row>
    <row r="89" spans="1:16" hidden="1">
      <c r="A89" s="77" t="s">
        <v>236</v>
      </c>
      <c r="B89" s="77" t="s">
        <v>308</v>
      </c>
      <c r="C89" s="77" t="s">
        <v>309</v>
      </c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t="b">
        <f t="shared" si="1"/>
        <v>0</v>
      </c>
    </row>
    <row r="90" spans="1:16" hidden="1">
      <c r="A90" s="77" t="s">
        <v>236</v>
      </c>
      <c r="B90" s="77" t="s">
        <v>310</v>
      </c>
      <c r="C90" s="77" t="s">
        <v>311</v>
      </c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t="b">
        <f t="shared" si="1"/>
        <v>0</v>
      </c>
    </row>
    <row r="91" spans="1:16" hidden="1">
      <c r="A91" s="77" t="s">
        <v>236</v>
      </c>
      <c r="B91" s="77" t="s">
        <v>312</v>
      </c>
      <c r="C91" s="77" t="s">
        <v>313</v>
      </c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t="b">
        <f t="shared" si="1"/>
        <v>0</v>
      </c>
    </row>
    <row r="92" spans="1:16" hidden="1">
      <c r="A92" s="77" t="s">
        <v>236</v>
      </c>
      <c r="B92" s="77" t="s">
        <v>314</v>
      </c>
      <c r="C92" s="77" t="s">
        <v>315</v>
      </c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t="b">
        <f t="shared" si="1"/>
        <v>0</v>
      </c>
    </row>
    <row r="93" spans="1:16" hidden="1">
      <c r="A93" s="77" t="s">
        <v>236</v>
      </c>
      <c r="B93" s="77" t="s">
        <v>316</v>
      </c>
      <c r="C93" s="77" t="s">
        <v>317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t="b">
        <f t="shared" si="1"/>
        <v>0</v>
      </c>
    </row>
    <row r="94" spans="1:16" hidden="1">
      <c r="A94" s="77" t="s">
        <v>236</v>
      </c>
      <c r="B94" s="77" t="s">
        <v>87</v>
      </c>
      <c r="C94" s="77" t="s">
        <v>107</v>
      </c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t="b">
        <f t="shared" si="1"/>
        <v>0</v>
      </c>
    </row>
    <row r="95" spans="1:16" hidden="1">
      <c r="A95" s="77" t="s">
        <v>236</v>
      </c>
      <c r="B95" s="77" t="s">
        <v>318</v>
      </c>
      <c r="C95" s="77" t="s">
        <v>319</v>
      </c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t="b">
        <f t="shared" si="1"/>
        <v>0</v>
      </c>
    </row>
    <row r="96" spans="1:16" hidden="1">
      <c r="A96" s="77" t="s">
        <v>236</v>
      </c>
      <c r="B96" s="77" t="s">
        <v>320</v>
      </c>
      <c r="C96" s="77" t="s">
        <v>321</v>
      </c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t="b">
        <f t="shared" si="1"/>
        <v>0</v>
      </c>
    </row>
    <row r="97" spans="1:16" hidden="1">
      <c r="A97" s="77" t="s">
        <v>236</v>
      </c>
      <c r="B97" s="77" t="s">
        <v>322</v>
      </c>
      <c r="C97" s="77" t="s">
        <v>323</v>
      </c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t="b">
        <f t="shared" si="1"/>
        <v>0</v>
      </c>
    </row>
    <row r="98" spans="1:16" hidden="1">
      <c r="A98" s="77" t="s">
        <v>236</v>
      </c>
      <c r="B98" s="77" t="s">
        <v>324</v>
      </c>
      <c r="C98" s="77" t="s">
        <v>325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t="b">
        <f t="shared" si="1"/>
        <v>0</v>
      </c>
    </row>
    <row r="99" spans="1:16" hidden="1">
      <c r="A99" s="77" t="s">
        <v>236</v>
      </c>
      <c r="B99" s="77" t="s">
        <v>326</v>
      </c>
      <c r="C99" s="77" t="s">
        <v>327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t="b">
        <f t="shared" si="1"/>
        <v>0</v>
      </c>
    </row>
    <row r="100" spans="1:16" hidden="1">
      <c r="A100" s="77" t="s">
        <v>236</v>
      </c>
      <c r="B100" s="77" t="s">
        <v>328</v>
      </c>
      <c r="C100" s="77" t="s">
        <v>329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t="b">
        <f t="shared" si="1"/>
        <v>0</v>
      </c>
    </row>
    <row r="101" spans="1:16" hidden="1">
      <c r="A101" s="77" t="s">
        <v>236</v>
      </c>
      <c r="B101" s="77" t="s">
        <v>330</v>
      </c>
      <c r="C101" s="77" t="s">
        <v>331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t="b">
        <f t="shared" si="1"/>
        <v>0</v>
      </c>
    </row>
    <row r="102" spans="1:16" hidden="1">
      <c r="A102" s="77" t="s">
        <v>236</v>
      </c>
      <c r="B102" s="77" t="s">
        <v>332</v>
      </c>
      <c r="C102" s="77" t="s">
        <v>333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t="b">
        <f t="shared" si="1"/>
        <v>0</v>
      </c>
    </row>
    <row r="103" spans="1:16" hidden="1">
      <c r="A103" s="77" t="s">
        <v>236</v>
      </c>
      <c r="B103" s="77" t="s">
        <v>334</v>
      </c>
      <c r="C103" s="77" t="s">
        <v>335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t="b">
        <f t="shared" si="1"/>
        <v>0</v>
      </c>
    </row>
    <row r="104" spans="1:16" hidden="1">
      <c r="A104" s="77" t="s">
        <v>236</v>
      </c>
      <c r="B104" s="77" t="s">
        <v>336</v>
      </c>
      <c r="C104" s="77" t="s">
        <v>337</v>
      </c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t="b">
        <f t="shared" si="1"/>
        <v>0</v>
      </c>
    </row>
    <row r="105" spans="1:16" hidden="1">
      <c r="A105" s="77" t="s">
        <v>236</v>
      </c>
      <c r="B105" s="77" t="s">
        <v>338</v>
      </c>
      <c r="C105" s="77" t="s">
        <v>339</v>
      </c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t="b">
        <f t="shared" si="1"/>
        <v>0</v>
      </c>
    </row>
    <row r="106" spans="1:16" hidden="1">
      <c r="A106" s="77" t="s">
        <v>236</v>
      </c>
      <c r="B106" s="77" t="s">
        <v>340</v>
      </c>
      <c r="C106" s="77" t="s">
        <v>341</v>
      </c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t="b">
        <f t="shared" si="1"/>
        <v>0</v>
      </c>
    </row>
    <row r="107" spans="1:16" hidden="1">
      <c r="A107" s="77" t="s">
        <v>236</v>
      </c>
      <c r="B107" s="77" t="s">
        <v>342</v>
      </c>
      <c r="C107" s="77" t="s">
        <v>343</v>
      </c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t="b">
        <f t="shared" si="1"/>
        <v>0</v>
      </c>
    </row>
    <row r="108" spans="1:16" hidden="1">
      <c r="A108" s="77" t="s">
        <v>236</v>
      </c>
      <c r="B108" s="77" t="s">
        <v>227</v>
      </c>
      <c r="C108" s="77" t="s">
        <v>228</v>
      </c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t="b">
        <f t="shared" si="1"/>
        <v>0</v>
      </c>
    </row>
    <row r="109" spans="1:16" hidden="1">
      <c r="A109" s="77" t="s">
        <v>236</v>
      </c>
      <c r="B109" s="77" t="s">
        <v>344</v>
      </c>
      <c r="C109" s="77" t="s">
        <v>345</v>
      </c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t="b">
        <f t="shared" si="1"/>
        <v>0</v>
      </c>
    </row>
    <row r="110" spans="1:16" hidden="1">
      <c r="A110" s="77" t="s">
        <v>236</v>
      </c>
      <c r="B110" s="77" t="s">
        <v>346</v>
      </c>
      <c r="C110" s="77" t="s">
        <v>347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t="b">
        <f t="shared" si="1"/>
        <v>0</v>
      </c>
    </row>
    <row r="111" spans="1:16" hidden="1">
      <c r="A111" s="77" t="s">
        <v>236</v>
      </c>
      <c r="B111" s="77" t="s">
        <v>348</v>
      </c>
      <c r="C111" s="77" t="s">
        <v>349</v>
      </c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t="b">
        <f t="shared" si="1"/>
        <v>0</v>
      </c>
    </row>
    <row r="112" spans="1:16" hidden="1">
      <c r="A112" s="77" t="s">
        <v>236</v>
      </c>
      <c r="B112" s="77" t="s">
        <v>350</v>
      </c>
      <c r="C112" s="77" t="s">
        <v>351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t="b">
        <f t="shared" si="1"/>
        <v>0</v>
      </c>
    </row>
    <row r="113" spans="1:16" hidden="1">
      <c r="A113" s="77" t="s">
        <v>236</v>
      </c>
      <c r="B113" s="77" t="s">
        <v>352</v>
      </c>
      <c r="C113" s="77" t="s">
        <v>353</v>
      </c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t="b">
        <f t="shared" si="1"/>
        <v>0</v>
      </c>
    </row>
    <row r="114" spans="1:16" hidden="1">
      <c r="A114" s="77" t="s">
        <v>236</v>
      </c>
      <c r="B114" s="77" t="s">
        <v>354</v>
      </c>
      <c r="C114" s="77" t="s">
        <v>355</v>
      </c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t="b">
        <f t="shared" si="1"/>
        <v>0</v>
      </c>
    </row>
    <row r="115" spans="1:16" hidden="1">
      <c r="A115" s="77" t="s">
        <v>236</v>
      </c>
      <c r="B115" s="77" t="s">
        <v>356</v>
      </c>
      <c r="C115" s="77" t="s">
        <v>357</v>
      </c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t="b">
        <f t="shared" si="1"/>
        <v>0</v>
      </c>
    </row>
    <row r="116" spans="1:16" hidden="1">
      <c r="A116" s="77" t="s">
        <v>236</v>
      </c>
      <c r="B116" s="77" t="s">
        <v>358</v>
      </c>
      <c r="C116" s="77" t="s">
        <v>359</v>
      </c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t="b">
        <f t="shared" si="1"/>
        <v>0</v>
      </c>
    </row>
    <row r="117" spans="1:16" hidden="1">
      <c r="A117" s="77" t="s">
        <v>236</v>
      </c>
      <c r="B117" s="77" t="s">
        <v>360</v>
      </c>
      <c r="C117" s="77" t="s">
        <v>361</v>
      </c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t="b">
        <f t="shared" si="1"/>
        <v>0</v>
      </c>
    </row>
    <row r="118" spans="1:16" hidden="1">
      <c r="A118" s="77" t="s">
        <v>236</v>
      </c>
      <c r="B118" s="77" t="s">
        <v>362</v>
      </c>
      <c r="C118" s="77" t="s">
        <v>363</v>
      </c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t="b">
        <f t="shared" si="1"/>
        <v>0</v>
      </c>
    </row>
    <row r="119" spans="1:16" hidden="1">
      <c r="A119" s="77" t="s">
        <v>236</v>
      </c>
      <c r="B119" s="77" t="s">
        <v>364</v>
      </c>
      <c r="C119" s="77" t="s">
        <v>365</v>
      </c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t="b">
        <f t="shared" si="1"/>
        <v>0</v>
      </c>
    </row>
    <row r="120" spans="1:16" hidden="1">
      <c r="A120" s="77" t="s">
        <v>236</v>
      </c>
      <c r="B120" s="77" t="s">
        <v>366</v>
      </c>
      <c r="C120" s="77" t="s">
        <v>367</v>
      </c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t="b">
        <f t="shared" si="1"/>
        <v>0</v>
      </c>
    </row>
    <row r="121" spans="1:16" hidden="1">
      <c r="A121" s="77" t="s">
        <v>236</v>
      </c>
      <c r="B121" s="77" t="s">
        <v>368</v>
      </c>
      <c r="C121" s="77" t="s">
        <v>369</v>
      </c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t="b">
        <f t="shared" si="1"/>
        <v>0</v>
      </c>
    </row>
    <row r="122" spans="1:16" hidden="1">
      <c r="A122" s="77" t="s">
        <v>236</v>
      </c>
      <c r="B122" s="77" t="s">
        <v>370</v>
      </c>
      <c r="C122" s="77" t="s">
        <v>371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t="b">
        <f t="shared" si="1"/>
        <v>0</v>
      </c>
    </row>
    <row r="123" spans="1:16" hidden="1">
      <c r="A123" s="77" t="s">
        <v>236</v>
      </c>
      <c r="B123" s="77" t="s">
        <v>372</v>
      </c>
      <c r="C123" s="77" t="s">
        <v>373</v>
      </c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t="b">
        <f t="shared" si="1"/>
        <v>0</v>
      </c>
    </row>
    <row r="124" spans="1:16" hidden="1">
      <c r="A124" s="77" t="s">
        <v>236</v>
      </c>
      <c r="B124" s="77" t="s">
        <v>374</v>
      </c>
      <c r="C124" s="77" t="s">
        <v>375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t="b">
        <f t="shared" si="1"/>
        <v>0</v>
      </c>
    </row>
    <row r="125" spans="1:16" hidden="1">
      <c r="A125" s="77" t="s">
        <v>236</v>
      </c>
      <c r="B125" s="77" t="s">
        <v>376</v>
      </c>
      <c r="C125" s="77" t="s">
        <v>377</v>
      </c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t="b">
        <f t="shared" si="1"/>
        <v>0</v>
      </c>
    </row>
    <row r="126" spans="1:16" hidden="1">
      <c r="A126" s="77" t="s">
        <v>236</v>
      </c>
      <c r="B126" s="77" t="s">
        <v>378</v>
      </c>
      <c r="C126" s="77" t="s">
        <v>379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t="b">
        <f t="shared" si="1"/>
        <v>0</v>
      </c>
    </row>
    <row r="127" spans="1:16" hidden="1">
      <c r="A127" s="77" t="s">
        <v>236</v>
      </c>
      <c r="B127" s="77" t="s">
        <v>380</v>
      </c>
      <c r="C127" s="77" t="s">
        <v>381</v>
      </c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t="b">
        <f t="shared" si="1"/>
        <v>0</v>
      </c>
    </row>
    <row r="128" spans="1:16" hidden="1">
      <c r="A128" s="77" t="s">
        <v>236</v>
      </c>
      <c r="B128" s="77" t="s">
        <v>382</v>
      </c>
      <c r="C128" s="77" t="s">
        <v>383</v>
      </c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t="b">
        <f t="shared" si="1"/>
        <v>0</v>
      </c>
    </row>
    <row r="129" spans="1:16" hidden="1">
      <c r="A129" s="77" t="s">
        <v>236</v>
      </c>
      <c r="B129" s="77" t="s">
        <v>384</v>
      </c>
      <c r="C129" s="77" t="s">
        <v>385</v>
      </c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t="b">
        <f t="shared" si="1"/>
        <v>0</v>
      </c>
    </row>
    <row r="130" spans="1:16" hidden="1">
      <c r="A130" s="77" t="s">
        <v>236</v>
      </c>
      <c r="B130" s="77" t="s">
        <v>386</v>
      </c>
      <c r="C130" s="77" t="s">
        <v>387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t="b">
        <f t="shared" si="1"/>
        <v>0</v>
      </c>
    </row>
    <row r="131" spans="1:16" hidden="1">
      <c r="A131" s="77" t="s">
        <v>236</v>
      </c>
      <c r="B131" s="77" t="s">
        <v>388</v>
      </c>
      <c r="C131" s="77" t="s">
        <v>389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t="b">
        <f t="shared" ref="P131:P194" si="2">COUNTIF(D131:N131,"〇")&gt;=1</f>
        <v>0</v>
      </c>
    </row>
    <row r="132" spans="1:16" hidden="1">
      <c r="A132" s="77" t="s">
        <v>236</v>
      </c>
      <c r="B132" s="77" t="s">
        <v>390</v>
      </c>
      <c r="C132" s="77" t="s">
        <v>391</v>
      </c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t="b">
        <f t="shared" si="2"/>
        <v>0</v>
      </c>
    </row>
    <row r="133" spans="1:16" hidden="1">
      <c r="A133" s="77" t="s">
        <v>236</v>
      </c>
      <c r="B133" s="77" t="s">
        <v>392</v>
      </c>
      <c r="C133" s="77" t="s">
        <v>393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t="b">
        <f t="shared" si="2"/>
        <v>0</v>
      </c>
    </row>
    <row r="134" spans="1:16" hidden="1">
      <c r="A134" s="77" t="s">
        <v>236</v>
      </c>
      <c r="B134" s="77" t="s">
        <v>394</v>
      </c>
      <c r="C134" s="77" t="s">
        <v>395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t="b">
        <f t="shared" si="2"/>
        <v>0</v>
      </c>
    </row>
    <row r="135" spans="1:16" hidden="1">
      <c r="A135" s="77" t="s">
        <v>236</v>
      </c>
      <c r="B135" s="77" t="s">
        <v>396</v>
      </c>
      <c r="C135" s="77" t="s">
        <v>397</v>
      </c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t="b">
        <f t="shared" si="2"/>
        <v>0</v>
      </c>
    </row>
    <row r="136" spans="1:16" hidden="1">
      <c r="A136" s="77" t="s">
        <v>236</v>
      </c>
      <c r="B136" s="77" t="s">
        <v>398</v>
      </c>
      <c r="C136" s="77" t="s">
        <v>399</v>
      </c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t="b">
        <f t="shared" si="2"/>
        <v>0</v>
      </c>
    </row>
    <row r="137" spans="1:16" hidden="1">
      <c r="A137" s="77" t="s">
        <v>236</v>
      </c>
      <c r="B137" s="77" t="s">
        <v>400</v>
      </c>
      <c r="C137" s="77" t="s">
        <v>401</v>
      </c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t="b">
        <f t="shared" si="2"/>
        <v>0</v>
      </c>
    </row>
    <row r="138" spans="1:16" hidden="1">
      <c r="A138" s="77" t="s">
        <v>236</v>
      </c>
      <c r="B138" s="77" t="s">
        <v>402</v>
      </c>
      <c r="C138" s="77" t="s">
        <v>403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t="b">
        <f t="shared" si="2"/>
        <v>0</v>
      </c>
    </row>
    <row r="139" spans="1:16" hidden="1">
      <c r="A139" s="77" t="s">
        <v>236</v>
      </c>
      <c r="B139" s="77" t="s">
        <v>404</v>
      </c>
      <c r="C139" s="77" t="s">
        <v>405</v>
      </c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t="b">
        <f t="shared" si="2"/>
        <v>0</v>
      </c>
    </row>
    <row r="140" spans="1:16" hidden="1">
      <c r="A140" s="77" t="s">
        <v>236</v>
      </c>
      <c r="B140" s="77" t="s">
        <v>225</v>
      </c>
      <c r="C140" s="77" t="s">
        <v>226</v>
      </c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t="b">
        <f t="shared" si="2"/>
        <v>0</v>
      </c>
    </row>
    <row r="141" spans="1:16" hidden="1">
      <c r="A141" s="77" t="s">
        <v>236</v>
      </c>
      <c r="B141" s="77" t="s">
        <v>406</v>
      </c>
      <c r="C141" s="77" t="s">
        <v>407</v>
      </c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t="b">
        <f t="shared" si="2"/>
        <v>0</v>
      </c>
    </row>
    <row r="142" spans="1:16" hidden="1">
      <c r="A142" s="77" t="s">
        <v>236</v>
      </c>
      <c r="B142" s="77" t="s">
        <v>408</v>
      </c>
      <c r="C142" s="77" t="s">
        <v>409</v>
      </c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t="b">
        <f t="shared" si="2"/>
        <v>0</v>
      </c>
    </row>
    <row r="143" spans="1:16" hidden="1">
      <c r="A143" s="77" t="s">
        <v>236</v>
      </c>
      <c r="B143" s="77" t="s">
        <v>410</v>
      </c>
      <c r="C143" s="77" t="s">
        <v>411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t="b">
        <f t="shared" si="2"/>
        <v>0</v>
      </c>
    </row>
    <row r="144" spans="1:16" hidden="1">
      <c r="A144" s="77" t="s">
        <v>236</v>
      </c>
      <c r="B144" s="77" t="s">
        <v>412</v>
      </c>
      <c r="C144" s="77" t="s">
        <v>413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t="b">
        <f t="shared" si="2"/>
        <v>0</v>
      </c>
    </row>
    <row r="145" spans="1:16" hidden="1">
      <c r="A145" s="77" t="s">
        <v>236</v>
      </c>
      <c r="B145" s="77" t="s">
        <v>414</v>
      </c>
      <c r="C145" s="77" t="s">
        <v>415</v>
      </c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t="b">
        <f t="shared" si="2"/>
        <v>0</v>
      </c>
    </row>
    <row r="146" spans="1:16" hidden="1">
      <c r="A146" s="77" t="s">
        <v>236</v>
      </c>
      <c r="B146" s="77" t="s">
        <v>416</v>
      </c>
      <c r="C146" s="77" t="s">
        <v>417</v>
      </c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t="b">
        <f t="shared" si="2"/>
        <v>0</v>
      </c>
    </row>
    <row r="147" spans="1:16" hidden="1">
      <c r="A147" s="77" t="s">
        <v>236</v>
      </c>
      <c r="B147" s="77" t="s">
        <v>222</v>
      </c>
      <c r="C147" s="77" t="s">
        <v>223</v>
      </c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t="b">
        <f t="shared" si="2"/>
        <v>0</v>
      </c>
    </row>
    <row r="148" spans="1:16" hidden="1">
      <c r="A148" s="77" t="s">
        <v>236</v>
      </c>
      <c r="B148" s="77" t="s">
        <v>418</v>
      </c>
      <c r="C148" s="77" t="s">
        <v>419</v>
      </c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t="b">
        <f t="shared" si="2"/>
        <v>0</v>
      </c>
    </row>
    <row r="149" spans="1:16" hidden="1">
      <c r="A149" s="77" t="s">
        <v>236</v>
      </c>
      <c r="B149" s="77" t="s">
        <v>420</v>
      </c>
      <c r="C149" s="77" t="s">
        <v>421</v>
      </c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t="b">
        <f t="shared" si="2"/>
        <v>0</v>
      </c>
    </row>
    <row r="150" spans="1:16" hidden="1">
      <c r="A150" s="77" t="s">
        <v>236</v>
      </c>
      <c r="B150" s="77" t="s">
        <v>422</v>
      </c>
      <c r="C150" s="77" t="s">
        <v>423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t="b">
        <f t="shared" si="2"/>
        <v>0</v>
      </c>
    </row>
    <row r="151" spans="1:16" hidden="1">
      <c r="A151" s="77" t="s">
        <v>236</v>
      </c>
      <c r="B151" s="77" t="s">
        <v>424</v>
      </c>
      <c r="C151" s="77" t="s">
        <v>425</v>
      </c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t="b">
        <f t="shared" si="2"/>
        <v>0</v>
      </c>
    </row>
    <row r="152" spans="1:16" hidden="1">
      <c r="A152" s="77" t="s">
        <v>236</v>
      </c>
      <c r="B152" s="77" t="s">
        <v>426</v>
      </c>
      <c r="C152" s="77" t="s">
        <v>426</v>
      </c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t="b">
        <f t="shared" si="2"/>
        <v>0</v>
      </c>
    </row>
    <row r="153" spans="1:16" hidden="1">
      <c r="A153" s="77" t="s">
        <v>236</v>
      </c>
      <c r="B153" s="77" t="s">
        <v>427</v>
      </c>
      <c r="C153" s="77" t="s">
        <v>428</v>
      </c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t="b">
        <f t="shared" si="2"/>
        <v>0</v>
      </c>
    </row>
    <row r="154" spans="1:16" hidden="1">
      <c r="A154" s="77" t="s">
        <v>236</v>
      </c>
      <c r="B154" s="77" t="s">
        <v>429</v>
      </c>
      <c r="C154" s="77" t="s">
        <v>430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t="b">
        <f t="shared" si="2"/>
        <v>0</v>
      </c>
    </row>
    <row r="155" spans="1:16" hidden="1">
      <c r="A155" s="77" t="s">
        <v>236</v>
      </c>
      <c r="B155" s="77" t="s">
        <v>431</v>
      </c>
      <c r="C155" s="77" t="s">
        <v>432</v>
      </c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t="b">
        <f t="shared" si="2"/>
        <v>0</v>
      </c>
    </row>
    <row r="156" spans="1:16" hidden="1">
      <c r="A156" s="77" t="s">
        <v>236</v>
      </c>
      <c r="B156" s="77" t="s">
        <v>433</v>
      </c>
      <c r="C156" s="77" t="s">
        <v>434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t="b">
        <f t="shared" si="2"/>
        <v>0</v>
      </c>
    </row>
    <row r="157" spans="1:16" hidden="1">
      <c r="A157" s="77" t="s">
        <v>236</v>
      </c>
      <c r="B157" s="77" t="s">
        <v>435</v>
      </c>
      <c r="C157" s="77" t="s">
        <v>436</v>
      </c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t="b">
        <f t="shared" si="2"/>
        <v>0</v>
      </c>
    </row>
    <row r="158" spans="1:16" hidden="1">
      <c r="A158" s="77" t="s">
        <v>236</v>
      </c>
      <c r="B158" s="77" t="s">
        <v>437</v>
      </c>
      <c r="C158" s="77" t="s">
        <v>438</v>
      </c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t="b">
        <f t="shared" si="2"/>
        <v>0</v>
      </c>
    </row>
    <row r="159" spans="1:16" hidden="1">
      <c r="A159" s="77" t="s">
        <v>236</v>
      </c>
      <c r="B159" s="77" t="s">
        <v>439</v>
      </c>
      <c r="C159" s="77" t="s">
        <v>440</v>
      </c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t="b">
        <f t="shared" si="2"/>
        <v>0</v>
      </c>
    </row>
    <row r="160" spans="1:16" hidden="1">
      <c r="A160" s="77" t="s">
        <v>236</v>
      </c>
      <c r="B160" s="77" t="s">
        <v>441</v>
      </c>
      <c r="C160" s="77" t="s">
        <v>442</v>
      </c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t="b">
        <f t="shared" si="2"/>
        <v>0</v>
      </c>
    </row>
    <row r="161" spans="1:16" hidden="1">
      <c r="A161" s="77" t="s">
        <v>236</v>
      </c>
      <c r="B161" s="77" t="s">
        <v>443</v>
      </c>
      <c r="C161" s="77" t="s">
        <v>444</v>
      </c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t="b">
        <f t="shared" si="2"/>
        <v>0</v>
      </c>
    </row>
    <row r="162" spans="1:16" hidden="1">
      <c r="A162" s="77" t="s">
        <v>236</v>
      </c>
      <c r="B162" s="77" t="s">
        <v>445</v>
      </c>
      <c r="C162" s="77" t="s">
        <v>446</v>
      </c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t="b">
        <f t="shared" si="2"/>
        <v>0</v>
      </c>
    </row>
    <row r="163" spans="1:16" hidden="1">
      <c r="A163" s="77" t="s">
        <v>236</v>
      </c>
      <c r="B163" s="77" t="s">
        <v>447</v>
      </c>
      <c r="C163" s="77" t="s">
        <v>448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t="b">
        <f t="shared" si="2"/>
        <v>0</v>
      </c>
    </row>
    <row r="164" spans="1:16" hidden="1">
      <c r="A164" s="77" t="s">
        <v>236</v>
      </c>
      <c r="B164" s="77" t="s">
        <v>449</v>
      </c>
      <c r="C164" s="77" t="s">
        <v>450</v>
      </c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t="b">
        <f t="shared" si="2"/>
        <v>0</v>
      </c>
    </row>
    <row r="165" spans="1:16" hidden="1">
      <c r="A165" s="77" t="s">
        <v>236</v>
      </c>
      <c r="B165" s="77" t="s">
        <v>451</v>
      </c>
      <c r="C165" s="77" t="s">
        <v>452</v>
      </c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t="b">
        <f t="shared" si="2"/>
        <v>0</v>
      </c>
    </row>
    <row r="166" spans="1:16" hidden="1">
      <c r="A166" s="77" t="s">
        <v>236</v>
      </c>
      <c r="B166" s="77" t="s">
        <v>453</v>
      </c>
      <c r="C166" s="77" t="s">
        <v>454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t="b">
        <f t="shared" si="2"/>
        <v>0</v>
      </c>
    </row>
    <row r="167" spans="1:16" hidden="1">
      <c r="A167" s="77" t="s">
        <v>236</v>
      </c>
      <c r="B167" s="77" t="s">
        <v>455</v>
      </c>
      <c r="C167" s="77" t="s">
        <v>456</v>
      </c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t="b">
        <f t="shared" si="2"/>
        <v>0</v>
      </c>
    </row>
    <row r="168" spans="1:16" hidden="1">
      <c r="A168" s="77" t="s">
        <v>236</v>
      </c>
      <c r="B168" s="77" t="s">
        <v>457</v>
      </c>
      <c r="C168" s="77" t="s">
        <v>458</v>
      </c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t="b">
        <f t="shared" si="2"/>
        <v>0</v>
      </c>
    </row>
    <row r="169" spans="1:16" hidden="1">
      <c r="A169" s="77" t="s">
        <v>236</v>
      </c>
      <c r="B169" s="77" t="s">
        <v>459</v>
      </c>
      <c r="C169" s="77" t="s">
        <v>460</v>
      </c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t="b">
        <f t="shared" si="2"/>
        <v>0</v>
      </c>
    </row>
    <row r="170" spans="1:16" hidden="1">
      <c r="A170" s="77" t="s">
        <v>236</v>
      </c>
      <c r="B170" s="77" t="s">
        <v>461</v>
      </c>
      <c r="C170" s="77" t="s">
        <v>462</v>
      </c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t="b">
        <f t="shared" si="2"/>
        <v>0</v>
      </c>
    </row>
    <row r="171" spans="1:16" hidden="1">
      <c r="A171" s="77" t="s">
        <v>236</v>
      </c>
      <c r="B171" s="77" t="s">
        <v>463</v>
      </c>
      <c r="C171" s="77" t="s">
        <v>464</v>
      </c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t="b">
        <f t="shared" si="2"/>
        <v>0</v>
      </c>
    </row>
    <row r="172" spans="1:16" hidden="1">
      <c r="A172" s="77" t="s">
        <v>236</v>
      </c>
      <c r="B172" s="77" t="s">
        <v>465</v>
      </c>
      <c r="C172" s="77" t="s">
        <v>466</v>
      </c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t="b">
        <f t="shared" si="2"/>
        <v>0</v>
      </c>
    </row>
    <row r="173" spans="1:16" hidden="1">
      <c r="A173" s="77" t="s">
        <v>236</v>
      </c>
      <c r="B173" s="77" t="s">
        <v>467</v>
      </c>
      <c r="C173" s="77" t="s">
        <v>468</v>
      </c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t="b">
        <f t="shared" si="2"/>
        <v>0</v>
      </c>
    </row>
    <row r="174" spans="1:16" hidden="1">
      <c r="A174" s="77" t="s">
        <v>236</v>
      </c>
      <c r="B174" s="77" t="s">
        <v>469</v>
      </c>
      <c r="C174" s="77" t="s">
        <v>470</v>
      </c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t="b">
        <f t="shared" si="2"/>
        <v>0</v>
      </c>
    </row>
    <row r="175" spans="1:16" hidden="1">
      <c r="A175" s="77" t="s">
        <v>236</v>
      </c>
      <c r="B175" s="77" t="s">
        <v>471</v>
      </c>
      <c r="C175" s="77" t="s">
        <v>472</v>
      </c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t="b">
        <f t="shared" si="2"/>
        <v>0</v>
      </c>
    </row>
    <row r="176" spans="1:16" hidden="1">
      <c r="A176" s="77" t="s">
        <v>236</v>
      </c>
      <c r="B176" s="77" t="s">
        <v>473</v>
      </c>
      <c r="C176" s="77" t="s">
        <v>474</v>
      </c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t="b">
        <f t="shared" si="2"/>
        <v>0</v>
      </c>
    </row>
    <row r="177" spans="1:16" hidden="1">
      <c r="A177" s="77" t="s">
        <v>236</v>
      </c>
      <c r="B177" s="77" t="s">
        <v>475</v>
      </c>
      <c r="C177" s="77" t="s">
        <v>476</v>
      </c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t="b">
        <f t="shared" si="2"/>
        <v>0</v>
      </c>
    </row>
    <row r="178" spans="1:16" hidden="1">
      <c r="A178" s="77" t="s">
        <v>236</v>
      </c>
      <c r="B178" s="77" t="s">
        <v>477</v>
      </c>
      <c r="C178" s="77" t="s">
        <v>478</v>
      </c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t="b">
        <f t="shared" si="2"/>
        <v>0</v>
      </c>
    </row>
    <row r="179" spans="1:16" hidden="1">
      <c r="A179" s="77" t="s">
        <v>236</v>
      </c>
      <c r="B179" s="77" t="s">
        <v>479</v>
      </c>
      <c r="C179" s="77" t="s">
        <v>480</v>
      </c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t="b">
        <f t="shared" si="2"/>
        <v>0</v>
      </c>
    </row>
    <row r="180" spans="1:16" hidden="1">
      <c r="A180" s="77" t="s">
        <v>236</v>
      </c>
      <c r="B180" s="77" t="s">
        <v>481</v>
      </c>
      <c r="C180" s="77" t="s">
        <v>482</v>
      </c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t="b">
        <f t="shared" si="2"/>
        <v>0</v>
      </c>
    </row>
    <row r="181" spans="1:16" hidden="1">
      <c r="A181" s="77" t="s">
        <v>236</v>
      </c>
      <c r="B181" s="77" t="s">
        <v>483</v>
      </c>
      <c r="C181" s="77" t="s">
        <v>484</v>
      </c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t="b">
        <f t="shared" si="2"/>
        <v>0</v>
      </c>
    </row>
    <row r="182" spans="1:16" hidden="1">
      <c r="A182" s="77" t="s">
        <v>236</v>
      </c>
      <c r="B182" s="77" t="s">
        <v>485</v>
      </c>
      <c r="C182" s="77" t="s">
        <v>486</v>
      </c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t="b">
        <f t="shared" si="2"/>
        <v>0</v>
      </c>
    </row>
    <row r="183" spans="1:16" hidden="1">
      <c r="A183" s="77" t="s">
        <v>236</v>
      </c>
      <c r="B183" s="77" t="s">
        <v>487</v>
      </c>
      <c r="C183" s="77" t="s">
        <v>488</v>
      </c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t="b">
        <f t="shared" si="2"/>
        <v>0</v>
      </c>
    </row>
    <row r="184" spans="1:16" hidden="1">
      <c r="A184" s="77" t="s">
        <v>236</v>
      </c>
      <c r="B184" s="77" t="s">
        <v>489</v>
      </c>
      <c r="C184" s="77" t="s">
        <v>490</v>
      </c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t="b">
        <f t="shared" si="2"/>
        <v>0</v>
      </c>
    </row>
    <row r="185" spans="1:16" hidden="1">
      <c r="A185" s="77" t="s">
        <v>236</v>
      </c>
      <c r="B185" s="77" t="s">
        <v>491</v>
      </c>
      <c r="C185" s="77" t="s">
        <v>492</v>
      </c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t="b">
        <f t="shared" si="2"/>
        <v>0</v>
      </c>
    </row>
    <row r="186" spans="1:16" hidden="1">
      <c r="A186" s="77" t="s">
        <v>236</v>
      </c>
      <c r="B186" s="77" t="s">
        <v>493</v>
      </c>
      <c r="C186" s="77" t="s">
        <v>494</v>
      </c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t="b">
        <f t="shared" si="2"/>
        <v>0</v>
      </c>
    </row>
    <row r="187" spans="1:16" hidden="1">
      <c r="A187" s="77" t="s">
        <v>236</v>
      </c>
      <c r="B187" s="77" t="s">
        <v>495</v>
      </c>
      <c r="C187" s="77" t="s">
        <v>496</v>
      </c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t="b">
        <f t="shared" si="2"/>
        <v>0</v>
      </c>
    </row>
    <row r="188" spans="1:16" hidden="1">
      <c r="A188" s="77" t="s">
        <v>236</v>
      </c>
      <c r="B188" s="77" t="s">
        <v>497</v>
      </c>
      <c r="C188" s="77" t="s">
        <v>498</v>
      </c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t="b">
        <f t="shared" si="2"/>
        <v>0</v>
      </c>
    </row>
    <row r="189" spans="1:16" hidden="1">
      <c r="A189" s="77" t="s">
        <v>236</v>
      </c>
      <c r="B189" s="77" t="s">
        <v>499</v>
      </c>
      <c r="C189" s="77" t="s">
        <v>500</v>
      </c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t="b">
        <f t="shared" si="2"/>
        <v>0</v>
      </c>
    </row>
    <row r="190" spans="1:16" hidden="1">
      <c r="A190" s="77" t="s">
        <v>236</v>
      </c>
      <c r="B190" s="77" t="s">
        <v>501</v>
      </c>
      <c r="C190" s="77" t="s">
        <v>502</v>
      </c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t="b">
        <f t="shared" si="2"/>
        <v>0</v>
      </c>
    </row>
    <row r="191" spans="1:16" hidden="1">
      <c r="A191" s="77" t="s">
        <v>236</v>
      </c>
      <c r="B191" s="77" t="s">
        <v>503</v>
      </c>
      <c r="C191" s="77" t="s">
        <v>504</v>
      </c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t="b">
        <f t="shared" si="2"/>
        <v>0</v>
      </c>
    </row>
    <row r="192" spans="1:16" hidden="1">
      <c r="A192" s="77" t="s">
        <v>236</v>
      </c>
      <c r="B192" s="77" t="s">
        <v>505</v>
      </c>
      <c r="C192" s="77" t="s">
        <v>506</v>
      </c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t="b">
        <f t="shared" si="2"/>
        <v>0</v>
      </c>
    </row>
    <row r="193" spans="1:16" hidden="1">
      <c r="A193" s="77" t="s">
        <v>236</v>
      </c>
      <c r="B193" s="77" t="s">
        <v>507</v>
      </c>
      <c r="C193" s="77" t="s">
        <v>508</v>
      </c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t="b">
        <f t="shared" si="2"/>
        <v>0</v>
      </c>
    </row>
    <row r="194" spans="1:16" hidden="1">
      <c r="A194" s="77" t="s">
        <v>236</v>
      </c>
      <c r="B194" s="77" t="s">
        <v>509</v>
      </c>
      <c r="C194" s="77" t="s">
        <v>510</v>
      </c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t="b">
        <f t="shared" si="2"/>
        <v>0</v>
      </c>
    </row>
    <row r="195" spans="1:16" hidden="1">
      <c r="A195" s="77" t="s">
        <v>236</v>
      </c>
      <c r="B195" s="77" t="s">
        <v>511</v>
      </c>
      <c r="C195" s="77" t="s">
        <v>512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t="b">
        <f t="shared" ref="P195:P258" si="3">COUNTIF(D195:N195,"〇")&gt;=1</f>
        <v>0</v>
      </c>
    </row>
    <row r="196" spans="1:16" hidden="1">
      <c r="A196" s="77" t="s">
        <v>236</v>
      </c>
      <c r="B196" s="77" t="s">
        <v>513</v>
      </c>
      <c r="C196" s="77" t="s">
        <v>514</v>
      </c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t="b">
        <f t="shared" si="3"/>
        <v>0</v>
      </c>
    </row>
    <row r="197" spans="1:16" hidden="1">
      <c r="A197" s="77" t="s">
        <v>236</v>
      </c>
      <c r="B197" s="77" t="s">
        <v>515</v>
      </c>
      <c r="C197" s="77" t="s">
        <v>516</v>
      </c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t="b">
        <f t="shared" si="3"/>
        <v>0</v>
      </c>
    </row>
    <row r="198" spans="1:16" hidden="1">
      <c r="A198" s="77" t="s">
        <v>236</v>
      </c>
      <c r="B198" s="77" t="s">
        <v>517</v>
      </c>
      <c r="C198" s="77" t="s">
        <v>518</v>
      </c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t="b">
        <f t="shared" si="3"/>
        <v>0</v>
      </c>
    </row>
    <row r="199" spans="1:16" hidden="1">
      <c r="A199" s="77" t="s">
        <v>236</v>
      </c>
      <c r="B199" s="77" t="s">
        <v>519</v>
      </c>
      <c r="C199" s="77" t="s">
        <v>520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t="b">
        <f t="shared" si="3"/>
        <v>0</v>
      </c>
    </row>
    <row r="200" spans="1:16" hidden="1">
      <c r="A200" s="77" t="s">
        <v>236</v>
      </c>
      <c r="B200" s="77" t="s">
        <v>521</v>
      </c>
      <c r="C200" s="77" t="s">
        <v>522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t="b">
        <f t="shared" si="3"/>
        <v>0</v>
      </c>
    </row>
    <row r="201" spans="1:16" hidden="1">
      <c r="A201" s="77" t="s">
        <v>236</v>
      </c>
      <c r="B201" s="77" t="s">
        <v>523</v>
      </c>
      <c r="C201" s="77" t="s">
        <v>524</v>
      </c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t="b">
        <f t="shared" si="3"/>
        <v>0</v>
      </c>
    </row>
    <row r="202" spans="1:16" hidden="1">
      <c r="A202" s="77" t="s">
        <v>236</v>
      </c>
      <c r="B202" s="77" t="s">
        <v>525</v>
      </c>
      <c r="C202" s="77" t="s">
        <v>526</v>
      </c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t="b">
        <f t="shared" si="3"/>
        <v>0</v>
      </c>
    </row>
    <row r="203" spans="1:16" hidden="1">
      <c r="A203" s="77" t="s">
        <v>236</v>
      </c>
      <c r="B203" s="77" t="s">
        <v>527</v>
      </c>
      <c r="C203" s="77" t="s">
        <v>528</v>
      </c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t="b">
        <f t="shared" si="3"/>
        <v>0</v>
      </c>
    </row>
    <row r="204" spans="1:16" hidden="1">
      <c r="A204" s="77" t="s">
        <v>236</v>
      </c>
      <c r="B204" s="77" t="s">
        <v>529</v>
      </c>
      <c r="C204" s="77" t="s">
        <v>530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t="b">
        <f t="shared" si="3"/>
        <v>0</v>
      </c>
    </row>
    <row r="205" spans="1:16" hidden="1">
      <c r="A205" s="77" t="s">
        <v>236</v>
      </c>
      <c r="B205" s="77" t="s">
        <v>531</v>
      </c>
      <c r="C205" s="77" t="s">
        <v>532</v>
      </c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t="b">
        <f t="shared" si="3"/>
        <v>0</v>
      </c>
    </row>
    <row r="206" spans="1:16" hidden="1">
      <c r="A206" s="77" t="s">
        <v>236</v>
      </c>
      <c r="B206" s="77" t="s">
        <v>533</v>
      </c>
      <c r="C206" s="77" t="s">
        <v>534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t="b">
        <f t="shared" si="3"/>
        <v>0</v>
      </c>
    </row>
    <row r="207" spans="1:16" hidden="1">
      <c r="A207" s="77" t="s">
        <v>236</v>
      </c>
      <c r="B207" s="77" t="s">
        <v>535</v>
      </c>
      <c r="C207" s="77" t="s">
        <v>536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t="b">
        <f t="shared" si="3"/>
        <v>0</v>
      </c>
    </row>
    <row r="208" spans="1:16" hidden="1">
      <c r="A208" s="77" t="s">
        <v>236</v>
      </c>
      <c r="B208" s="77" t="s">
        <v>537</v>
      </c>
      <c r="C208" s="77" t="s">
        <v>538</v>
      </c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t="b">
        <f t="shared" si="3"/>
        <v>0</v>
      </c>
    </row>
    <row r="209" spans="1:16" hidden="1">
      <c r="A209" s="77" t="s">
        <v>236</v>
      </c>
      <c r="B209" s="77" t="s">
        <v>539</v>
      </c>
      <c r="C209" s="77" t="s">
        <v>540</v>
      </c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t="b">
        <f t="shared" si="3"/>
        <v>0</v>
      </c>
    </row>
    <row r="210" spans="1:16" hidden="1">
      <c r="A210" s="77" t="s">
        <v>236</v>
      </c>
      <c r="B210" s="77" t="s">
        <v>541</v>
      </c>
      <c r="C210" s="77" t="s">
        <v>542</v>
      </c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t="b">
        <f t="shared" si="3"/>
        <v>0</v>
      </c>
    </row>
    <row r="211" spans="1:16" hidden="1">
      <c r="A211" s="77" t="s">
        <v>236</v>
      </c>
      <c r="B211" s="77" t="s">
        <v>543</v>
      </c>
      <c r="C211" s="77" t="s">
        <v>544</v>
      </c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t="b">
        <f t="shared" si="3"/>
        <v>0</v>
      </c>
    </row>
    <row r="212" spans="1:16" hidden="1">
      <c r="A212" s="77" t="s">
        <v>236</v>
      </c>
      <c r="B212" s="77" t="s">
        <v>545</v>
      </c>
      <c r="C212" s="77" t="s">
        <v>546</v>
      </c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t="b">
        <f t="shared" si="3"/>
        <v>0</v>
      </c>
    </row>
    <row r="213" spans="1:16" hidden="1">
      <c r="A213" s="77" t="s">
        <v>236</v>
      </c>
      <c r="B213" s="77" t="s">
        <v>547</v>
      </c>
      <c r="C213" s="77" t="s">
        <v>548</v>
      </c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t="b">
        <f t="shared" si="3"/>
        <v>0</v>
      </c>
    </row>
    <row r="214" spans="1:16" hidden="1">
      <c r="A214" s="77" t="s">
        <v>236</v>
      </c>
      <c r="B214" s="77" t="s">
        <v>549</v>
      </c>
      <c r="C214" s="77" t="s">
        <v>550</v>
      </c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t="b">
        <f t="shared" si="3"/>
        <v>0</v>
      </c>
    </row>
    <row r="215" spans="1:16" hidden="1">
      <c r="A215" s="77" t="s">
        <v>236</v>
      </c>
      <c r="B215" s="77" t="s">
        <v>551</v>
      </c>
      <c r="C215" s="77" t="s">
        <v>552</v>
      </c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t="b">
        <f t="shared" si="3"/>
        <v>0</v>
      </c>
    </row>
    <row r="216" spans="1:16" hidden="1">
      <c r="A216" s="77" t="s">
        <v>236</v>
      </c>
      <c r="B216" s="77" t="s">
        <v>553</v>
      </c>
      <c r="C216" s="77" t="s">
        <v>554</v>
      </c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t="b">
        <f t="shared" si="3"/>
        <v>0</v>
      </c>
    </row>
    <row r="217" spans="1:16" hidden="1">
      <c r="A217" s="77" t="s">
        <v>236</v>
      </c>
      <c r="B217" s="77" t="s">
        <v>555</v>
      </c>
      <c r="C217" s="77" t="s">
        <v>556</v>
      </c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t="b">
        <f t="shared" si="3"/>
        <v>0</v>
      </c>
    </row>
    <row r="218" spans="1:16" hidden="1">
      <c r="A218" s="77" t="s">
        <v>236</v>
      </c>
      <c r="B218" s="77" t="s">
        <v>557</v>
      </c>
      <c r="C218" s="77" t="s">
        <v>558</v>
      </c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t="b">
        <f t="shared" si="3"/>
        <v>0</v>
      </c>
    </row>
    <row r="219" spans="1:16" hidden="1">
      <c r="A219" s="77" t="s">
        <v>236</v>
      </c>
      <c r="B219" s="77" t="s">
        <v>559</v>
      </c>
      <c r="C219" s="77" t="s">
        <v>560</v>
      </c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t="b">
        <f t="shared" si="3"/>
        <v>0</v>
      </c>
    </row>
    <row r="220" spans="1:16" hidden="1">
      <c r="A220" s="77" t="s">
        <v>236</v>
      </c>
      <c r="B220" s="77" t="s">
        <v>561</v>
      </c>
      <c r="C220" s="77" t="s">
        <v>562</v>
      </c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t="b">
        <f t="shared" si="3"/>
        <v>0</v>
      </c>
    </row>
    <row r="221" spans="1:16" hidden="1">
      <c r="A221" s="77" t="s">
        <v>236</v>
      </c>
      <c r="B221" s="77" t="s">
        <v>563</v>
      </c>
      <c r="C221" s="77" t="s">
        <v>564</v>
      </c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t="b">
        <f t="shared" si="3"/>
        <v>0</v>
      </c>
    </row>
    <row r="222" spans="1:16" hidden="1">
      <c r="A222" s="77" t="s">
        <v>236</v>
      </c>
      <c r="B222" s="77" t="s">
        <v>565</v>
      </c>
      <c r="C222" s="77" t="s">
        <v>566</v>
      </c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t="b">
        <f t="shared" si="3"/>
        <v>0</v>
      </c>
    </row>
    <row r="223" spans="1:16" hidden="1">
      <c r="A223" s="77" t="s">
        <v>236</v>
      </c>
      <c r="B223" s="77" t="s">
        <v>567</v>
      </c>
      <c r="C223" s="77" t="s">
        <v>568</v>
      </c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t="b">
        <f t="shared" si="3"/>
        <v>0</v>
      </c>
    </row>
    <row r="224" spans="1:16" hidden="1">
      <c r="A224" s="77" t="s">
        <v>236</v>
      </c>
      <c r="B224" s="77" t="s">
        <v>569</v>
      </c>
      <c r="C224" s="77" t="s">
        <v>570</v>
      </c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t="b">
        <f t="shared" si="3"/>
        <v>0</v>
      </c>
    </row>
    <row r="225" spans="1:16" hidden="1">
      <c r="A225" s="77" t="s">
        <v>236</v>
      </c>
      <c r="B225" s="77" t="s">
        <v>571</v>
      </c>
      <c r="C225" s="77" t="s">
        <v>572</v>
      </c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t="b">
        <f t="shared" si="3"/>
        <v>0</v>
      </c>
    </row>
    <row r="226" spans="1:16" hidden="1">
      <c r="A226" s="77" t="s">
        <v>236</v>
      </c>
      <c r="B226" s="77" t="s">
        <v>573</v>
      </c>
      <c r="C226" s="77" t="s">
        <v>574</v>
      </c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t="b">
        <f t="shared" si="3"/>
        <v>0</v>
      </c>
    </row>
    <row r="227" spans="1:16" hidden="1">
      <c r="A227" s="77" t="s">
        <v>236</v>
      </c>
      <c r="B227" s="77" t="s">
        <v>575</v>
      </c>
      <c r="C227" s="77" t="s">
        <v>576</v>
      </c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t="b">
        <f t="shared" si="3"/>
        <v>0</v>
      </c>
    </row>
    <row r="228" spans="1:16" hidden="1">
      <c r="A228" s="77" t="s">
        <v>236</v>
      </c>
      <c r="B228" s="77" t="s">
        <v>577</v>
      </c>
      <c r="C228" s="77" t="s">
        <v>578</v>
      </c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t="b">
        <f t="shared" si="3"/>
        <v>0</v>
      </c>
    </row>
    <row r="229" spans="1:16" hidden="1">
      <c r="A229" s="77" t="s">
        <v>236</v>
      </c>
      <c r="B229" s="77" t="s">
        <v>579</v>
      </c>
      <c r="C229" s="77" t="s">
        <v>580</v>
      </c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t="b">
        <f t="shared" si="3"/>
        <v>0</v>
      </c>
    </row>
    <row r="230" spans="1:16" hidden="1">
      <c r="A230" s="77" t="s">
        <v>236</v>
      </c>
      <c r="B230" s="77" t="s">
        <v>581</v>
      </c>
      <c r="C230" s="77" t="s">
        <v>582</v>
      </c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t="b">
        <f t="shared" si="3"/>
        <v>0</v>
      </c>
    </row>
    <row r="231" spans="1:16" hidden="1">
      <c r="A231" s="77" t="s">
        <v>236</v>
      </c>
      <c r="B231" s="77" t="s">
        <v>583</v>
      </c>
      <c r="C231" s="77" t="s">
        <v>584</v>
      </c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t="b">
        <f t="shared" si="3"/>
        <v>0</v>
      </c>
    </row>
    <row r="232" spans="1:16" hidden="1">
      <c r="A232" s="77" t="s">
        <v>236</v>
      </c>
      <c r="B232" s="77" t="s">
        <v>585</v>
      </c>
      <c r="C232" s="77" t="s">
        <v>586</v>
      </c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t="b">
        <f t="shared" si="3"/>
        <v>0</v>
      </c>
    </row>
    <row r="233" spans="1:16" hidden="1">
      <c r="A233" s="77" t="s">
        <v>236</v>
      </c>
      <c r="B233" s="77" t="s">
        <v>587</v>
      </c>
      <c r="C233" s="77" t="s">
        <v>588</v>
      </c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t="b">
        <f t="shared" si="3"/>
        <v>0</v>
      </c>
    </row>
    <row r="234" spans="1:16" hidden="1">
      <c r="A234" s="77" t="s">
        <v>236</v>
      </c>
      <c r="B234" s="77" t="s">
        <v>589</v>
      </c>
      <c r="C234" s="77" t="s">
        <v>590</v>
      </c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t="b">
        <f t="shared" si="3"/>
        <v>0</v>
      </c>
    </row>
    <row r="235" spans="1:16" hidden="1">
      <c r="A235" s="77" t="s">
        <v>236</v>
      </c>
      <c r="B235" s="77" t="s">
        <v>591</v>
      </c>
      <c r="C235" s="77" t="s">
        <v>592</v>
      </c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t="b">
        <f t="shared" si="3"/>
        <v>0</v>
      </c>
    </row>
    <row r="236" spans="1:16" hidden="1">
      <c r="A236" s="77" t="s">
        <v>236</v>
      </c>
      <c r="B236" s="77" t="s">
        <v>593</v>
      </c>
      <c r="C236" s="77" t="s">
        <v>594</v>
      </c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t="b">
        <f t="shared" si="3"/>
        <v>0</v>
      </c>
    </row>
    <row r="237" spans="1:16" hidden="1">
      <c r="A237" s="77" t="s">
        <v>236</v>
      </c>
      <c r="B237" s="77" t="s">
        <v>595</v>
      </c>
      <c r="C237" s="77" t="s">
        <v>596</v>
      </c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t="b">
        <f t="shared" si="3"/>
        <v>0</v>
      </c>
    </row>
    <row r="238" spans="1:16" hidden="1">
      <c r="A238" s="77" t="s">
        <v>236</v>
      </c>
      <c r="B238" s="77" t="s">
        <v>597</v>
      </c>
      <c r="C238" s="77" t="s">
        <v>598</v>
      </c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t="b">
        <f t="shared" si="3"/>
        <v>0</v>
      </c>
    </row>
    <row r="239" spans="1:16" hidden="1">
      <c r="A239" s="77" t="s">
        <v>236</v>
      </c>
      <c r="B239" s="77" t="s">
        <v>599</v>
      </c>
      <c r="C239" s="77" t="s">
        <v>600</v>
      </c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t="b">
        <f t="shared" si="3"/>
        <v>0</v>
      </c>
    </row>
    <row r="240" spans="1:16" hidden="1">
      <c r="A240" s="77" t="s">
        <v>236</v>
      </c>
      <c r="B240" s="77" t="s">
        <v>601</v>
      </c>
      <c r="C240" s="77" t="s">
        <v>602</v>
      </c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t="b">
        <f t="shared" si="3"/>
        <v>0</v>
      </c>
    </row>
    <row r="241" spans="1:16" hidden="1">
      <c r="A241" s="77" t="s">
        <v>236</v>
      </c>
      <c r="B241" s="77" t="s">
        <v>603</v>
      </c>
      <c r="C241" s="77" t="s">
        <v>604</v>
      </c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t="b">
        <f t="shared" si="3"/>
        <v>0</v>
      </c>
    </row>
    <row r="242" spans="1:16" hidden="1">
      <c r="A242" s="77" t="s">
        <v>236</v>
      </c>
      <c r="B242" s="77" t="s">
        <v>605</v>
      </c>
      <c r="C242" s="77" t="s">
        <v>606</v>
      </c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t="b">
        <f t="shared" si="3"/>
        <v>0</v>
      </c>
    </row>
    <row r="243" spans="1:16" hidden="1">
      <c r="A243" s="77" t="s">
        <v>236</v>
      </c>
      <c r="B243" s="77" t="s">
        <v>607</v>
      </c>
      <c r="C243" s="77" t="s">
        <v>608</v>
      </c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t="b">
        <f t="shared" si="3"/>
        <v>0</v>
      </c>
    </row>
    <row r="244" spans="1:16" hidden="1">
      <c r="A244" s="77" t="s">
        <v>236</v>
      </c>
      <c r="B244" s="77" t="s">
        <v>609</v>
      </c>
      <c r="C244" s="77" t="s">
        <v>610</v>
      </c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t="b">
        <f t="shared" si="3"/>
        <v>0</v>
      </c>
    </row>
    <row r="245" spans="1:16" hidden="1">
      <c r="A245" s="77" t="s">
        <v>236</v>
      </c>
      <c r="B245" s="77" t="s">
        <v>611</v>
      </c>
      <c r="C245" s="77" t="s">
        <v>612</v>
      </c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t="b">
        <f t="shared" si="3"/>
        <v>0</v>
      </c>
    </row>
    <row r="246" spans="1:16" hidden="1">
      <c r="A246" s="77" t="s">
        <v>236</v>
      </c>
      <c r="B246" s="77" t="s">
        <v>613</v>
      </c>
      <c r="C246" s="77" t="s">
        <v>614</v>
      </c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t="b">
        <f t="shared" si="3"/>
        <v>0</v>
      </c>
    </row>
    <row r="247" spans="1:16" hidden="1">
      <c r="A247" s="77" t="s">
        <v>236</v>
      </c>
      <c r="B247" s="77" t="s">
        <v>615</v>
      </c>
      <c r="C247" s="77" t="s">
        <v>616</v>
      </c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t="b">
        <f t="shared" si="3"/>
        <v>0</v>
      </c>
    </row>
    <row r="248" spans="1:16" hidden="1">
      <c r="A248" s="77" t="s">
        <v>236</v>
      </c>
      <c r="B248" s="77" t="s">
        <v>617</v>
      </c>
      <c r="C248" s="77" t="s">
        <v>618</v>
      </c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t="b">
        <f t="shared" si="3"/>
        <v>0</v>
      </c>
    </row>
    <row r="249" spans="1:16" hidden="1">
      <c r="A249" s="77" t="s">
        <v>236</v>
      </c>
      <c r="B249" s="77" t="s">
        <v>619</v>
      </c>
      <c r="C249" s="77" t="s">
        <v>620</v>
      </c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t="b">
        <f t="shared" si="3"/>
        <v>0</v>
      </c>
    </row>
    <row r="250" spans="1:16" hidden="1">
      <c r="A250" s="77" t="s">
        <v>236</v>
      </c>
      <c r="B250" s="77" t="s">
        <v>621</v>
      </c>
      <c r="C250" s="77" t="s">
        <v>622</v>
      </c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t="b">
        <f t="shared" si="3"/>
        <v>0</v>
      </c>
    </row>
    <row r="251" spans="1:16" hidden="1">
      <c r="A251" s="77" t="s">
        <v>236</v>
      </c>
      <c r="B251" s="77" t="s">
        <v>623</v>
      </c>
      <c r="C251" s="77" t="s">
        <v>624</v>
      </c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t="b">
        <f t="shared" si="3"/>
        <v>0</v>
      </c>
    </row>
    <row r="252" spans="1:16" hidden="1">
      <c r="A252" s="77" t="s">
        <v>236</v>
      </c>
      <c r="B252" s="77" t="s">
        <v>625</v>
      </c>
      <c r="C252" s="77" t="s">
        <v>626</v>
      </c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t="b">
        <f t="shared" si="3"/>
        <v>0</v>
      </c>
    </row>
    <row r="253" spans="1:16" hidden="1">
      <c r="A253" s="77" t="s">
        <v>236</v>
      </c>
      <c r="B253" s="77" t="s">
        <v>627</v>
      </c>
      <c r="C253" s="77" t="s">
        <v>628</v>
      </c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t="b">
        <f t="shared" si="3"/>
        <v>0</v>
      </c>
    </row>
    <row r="254" spans="1:16" hidden="1">
      <c r="A254" s="77" t="s">
        <v>236</v>
      </c>
      <c r="B254" s="77" t="s">
        <v>629</v>
      </c>
      <c r="C254" s="77" t="s">
        <v>630</v>
      </c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t="b">
        <f t="shared" si="3"/>
        <v>0</v>
      </c>
    </row>
    <row r="255" spans="1:16" hidden="1">
      <c r="A255" s="77" t="s">
        <v>236</v>
      </c>
      <c r="B255" s="77" t="s">
        <v>631</v>
      </c>
      <c r="C255" s="77" t="s">
        <v>632</v>
      </c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t="b">
        <f t="shared" si="3"/>
        <v>0</v>
      </c>
    </row>
    <row r="256" spans="1:16">
      <c r="A256" s="77" t="s">
        <v>236</v>
      </c>
      <c r="B256" s="77" t="s">
        <v>775</v>
      </c>
      <c r="C256" s="77" t="s">
        <v>777</v>
      </c>
      <c r="D256" s="77" t="s">
        <v>176</v>
      </c>
      <c r="E256" s="77" t="s">
        <v>176</v>
      </c>
      <c r="F256" s="77" t="s">
        <v>176</v>
      </c>
      <c r="G256" s="77" t="s">
        <v>176</v>
      </c>
      <c r="H256" s="77"/>
      <c r="I256" s="77"/>
      <c r="J256" s="77"/>
      <c r="K256" s="77"/>
      <c r="L256" s="77"/>
      <c r="M256" s="77"/>
      <c r="N256" s="77" t="s">
        <v>176</v>
      </c>
      <c r="O256" s="77" t="s">
        <v>224</v>
      </c>
      <c r="P256" t="b">
        <f t="shared" si="3"/>
        <v>1</v>
      </c>
    </row>
    <row r="257" spans="1:16" hidden="1">
      <c r="A257" s="77" t="s">
        <v>236</v>
      </c>
      <c r="B257" s="77" t="s">
        <v>633</v>
      </c>
      <c r="C257" s="77" t="s">
        <v>634</v>
      </c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t="b">
        <f t="shared" si="3"/>
        <v>0</v>
      </c>
    </row>
    <row r="258" spans="1:16" hidden="1">
      <c r="A258" s="77" t="s">
        <v>236</v>
      </c>
      <c r="B258" s="77" t="s">
        <v>635</v>
      </c>
      <c r="C258" s="77" t="s">
        <v>636</v>
      </c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t="b">
        <f t="shared" si="3"/>
        <v>0</v>
      </c>
    </row>
    <row r="259" spans="1:16" hidden="1">
      <c r="A259" s="77" t="s">
        <v>236</v>
      </c>
      <c r="B259" s="77" t="s">
        <v>637</v>
      </c>
      <c r="C259" s="77" t="s">
        <v>638</v>
      </c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t="b">
        <f t="shared" ref="P259:P285" si="4">COUNTIF(D259:N259,"〇")&gt;=1</f>
        <v>0</v>
      </c>
    </row>
    <row r="260" spans="1:16" hidden="1">
      <c r="A260" s="77" t="s">
        <v>236</v>
      </c>
      <c r="B260" s="77" t="s">
        <v>639</v>
      </c>
      <c r="C260" s="77" t="s">
        <v>640</v>
      </c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t="b">
        <f t="shared" si="4"/>
        <v>0</v>
      </c>
    </row>
    <row r="261" spans="1:16" hidden="1">
      <c r="A261" s="77" t="s">
        <v>236</v>
      </c>
      <c r="B261" s="77" t="s">
        <v>641</v>
      </c>
      <c r="C261" s="77" t="s">
        <v>642</v>
      </c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t="b">
        <f t="shared" si="4"/>
        <v>0</v>
      </c>
    </row>
    <row r="262" spans="1:16" hidden="1">
      <c r="A262" s="77" t="s">
        <v>236</v>
      </c>
      <c r="B262" s="77" t="s">
        <v>643</v>
      </c>
      <c r="C262" s="77" t="s">
        <v>644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t="b">
        <f t="shared" si="4"/>
        <v>0</v>
      </c>
    </row>
    <row r="263" spans="1:16" hidden="1">
      <c r="A263" s="77" t="s">
        <v>236</v>
      </c>
      <c r="B263" s="77" t="s">
        <v>645</v>
      </c>
      <c r="C263" s="77" t="s">
        <v>646</v>
      </c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t="b">
        <f t="shared" si="4"/>
        <v>0</v>
      </c>
    </row>
    <row r="264" spans="1:16" hidden="1">
      <c r="A264" s="77" t="s">
        <v>236</v>
      </c>
      <c r="B264" s="77" t="s">
        <v>647</v>
      </c>
      <c r="C264" s="77" t="s">
        <v>648</v>
      </c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t="b">
        <f t="shared" si="4"/>
        <v>0</v>
      </c>
    </row>
    <row r="265" spans="1:16" hidden="1">
      <c r="A265" s="77" t="s">
        <v>236</v>
      </c>
      <c r="B265" s="77" t="s">
        <v>649</v>
      </c>
      <c r="C265" s="77" t="s">
        <v>650</v>
      </c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t="b">
        <f t="shared" si="4"/>
        <v>0</v>
      </c>
    </row>
    <row r="266" spans="1:16" hidden="1">
      <c r="A266" s="77" t="s">
        <v>236</v>
      </c>
      <c r="B266" s="77" t="s">
        <v>651</v>
      </c>
      <c r="C266" s="77" t="s">
        <v>652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t="b">
        <f t="shared" si="4"/>
        <v>0</v>
      </c>
    </row>
    <row r="267" spans="1:16" hidden="1">
      <c r="A267" s="77" t="s">
        <v>236</v>
      </c>
      <c r="B267" s="77" t="s">
        <v>653</v>
      </c>
      <c r="C267" s="77" t="s">
        <v>654</v>
      </c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t="b">
        <f t="shared" si="4"/>
        <v>0</v>
      </c>
    </row>
    <row r="268" spans="1:16" hidden="1">
      <c r="A268" s="77" t="s">
        <v>236</v>
      </c>
      <c r="B268" s="77" t="s">
        <v>655</v>
      </c>
      <c r="C268" s="77" t="s">
        <v>656</v>
      </c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t="b">
        <f t="shared" si="4"/>
        <v>0</v>
      </c>
    </row>
    <row r="269" spans="1:16" hidden="1">
      <c r="A269" s="77" t="s">
        <v>236</v>
      </c>
      <c r="B269" s="77" t="s">
        <v>657</v>
      </c>
      <c r="C269" s="77" t="s">
        <v>658</v>
      </c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t="b">
        <f t="shared" si="4"/>
        <v>0</v>
      </c>
    </row>
    <row r="270" spans="1:16" hidden="1">
      <c r="A270" s="77" t="s">
        <v>236</v>
      </c>
      <c r="B270" s="77" t="s">
        <v>659</v>
      </c>
      <c r="C270" s="77" t="s">
        <v>660</v>
      </c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t="b">
        <f t="shared" si="4"/>
        <v>0</v>
      </c>
    </row>
    <row r="271" spans="1:16" hidden="1">
      <c r="A271" s="77" t="s">
        <v>236</v>
      </c>
      <c r="B271" s="77" t="s">
        <v>661</v>
      </c>
      <c r="C271" s="77" t="s">
        <v>662</v>
      </c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t="b">
        <f t="shared" si="4"/>
        <v>0</v>
      </c>
    </row>
    <row r="272" spans="1:16" hidden="1">
      <c r="A272" s="77" t="s">
        <v>236</v>
      </c>
      <c r="B272" s="77" t="s">
        <v>663</v>
      </c>
      <c r="C272" s="77" t="s">
        <v>664</v>
      </c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t="b">
        <f t="shared" si="4"/>
        <v>0</v>
      </c>
    </row>
    <row r="273" spans="1:16" hidden="1">
      <c r="A273" s="77" t="s">
        <v>236</v>
      </c>
      <c r="B273" s="77" t="s">
        <v>665</v>
      </c>
      <c r="C273" s="77" t="s">
        <v>666</v>
      </c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t="b">
        <f t="shared" si="4"/>
        <v>0</v>
      </c>
    </row>
    <row r="274" spans="1:16" hidden="1">
      <c r="A274" s="77" t="s">
        <v>236</v>
      </c>
      <c r="B274" s="77" t="s">
        <v>667</v>
      </c>
      <c r="C274" s="77" t="s">
        <v>668</v>
      </c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t="b">
        <f t="shared" si="4"/>
        <v>0</v>
      </c>
    </row>
    <row r="275" spans="1:16" hidden="1">
      <c r="A275" s="77" t="s">
        <v>236</v>
      </c>
      <c r="B275" s="77" t="s">
        <v>669</v>
      </c>
      <c r="C275" s="77" t="s">
        <v>670</v>
      </c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t="b">
        <f t="shared" si="4"/>
        <v>0</v>
      </c>
    </row>
    <row r="276" spans="1:16" hidden="1">
      <c r="A276" s="77" t="s">
        <v>236</v>
      </c>
      <c r="B276" s="77" t="s">
        <v>671</v>
      </c>
      <c r="C276" s="77" t="s">
        <v>672</v>
      </c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t="b">
        <f t="shared" si="4"/>
        <v>0</v>
      </c>
    </row>
    <row r="277" spans="1:16" hidden="1">
      <c r="A277" s="77" t="s">
        <v>236</v>
      </c>
      <c r="B277" s="77" t="s">
        <v>673</v>
      </c>
      <c r="C277" s="77" t="s">
        <v>674</v>
      </c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t="b">
        <f t="shared" si="4"/>
        <v>0</v>
      </c>
    </row>
    <row r="278" spans="1:16" hidden="1">
      <c r="A278" s="77" t="s">
        <v>236</v>
      </c>
      <c r="B278" s="77" t="s">
        <v>675</v>
      </c>
      <c r="C278" s="77" t="s">
        <v>676</v>
      </c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t="b">
        <f t="shared" si="4"/>
        <v>0</v>
      </c>
    </row>
    <row r="279" spans="1:16" hidden="1">
      <c r="A279" s="77" t="s">
        <v>236</v>
      </c>
      <c r="B279" s="77" t="s">
        <v>677</v>
      </c>
      <c r="C279" s="77" t="s">
        <v>678</v>
      </c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t="b">
        <f t="shared" si="4"/>
        <v>0</v>
      </c>
    </row>
    <row r="280" spans="1:16" hidden="1">
      <c r="A280" s="77" t="s">
        <v>236</v>
      </c>
      <c r="B280" s="77" t="s">
        <v>679</v>
      </c>
      <c r="C280" s="77" t="s">
        <v>680</v>
      </c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t="b">
        <f t="shared" si="4"/>
        <v>0</v>
      </c>
    </row>
    <row r="281" spans="1:16" hidden="1">
      <c r="A281" s="77" t="s">
        <v>236</v>
      </c>
      <c r="B281" s="77" t="s">
        <v>681</v>
      </c>
      <c r="C281" s="77" t="s">
        <v>682</v>
      </c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t="b">
        <f t="shared" si="4"/>
        <v>0</v>
      </c>
    </row>
    <row r="282" spans="1:16" hidden="1">
      <c r="A282" s="77" t="s">
        <v>236</v>
      </c>
      <c r="B282" s="77" t="s">
        <v>683</v>
      </c>
      <c r="C282" s="77" t="s">
        <v>684</v>
      </c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t="b">
        <f t="shared" si="4"/>
        <v>0</v>
      </c>
    </row>
    <row r="283" spans="1:16" hidden="1">
      <c r="A283" s="77" t="s">
        <v>236</v>
      </c>
      <c r="B283" s="77" t="s">
        <v>685</v>
      </c>
      <c r="C283" s="77" t="s">
        <v>686</v>
      </c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t="b">
        <f t="shared" si="4"/>
        <v>0</v>
      </c>
    </row>
    <row r="284" spans="1:16" hidden="1">
      <c r="A284" s="77" t="s">
        <v>236</v>
      </c>
      <c r="B284" s="77" t="s">
        <v>687</v>
      </c>
      <c r="C284" s="77" t="s">
        <v>688</v>
      </c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t="b">
        <f t="shared" si="4"/>
        <v>0</v>
      </c>
    </row>
    <row r="285" spans="1:16">
      <c r="A285" s="77" t="s">
        <v>236</v>
      </c>
      <c r="B285" s="77" t="s">
        <v>100</v>
      </c>
      <c r="C285" s="77" t="s">
        <v>121</v>
      </c>
      <c r="D285" s="77" t="s">
        <v>176</v>
      </c>
      <c r="E285" s="77" t="s">
        <v>176</v>
      </c>
      <c r="F285" s="77" t="s">
        <v>176</v>
      </c>
      <c r="G285" s="77" t="s">
        <v>176</v>
      </c>
      <c r="H285" s="77" t="s">
        <v>176</v>
      </c>
      <c r="I285" s="77" t="s">
        <v>176</v>
      </c>
      <c r="J285" s="77" t="s">
        <v>176</v>
      </c>
      <c r="K285" s="77" t="s">
        <v>176</v>
      </c>
      <c r="L285" s="77" t="s">
        <v>176</v>
      </c>
      <c r="M285" s="77" t="s">
        <v>176</v>
      </c>
      <c r="N285" s="77" t="s">
        <v>176</v>
      </c>
      <c r="O285" s="77" t="s">
        <v>224</v>
      </c>
      <c r="P285" t="b">
        <f t="shared" si="4"/>
        <v>1</v>
      </c>
    </row>
    <row r="286" spans="1:16" hidden="1">
      <c r="A286" s="77" t="s">
        <v>236</v>
      </c>
      <c r="B286" s="77" t="s">
        <v>50</v>
      </c>
      <c r="C286" s="77" t="s">
        <v>51</v>
      </c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t="b">
        <f t="shared" ref="P286:P293" si="5">COUNTIF(D286:G286,"〇")&gt;=1</f>
        <v>0</v>
      </c>
    </row>
    <row r="287" spans="1:16" hidden="1">
      <c r="A287" s="77" t="s">
        <v>236</v>
      </c>
      <c r="B287" s="77" t="s">
        <v>52</v>
      </c>
      <c r="C287" s="77" t="s">
        <v>53</v>
      </c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t="b">
        <f t="shared" si="5"/>
        <v>0</v>
      </c>
    </row>
    <row r="288" spans="1:16" hidden="1">
      <c r="A288" s="77" t="s">
        <v>236</v>
      </c>
      <c r="B288" s="77" t="s">
        <v>54</v>
      </c>
      <c r="C288" s="77" t="s">
        <v>55</v>
      </c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t="b">
        <f t="shared" si="5"/>
        <v>0</v>
      </c>
    </row>
    <row r="289" spans="1:16" hidden="1">
      <c r="A289" s="77" t="s">
        <v>236</v>
      </c>
      <c r="B289" s="77" t="s">
        <v>57</v>
      </c>
      <c r="C289" s="77" t="s">
        <v>58</v>
      </c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t="b">
        <f t="shared" si="5"/>
        <v>0</v>
      </c>
    </row>
    <row r="290" spans="1:16" hidden="1">
      <c r="A290" s="77" t="s">
        <v>236</v>
      </c>
      <c r="B290" s="77" t="s">
        <v>59</v>
      </c>
      <c r="C290" s="77" t="s">
        <v>60</v>
      </c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t="b">
        <f t="shared" si="5"/>
        <v>0</v>
      </c>
    </row>
    <row r="291" spans="1:16" hidden="1">
      <c r="A291" s="77" t="s">
        <v>236</v>
      </c>
      <c r="B291" s="77" t="s">
        <v>61</v>
      </c>
      <c r="C291" s="77" t="s">
        <v>62</v>
      </c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t="b">
        <f t="shared" si="5"/>
        <v>0</v>
      </c>
    </row>
    <row r="292" spans="1:16" hidden="1">
      <c r="A292" s="77" t="s">
        <v>236</v>
      </c>
      <c r="B292" s="77" t="s">
        <v>63</v>
      </c>
      <c r="C292" s="77" t="s">
        <v>64</v>
      </c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t="b">
        <f t="shared" si="5"/>
        <v>0</v>
      </c>
    </row>
    <row r="293" spans="1:16" hidden="1">
      <c r="A293" s="77" t="s">
        <v>236</v>
      </c>
      <c r="B293" s="77" t="s">
        <v>65</v>
      </c>
      <c r="C293" s="77" t="s">
        <v>66</v>
      </c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t="b">
        <f t="shared" si="5"/>
        <v>0</v>
      </c>
    </row>
  </sheetData>
  <autoFilter ref="A1:P293" xr:uid="{AB5F61A3-9040-4784-9984-1DD0F54CA2BC}">
    <filterColumn colId="15">
      <filters>
        <filter val="TRUE"/>
      </filters>
    </filterColumn>
  </autoFilter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2F1528-390D-4924-964A-5A73AFC7C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47DEF-90B0-4974-998C-1122038AED4E}">
  <ds:schemaRefs>
    <ds:schemaRef ds:uri="http://schemas.microsoft.com/office/2006/metadata/properties"/>
    <ds:schemaRef ds:uri="http://purl.org/dc/terms/"/>
    <ds:schemaRef ds:uri="69cb980d-ece2-4836-b1eb-1194e87de84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11</vt:i4>
      </vt:variant>
    </vt:vector>
  </HeadingPairs>
  <TitlesOfParts>
    <vt:vector size="18" baseType="lpstr">
      <vt:lpstr>表紙</vt:lpstr>
      <vt:lpstr>変更履歴</vt:lpstr>
      <vt:lpstr>１．機能</vt:lpstr>
      <vt:lpstr>２．項目転送（EDI送信DB_支払）_更新</vt:lpstr>
      <vt:lpstr>３．項目転送（EDI採番マスタ）_更新</vt:lpstr>
      <vt:lpstr>４．項目転送（連携ファイル）</vt:lpstr>
      <vt:lpstr>５．【参考】項目転送取引先別一覧表</vt:lpstr>
      <vt:lpstr>'１．機能'!Print_Area</vt:lpstr>
      <vt:lpstr>'２．項目転送（EDI送信DB_支払）_更新'!Print_Area</vt:lpstr>
      <vt:lpstr>'３．項目転送（EDI採番マスタ）_更新'!Print_Area</vt:lpstr>
      <vt:lpstr>'４．項目転送（連携ファイル）'!Print_Area</vt:lpstr>
      <vt:lpstr>表紙!Print_Area</vt:lpstr>
      <vt:lpstr>変更履歴!Print_Area</vt:lpstr>
      <vt:lpstr>'１．機能'!Print_Titles</vt:lpstr>
      <vt:lpstr>'２．項目転送（EDI送信DB_支払）_更新'!Print_Titles</vt:lpstr>
      <vt:lpstr>'３．項目転送（EDI採番マスタ）_更新'!Print_Titles</vt:lpstr>
      <vt:lpstr>'４．項目転送（連携ファイル）'!Print_Titles</vt:lpstr>
      <vt:lpstr>変更履歴!Print_Titles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Administrator</cp:lastModifiedBy>
  <cp:revision/>
  <dcterms:created xsi:type="dcterms:W3CDTF">2004-12-16T00:43:49Z</dcterms:created>
  <dcterms:modified xsi:type="dcterms:W3CDTF">2025-06-20T06:29:11Z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