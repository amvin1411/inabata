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03" codeName="{00000000-0000-0000-0000-000000000000}"/>
  <workbookPr saveExternalLinkValues="0" codeName="ThisWorkbook" defaultThemeVersion="124226"/>
  <mc:AlternateContent xmlns:mc="http://schemas.openxmlformats.org/markup-compatibility/2006">
    <mc:Choice Requires="x15">
      <x15ac:absPath xmlns:x15ac="http://schemas.microsoft.com/office/spreadsheetml/2010/11/ac" url="https://fujitsu.sharepoint.com/teams/Global-98b38516-20171APM/Shared Documents/20171 稲畑産業APM保守/Internal/File sharing/【R60795】Phase 2 support/PT/発注/SPT_発注/CMNA555S010/"/>
    </mc:Choice>
  </mc:AlternateContent>
  <xr:revisionPtr revIDLastSave="4" documentId="13_ncr:1_{40E1A773-B7F9-49F4-B19C-49625A9997B5}" xr6:coauthVersionLast="47" xr6:coauthVersionMax="47" xr10:uidLastSave="{EC9F43E9-EDFC-446A-8A65-172F69EEDF34}"/>
  <bookViews>
    <workbookView xWindow="-28920" yWindow="-4725" windowWidth="29040" windowHeight="15720"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end" sheetId="102" r:id="rId9"/>
    <sheet name="業務_1" sheetId="113"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基本_バッチ_1!$A$10:$FC$371</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上">'[2]営業系PG管理表 (テストフェーズ別)'!#REF!</definedName>
    <definedName name="B_下">'[2]営業系PG管理表 (テストフェーズ別)'!#REF!</definedName>
    <definedName name="CSV項目編集仕様">[3]リスト!$A$2:$A$3</definedName>
    <definedName name="dd">[4]リスト!$A$2:$A$3</definedName>
    <definedName name="DS_上">'[2]営業系PG管理表 (テストフェーズ別)'!#REF!</definedName>
    <definedName name="DS_下">'[2]営業系PG管理表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上">'[2]営業系PG管理表 (テストフェーズ別)'!#REF!</definedName>
    <definedName name="PCL_下">'[2]営業系PG管理表 (テストフェーズ別)'!#REF!</definedName>
    <definedName name="PGID" comment="V5.2 change to process name">表紙!$I$8</definedName>
    <definedName name="ＰＧレビュア">表紙!$L$28</definedName>
    <definedName name="ＰＧレビュー指摘率">表紙!$F$28</definedName>
    <definedName name="PG名" comment="V5.2 change to free area">表紙!$I$9</definedName>
    <definedName name="ＰＧ実施日">表紙!$I$28</definedName>
    <definedName name="ＰＧ担当">[5]入力ＴＢＬ!$K$3:$K$10</definedName>
    <definedName name="ＰＧ指摘件数">表紙!$B$28</definedName>
    <definedName name="ＰＧ被レビュア">表紙!$O$28</definedName>
    <definedName name="_xlnm.Print_Area" localSheetId="5">基本_オン_1!$A$1:$CY$677</definedName>
    <definedName name="_xlnm.Print_Area" localSheetId="3">基本_バッチ_1!$A$1:$CY$371</definedName>
    <definedName name="_xlnm.Print_Area" localSheetId="6">基本_帳票_1!$A$1:$CY$335</definedName>
    <definedName name="_xlnm.Print_Area" localSheetId="9">業務_1!$A$1:$CY$65</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9">業務_1!$1:$10</definedName>
    <definedName name="ＰＳレビュア">表紙!$L$16</definedName>
    <definedName name="ＰＳレビュー指摘率">表紙!$F$16</definedName>
    <definedName name="ＰＳ実施日">表紙!$I$16</definedName>
    <definedName name="ＰＳ指摘件数">表紙!$B$16</definedName>
    <definedName name="ＰＳ被レビュア">表紙!$O$16</definedName>
    <definedName name="ＰＴＣ１未満">表紙!$E$45</definedName>
    <definedName name="ＰＴＣ１網羅率">表紙!$B$45</definedName>
    <definedName name="ＰＴ仕様レビュー指摘率">表紙!$F$22</definedName>
    <definedName name="ＰＴ仕様書">表紙!$B$3</definedName>
    <definedName name="ＰＴ仕様書レビュア">表紙!$L$22</definedName>
    <definedName name="ＰＴ仕様書実施日">表紙!$I$22</definedName>
    <definedName name="ＰＴ仕様書指摘件数">表紙!$B$22</definedName>
    <definedName name="ＰＴ仕様書種類">表紙!$O$3</definedName>
    <definedName name="ＰＴ仕様書被レビュア">表紙!$O$22</definedName>
    <definedName name="ＰＴ受入１受入者">表紙!$Y$52</definedName>
    <definedName name="ＰＴ受入１可否">表紙!$AA$52</definedName>
    <definedName name="ＰＴ受入１実施日">表紙!$V$52</definedName>
    <definedName name="ＰＴ受入１障害件数">表紙!$T$52</definedName>
    <definedName name="ＰＴ受入２受入者">表紙!$AH$52</definedName>
    <definedName name="ＰＴ受入２可否">表紙!$AM$52</definedName>
    <definedName name="ＰＴ受入２実施日">表紙!$AE$52</definedName>
    <definedName name="ＰＴ受入２障害件数">表紙!$AC$52</definedName>
    <definedName name="ＰＴ基本実施日">表紙!$H$35</definedName>
    <definedName name="ＰＴ基本実施者">表紙!$H$35</definedName>
    <definedName name="ＰＴ基本確認日">表紙!$K$35</definedName>
    <definedName name="ＰＴ基本確認者">表紙!$N$35</definedName>
    <definedName name="ＰＴ基本終了日">表紙!$E$35</definedName>
    <definedName name="ＰＴ基本開始日">表紙!$B$35</definedName>
    <definedName name="ＰＴ業務実施者">表紙!$H$40</definedName>
    <definedName name="ＰＴ業務確認日">表紙!$K$40</definedName>
    <definedName name="ＰＴ業務確認者">表紙!$N$40</definedName>
    <definedName name="ＰＴ業務終了日">表紙!$E$40</definedName>
    <definedName name="ＰＴ業務開始日">表紙!$B$40</definedName>
    <definedName name="ＰＴ評価">表紙!$T$41</definedName>
    <definedName name="PT項目">#REF!</definedName>
    <definedName name="RI">[8]設定!$B$7:$B$9</definedName>
    <definedName name="riyu">[8]設定!$B$7:$B$9</definedName>
    <definedName name="RYZ">[8]設定!$B$7:$B$9</definedName>
    <definedName name="ＳＱＬ発行１">表紙!$D$54</definedName>
    <definedName name="ＳＱＬ発行２">表紙!$G$54</definedName>
    <definedName name="STEP_上">'[2]営業系PG管理表 (テストフェーズ別)'!#REF!</definedName>
    <definedName name="STEP_下">'[2]営業系PG管理表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終了">コード表!$C$30</definedName>
    <definedName name="コード表_工程_開始">コード表!$C$3</definedName>
    <definedName name="コード表_所属略称_終了">コード表!$G$38</definedName>
    <definedName name="コード表_所属略称_開始">コード表!$G$3</definedName>
    <definedName name="コード表_担当者_終了">コード表!$I$30</definedName>
    <definedName name="コード表_担当者_開始">コード表!$I$3</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基本_バッチ_1!$A$371</definedName>
    <definedName name="テスト項目定義書_最終行" localSheetId="6">基本_帳票_1!$A$335</definedName>
    <definedName name="テスト項目定義書_最終行" localSheetId="9">業務_1!$A$65</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名">表紙!$I$9</definedName>
    <definedName name="プロセス範囲">プロセス!$J$3:$L$3</definedName>
    <definedName name="ブロック">[5]入力ＴＢＬ!$B$3:$B$27</definedName>
    <definedName name="ブロックＩＤ">[5]入力ＴＢＬ!$A$3:$A$27</definedName>
    <definedName name="レベル">[11]リスト!$A$2:$A$3</definedName>
    <definedName name="一意">[7]項目定義一覧!#REF!</definedName>
    <definedName name="一覧２">[9]カテゴリ!$M$6:$M$16</definedName>
    <definedName name="主キー">[7]項目定義一覧!#REF!</definedName>
    <definedName name="仕様">#REF!</definedName>
    <definedName name="仕様確定">#REF!</definedName>
    <definedName name="会社名リスト範囲">コード表!$G$2</definedName>
    <definedName name="備考">#REF!</definedName>
    <definedName name="入出">#REF!</definedName>
    <definedName name="入出力部品日本語名・クラス名対応表">#REF!</definedName>
    <definedName name="入出力項目">#REF!</definedName>
    <definedName name="入力チェック">[8]設定!$A$7:$A$8</definedName>
    <definedName name="共通">[10]設定!$B$2</definedName>
    <definedName name="共通設定_規模">【変更不可】共通設定!$B$1</definedName>
    <definedName name="処理区分">[12]業務制御条件定義!$BO$18:$BO$24</definedName>
    <definedName name="処理時間１">表紙!$D$53</definedName>
    <definedName name="処理時間２">表紙!$G$53</definedName>
    <definedName name="初期値">[7]項目定義一覧!#REF!</definedName>
    <definedName name="利用可否">#REF!</definedName>
    <definedName name="利用可否1">[8]設定!$B$7:$B$9</definedName>
    <definedName name="前工程">'[13]ﾊﾞｸﾞ分析(ｸﾞﾗﾌ)ﾜｰｸ'!$BU$1</definedName>
    <definedName name="区分">#REF!</definedName>
    <definedName name="原因一覧_終了">原因区分!$B$30</definedName>
    <definedName name="原因一覧_開始">原因区分!$B$9</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可変行表示">#REF!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型">#REF!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基準稼働時間">#REF!</definedName>
    <definedName name="対象工程">'[13]ﾊﾞｸﾞ分析(ｸﾞﾗﾌ)ﾜｰｸ'!$BV$1</definedName>
    <definedName name="工程リスト範囲">コード表!$C$2</definedName>
    <definedName name="年表示パターン">#REF!</definedName>
    <definedName name="必須">[7]項目定義一覧!#REF!</definedName>
    <definedName name="必須入力項目">#REF!</definedName>
    <definedName name="性能評価">表紙!$J$52</definedName>
    <definedName name="所属">[5]入力ＴＢＬ!$G$3:$G$10</definedName>
    <definedName name="抽出クラス">#REF!</definedName>
    <definedName name="担当会社名">表紙!$I$10</definedName>
    <definedName name="担当者名">表紙!$I$11</definedName>
    <definedName name="担当者名リスト範囲">コード表!$I$2</definedName>
    <definedName name="指摘区分">#REF!</definedName>
    <definedName name="指摘種別">#REF!</definedName>
    <definedName name="数字">#REF!</definedName>
    <definedName name="数字編集出力仕様">#REF!</definedName>
    <definedName name="日付編集出力仕様">#REF!</definedName>
    <definedName name="日本語">#REF!</definedName>
    <definedName name="日本語名">#REF!</definedName>
    <definedName name="日本語名称">#REF!</definedName>
    <definedName name="更新日">[10]設定!$BC$3</definedName>
    <definedName name="更新者">[10]設定!$BI$3</definedName>
    <definedName name="期限">#REF!</definedName>
    <definedName name="本支店">[14]テーブル!$B$2:$B$5</definedName>
    <definedName name="本支店2">[15]仕入先グロス_仮!$G$6</definedName>
    <definedName name="本部">[14]テーブル!$A$2:$A$8</definedName>
    <definedName name="本部1">[16]テーブル!$A$2:$A$8</definedName>
    <definedName name="桁数１">#REF!</definedName>
    <definedName name="桁数２">#REF!</definedName>
    <definedName name="検索条件_グループ">#REF!</definedName>
    <definedName name="検索条件_チーム">[14]回収予定表2!$G$7</definedName>
    <definedName name="検索条件_仕入先">#REF!</definedName>
    <definedName name="検索条件_仕入先企業">#REF!</definedName>
    <definedName name="検索条件_企業">#REF!</definedName>
    <definedName name="検索条件_企業グループ">#REF!</definedName>
    <definedName name="検索条件_商品分類">#REF!</definedName>
    <definedName name="検索条件_商品名">#REF!</definedName>
    <definedName name="検索条件_営業担当者">[14]回収予定表2!$G$8</definedName>
    <definedName name="検索条件_年">[17]売上日計表照会2!$H$4</definedName>
    <definedName name="検索条件_月">[17]売上日計表照会2!$J$4</definedName>
    <definedName name="検索条件_本支店">[14]回収予定表2!$G$5</definedName>
    <definedName name="検索条件_本部">[14]回収予定表2!$G$4</definedName>
    <definedName name="検索条件_発注先">#REF!</definedName>
    <definedName name="検索条件_発注先企業">#REF!</definedName>
    <definedName name="業">#REF!</definedName>
    <definedName name="業務エラー率">表紙!$AG$20</definedName>
    <definedName name="業務テスト項目数">表紙!$AG$16</definedName>
    <definedName name="業務テスト項目設定率">表紙!$AG$17</definedName>
    <definedName name="業務プロセス名">表紙!$I$7</definedName>
    <definedName name="業務プロセス範囲">プロセス!$F$3:$H$3</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間連携">[8]設定!$C$7:$C$9</definedName>
    <definedName name="業務障害件数">表紙!$AG$19</definedName>
    <definedName name="機能名_選択">#REF!</definedName>
    <definedName name="物理名">#REF!</definedName>
    <definedName name="発行日">#REF!</definedName>
    <definedName name="目標値">'[2]営業系PG管理表 (テストフェーズ別)'!#REF!</definedName>
    <definedName name="確認区分">#REF!</definedName>
    <definedName name="移行元ﾌｧｲﾙＩＤ">[7]項目定義一覧!#REF!</definedName>
    <definedName name="移行元項目ＩＤ">[7]項目定義一覧!#REF!</definedName>
    <definedName name="符号">#REF!</definedName>
    <definedName name="管理No">#REF!</definedName>
    <definedName name="管理単位_サブシステム">設定シート!$D$2</definedName>
    <definedName name="管理単位_管理単位１">設定シート!$E$2</definedName>
    <definedName name="管理単位_管理単位２">設定シート!$F$2</definedName>
    <definedName name="管理単位_終了">設定シート!$D$11</definedName>
    <definedName name="管理単位_開始">設定シート!$D$2</definedName>
    <definedName name="管理単位名_管理単位１">設定シート!$E$2</definedName>
    <definedName name="管理単位名_管理単位２">設定シート!$F$2</definedName>
    <definedName name="繰返">[18]リスト!$A$2:$A$4</definedName>
    <definedName name="言語">[5]入力ＴＢＬ!$D$3:$D$12</definedName>
    <definedName name="評価_PCL">[5]入力ＴＢＬ!$O$3:$R$5</definedName>
    <definedName name="論理データ型一覧">[9]論理データ型!$A$3:$A$41</definedName>
    <definedName name="論理データ型一覧２">[9]論理データ型!$A$3:$A$41</definedName>
    <definedName name="質的分類">#REF!</definedName>
    <definedName name="連番">#REF!</definedName>
    <definedName name="開発規模">表紙!$I$12</definedName>
    <definedName name="関連表" hidden="1">#REF!</definedName>
    <definedName name="項番">#REF!</definedName>
    <definedName name="項目名CK">[7]項目定義一覧!#REF!</definedName>
    <definedName name="項目名称">#REF!</definedName>
    <definedName name="類別選択">[0]!類別選択</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2" i="105" l="1"/>
  <c r="C231" i="105"/>
  <c r="C230" i="105"/>
  <c r="C229" i="105"/>
  <c r="C228" i="105"/>
  <c r="C227" i="105"/>
  <c r="C166" i="105"/>
  <c r="C165" i="105"/>
  <c r="C164" i="105"/>
  <c r="C163" i="105"/>
  <c r="C162" i="105"/>
  <c r="C161" i="105"/>
  <c r="C148" i="105"/>
  <c r="C147" i="105"/>
  <c r="C146" i="105"/>
  <c r="C145" i="105"/>
  <c r="C144" i="105"/>
  <c r="C143" i="105"/>
  <c r="C106" i="105"/>
  <c r="C105" i="105"/>
  <c r="C104" i="105"/>
  <c r="C103" i="105"/>
  <c r="C102" i="105"/>
  <c r="C101" i="105"/>
  <c r="C52" i="105"/>
  <c r="C51" i="105"/>
  <c r="C50" i="105"/>
  <c r="C49" i="105"/>
  <c r="C48" i="105"/>
  <c r="C47" i="105"/>
  <c r="C280" i="105"/>
  <c r="C279" i="105"/>
  <c r="C278" i="105"/>
  <c r="C277" i="105"/>
  <c r="C276" i="105"/>
  <c r="C275" i="105"/>
  <c r="C286" i="105"/>
  <c r="C285" i="105"/>
  <c r="C284" i="105"/>
  <c r="C283" i="105"/>
  <c r="C282" i="105"/>
  <c r="C281" i="105"/>
  <c r="C274" i="105"/>
  <c r="C273" i="105"/>
  <c r="C272" i="105"/>
  <c r="C271" i="105"/>
  <c r="C270" i="105"/>
  <c r="C269" i="105"/>
  <c r="C370" i="105" l="1"/>
  <c r="C369" i="105"/>
  <c r="C368" i="105"/>
  <c r="C367" i="105"/>
  <c r="C366" i="105"/>
  <c r="C365" i="105"/>
  <c r="C364" i="105"/>
  <c r="C363" i="105"/>
  <c r="C362" i="105"/>
  <c r="C361" i="105"/>
  <c r="C360" i="105"/>
  <c r="C359" i="105"/>
  <c r="C358" i="105"/>
  <c r="C357" i="105"/>
  <c r="C356" i="105"/>
  <c r="C355" i="105"/>
  <c r="C354" i="105"/>
  <c r="C353" i="105"/>
  <c r="C352" i="105"/>
  <c r="C351" i="105"/>
  <c r="C350" i="105"/>
  <c r="C349" i="105"/>
  <c r="C348" i="105"/>
  <c r="C347" i="105"/>
  <c r="C298" i="105" l="1"/>
  <c r="C297" i="105"/>
  <c r="C296" i="105"/>
  <c r="C295" i="105"/>
  <c r="C294" i="105"/>
  <c r="C293" i="105"/>
  <c r="C154" i="105" l="1"/>
  <c r="C153" i="105"/>
  <c r="C152" i="105"/>
  <c r="C151" i="105"/>
  <c r="C150" i="105"/>
  <c r="C149" i="105"/>
  <c r="C220" i="105"/>
  <c r="C219" i="105"/>
  <c r="C218" i="105"/>
  <c r="C217" i="105"/>
  <c r="C216" i="105"/>
  <c r="C215" i="105"/>
  <c r="C304" i="105"/>
  <c r="C303" i="105"/>
  <c r="C302" i="105"/>
  <c r="C301" i="105"/>
  <c r="C300" i="105"/>
  <c r="C299" i="105"/>
  <c r="C292" i="105"/>
  <c r="C291" i="105"/>
  <c r="C290" i="105"/>
  <c r="C289" i="105"/>
  <c r="C288" i="105"/>
  <c r="C287" i="105"/>
  <c r="C238" i="105" l="1"/>
  <c r="C237" i="105"/>
  <c r="C236" i="105"/>
  <c r="C235" i="105"/>
  <c r="C234" i="105"/>
  <c r="C233" i="105"/>
  <c r="C226" i="105" l="1"/>
  <c r="C225" i="105"/>
  <c r="C224" i="105"/>
  <c r="C223" i="105"/>
  <c r="C222" i="105"/>
  <c r="C221" i="105"/>
  <c r="C76" i="105" l="1"/>
  <c r="C75" i="105"/>
  <c r="C74" i="105"/>
  <c r="C73" i="105"/>
  <c r="C72" i="105"/>
  <c r="C71" i="105"/>
  <c r="C112" i="105" l="1"/>
  <c r="C111" i="105"/>
  <c r="C110" i="105"/>
  <c r="C109" i="105"/>
  <c r="C108" i="105"/>
  <c r="C107" i="105"/>
  <c r="C118" i="105"/>
  <c r="C117" i="105"/>
  <c r="C116" i="105"/>
  <c r="C115" i="105"/>
  <c r="C114" i="105"/>
  <c r="C113" i="105"/>
  <c r="C64" i="113" l="1"/>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8" i="113"/>
  <c r="C27" i="113"/>
  <c r="C26" i="113"/>
  <c r="C25" i="113"/>
  <c r="C24" i="113"/>
  <c r="C23"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DR10" i="113"/>
  <c r="CX6" i="113"/>
  <c r="DD10" i="113"/>
  <c r="DK10" i="113"/>
  <c r="DL10" i="113"/>
  <c r="DJ10" i="113"/>
  <c r="DU10" i="113"/>
  <c r="DN10" i="113"/>
  <c r="DV10" i="113"/>
  <c r="DO10" i="113"/>
  <c r="DF10" i="113"/>
  <c r="CR2" i="113"/>
  <c r="DQ10" i="113"/>
  <c r="DH10" i="113"/>
  <c r="DW10" i="113"/>
  <c r="DE10" i="113"/>
  <c r="DG10" i="113"/>
  <c r="DP10" i="113"/>
  <c r="DT10" i="113"/>
  <c r="DS10" i="113"/>
  <c r="DI10" i="113"/>
  <c r="CX2" i="113"/>
  <c r="DM10" i="113"/>
  <c r="C334" i="106" l="1"/>
  <c r="C333" i="106"/>
  <c r="C332" i="106"/>
  <c r="C331" i="106"/>
  <c r="C330" i="106"/>
  <c r="C329" i="106"/>
  <c r="C328" i="106"/>
  <c r="C327" i="106"/>
  <c r="C326" i="106"/>
  <c r="C325" i="106"/>
  <c r="C324" i="106"/>
  <c r="C323" i="106"/>
  <c r="C322" i="106"/>
  <c r="C321" i="106"/>
  <c r="C320" i="106"/>
  <c r="C319" i="106"/>
  <c r="C318" i="106"/>
  <c r="C317" i="106"/>
  <c r="C346" i="105"/>
  <c r="C345" i="105"/>
  <c r="C344" i="105"/>
  <c r="C343" i="105"/>
  <c r="C342" i="105"/>
  <c r="C341" i="105"/>
  <c r="C340" i="105"/>
  <c r="C339" i="105"/>
  <c r="C338" i="105"/>
  <c r="C337" i="105"/>
  <c r="C336" i="105"/>
  <c r="C335" i="105"/>
  <c r="C334" i="105"/>
  <c r="C333" i="105"/>
  <c r="C332" i="105"/>
  <c r="C331" i="105"/>
  <c r="C330" i="105"/>
  <c r="C329" i="105"/>
  <c r="C328" i="105"/>
  <c r="C327" i="105"/>
  <c r="C326" i="105"/>
  <c r="C325" i="105"/>
  <c r="C324" i="105"/>
  <c r="C323" i="105"/>
  <c r="C322" i="105" l="1"/>
  <c r="C321" i="105"/>
  <c r="C320" i="105"/>
  <c r="C319" i="105"/>
  <c r="C318" i="105"/>
  <c r="C317" i="105"/>
  <c r="C316" i="105"/>
  <c r="C315" i="105"/>
  <c r="C314" i="105"/>
  <c r="C313" i="105"/>
  <c r="C312" i="105"/>
  <c r="C311" i="105"/>
  <c r="C310" i="105"/>
  <c r="C309" i="105"/>
  <c r="C308" i="105"/>
  <c r="C307" i="105"/>
  <c r="C306" i="105"/>
  <c r="C305" i="105"/>
  <c r="C268" i="105"/>
  <c r="C267" i="105"/>
  <c r="C266" i="105"/>
  <c r="C265" i="105"/>
  <c r="C264" i="105"/>
  <c r="C263" i="105"/>
  <c r="C262" i="105"/>
  <c r="C261" i="105"/>
  <c r="C260" i="105"/>
  <c r="C259" i="105"/>
  <c r="C258" i="105"/>
  <c r="C257" i="105"/>
  <c r="C256" i="105"/>
  <c r="C255" i="105"/>
  <c r="C254" i="105"/>
  <c r="C253" i="105"/>
  <c r="C252" i="105"/>
  <c r="C251" i="105"/>
  <c r="C250" i="105"/>
  <c r="C249" i="105"/>
  <c r="C248" i="105"/>
  <c r="C247" i="105"/>
  <c r="C246" i="105"/>
  <c r="C245" i="105"/>
  <c r="C244" i="105"/>
  <c r="C243" i="105"/>
  <c r="C242" i="105"/>
  <c r="C241" i="105"/>
  <c r="C240" i="105"/>
  <c r="C239" i="105"/>
  <c r="C214" i="105"/>
  <c r="C213" i="105"/>
  <c r="C212" i="105"/>
  <c r="C211" i="105"/>
  <c r="C210" i="105"/>
  <c r="C209"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208" i="105"/>
  <c r="C207" i="105"/>
  <c r="C206" i="105"/>
  <c r="C205" i="105"/>
  <c r="C204" i="105"/>
  <c r="C203" i="105"/>
  <c r="C202" i="105"/>
  <c r="C201" i="105"/>
  <c r="C200" i="105"/>
  <c r="C199" i="105"/>
  <c r="C198" i="105"/>
  <c r="C197" i="105"/>
  <c r="C196" i="105"/>
  <c r="C195" i="105"/>
  <c r="C194" i="105"/>
  <c r="C193" i="105"/>
  <c r="C192" i="105"/>
  <c r="C191" i="105"/>
  <c r="C190" i="105"/>
  <c r="C189" i="105"/>
  <c r="C188" i="105"/>
  <c r="C187" i="105"/>
  <c r="C186" i="105"/>
  <c r="C185" i="105"/>
  <c r="C184" i="105"/>
  <c r="C183" i="105"/>
  <c r="C182" i="105"/>
  <c r="C181" i="105"/>
  <c r="C180" i="105"/>
  <c r="C179" i="105"/>
  <c r="C178" i="105"/>
  <c r="C177" i="105"/>
  <c r="C176" i="105"/>
  <c r="C175" i="105"/>
  <c r="C174" i="105"/>
  <c r="C173" i="105"/>
  <c r="C172" i="105"/>
  <c r="C171" i="105"/>
  <c r="C170" i="105"/>
  <c r="C169" i="105"/>
  <c r="C168" i="105"/>
  <c r="C167" i="105"/>
  <c r="C160" i="105"/>
  <c r="C159" i="105"/>
  <c r="C158" i="105"/>
  <c r="C157" i="105"/>
  <c r="C156" i="105"/>
  <c r="C155" i="105"/>
  <c r="C142" i="105"/>
  <c r="C141" i="105"/>
  <c r="C140" i="105"/>
  <c r="C139" i="105"/>
  <c r="C138" i="105"/>
  <c r="C137" i="105"/>
  <c r="C136" i="105"/>
  <c r="C135" i="105"/>
  <c r="C134" i="105"/>
  <c r="C133" i="105"/>
  <c r="C132" i="105"/>
  <c r="C131" i="105"/>
  <c r="C130" i="105"/>
  <c r="C129" i="105"/>
  <c r="C128" i="105"/>
  <c r="C127" i="105"/>
  <c r="C126" i="105"/>
  <c r="C125" i="105"/>
  <c r="C124" i="105"/>
  <c r="C123" i="105"/>
  <c r="C122" i="105"/>
  <c r="C121" i="105"/>
  <c r="C120" i="105"/>
  <c r="C119" i="105"/>
  <c r="C94" i="105"/>
  <c r="C93" i="105"/>
  <c r="C92" i="105"/>
  <c r="C91" i="105"/>
  <c r="C90" i="105"/>
  <c r="C89" i="105"/>
  <c r="C88" i="105"/>
  <c r="C87" i="105"/>
  <c r="C86" i="105"/>
  <c r="C85" i="105"/>
  <c r="C84" i="105"/>
  <c r="C83" i="105"/>
  <c r="C82" i="105"/>
  <c r="C81" i="105"/>
  <c r="C80" i="105"/>
  <c r="C79" i="105"/>
  <c r="C78" i="105"/>
  <c r="C77" i="105"/>
  <c r="C100" i="105"/>
  <c r="C99" i="105"/>
  <c r="C98" i="105"/>
  <c r="C97" i="105"/>
  <c r="C96" i="105"/>
  <c r="C95" i="105"/>
  <c r="C70" i="105"/>
  <c r="C69" i="105"/>
  <c r="C68" i="105"/>
  <c r="C67" i="105"/>
  <c r="C66" i="105"/>
  <c r="C65" i="105"/>
  <c r="C64" i="105"/>
  <c r="C63" i="105"/>
  <c r="C62" i="105"/>
  <c r="C61" i="105"/>
  <c r="C60" i="105"/>
  <c r="C59" i="105"/>
  <c r="C58" i="105"/>
  <c r="C57" i="105"/>
  <c r="C56" i="105"/>
  <c r="C55" i="105"/>
  <c r="C54" i="105"/>
  <c r="C53" i="105"/>
  <c r="C46" i="105"/>
  <c r="C45" i="105"/>
  <c r="C44" i="105"/>
  <c r="C43" i="105"/>
  <c r="C42" i="105"/>
  <c r="C41"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O101" i="37" l="1"/>
  <c r="O100" i="37"/>
  <c r="O99" i="37"/>
  <c r="O98" i="37"/>
  <c r="O97" i="37"/>
  <c r="O96" i="37"/>
  <c r="O95" i="37"/>
  <c r="O94" i="37"/>
  <c r="O93" i="37"/>
  <c r="O92" i="37"/>
  <c r="O91" i="37"/>
  <c r="O90" i="37"/>
  <c r="O89" i="37"/>
  <c r="O88" i="37"/>
  <c r="O87" i="37"/>
  <c r="O86" i="37"/>
  <c r="O85" i="37"/>
  <c r="O84" i="37"/>
  <c r="O83" i="37"/>
  <c r="O82" i="37"/>
  <c r="U25" i="37"/>
  <c r="U27" i="37"/>
  <c r="U31" i="37"/>
  <c r="U26" i="37"/>
  <c r="U28" i="37"/>
  <c r="U29" i="37"/>
  <c r="U22" i="37"/>
  <c r="U24" i="37"/>
  <c r="U30" i="37"/>
  <c r="U23" i="37"/>
  <c r="FA9" i="113" l="1"/>
  <c r="EV9" i="113"/>
  <c r="EY9" i="113"/>
  <c r="FC9" i="113"/>
  <c r="FC10" i="113" s="1"/>
  <c r="EX9" i="113"/>
  <c r="ET9" i="113"/>
  <c r="EZ9" i="113"/>
  <c r="FB9" i="113"/>
  <c r="EW9" i="113"/>
  <c r="EU9" i="113"/>
  <c r="B57" i="37"/>
  <c r="EY10" i="113"/>
  <c r="EV10" i="113"/>
  <c r="EU10" i="113"/>
  <c r="ET10" i="113"/>
  <c r="FA10" i="113"/>
  <c r="EW10" i="113"/>
  <c r="FB10" i="113"/>
  <c r="EX10" i="113"/>
  <c r="EZ10" i="113"/>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W10" i="106"/>
  <c r="DU10" i="105"/>
  <c r="DV10" i="106"/>
  <c r="EX10" i="105"/>
  <c r="FA10" i="104"/>
  <c r="CX6" i="104"/>
  <c r="CX6" i="106"/>
  <c r="DV10" i="104"/>
  <c r="DL10" i="105"/>
  <c r="DU10" i="104"/>
  <c r="DJ10" i="106"/>
  <c r="DS10" i="104"/>
  <c r="ET10" i="105"/>
  <c r="DR10" i="106"/>
  <c r="EY10" i="106"/>
  <c r="EW10" i="105"/>
  <c r="DL10" i="106"/>
  <c r="EX10" i="104"/>
  <c r="DH10" i="106"/>
  <c r="FB10" i="105"/>
  <c r="DT10" i="105"/>
  <c r="DD10" i="106"/>
  <c r="DS10" i="105"/>
  <c r="CX2" i="105"/>
  <c r="DF10" i="104"/>
  <c r="CX2" i="106"/>
  <c r="DW10" i="104"/>
  <c r="DQ10" i="104"/>
  <c r="EY10" i="105"/>
  <c r="DI10" i="106"/>
  <c r="DM10" i="104"/>
  <c r="DG10" i="104"/>
  <c r="EX10" i="106"/>
  <c r="EV10" i="104"/>
  <c r="DI10" i="104"/>
  <c r="DG10" i="106"/>
  <c r="DR10" i="104"/>
  <c r="EU10" i="106"/>
  <c r="DE10" i="105"/>
  <c r="FB10" i="106"/>
  <c r="EZ10" i="105"/>
  <c r="DJ10" i="105"/>
  <c r="DF10" i="105"/>
  <c r="DM10" i="106"/>
  <c r="DL10" i="104"/>
  <c r="DP10" i="105"/>
  <c r="EZ10" i="106"/>
  <c r="DH10" i="105"/>
  <c r="EZ10" i="104"/>
  <c r="DO10" i="105"/>
  <c r="DN10" i="104"/>
  <c r="EW10" i="104"/>
  <c r="DU10" i="106"/>
  <c r="DT10" i="104"/>
  <c r="CR2" i="105"/>
  <c r="ET10" i="106"/>
  <c r="DP10" i="106"/>
  <c r="DV10" i="105"/>
  <c r="DF10" i="106"/>
  <c r="DH10" i="104"/>
  <c r="DR10" i="105"/>
  <c r="DQ10" i="106"/>
  <c r="DK10" i="104"/>
  <c r="EY10" i="104"/>
  <c r="DO10" i="104"/>
  <c r="DK10" i="106"/>
  <c r="CX6" i="105"/>
  <c r="DD10" i="105"/>
  <c r="DE10" i="106"/>
  <c r="DG10" i="105"/>
  <c r="DO10" i="106"/>
  <c r="ET10" i="104"/>
  <c r="DP10" i="104"/>
  <c r="DT10" i="106"/>
  <c r="DS10" i="106"/>
  <c r="DE10" i="104"/>
  <c r="DJ10" i="104"/>
  <c r="DM10" i="105"/>
  <c r="DK10" i="105"/>
  <c r="DN10" i="106"/>
  <c r="CR2" i="106"/>
  <c r="DN10" i="105"/>
  <c r="CX2" i="104"/>
  <c r="DQ10" i="105"/>
  <c r="CR2" i="104"/>
  <c r="DW10" i="105"/>
  <c r="DI10" i="105"/>
  <c r="DD10" i="104"/>
  <c r="FA10" i="106"/>
  <c r="FA10" i="105"/>
  <c r="EW10" i="106"/>
  <c r="EU10" i="105"/>
  <c r="FB10" i="104"/>
  <c r="EV10" i="105"/>
  <c r="EU10" i="104"/>
  <c r="EV10" i="106"/>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<sst xmlns="http://schemas.openxmlformats.org/spreadsheetml/2006/main" count="1443" uniqueCount="691">
  <si>
    <t xml:space="preserve"> </t>
    <phoneticPr fontId="3"/>
  </si>
  <si>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</si>
  <si>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</si>
  <si>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</si>
  <si>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</si>
  <si>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</si>
  <si>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</si>
  <si>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</si>
  <si>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</si>
  <si>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</si>
  <si>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FJ)FAIZ</t>
    <phoneticPr fontId="3"/>
  </si>
  <si>
    <t>第2版</t>
    <rPh sb="0" eb="1">
      <t>ダイ</t>
    </rPh>
    <rPh sb="2" eb="3">
      <t>ハン</t>
    </rPh>
    <phoneticPr fontId="3"/>
  </si>
  <si>
    <t>EDI</t>
  </si>
  <si>
    <t>SPT</t>
  </si>
  <si>
    <t>SPT_発注</t>
  </si>
  <si>
    <t>ジョブ名</t>
    <rPh sb="3" eb="4">
      <t>メイ</t>
    </rPh>
    <phoneticPr fontId="3"/>
  </si>
  <si>
    <t>CMNA555S010</t>
    <phoneticPr fontId="3"/>
  </si>
  <si>
    <t>テスト対象開発担当会社名</t>
    <phoneticPr fontId="3"/>
  </si>
  <si>
    <t>FJ</t>
  </si>
  <si>
    <t>テスト対象開発担当者名</t>
    <phoneticPr fontId="3"/>
  </si>
  <si>
    <t>FJ)AHMAD</t>
  </si>
  <si>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</si>
  <si>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</si>
  <si>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</si>
  <si>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</si>
  <si>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</si>
  <si>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</si>
  <si>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</si>
  <si>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</si>
  <si>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</si>
  <si>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</si>
  <si>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</si>
  <si>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</si>
  <si>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</si>
  <si>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</si>
  <si>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</si>
  <si>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</si>
  <si>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</si>
  <si>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</si>
  <si>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</si>
  <si>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</si>
  <si>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</si>
  <si>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</si>
  <si>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</si>
  <si>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</si>
  <si>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</si>
  <si>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</si>
  <si>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</si>
  <si>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</si>
  <si>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</si>
  <si>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</si>
  <si>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</si>
  <si>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</si>
  <si>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</si>
  <si>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FJ)AHMAD</t>
    <phoneticPr fontId="3"/>
  </si>
  <si>
    <t>FJ)HaoMing</t>
  </si>
  <si>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</si>
  <si>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</si>
  <si>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</si>
  <si>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</si>
  <si>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</si>
  <si>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</si>
  <si>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</si>
  <si>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</si>
  <si>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</si>
  <si>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</si>
  <si>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</si>
  <si>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</si>
  <si>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</si>
  <si>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</si>
  <si>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</si>
  <si>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</si>
  <si>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</si>
  <si>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</si>
  <si>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</si>
  <si>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</si>
  <si>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</si>
  <si>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</si>
  <si>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</si>
  <si>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</si>
  <si>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</si>
  <si>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</si>
  <si>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</si>
  <si>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</si>
  <si>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</si>
  <si>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</si>
  <si>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</si>
  <si>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</si>
  <si>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</si>
  <si>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</si>
  <si>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</si>
  <si>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</si>
  <si>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</si>
  <si>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</si>
  <si>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</si>
  <si>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</si>
  <si>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</si>
  <si>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</si>
  <si>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</si>
  <si>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</si>
  <si>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</si>
  <si>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</si>
  <si>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</si>
  <si>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</si>
  <si>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</si>
  <si>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</si>
  <si>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</si>
  <si>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</si>
  <si>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</si>
  <si>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</si>
  <si>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</si>
  <si>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</si>
  <si>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</si>
  <si>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</si>
  <si>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</si>
  <si>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</si>
  <si>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</si>
  <si>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</si>
  <si>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</si>
  <si>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</si>
  <si>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</si>
  <si>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</si>
  <si>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</si>
  <si>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</si>
  <si>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</si>
  <si>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</si>
  <si>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</si>
  <si>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</si>
  <si>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</si>
  <si>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</si>
  <si>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</si>
  <si>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</si>
  <si>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</si>
  <si>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</si>
  <si>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</si>
  <si>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</si>
  <si>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</si>
  <si>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</si>
  <si>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</si>
  <si>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</si>
  <si>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</si>
  <si>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</si>
  <si>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</si>
  <si>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</si>
  <si>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</si>
  <si>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</si>
  <si>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</si>
  <si>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</si>
  <si>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</si>
  <si>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</si>
  <si>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</si>
  <si>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</si>
  <si>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</si>
  <si>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</si>
  <si>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</si>
  <si>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</si>
  <si>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</si>
  <si>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</si>
  <si>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</si>
  <si>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</si>
  <si>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</si>
  <si>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</si>
  <si>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</si>
  <si>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</si>
  <si>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</si>
  <si>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</si>
  <si>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</si>
  <si>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</si>
  <si>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</si>
  <si>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</si>
  <si>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</si>
  <si>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</si>
  <si>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</si>
  <si>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</si>
  <si>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</si>
  <si>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</si>
  <si>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</si>
  <si>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</si>
  <si>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</si>
  <si>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</si>
  <si>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</si>
  <si>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</si>
  <si>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</si>
  <si>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</si>
  <si>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</si>
  <si>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</si>
  <si>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</si>
  <si>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</si>
  <si>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</si>
  <si>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
/Batch control
　condition</t>
  </si>
  <si>
    <t>パラメタが正しく設定されているか？
(送信ファイル）
/Are the parameters set correctly?
(Send file)</t>
  </si>
  <si>
    <t>ジョブの実行
/Job execution</t>
  </si>
  <si>
    <t>引数１（ファイル名）
引数２（取引先名）
引数３（機能カテゴリ名)
がログファイルに出力されていること
/Argument 1 (file name)
Argument 2 (Client Name)
Argument 3 (Functional Category Name)
is output to the log file</t>
  </si>
  <si>
    <t>\\j2sde081\d$\DEV_DIKe\log\YYMMDD\CMNA555S010.SPTA0501.YYYYMMDDhhmmssSSS.log</t>
  </si>
  <si>
    <t xml:space="preserve">logを開きキャプチャーを取得
logファイル退避
/Open log and get a capture
Save and exit the Log file </t>
  </si>
  <si>
    <t>○</t>
  </si>
  <si>
    <t>パラメタが正しく設定されているか？
(CII変換後)
/Are the parameters set correctly?
(after CII conversion)</t>
  </si>
  <si>
    <t>\\j2sde081\d$\DEV_DIKe\log\YYMMDD\CMNA555S010.SPTA0501CII.YYYYMMDDhhmmssSSS.log</t>
  </si>
  <si>
    <t>バッチ制御
　入出力ファイル
/Batch control
　Input/output files</t>
  </si>
  <si>
    <t>入力ファイル名とパス情報は仕様とおりか？</t>
    <phoneticPr fontId="3"/>
  </si>
  <si>
    <t>バックアップ元:D:\DEV_DIKe\temp\SPTA0501
とログファイルに出力されていること</t>
    <rPh sb="6" eb="7">
      <t>モト</t>
    </rPh>
    <rPh sb="42" eb="44">
      <t>シュツリョク</t>
    </rPh>
    <phoneticPr fontId="3"/>
  </si>
  <si>
    <t>出力ファイル名は仕様とおりか？
(送信ファイル）
/Is the output file name as specified?
(send file)</t>
  </si>
  <si>
    <t>バックアップ先（\\j2sde081\d$\DEV_DIKe\backupfiles\snd\2025\住化プラステック\発注）に、
SPTA0501_YYYYMMDDhhmmssSSSという名前で、出力されていること</t>
  </si>
  <si>
    <t>\\j2sde081\d$\DEV_DIKe\log\YYMMDD\CMNA555S010.SPTA0501.YYYYMMDDhhmmssSSS.log
\\j2sde081\d$\DEV_DIKe\backupfiles\snd\2025\住化プラステック\発注\SPTA0501_YYYYMMDDhhmmssSSS</t>
  </si>
  <si>
    <t>出力ファイル名は仕様とおりか？
(CII変換後)
/Is the output file name as specified?
(after CII conversion)</t>
  </si>
  <si>
    <t>バックアップ先（\\j2sde081\d$\DEV_DIKe\backupfiles\snd\2025\住化プラステック\発注（CII変換後））に、
SPTA0501CII_YYYYMMDDhhmmssSSSという名前で、出力されていること</t>
    <rPh sb="61" eb="63">
      <t>ハッチュウ</t>
    </rPh>
    <rPh sb="67" eb="70">
      <t>ヘンカンアト</t>
    </rPh>
    <phoneticPr fontId="3"/>
  </si>
  <si>
    <t>\\j2sde081\d$\DEV_DIKe\log\YYMMDD\CMNA555S010.SPTA0501CII.YYYYMMDDhhmmssSSS.log
\\j2sde081\d$\DEV_DIKe\backupfiles\snd\2025\住化プラステック\発注（CII変換後）\SPTA0501CII_YYYYMMDDhhmmssSSS</t>
  </si>
  <si>
    <t>中間ファイル名やパス情報は仕様とおりか？
/Is the intermediate file name as specified?</t>
  </si>
  <si>
    <t>SPTA130S01001,SPTA130S02001の作成</t>
  </si>
  <si>
    <t>中間ファイルを開きキャプチャーを取得
中間ファイル退避</t>
    <rPh sb="0" eb="2">
      <t>チュウカン</t>
    </rPh>
    <rPh sb="19" eb="21">
      <t>チュウカン</t>
    </rPh>
    <phoneticPr fontId="3"/>
  </si>
  <si>
    <t>ログファイル名は仕様とおりか？
(送信ファイル）</t>
  </si>
  <si>
    <t>下記のファイル名で出力されていること
・CMNA555S010.SPTA0501.YYYYMMDDhhmmssSSS.log</t>
    <rPh sb="0" eb="2">
      <t>カキ</t>
    </rPh>
    <rPh sb="7" eb="8">
      <t>メイ</t>
    </rPh>
    <rPh sb="9" eb="11">
      <t>シュツリョク</t>
    </rPh>
    <phoneticPr fontId="3"/>
  </si>
  <si>
    <t>logを開きキャプチャーを取得
logファイル退避</t>
    <phoneticPr fontId="3"/>
  </si>
  <si>
    <t>ログファイルへの出力内容は仕様とおりか？
(CII変換後)</t>
  </si>
  <si>
    <t>下記のファイル名で出力されていること
・CMNA555S010.SPTA0501Cii.YYYYMMDDhhmmssSSS.log</t>
    <rPh sb="0" eb="2">
      <t>カキ</t>
    </rPh>
    <rPh sb="7" eb="8">
      <t>メイ</t>
    </rPh>
    <rPh sb="9" eb="11">
      <t>シュツリョク</t>
    </rPh>
    <phoneticPr fontId="3"/>
  </si>
  <si>
    <t>\\j2sde081\d$\DEV_DIKe\log\YYMMDD\CMNA555S010.SPTA0501Cii.YYYYMMDDhhmmssSSS.log</t>
  </si>
  <si>
    <t>終了時（正常・異常）にファイルは全てクローズされたか？</t>
  </si>
  <si>
    <t>バッチ制御
　処理</t>
  </si>
  <si>
    <t>トランザクション制御は適切に行われているか？</t>
  </si>
  <si>
    <t>排他制御は適切に行われているか？</t>
  </si>
  <si>
    <t>OWNER = DEV_DIKe3ITUSER
OBJECT_NAME = M_EDI_SAIBAN OR J_EDI_SND_DB_SEIKYU_CHK
のレコードのLOCK_MODE =3　(共有ロック）である</t>
    <rPh sb="98" eb="100">
      <t>キョウユウ</t>
    </rPh>
    <phoneticPr fontId="3"/>
  </si>
  <si>
    <t>・バッチ実行直後に下記SQLで確認
SELECT *
  FROM v$locked_object lo
       JOIN dba_objects ao ON lo.object_id = ao.object_id
       JOIN v$session s ON lo.session_id = s.sid;</t>
    <rPh sb="4" eb="6">
      <t>ジッコウ</t>
    </rPh>
    <rPh sb="6" eb="8">
      <t>チョクゴ</t>
    </rPh>
    <rPh sb="9" eb="11">
      <t>カキ</t>
    </rPh>
    <rPh sb="15" eb="17">
      <t>カクニン</t>
    </rPh>
    <phoneticPr fontId="3"/>
  </si>
  <si>
    <t>ジョブ実行直後のロックされているオブジェクトと、それに関与しているセッション情報</t>
    <rPh sb="3" eb="5">
      <t>ジッコウ</t>
    </rPh>
    <rPh sb="5" eb="7">
      <t>チョクゴ</t>
    </rPh>
    <phoneticPr fontId="3"/>
  </si>
  <si>
    <t>バッチ制御
　メッセージ</t>
    <phoneticPr fontId="3"/>
  </si>
  <si>
    <t>バッチログファイルへの出力内容は仕様とおりか？
(送信ファイル）</t>
    <phoneticPr fontId="3"/>
  </si>
  <si>
    <t>バッチログが出力されている
・CMNA555S010.SPTA0501.YYYYMMDDhhmmssSSS.log
また以下の情報が出力されている
・開始メッセージ
・ステップメッセージ
・終了メッセージ</t>
  </si>
  <si>
    <t>\\j2sde081\d$\DEV_DIKe\log\YYMMDD\CMNA555S010.SPTA1301.YYYYMMDDhhmmssSSS.log</t>
  </si>
  <si>
    <t>バッチログファイルへの出力内容は仕様とおりか？
(CII変換後)</t>
    <phoneticPr fontId="3"/>
  </si>
  <si>
    <t>バッチログが出力されている
・CMNA555S010.SPTA0501Cii.YYYYMMDDhhmmssSSS.log
また以下の情報が出力されている
・開始メッセージ
・ステップメッセージ
・終了メッセージ</t>
  </si>
  <si>
    <t>セッションログファイルへの出力内容は仕様とおりか？</t>
    <phoneticPr fontId="3"/>
  </si>
  <si>
    <t xml:space="preserve">セッションログが出力されている
・SPTA130S010_sessionlog_yyyymmddhhddss.log
・SPTA130S020_sessionlog_yyyymmddhhddss.log
</t>
  </si>
  <si>
    <t xml:space="preserve">\\j2sde081\c$\Program Files\Informatica Cloud Secure Agent\apps\Data_Integration_Server\logs
</t>
  </si>
  <si>
    <t>セッションログファイル退避</t>
    <phoneticPr fontId="3"/>
  </si>
  <si>
    <t>セッションインポートログファイルへの出力内容は仕様とおりか？</t>
    <phoneticPr fontId="3"/>
  </si>
  <si>
    <t>セッションインポートログが出力されている
・SPTA130S010_sessionlog_yyyymmddhhddss_import.log
・SPTA130S020_sessionlog_yyyymmddhhddss_import.log</t>
  </si>
  <si>
    <t>セッションインポートログファイル退避</t>
    <phoneticPr fontId="3"/>
  </si>
  <si>
    <t>全てのエラーメッセージは正しく表示・出力されているか？</t>
  </si>
  <si>
    <t>入力件数は正しく表示・出力されているか？</t>
  </si>
  <si>
    <t>出力（追加・更新・削除）件数は正しく表示・出力されているか？</t>
  </si>
  <si>
    <t>正常終了した時の終了コードが正しく設定されているか？
（ジョブID:CMNA555S010）
/Is the exit code set correctly for successful completion?
(Job ID: CMNA555S010)</t>
  </si>
  <si>
    <t>ジョブID:CMNA555S010のジョブの実行
/Job ID: CMNA555S010 job execution</t>
  </si>
  <si>
    <t>Systemwalker終了コード"0"で終了
/Systemwalker exits with exit code "0"</t>
  </si>
  <si>
    <t>Systemwalker</t>
    <phoneticPr fontId="3"/>
  </si>
  <si>
    <t>Systemwalkerキャプチャーを取得
/Get Systemwalker capture</t>
  </si>
  <si>
    <t>正常終了した時の終了コードが正しく設定されているか？
（ジョブID:CMNA555S011）
/Is the exit code set correctly for successful completion?
(Job ID: CMNA555S011)</t>
  </si>
  <si>
    <t>ジョブID:CMNA555S011のジョブの実行
/Job ID: CMNA555S011 job execution</t>
    <phoneticPr fontId="3"/>
  </si>
  <si>
    <t>対象データ0件時の終了コードが正しく設定されているか？</t>
    <rPh sb="0" eb="2">
      <t>タイショウ</t>
    </rPh>
    <rPh sb="6" eb="7">
      <t>ケン</t>
    </rPh>
    <rPh sb="7" eb="8">
      <t>ジ</t>
    </rPh>
    <phoneticPr fontId="3"/>
  </si>
  <si>
    <t>EDI送信DB_請求確認の
データ交換ID = 001440 かつ
EDI_機能カテゴリコード = A130 かつ
EDI_送信状況種別 = 0 の データが存在しない状態で ジョブを実行</t>
    <phoneticPr fontId="3"/>
  </si>
  <si>
    <t>Systemwalker終了コード"10"で終了</t>
    <phoneticPr fontId="3"/>
  </si>
  <si>
    <t>Systemwalkerキャプチャーを取得</t>
    <phoneticPr fontId="3"/>
  </si>
  <si>
    <t>異常終了した時の終了コードが正しく設定されているか？（ジョブID:CMNA555S010</t>
    <phoneticPr fontId="3"/>
  </si>
  <si>
    <t xml:space="preserve">パラメタなしで、ジョブの実行
</t>
    <rPh sb="12" eb="14">
      <t>ジッコウ</t>
    </rPh>
    <phoneticPr fontId="3"/>
  </si>
  <si>
    <t>Systemwalker終了コード"99"で終了</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</si>
  <si>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</si>
  <si>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</si>
  <si>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</si>
  <si>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バッチ機能
　ファイル入力</t>
    <phoneticPr fontId="3"/>
  </si>
  <si>
    <t>入力ファイルが０件の場合の処理は正しいか？</t>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</si>
  <si>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</si>
  <si>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</si>
  <si>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</si>
  <si>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</si>
  <si>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</si>
  <si>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 xml:space="preserve">バッチ機能
　ファイル出力
</t>
    <phoneticPr fontId="3"/>
  </si>
  <si>
    <t>件数確認ファイルの出力結果は仕様とおりか？</t>
  </si>
  <si>
    <t>EDI送信DB_請求確認のデータ交換ID = 001440 かつ
EDI_機能カテゴリコード = A130 かつ EDI_送信状況種別 = 0のデータを使用し、ジョブの実行</t>
    <phoneticPr fontId="3"/>
  </si>
  <si>
    <t>件数確認ファイルが出力されていること。
・SPTA130S01001</t>
  </si>
  <si>
    <t>\\j2sde081\d$DEV_DIKe\temp</t>
  </si>
  <si>
    <t>件数確認ファイル退避
出力データ確認</t>
  </si>
  <si>
    <t>件数確認ファイルが0件で出力されていること。
・SPTA130S01001</t>
    <rPh sb="10" eb="11">
      <t>ケン</t>
    </rPh>
    <phoneticPr fontId="3"/>
  </si>
  <si>
    <t>バックアップファイルの出力結果は仕様とおりか？
(送信ファイル）
/Is the output result of the backup file according to the specifications?
(send file)</t>
  </si>
  <si>
    <t>バックアップ元のファイル と バックアップファイル　に差異がないこと
/Confirm that there is no difference between the backup source file and the backup file</t>
  </si>
  <si>
    <t>\\j2sde081\d$DEV_DIKe\temp\SPTA0501
\\j2sde081\d$\DEV_DIKe\backupfiles\snd\2025\住化プラステック\発注\SPTA0501_YYYYMMDDhhmmssSSS</t>
    <rPh sb="90" eb="92">
      <t>ハッチュウ</t>
    </rPh>
    <phoneticPr fontId="3"/>
  </si>
  <si>
    <t>バックアップ元のファイル（ジョブ実行前にコピー退避）
バックアップファイル（ジョブ実行後に退避）
/Backup source file (copy and save before executing the job)
Backup file (exit after job execution)</t>
  </si>
  <si>
    <t>バックアップファイルの出力結果は仕様とおりか？
(CII変換後)
/
/Is the output result of the backup file according to the specifications?
(after CII conversion)</t>
  </si>
  <si>
    <t>\\j2sde081\d$DEV_DIKe\temp\SPTA0501
\\j2sde081\d$\DEV_DIKe\backupfiles\snd\2025\住化プラステック\発注（CII変換後）\SPTA0501CII_YYYYMMDDhhmmssSSS</t>
    <rPh sb="90" eb="92">
      <t>ハッチュウ</t>
    </rPh>
    <rPh sb="96" eb="99">
      <t>ヘンカンアト</t>
    </rPh>
    <phoneticPr fontId="3"/>
  </si>
  <si>
    <t>属性・桁数・文字コード・改行コードなど正常であること</t>
    <phoneticPr fontId="3"/>
  </si>
  <si>
    <t>SPT_請求確認_連携ファイル出力確認.xlsxで確認
・SPTA130S02001を貼り付ける
「業務_1」シート実施</t>
  </si>
  <si>
    <t>SPT_請求確認_連携ファイル出力確認.xlsx</t>
  </si>
  <si>
    <t>必要なデータ編集処理が行われているか？</t>
    <phoneticPr fontId="3"/>
  </si>
  <si>
    <t>編集が正常であること</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</si>
  <si>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</si>
  <si>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</si>
  <si>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</si>
  <si>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未入力項目には属性に応じた初期値（ZERO、又は空白）はセットされているか？</t>
    <phoneticPr fontId="3"/>
  </si>
  <si>
    <t>属性に応じた初期値が編集されていること</t>
    <phoneticPr fontId="3"/>
  </si>
  <si>
    <t>バッチ機能
　DB検索</t>
    <phoneticPr fontId="3"/>
  </si>
  <si>
    <t>入力DBが正常に読込まれ処理件数が正しいか？
EDI送信DB_請求確認</t>
    <rPh sb="26" eb="28">
      <t>ソウシン</t>
    </rPh>
    <rPh sb="31" eb="35">
      <t>セイキュウカクニン</t>
    </rPh>
    <phoneticPr fontId="3"/>
  </si>
  <si>
    <t>送信シーケンスNOが取得できている</t>
    <rPh sb="10" eb="12">
      <t>シュトク</t>
    </rPh>
    <phoneticPr fontId="3"/>
  </si>
  <si>
    <t>入力DBが正常に読込まれ処理件数が正しいか？
EDI受信DB_仕入先</t>
    <rPh sb="26" eb="28">
      <t>ジュシン</t>
    </rPh>
    <rPh sb="31" eb="34">
      <t>シイレサキ</t>
    </rPh>
    <phoneticPr fontId="3"/>
  </si>
  <si>
    <t>相手先別データが取得できている</t>
    <phoneticPr fontId="3"/>
  </si>
  <si>
    <t>入力DBが正常に読込まれ処理件数が正しいか？
EDI採番マスタ</t>
    <phoneticPr fontId="3"/>
  </si>
  <si>
    <t>EDI_連番が取得できている</t>
    <phoneticPr fontId="3"/>
  </si>
  <si>
    <t xml:space="preserve">バッチ機能
　DB更新
</t>
    <rPh sb="9" eb="11">
      <t>コウシン</t>
    </rPh>
    <phoneticPr fontId="3"/>
  </si>
  <si>
    <t>EDI送信DB_請求確認の更新結果は仕様とおりか？</t>
    <rPh sb="3" eb="5">
      <t>ソウシン</t>
    </rPh>
    <rPh sb="8" eb="12">
      <t>セイキュウカクニン</t>
    </rPh>
    <phoneticPr fontId="3"/>
  </si>
  <si>
    <t>EDI送信DB_請求確認　のEDI_送信状況種別 = 1 であること</t>
    <phoneticPr fontId="3"/>
  </si>
  <si>
    <t>・更新結果を検索し貼り付ける</t>
    <phoneticPr fontId="3"/>
  </si>
  <si>
    <t>ジョブ実行前後の EDI送信DB_請求確認を取得</t>
    <rPh sb="3" eb="5">
      <t>ジッコウ</t>
    </rPh>
    <rPh sb="5" eb="7">
      <t>ゼンゴ</t>
    </rPh>
    <phoneticPr fontId="3"/>
  </si>
  <si>
    <t>EDI送信DB_請求確認の更新件数は仕様とおりか？</t>
    <rPh sb="3" eb="5">
      <t>ソウシン</t>
    </rPh>
    <rPh sb="8" eb="12">
      <t>セイキュウカクニン</t>
    </rPh>
    <rPh sb="15" eb="17">
      <t>ケンスウ</t>
    </rPh>
    <phoneticPr fontId="3"/>
  </si>
  <si>
    <t>EDI送信DB_請求確認のデータ交換ID = 001440 かつ
EDI_機能カテゴリコード = A130 かつ EDI_送信状況種別 = 0のデータ（※1）を使用し、ジョブの実行</t>
    <phoneticPr fontId="3"/>
  </si>
  <si>
    <t>・対象データの件数 = 更新のあった件数　であること</t>
    <rPh sb="4" eb="6">
      <t>コウシン</t>
    </rPh>
    <rPh sb="10" eb="12">
      <t>ケンスウ</t>
    </rPh>
    <phoneticPr fontId="3"/>
  </si>
  <si>
    <t>・対象データの件数（
テスト条件 ※１のデータの件数）
の取得
・更新のあった件数（最新更新日時が、バッチ実行開始時間～バッチ実行終了時間のデータの件数）を取得</t>
    <rPh sb="1" eb="3">
      <t>タイショウ</t>
    </rPh>
    <rPh sb="7" eb="9">
      <t>ケンスウ</t>
    </rPh>
    <rPh sb="14" eb="16">
      <t>ジョウケン</t>
    </rPh>
    <rPh sb="24" eb="26">
      <t>ケンスウ</t>
    </rPh>
    <rPh sb="29" eb="31">
      <t>シュトク</t>
    </rPh>
    <rPh sb="34" eb="36">
      <t>コウシン</t>
    </rPh>
    <rPh sb="40" eb="42">
      <t>ケンスウ</t>
    </rPh>
    <rPh sb="54" eb="58">
      <t>ジッコウカイシ</t>
    </rPh>
    <rPh sb="58" eb="60">
      <t>ジカン</t>
    </rPh>
    <rPh sb="64" eb="66">
      <t>ジッコウ</t>
    </rPh>
    <rPh sb="66" eb="68">
      <t>シュウリョウ</t>
    </rPh>
    <rPh sb="68" eb="70">
      <t>ジカン</t>
    </rPh>
    <rPh sb="75" eb="77">
      <t>ケンスウ</t>
    </rPh>
    <rPh sb="79" eb="81">
      <t>シュトク</t>
    </rPh>
    <phoneticPr fontId="3"/>
  </si>
  <si>
    <t>EDI送信DB_請求確認の件数取得</t>
    <rPh sb="13" eb="15">
      <t>ケンスウ</t>
    </rPh>
    <phoneticPr fontId="3"/>
  </si>
  <si>
    <t>EDI採番マスタの更新結果は仕様とおりか？</t>
    <phoneticPr fontId="3"/>
  </si>
  <si>
    <t>EDI採番マスタ　のEDI_連番 =EDI_連番(ジョブ実行前）+1 であること</t>
    <rPh sb="14" eb="16">
      <t>レンバン</t>
    </rPh>
    <rPh sb="28" eb="31">
      <t>ジッコウマエ</t>
    </rPh>
    <phoneticPr fontId="3"/>
  </si>
  <si>
    <t xml:space="preserve">・更新結果を検索し貼り付ける
</t>
    <phoneticPr fontId="3"/>
  </si>
  <si>
    <t>ジョブ実行前後の 　EDI採番マスタを取得</t>
    <phoneticPr fontId="3"/>
  </si>
  <si>
    <t>ソートは正しく行われているか？</t>
  </si>
  <si>
    <t>追加・更新によって重複キーが発生した場合の処理は正しいか？</t>
  </si>
  <si>
    <t>データの削除方法（論理削除／物理削除）は仕様とおりか？</t>
  </si>
  <si>
    <t xml:space="preserve">バッチ機能
　エラー処理
</t>
    <phoneticPr fontId="3"/>
  </si>
  <si>
    <t>重複エラーが発生した場合に、仕様とおりの処理が行われているか？</t>
    <phoneticPr fontId="3"/>
  </si>
  <si>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</si>
  <si>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</si>
  <si>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</si>
  <si>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</si>
  <si>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</si>
  <si>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IDMC机上確認</t>
    <rPh sb="4" eb="6">
      <t>キジョウ</t>
    </rPh>
    <rPh sb="6" eb="8">
      <t>カクニン</t>
    </rPh>
    <phoneticPr fontId="3"/>
  </si>
  <si>
    <t>タスクフロー設定</t>
    <rPh sb="6" eb="8">
      <t>セッテイ</t>
    </rPh>
    <phoneticPr fontId="3"/>
  </si>
  <si>
    <t>IDMC、タスクフロー(wf_SPT_A130_010)、データ統合タスク（s_m_CMN_請求確認_データ件数確認_010) のプロパティ設定（エラー処理）を表示する。</t>
    <rPh sb="65" eb="67">
      <t>トウゴウセッテイショリヒョウジ</t>
    </rPh>
    <phoneticPr fontId="3"/>
  </si>
  <si>
    <t>・エラー発生時 : 無視　であること
・タスクフローを完了時に終了:
「このタスクが失敗した場合」にチェックが入っていること</t>
    <rPh sb="4" eb="6">
      <t>ハッセイ</t>
    </rPh>
    <rPh sb="6" eb="7">
      <t>ジ</t>
    </rPh>
    <rPh sb="10" eb="12">
      <t>ムシ</t>
    </rPh>
    <rPh sb="27" eb="29">
      <t>カンリョウ</t>
    </rPh>
    <rPh sb="29" eb="30">
      <t>ジ</t>
    </rPh>
    <rPh sb="31" eb="33">
      <t>シュウリョウ</t>
    </rPh>
    <rPh sb="42" eb="44">
      <t>シッパイ</t>
    </rPh>
    <rPh sb="46" eb="48">
      <t>バアイ</t>
    </rPh>
    <rPh sb="55" eb="56">
      <t>ハイ</t>
    </rPh>
    <phoneticPr fontId="3"/>
  </si>
  <si>
    <t>タスクフローのデータタスク設定</t>
    <phoneticPr fontId="3"/>
  </si>
  <si>
    <t>タスクフローのデータタスク設定のキャプチャを取得し、エビデンスを作成する</t>
    <rPh sb="22" eb="24">
      <t>シュトク</t>
    </rPh>
    <rPh sb="32" eb="34">
      <t>サクセイ</t>
    </rPh>
    <phoneticPr fontId="3"/>
  </si>
  <si>
    <t>IDMC、タスクフロー(wf_SPT_A130_020)、データ統合タスク（s_m_CMN_請求確認_データ件数確認_020) のプロパティ設定（エラー処理）を表示する。</t>
    <rPh sb="32" eb="34">
      <t>トウゴウ</t>
    </rPh>
    <rPh sb="70" eb="72">
      <t>セッテイ</t>
    </rPh>
    <rPh sb="76" eb="78">
      <t>ショリ</t>
    </rPh>
    <rPh sb="80" eb="82">
      <t>ヒョウジ</t>
    </rPh>
    <phoneticPr fontId="3"/>
  </si>
  <si>
    <t>タスクフローのデータタスク設定のキャプチャの取得</t>
    <rPh sb="22" eb="24">
      <t>シュトク</t>
    </rPh>
    <phoneticPr fontId="3"/>
  </si>
  <si>
    <t>マッピングタスク設定</t>
    <rPh sb="8" eb="10">
      <t>セッテイ</t>
    </rPh>
    <phoneticPr fontId="3"/>
  </si>
  <si>
    <t>IDMC、マッピングタスク（s_m_CMN_請求確認_データ件数確認_010)の編集　⑤ランタイムオプションの表示
詳細セッションプロパティ　部分を表示する。</t>
    <rPh sb="40" eb="42">
      <t>ヘンシュウ</t>
    </rPh>
    <rPh sb="55" eb="57">
      <t>ヒョウジ</t>
    </rPh>
    <rPh sb="72" eb="74">
      <t>ブブン</t>
    </rPh>
    <rPh sb="75" eb="77">
      <t>ヒョウジ</t>
    </rPh>
    <phoneticPr fontId="3"/>
  </si>
  <si>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t>
    <rPh sb="14" eb="16">
      <t>カキ</t>
    </rPh>
    <rPh sb="150" eb="152">
      <t>ユウコウ</t>
    </rPh>
    <rPh sb="152" eb="153">
      <t>ジ</t>
    </rPh>
    <rPh sb="177" eb="179">
      <t>ジッコウ</t>
    </rPh>
    <rPh sb="180" eb="182">
      <t>キョカ</t>
    </rPh>
    <phoneticPr fontId="3"/>
  </si>
  <si>
    <t>マッピングタスクのランタイムオプション</t>
    <phoneticPr fontId="3"/>
  </si>
  <si>
    <t>マッピングタスクのランタイムオプションのキャプチャの取得</t>
    <rPh sb="26" eb="28">
      <t>シュトク</t>
    </rPh>
    <phoneticPr fontId="3"/>
  </si>
  <si>
    <t>IDMC、マッピングタスク（s_m_CMN_請求確認_データ抽出_010) の編集　⑤ランタイムオプションの表示
詳細セッションプロパティ　部分を表示する。</t>
    <rPh sb="39" eb="41">
      <t>ヘンシュウ</t>
    </rPh>
    <rPh sb="54" eb="56">
      <t>ヒョウジ</t>
    </rPh>
    <rPh sb="71" eb="73">
      <t>ブブン</t>
    </rPh>
    <rPh sb="74" eb="76">
      <t>ヒョウジ</t>
    </rPh>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</si>
  <si>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</si>
  <si>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</si>
  <si>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</si>
  <si>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</si>
  <si>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</si>
  <si>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</si>
  <si>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</si>
  <si>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</si>
  <si>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</si>
  <si>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</si>
  <si>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</si>
  <si>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</si>
  <si>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</si>
  <si>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</si>
  <si>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</si>
  <si>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</si>
  <si>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</si>
  <si>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</si>
  <si>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</si>
  <si>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</si>
  <si>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</si>
  <si>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</si>
  <si>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</si>
  <si>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</si>
  <si>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</si>
  <si>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</si>
  <si>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</si>
  <si>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</si>
  <si>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</si>
  <si>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</si>
  <si>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</si>
  <si>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</si>
  <si>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</si>
  <si>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</si>
  <si>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</si>
  <si>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</si>
  <si>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</si>
  <si>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</si>
  <si>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</si>
  <si>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</si>
  <si>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</si>
  <si>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</si>
  <si>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</si>
  <si>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</si>
  <si>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</si>
  <si>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</si>
  <si>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</si>
  <si>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</si>
  <si>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</si>
  <si>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</si>
  <si>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</si>
  <si>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</si>
  <si>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</si>
  <si>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</si>
  <si>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</si>
  <si>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</si>
  <si>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</si>
  <si>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</si>
  <si>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</si>
  <si>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</si>
  <si>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</si>
  <si>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</si>
  <si>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</si>
  <si>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</si>
  <si>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</si>
  <si>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</si>
  <si>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</si>
  <si>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</si>
  <si>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</si>
  <si>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</si>
  <si>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</si>
  <si>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</si>
  <si>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</si>
  <si>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</si>
  <si>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</si>
  <si>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</si>
  <si>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</si>
  <si>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</si>
  <si>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</si>
  <si>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</si>
  <si>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</si>
  <si>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</si>
  <si>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</si>
  <si>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</si>
  <si>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</si>
  <si>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</si>
  <si>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</si>
  <si>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</si>
  <si>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</si>
  <si>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</si>
  <si>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</si>
  <si>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</si>
  <si>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</si>
  <si>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</si>
  <si>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</si>
  <si>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</si>
  <si>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</si>
  <si>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</si>
  <si>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</si>
  <si>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</si>
  <si>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</si>
  <si>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</si>
  <si>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</si>
  <si>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</si>
  <si>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</si>
  <si>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</si>
  <si>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</si>
  <si>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</si>
  <si>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</si>
  <si>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</si>
  <si>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</si>
  <si>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</si>
  <si>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</si>
  <si>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</si>
  <si>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</si>
  <si>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</si>
  <si>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</si>
  <si>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</si>
  <si>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</si>
  <si>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</si>
  <si>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</si>
  <si>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</si>
  <si>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</si>
  <si>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</si>
  <si>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</si>
  <si>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</si>
  <si>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</si>
  <si>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</si>
  <si>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</si>
  <si>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</si>
  <si>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</si>
  <si>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</si>
  <si>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</si>
  <si>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</si>
  <si>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</si>
  <si>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</si>
  <si>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</si>
  <si>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</si>
  <si>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</si>
  <si>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</si>
  <si>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</si>
  <si>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</si>
  <si>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</si>
  <si>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</si>
  <si>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</si>
  <si>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</si>
  <si>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</si>
  <si>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</si>
  <si>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</si>
  <si>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</si>
  <si>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</si>
  <si>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</si>
  <si>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</si>
  <si>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</si>
  <si>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</si>
  <si>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</si>
  <si>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</si>
  <si>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</si>
  <si>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</si>
  <si>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</si>
  <si>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</si>
  <si>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</si>
  <si>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</si>
  <si>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</si>
  <si>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</si>
  <si>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</si>
  <si>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</si>
  <si>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</si>
  <si>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</si>
  <si>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</si>
  <si>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</si>
  <si>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</si>
  <si>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</si>
  <si>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</si>
  <si>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</si>
  <si>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</si>
  <si>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</si>
  <si>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</si>
  <si>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</si>
  <si>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</si>
  <si>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</si>
  <si>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</si>
  <si>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</si>
  <si>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</si>
  <si>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</si>
  <si>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</si>
  <si>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</si>
  <si>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</si>
  <si>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</si>
  <si>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</si>
  <si>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</si>
  <si>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</si>
  <si>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</si>
  <si>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</si>
  <si>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</si>
  <si>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</si>
  <si>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</si>
  <si>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</si>
  <si>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</si>
  <si>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</si>
  <si>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</si>
  <si>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</si>
  <si>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</si>
  <si>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</si>
  <si>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</si>
  <si>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</si>
  <si>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</si>
  <si>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</si>
  <si>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</si>
  <si>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</si>
  <si>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</si>
  <si>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項目編集の妥当性確認</t>
    <phoneticPr fontId="3"/>
  </si>
  <si>
    <t>送信シーケンスNO(1バイト目から10バイト)</t>
    <phoneticPr fontId="3"/>
  </si>
  <si>
    <t>項目マッピング確認
※結果が確認できるデータを用意</t>
    <phoneticPr fontId="3"/>
  </si>
  <si>
    <t>[EDI送信DB_請求確認.送信シーケンスNO]であること。</t>
    <phoneticPr fontId="3"/>
  </si>
  <si>
    <t xml:space="preserve">TUG_請求確認_連携ファイル出力確認.xlsxで確認
・TUGA130S02001を貼り付ける
</t>
  </si>
  <si>
    <t>更新対象データ（EDI送信DB_請求確認）の取得
TUG_請求確認_連携ファイル出力確認.xlsx</t>
    <rPh sb="0" eb="2">
      <t>コウシン</t>
    </rPh>
    <rPh sb="2" eb="4">
      <t>タイショウ</t>
    </rPh>
    <rPh sb="22" eb="24">
      <t>シュトク</t>
    </rPh>
    <phoneticPr fontId="3"/>
  </si>
  <si>
    <t>計上状況種別(11バイト目から1バイト)</t>
    <phoneticPr fontId="3"/>
  </si>
  <si>
    <t>[EDI送信DB_請求確認.計上状況種別]であること。</t>
    <phoneticPr fontId="3"/>
  </si>
  <si>
    <t>データ（EDI送信DB_請求確認）の取得
TUG_請求確認_連携ファイル出力確認.xlsx</t>
    <rPh sb="18" eb="20">
      <t>シュトク</t>
    </rPh>
    <phoneticPr fontId="3"/>
  </si>
  <si>
    <t>エラーメッセージ(否認理由)(12バイト目から100バイト)</t>
    <phoneticPr fontId="3"/>
  </si>
  <si>
    <t>[EDI送信DB_請求確認.エラーメッセージ(否認理由)]であること。</t>
    <phoneticPr fontId="3"/>
  </si>
  <si>
    <t>受信シーケンスNO_1(112バイト目から10バイト)</t>
    <phoneticPr fontId="3"/>
  </si>
  <si>
    <t>[EDI送信DB_請求確認.受信シーケンスNO]であること。</t>
    <phoneticPr fontId="3"/>
  </si>
  <si>
    <t>送信データ削除区分(122バイト目から1バイト)</t>
    <phoneticPr fontId="3"/>
  </si>
  <si>
    <t>[EDI送信DB_請求確認.送信データ削除区分]であること。</t>
    <phoneticPr fontId="3"/>
  </si>
  <si>
    <t>削除区分(123バイト目から1バイト)</t>
    <phoneticPr fontId="3"/>
  </si>
  <si>
    <t>[EDI送信DB_請求確認.削除区分]であること。</t>
    <phoneticPr fontId="3"/>
  </si>
  <si>
    <t>受信シーケンスNO_2(124バイト目から10バイト)</t>
    <phoneticPr fontId="3"/>
  </si>
  <si>
    <t>[EDI受信DB_仕入先.受信シーケンスNO]であること。</t>
    <phoneticPr fontId="3"/>
  </si>
  <si>
    <t>データ（EDI受信DB_仕入先）の取得
TUG_請求確認_連携ファイル出力確認.xlsx</t>
    <rPh sb="7" eb="9">
      <t>ジュシン</t>
    </rPh>
    <rPh sb="12" eb="15">
      <t>シイレサキ</t>
    </rPh>
    <rPh sb="17" eb="19">
      <t>シュトク</t>
    </rPh>
    <phoneticPr fontId="3"/>
  </si>
  <si>
    <t>相手先別データ(134バイト目から4000バイト)</t>
    <phoneticPr fontId="3"/>
  </si>
  <si>
    <t>[EDI受信DB_仕入先.相手先別データ]であること。</t>
    <phoneticPr fontId="3"/>
  </si>
  <si>
    <t>処理受付番号(4134バイト目から10バイト)</t>
    <phoneticPr fontId="3"/>
  </si>
  <si>
    <t>[EDI採番マスタ.EDI_連番]であること</t>
    <phoneticPr fontId="3"/>
  </si>
  <si>
    <t>データ（EDI採番マスタ）の取得
TUG_請求確認_連携ファイル出力確認.xlsx</t>
    <rPh sb="7" eb="9">
      <t>サイバン</t>
    </rPh>
    <rPh sb="14" eb="16">
      <t>シュトク</t>
    </rPh>
    <phoneticPr fontId="3"/>
  </si>
  <si>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</si>
  <si>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</si>
  <si>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</si>
  <si>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</si>
  <si>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</si>
  <si>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</si>
  <si>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</si>
  <si>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コード表!I3:I11</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</si>
  <si>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</si>
  <si>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</si>
  <si>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</si>
  <si>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</si>
  <si>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</si>
  <si>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</si>
  <si>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</si>
  <si>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</si>
  <si>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</si>
  <si>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</si>
  <si>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</si>
  <si>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</si>
  <si>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</si>
  <si>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</si>
  <si>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</si>
  <si>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</si>
  <si>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</si>
  <si>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</si>
  <si>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</si>
  <si>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</si>
  <si>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</si>
  <si>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</si>
  <si>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</si>
  <si>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FJ)松枝</t>
  </si>
  <si>
    <t xml:space="preserve">        ・左記の表で行が不足する場合は行挿入してください。</t>
  </si>
  <si>
    <t>G</t>
    <phoneticPr fontId="3"/>
  </si>
  <si>
    <t>PT受入</t>
  </si>
  <si>
    <t>FJ)松田</t>
    <rPh sb="3" eb="5">
      <t>マツダ</t>
    </rPh>
    <phoneticPr fontId="3"/>
  </si>
  <si>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</si>
  <si>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</si>
  <si>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</si>
  <si>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</si>
  <si>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</si>
  <si>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</si>
  <si>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</si>
  <si>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</si>
  <si>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</si>
  <si>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</si>
  <si>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</si>
  <si>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</si>
  <si>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</si>
  <si>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</si>
  <si>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</si>
  <si>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</si>
  <si>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</si>
  <si>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</si>
  <si>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</si>
  <si>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</si>
  <si>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</si>
  <si>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</si>
  <si>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</si>
  <si>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</si>
  <si>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</si>
  <si>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</si>
  <si>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</si>
  <si>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</si>
  <si>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</si>
  <si>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</si>
  <si>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</si>
  <si>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</si>
  <si>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</si>
  <si>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</si>
  <si>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</si>
  <si>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</si>
  <si>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</si>
  <si>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</si>
  <si>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</si>
  <si>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</si>
  <si>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</si>
  <si>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</si>
  <si>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</si>
  <si>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</si>
  <si>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</si>
  <si>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</si>
  <si>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</si>
  <si>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</si>
  <si>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</si>
  <si>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</si>
  <si>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</si>
  <si>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</si>
  <si>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</si>
  <si>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</si>
  <si>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</si>
  <si>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</si>
  <si>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</si>
  <si>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</si>
  <si>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</si>
  <si>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</si>
  <si>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</si>
  <si>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</si>
  <si>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</si>
  <si>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</si>
  <si>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</si>
  <si>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</si>
  <si>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</si>
  <si>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</si>
  <si>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</si>
  <si>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</si>
  <si>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</si>
  <si>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</si>
  <si>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SPT</t>
    <phoneticPr fontId="3"/>
  </si>
  <si>
    <t>SPT_発注</t>
    <rPh sb="4" eb="6">
      <t>ハッチュウ</t>
    </rPh>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</si>
  <si>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</si>
  <si>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</si>
  <si>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</si>
  <si>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</si>
  <si>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EDISPT</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</si>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</sst>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quot;¥&quot;#,##0;[Red]&quot;¥&quot;\-#,##0"/>
    <numFmt numFmtId="165" formatCode="0.0_ "/>
    <numFmt numFmtId="166" formatCode="yyyy/m/d;@"/>
    <numFmt numFmtId="167" formatCode="0_ "/>
    <numFmt numFmtId="168" formatCode="0_);[Red]\(0\)"/>
    <numFmt numFmtId="169" formatCode="#,##0;\-#,##0;&quot;-&quot;"/>
    <numFmt numFmtId="170" formatCode="0.000_ "/>
    <numFmt numFmtId="171" formatCode="0_ ;[Red]\-0\ "/>
    <numFmt numFmtId="172" formatCode="0.00_);[Red]\(0.00\)"/>
    <numFmt numFmtId="173" formatCode="0.00_ "/>
  </numFmts>
  <fonts count="48">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69"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43" fontId="1" fillId="0" borderId="0" applyFont="0" applyFill="0" applyBorder="0" applyAlignment="0" applyProtection="0"/>
    <xf numFmtId="41" fontId="1" fillId="0" borderId="0" applyFont="0" applyFill="0" applyBorder="0" applyAlignment="0" applyProtection="0"/>
    <xf numFmtId="38" fontId="8"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164"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18">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66" fontId="11" fillId="3" borderId="13" xfId="0" applyNumberFormat="1" applyFont="1" applyFill="1" applyBorder="1" applyAlignment="1">
      <alignment vertical="center"/>
    </xf>
    <xf numFmtId="166" fontId="11" fillId="3" borderId="14" xfId="0" applyNumberFormat="1" applyFont="1" applyFill="1" applyBorder="1" applyAlignment="1">
      <alignment vertical="center"/>
    </xf>
    <xf numFmtId="166" fontId="11" fillId="3" borderId="0" xfId="0" applyNumberFormat="1" applyFont="1" applyFill="1" applyAlignment="1">
      <alignment vertical="center"/>
    </xf>
    <xf numFmtId="166"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66" fontId="13" fillId="3" borderId="16" xfId="0" applyNumberFormat="1" applyFont="1" applyFill="1" applyBorder="1" applyAlignment="1">
      <alignment vertical="center"/>
    </xf>
    <xf numFmtId="166"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66" fontId="11" fillId="0" borderId="0" xfId="0" applyNumberFormat="1" applyFont="1" applyAlignment="1">
      <alignment vertical="center"/>
    </xf>
    <xf numFmtId="49" fontId="13" fillId="0" borderId="0" xfId="0" applyNumberFormat="1" applyFont="1" applyAlignment="1">
      <alignment horizontal="center" vertical="center"/>
    </xf>
    <xf numFmtId="166" fontId="13" fillId="0" borderId="0" xfId="0" applyNumberFormat="1" applyFont="1" applyAlignment="1">
      <alignment vertical="center"/>
    </xf>
    <xf numFmtId="166"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66" fontId="11" fillId="0" borderId="13" xfId="0" applyNumberFormat="1" applyFont="1" applyBorder="1" applyAlignment="1">
      <alignment vertical="center"/>
    </xf>
    <xf numFmtId="166" fontId="11" fillId="0" borderId="14" xfId="0" applyNumberFormat="1" applyFont="1" applyBorder="1" applyAlignment="1">
      <alignment vertical="center"/>
    </xf>
    <xf numFmtId="49" fontId="13" fillId="0" borderId="15" xfId="0" applyNumberFormat="1" applyFont="1" applyBorder="1" applyAlignment="1">
      <alignment vertical="center"/>
    </xf>
    <xf numFmtId="166" fontId="11" fillId="0" borderId="16" xfId="0" applyNumberFormat="1" applyFont="1" applyBorder="1" applyAlignment="1">
      <alignment vertical="center"/>
    </xf>
    <xf numFmtId="0" fontId="11" fillId="0" borderId="15" xfId="0" applyFont="1" applyBorder="1" applyAlignment="1">
      <alignment vertical="center"/>
    </xf>
    <xf numFmtId="167"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67" fontId="11" fillId="0" borderId="0" xfId="0" applyNumberFormat="1" applyFont="1" applyAlignment="1">
      <alignment vertical="center"/>
    </xf>
    <xf numFmtId="166" fontId="13" fillId="0" borderId="16" xfId="0" applyNumberFormat="1" applyFont="1" applyBorder="1" applyAlignment="1">
      <alignment vertical="center"/>
    </xf>
    <xf numFmtId="166"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67"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67"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67"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65"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67"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67" fontId="11" fillId="4" borderId="0" xfId="0" applyNumberFormat="1" applyFont="1" applyFill="1" applyAlignment="1">
      <alignment horizontal="center" vertical="center"/>
    </xf>
    <xf numFmtId="167"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71"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9" fillId="6" borderId="7" xfId="0" applyFont="1" applyFill="1" applyBorder="1" applyAlignment="1">
      <alignment horizontal="center" vertical="center"/>
    </xf>
    <xf numFmtId="167" fontId="11" fillId="2" borderId="27" xfId="0" applyNumberFormat="1" applyFont="1" applyFill="1" applyBorder="1" applyAlignment="1">
      <alignment vertical="center"/>
    </xf>
    <xf numFmtId="167" fontId="11" fillId="0" borderId="25" xfId="0" applyNumberFormat="1" applyFont="1" applyBorder="1" applyAlignment="1">
      <alignment vertical="center"/>
    </xf>
    <xf numFmtId="167" fontId="11" fillId="2" borderId="25" xfId="0" applyNumberFormat="1" applyFont="1" applyFill="1" applyBorder="1" applyAlignment="1">
      <alignment vertical="center"/>
    </xf>
    <xf numFmtId="167" fontId="11" fillId="2" borderId="42" xfId="0" applyNumberFormat="1" applyFont="1" applyFill="1" applyBorder="1" applyAlignment="1">
      <alignment vertical="center"/>
    </xf>
    <xf numFmtId="167" fontId="11" fillId="2" borderId="36" xfId="0" applyNumberFormat="1" applyFont="1" applyFill="1" applyBorder="1" applyAlignment="1">
      <alignment vertical="center"/>
    </xf>
    <xf numFmtId="167" fontId="11" fillId="0" borderId="36" xfId="0" applyNumberFormat="1" applyFont="1" applyBorder="1" applyAlignment="1">
      <alignment vertical="center"/>
    </xf>
    <xf numFmtId="167" fontId="11" fillId="2" borderId="17" xfId="0" applyNumberFormat="1" applyFont="1" applyFill="1" applyBorder="1" applyAlignment="1">
      <alignment vertical="center"/>
    </xf>
    <xf numFmtId="167" fontId="11" fillId="2" borderId="58" xfId="0" applyNumberFormat="1" applyFont="1" applyFill="1" applyBorder="1" applyAlignment="1">
      <alignment vertical="center"/>
    </xf>
    <xf numFmtId="167" fontId="11" fillId="2" borderId="53" xfId="0" applyNumberFormat="1" applyFont="1" applyFill="1" applyBorder="1" applyAlignment="1">
      <alignment vertical="center"/>
    </xf>
    <xf numFmtId="167" fontId="11" fillId="2" borderId="54" xfId="0" applyNumberFormat="1" applyFont="1" applyFill="1" applyBorder="1" applyAlignment="1">
      <alignment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167" fontId="11" fillId="2" borderId="12" xfId="0" applyNumberFormat="1" applyFont="1" applyFill="1" applyBorder="1" applyAlignment="1">
      <alignment vertical="center"/>
    </xf>
    <xf numFmtId="167" fontId="11" fillId="2" borderId="14" xfId="0" applyNumberFormat="1" applyFont="1" applyFill="1" applyBorder="1" applyAlignment="1">
      <alignment vertical="center"/>
    </xf>
    <xf numFmtId="167" fontId="11" fillId="2" borderId="40" xfId="0" applyNumberFormat="1" applyFont="1" applyFill="1" applyBorder="1" applyAlignment="1">
      <alignment vertical="center"/>
    </xf>
    <xf numFmtId="167" fontId="11" fillId="2" borderId="41" xfId="0" applyNumberFormat="1" applyFont="1" applyFill="1" applyBorder="1" applyAlignment="1">
      <alignmen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68" fontId="11" fillId="0" borderId="47" xfId="0" applyNumberFormat="1" applyFont="1" applyBorder="1" applyAlignment="1">
      <alignment horizontal="center" vertical="center"/>
    </xf>
    <xf numFmtId="168"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167" fontId="11" fillId="0" borderId="41" xfId="0" applyNumberFormat="1" applyFont="1" applyBorder="1" applyAlignment="1">
      <alignment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70" fontId="11" fillId="3" borderId="35" xfId="0" applyNumberFormat="1" applyFont="1" applyFill="1" applyBorder="1" applyAlignment="1">
      <alignment horizontal="center" vertical="center"/>
    </xf>
    <xf numFmtId="170" fontId="11" fillId="3" borderId="37" xfId="0" applyNumberFormat="1" applyFont="1" applyFill="1" applyBorder="1" applyAlignment="1">
      <alignment horizontal="center" vertical="center"/>
    </xf>
    <xf numFmtId="170" fontId="11" fillId="3" borderId="36" xfId="0" applyNumberFormat="1" applyFont="1" applyFill="1" applyBorder="1" applyAlignment="1">
      <alignment horizontal="center" vertical="center"/>
    </xf>
    <xf numFmtId="49" fontId="13" fillId="7" borderId="15" xfId="0" applyNumberFormat="1" applyFont="1" applyFill="1" applyBorder="1" applyAlignment="1">
      <alignment horizontal="lef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173" fontId="11" fillId="2" borderId="42" xfId="0" applyNumberFormat="1" applyFont="1" applyFill="1" applyBorder="1" applyAlignment="1">
      <alignment vertical="center"/>
    </xf>
    <xf numFmtId="173" fontId="11" fillId="0" borderId="36" xfId="0" applyNumberFormat="1" applyFont="1" applyBorder="1" applyAlignment="1">
      <alignment vertical="center"/>
    </xf>
    <xf numFmtId="173" fontId="11" fillId="2" borderId="36" xfId="0" applyNumberFormat="1" applyFont="1" applyFill="1" applyBorder="1" applyAlignment="1">
      <alignmen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68" fontId="11" fillId="3" borderId="48" xfId="0" applyNumberFormat="1" applyFont="1" applyFill="1" applyBorder="1" applyAlignment="1">
      <alignment horizontal="center" vertical="center"/>
    </xf>
    <xf numFmtId="168" fontId="11" fillId="3" borderId="21" xfId="0" applyNumberFormat="1" applyFont="1" applyFill="1" applyBorder="1" applyAlignment="1">
      <alignment horizontal="center" vertical="center"/>
    </xf>
    <xf numFmtId="168" fontId="11" fillId="3" borderId="46" xfId="0" applyNumberFormat="1" applyFont="1" applyFill="1" applyBorder="1" applyAlignment="1">
      <alignment horizontal="center" vertical="center"/>
    </xf>
    <xf numFmtId="168" fontId="11" fillId="3" borderId="22" xfId="0" applyNumberFormat="1" applyFont="1" applyFill="1" applyBorder="1" applyAlignment="1">
      <alignment horizontal="center" vertical="center"/>
    </xf>
    <xf numFmtId="168" fontId="11" fillId="3" borderId="31" xfId="0" applyNumberFormat="1" applyFont="1" applyFill="1" applyBorder="1" applyAlignment="1">
      <alignment horizontal="center" vertical="center"/>
    </xf>
    <xf numFmtId="168" fontId="11" fillId="3" borderId="23" xfId="0" applyNumberFormat="1" applyFont="1" applyFill="1" applyBorder="1" applyAlignment="1">
      <alignment horizontal="center" vertical="center"/>
    </xf>
    <xf numFmtId="172" fontId="11" fillId="2" borderId="21" xfId="0" applyNumberFormat="1" applyFont="1" applyFill="1" applyBorder="1" applyAlignment="1">
      <alignment horizontal="center" vertical="center"/>
    </xf>
    <xf numFmtId="172" fontId="11" fillId="2" borderId="22" xfId="0" applyNumberFormat="1" applyFont="1" applyFill="1" applyBorder="1" applyAlignment="1">
      <alignment horizontal="center" vertical="center"/>
    </xf>
    <xf numFmtId="172" fontId="11" fillId="2" borderId="23" xfId="0" applyNumberFormat="1" applyFont="1" applyFill="1" applyBorder="1" applyAlignment="1">
      <alignment horizontal="center" vertical="center"/>
    </xf>
    <xf numFmtId="166" fontId="11" fillId="0" borderId="21" xfId="0" applyNumberFormat="1" applyFont="1" applyBorder="1" applyAlignment="1">
      <alignment horizontal="center" vertical="center"/>
    </xf>
    <xf numFmtId="166" fontId="11" fillId="0" borderId="22" xfId="0" applyNumberFormat="1" applyFont="1" applyBorder="1" applyAlignment="1">
      <alignment horizontal="center" vertical="center"/>
    </xf>
    <xf numFmtId="166" fontId="11" fillId="0" borderId="23" xfId="0" applyNumberFormat="1" applyFont="1" applyBorder="1" applyAlignment="1">
      <alignment horizontal="center" vertical="center"/>
    </xf>
    <xf numFmtId="49" fontId="11" fillId="0" borderId="21"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66" fontId="11" fillId="0" borderId="48" xfId="0" applyNumberFormat="1" applyFont="1" applyBorder="1" applyAlignment="1">
      <alignment horizontal="center" vertical="center"/>
    </xf>
    <xf numFmtId="166" fontId="11" fillId="3" borderId="21" xfId="0" applyNumberFormat="1" applyFont="1" applyFill="1" applyBorder="1" applyAlignment="1">
      <alignment horizontal="center" vertical="center"/>
    </xf>
    <xf numFmtId="166" fontId="11" fillId="3" borderId="46" xfId="0" applyNumberFormat="1" applyFont="1" applyFill="1" applyBorder="1" applyAlignment="1">
      <alignment horizontal="center" vertical="center"/>
    </xf>
    <xf numFmtId="166" fontId="11" fillId="3" borderId="22" xfId="0" applyNumberFormat="1" applyFont="1" applyFill="1" applyBorder="1" applyAlignment="1">
      <alignment horizontal="center" vertical="center"/>
    </xf>
    <xf numFmtId="166" fontId="11" fillId="3" borderId="31" xfId="0" applyNumberFormat="1" applyFont="1" applyFill="1" applyBorder="1" applyAlignment="1">
      <alignment horizontal="center" vertical="center"/>
    </xf>
    <xf numFmtId="166" fontId="11" fillId="3" borderId="23" xfId="0" applyNumberFormat="1" applyFont="1" applyFill="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66" fontId="19" fillId="4" borderId="27" xfId="0" applyNumberFormat="1" applyFont="1" applyFill="1" applyBorder="1" applyAlignment="1">
      <alignment horizontal="center" vertical="top"/>
    </xf>
    <xf numFmtId="166" fontId="19" fillId="4" borderId="19" xfId="0" applyNumberFormat="1" applyFont="1" applyFill="1" applyBorder="1" applyAlignment="1">
      <alignment horizontal="center" vertical="top"/>
    </xf>
    <xf numFmtId="166"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66" fontId="19" fillId="4" borderId="53" xfId="0" applyNumberFormat="1" applyFont="1" applyFill="1" applyBorder="1" applyAlignment="1">
      <alignment horizontal="center" vertical="top"/>
    </xf>
    <xf numFmtId="166" fontId="19" fillId="4" borderId="20" xfId="0" applyNumberFormat="1" applyFont="1" applyFill="1" applyBorder="1" applyAlignment="1">
      <alignment horizontal="center" vertical="top"/>
    </xf>
    <xf numFmtId="166"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11" borderId="53" xfId="0" applyFont="1" applyFill="1" applyBorder="1" applyAlignment="1">
      <alignment horizontal="left" vertical="top"/>
    </xf>
    <xf numFmtId="0" fontId="19" fillId="11" borderId="20" xfId="0" applyFont="1" applyFill="1" applyBorder="1" applyAlignment="1">
      <alignment horizontal="left" vertical="top"/>
    </xf>
    <xf numFmtId="0" fontId="19" fillId="11" borderId="54"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3"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0" fontId="19" fillId="4" borderId="3" xfId="0" applyFont="1" applyFill="1" applyBorder="1" applyAlignment="1">
      <alignment horizontal="left" vertical="top" wrapText="1"/>
    </xf>
    <xf numFmtId="0" fontId="19" fillId="4" borderId="14" xfId="0" applyFont="1" applyFill="1" applyBorder="1" applyAlignment="1">
      <alignment horizontal="left" vertical="top" wrapText="1"/>
    </xf>
    <xf numFmtId="0" fontId="19" fillId="4" borderId="16" xfId="0" applyFon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66" fontId="19" fillId="4" borderId="40" xfId="0" applyNumberFormat="1" applyFont="1" applyFill="1" applyBorder="1" applyAlignment="1">
      <alignment horizontal="center" vertical="top"/>
    </xf>
    <xf numFmtId="166" fontId="19" fillId="4" borderId="50" xfId="0" applyNumberFormat="1" applyFont="1" applyFill="1" applyBorder="1" applyAlignment="1">
      <alignment horizontal="center" vertical="top"/>
    </xf>
    <xf numFmtId="166"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2" xfId="0" applyFont="1" applyFill="1" applyBorder="1" applyAlignment="1">
      <alignment horizontal="left" vertical="top"/>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58" xfId="0"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166" fontId="20" fillId="7" borderId="12" xfId="0" applyNumberFormat="1" applyFont="1" applyFill="1" applyBorder="1" applyAlignment="1">
      <alignment horizontal="center" vertical="center" wrapText="1"/>
    </xf>
    <xf numFmtId="166" fontId="20" fillId="7" borderId="13" xfId="0" applyNumberFormat="1" applyFont="1" applyFill="1" applyBorder="1" applyAlignment="1">
      <alignment horizontal="center" vertical="center" wrapText="1"/>
    </xf>
    <xf numFmtId="166" fontId="20" fillId="7" borderId="14" xfId="0" applyNumberFormat="1" applyFont="1" applyFill="1" applyBorder="1" applyAlignment="1">
      <alignment horizontal="center" vertical="center" wrapText="1"/>
    </xf>
    <xf numFmtId="166" fontId="20" fillId="7" borderId="15" xfId="0" applyNumberFormat="1" applyFont="1" applyFill="1" applyBorder="1" applyAlignment="1">
      <alignment horizontal="center" vertical="center" wrapText="1"/>
    </xf>
    <xf numFmtId="166" fontId="20" fillId="7" borderId="0" xfId="0" applyNumberFormat="1" applyFont="1" applyFill="1" applyAlignment="1">
      <alignment horizontal="center" vertical="center" wrapText="1"/>
    </xf>
    <xf numFmtId="166" fontId="20" fillId="7" borderId="16" xfId="0" applyNumberFormat="1" applyFont="1" applyFill="1" applyBorder="1" applyAlignment="1">
      <alignment horizontal="center" vertical="center" wrapText="1"/>
    </xf>
    <xf numFmtId="166" fontId="20" fillId="7" borderId="17" xfId="0" applyNumberFormat="1" applyFont="1" applyFill="1" applyBorder="1" applyAlignment="1">
      <alignment horizontal="center" vertical="center" wrapText="1"/>
    </xf>
    <xf numFmtId="166" fontId="20" fillId="7" borderId="57" xfId="0" applyNumberFormat="1" applyFont="1" applyFill="1" applyBorder="1" applyAlignment="1">
      <alignment horizontal="center" vertical="center" wrapText="1"/>
    </xf>
    <xf numFmtId="166" fontId="20" fillId="7" borderId="58" xfId="0" applyNumberFormat="1" applyFont="1" applyFill="1" applyBorder="1" applyAlignment="1">
      <alignment horizontal="center" vertical="center" wrapText="1"/>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168" fontId="17" fillId="9" borderId="51" xfId="0" applyNumberFormat="1" applyFont="1" applyFill="1" applyBorder="1" applyAlignment="1">
      <alignment vertical="center"/>
    </xf>
    <xf numFmtId="168"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wrapText="1"/>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166" fontId="19" fillId="4" borderId="42" xfId="0" applyNumberFormat="1" applyFont="1" applyFill="1" applyBorder="1" applyAlignment="1">
      <alignment horizontal="center" vertical="top"/>
    </xf>
    <xf numFmtId="166" fontId="19" fillId="4" borderId="37" xfId="0" applyNumberFormat="1" applyFont="1" applyFill="1" applyBorder="1" applyAlignment="1">
      <alignment horizontal="center" vertical="top"/>
    </xf>
    <xf numFmtId="166"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166" fontId="19" fillId="0" borderId="27" xfId="0" applyNumberFormat="1" applyFont="1" applyBorder="1" applyAlignment="1">
      <alignment horizontal="center" vertical="top"/>
    </xf>
    <xf numFmtId="166" fontId="19" fillId="0" borderId="19" xfId="0" applyNumberFormat="1" applyFont="1" applyBorder="1" applyAlignment="1">
      <alignment horizontal="center" vertical="top"/>
    </xf>
    <xf numFmtId="166"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166" fontId="19" fillId="0" borderId="40" xfId="0" applyNumberFormat="1" applyFont="1" applyBorder="1" applyAlignment="1">
      <alignment horizontal="center" vertical="top"/>
    </xf>
    <xf numFmtId="166" fontId="19" fillId="0" borderId="50" xfId="0" applyNumberFormat="1" applyFont="1" applyBorder="1" applyAlignment="1">
      <alignment horizontal="center" vertical="top"/>
    </xf>
    <xf numFmtId="166"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66" fontId="19" fillId="0" borderId="53" xfId="0" applyNumberFormat="1" applyFont="1" applyBorder="1" applyAlignment="1">
      <alignment horizontal="center" vertical="top"/>
    </xf>
    <xf numFmtId="166" fontId="19" fillId="0" borderId="20" xfId="0" applyNumberFormat="1" applyFont="1" applyBorder="1" applyAlignment="1">
      <alignment horizontal="center" vertical="top"/>
    </xf>
    <xf numFmtId="166"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58" xfId="0" applyFont="1" applyFill="1" applyBorder="1" applyAlignment="1">
      <alignment horizontal="left" vertical="top" wrapText="1"/>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166" fontId="19" fillId="17" borderId="27" xfId="0" applyNumberFormat="1" applyFont="1" applyFill="1" applyBorder="1" applyAlignment="1">
      <alignment horizontal="center" vertical="top"/>
    </xf>
    <xf numFmtId="166" fontId="19" fillId="17" borderId="19" xfId="0" applyNumberFormat="1" applyFont="1" applyFill="1" applyBorder="1" applyAlignment="1">
      <alignment horizontal="center" vertical="top"/>
    </xf>
    <xf numFmtId="166"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66" fontId="19" fillId="17" borderId="40" xfId="0" applyNumberFormat="1" applyFont="1" applyFill="1" applyBorder="1" applyAlignment="1">
      <alignment horizontal="center" vertical="top"/>
    </xf>
    <xf numFmtId="166" fontId="19" fillId="17" borderId="50" xfId="0" applyNumberFormat="1" applyFont="1" applyFill="1" applyBorder="1" applyAlignment="1">
      <alignment horizontal="center" vertical="top"/>
    </xf>
    <xf numFmtId="166" fontId="19" fillId="17" borderId="41" xfId="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66" fontId="19" fillId="17" borderId="53" xfId="0" applyNumberFormat="1" applyFont="1" applyFill="1" applyBorder="1" applyAlignment="1">
      <alignment horizontal="center" vertical="top"/>
    </xf>
    <xf numFmtId="166" fontId="19" fillId="17" borderId="20" xfId="0" applyNumberFormat="1" applyFont="1" applyFill="1" applyBorder="1" applyAlignment="1">
      <alignment horizontal="center" vertical="top"/>
    </xf>
    <xf numFmtId="166"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5" fillId="10" borderId="9" xfId="0" applyFont="1" applyFill="1" applyBorder="1" applyAlignment="1">
      <alignment horizontal="center" vertical="center"/>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区切り 2" xfId="7" xr:uid="{00000000-0005-0000-0000-000008000000}"/>
    <cellStyle name="桁蟻唇Ｆ [0.00]_Sheet2" xfId="5" xr:uid="{00000000-0005-0000-0000-000006000000}"/>
    <cellStyle name="桁蟻唇Ｆ_Sheet2" xfId="6" xr:uid="{00000000-0005-0000-0000-000007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 name="脱浦 [0.00]_Sheet2" xfId="8" xr:uid="{00000000-0005-0000-0000-000009000000}"/>
    <cellStyle name="脱浦_Sheet2" xfId="9" xr:uid="{00000000-0005-0000-0000-00000A000000}"/>
  </cellStyles>
  <dxfs count="21">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bgColor theme="0" tint="-0.24994659260841701"/>
        </patternFill>
      </fill>
    </dxf>
  </dxfs>
  <tableStyles count="0" defaultTableStyle="TableStyleMedium9" defaultPivotStyle="PivotStyleLight16"/>
  <colors>
    <mruColors>
      <color rgb="FFFFFF99"/>
      <color rgb="FF00FFFF"/>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66675</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161925</xdr:rowOff>
        </xdr:from>
        <xdr:to>
          <xdr:col>2</xdr:col>
          <xdr:colOff>180975</xdr:colOff>
          <xdr:row>2</xdr:row>
          <xdr:rowOff>85725</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1</xdr:row>
          <xdr:rowOff>9525</xdr:rowOff>
        </xdr:from>
        <xdr:to>
          <xdr:col>2</xdr:col>
          <xdr:colOff>428625</xdr:colOff>
          <xdr:row>3</xdr:row>
          <xdr:rowOff>142875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log\YYMMDD\CMNA555S010.SMKA0501CII.YYYYMMDDhhmmssSSS.log" TargetMode="External"/><Relationship Id="rId13" Type="http://schemas.openxmlformats.org/officeDocument/2006/relationships/hyperlink" Target="file:///\\j2sde081\d$\DEV\log\YYMMDD\CMNA555S010.SMKA0501Cii.YYYYMMDDhhmmssSSS.log" TargetMode="External"/><Relationship Id="rId18" Type="http://schemas.openxmlformats.org/officeDocument/2006/relationships/vmlDrawing" Target="../drawings/vmlDrawing1.vml"/><Relationship Id="rId3" Type="http://schemas.openxmlformats.org/officeDocument/2006/relationships/hyperlink" Target="file:///\\j2sde081\d$DEV\temp\NSBA1301%0a%0a" TargetMode="External"/><Relationship Id="rId7" Type="http://schemas.openxmlformats.org/officeDocument/2006/relationships/hyperlink" Target="file:///\\j2sde081\d$\DEV\log\YYMMDD\CMNA555S010.SMKA0501CII.YYYYMMDDhhmmssSSS.log" TargetMode="External"/><Relationship Id="rId12" Type="http://schemas.openxmlformats.org/officeDocument/2006/relationships/hyperlink" Target="file:///\\j2sde081\d$\DEV\log\YYMMDD\CMNA555S010.SMKA0501.YYYYMMDDhhmmssSSS.log" TargetMode="External"/><Relationship Id="rId17" Type="http://schemas.openxmlformats.org/officeDocument/2006/relationships/printerSettings" Target="../printerSettings/printerSettings4.bin"/><Relationship Id="rId2" Type="http://schemas.openxmlformats.org/officeDocument/2006/relationships/hyperlink" Target="file:///\\j2sde081\c$\Program%20Files\Informatica%20Cloud%20Secure%20Agent\apps\Data_Integration_Server\logs%0a" TargetMode="External"/><Relationship Id="rId16" Type="http://schemas.openxmlformats.org/officeDocument/2006/relationships/hyperlink" Target="file:///\\j2sde081\d$\DEV\log\YYMMDD\CMNA555S010.SMKA0501.YYYYMMDDhhmmssSSS.log" TargetMode="External"/><Relationship Id="rId1" Type="http://schemas.openxmlformats.org/officeDocument/2006/relationships/hyperlink" Target="file:///\\j2sde081\c$\Program%20Files\Informatica%20Cloud%20Secure%20Agent\apps\Data_Integration_Server\logs%0a" TargetMode="External"/><Relationship Id="rId6" Type="http://schemas.openxmlformats.org/officeDocument/2006/relationships/hyperlink" Target="file:///\\j2sde081\d$\DEV\log\YYMMDD\CMNA555S010.NSBA1301.YYYYMMDDhhmmssSSS.log" TargetMode="External"/><Relationship Id="rId11" Type="http://schemas.openxmlformats.org/officeDocument/2006/relationships/hyperlink" Target="file:///\\j2sde081\d$\DEV\log\YYMMDD\CMNA555S010.SMKA0501.YYYYMMDDhhmmssSSS.log" TargetMode="External"/><Relationship Id="rId5" Type="http://schemas.openxmlformats.org/officeDocument/2006/relationships/hyperlink" Target="file:///\\j2sde081\d$dev\temp" TargetMode="External"/><Relationship Id="rId15" Type="http://schemas.openxmlformats.org/officeDocument/2006/relationships/hyperlink" Target="file:///\\j2sde081\d$DEV\temp\NSBA1301%0a%0a" TargetMode="External"/><Relationship Id="rId10" Type="http://schemas.openxmlformats.org/officeDocument/2006/relationships/hyperlink" Target="file:///\\j2sde081\d$\DEV\log\YYMMDD\CMNA555S010.SMKA0501.YYYYMMDDhhmmssSSS.log" TargetMode="External"/><Relationship Id="rId19" Type="http://schemas.openxmlformats.org/officeDocument/2006/relationships/comments" Target="../comments1.xml"/><Relationship Id="rId4" Type="http://schemas.openxmlformats.org/officeDocument/2006/relationships/hyperlink" Target="file:///\\j2sde081\d$dev\temp" TargetMode="External"/><Relationship Id="rId9" Type="http://schemas.openxmlformats.org/officeDocument/2006/relationships/hyperlink" Target="file:///\\j2sde081\d$\DEV\log\YYMMDD\CMNA555S010.SMKA0501CII.YYYYMMDDhhmmssSSS.log" TargetMode="External"/><Relationship Id="rId14" Type="http://schemas.openxmlformats.org/officeDocument/2006/relationships/hyperlink" Target="file:///\\j2sde081\d$\DEV\log\YYMMDD\CMNA555S010.NSBA1301.YYYYMMDDhhmmssSSS.lo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7109375" defaultRowHeight="14.25"/>
  <cols>
    <col min="1" max="1" width="3.7109375" style="28" customWidth="1"/>
    <col min="2" max="2" width="2.140625" style="26" customWidth="1"/>
    <col min="3" max="3" width="4.85546875" style="26" customWidth="1"/>
    <col min="4" max="4" width="5.7109375" style="26" customWidth="1"/>
    <col min="5" max="6" width="3.7109375" style="26" customWidth="1"/>
    <col min="7" max="7" width="4.28515625" style="26" customWidth="1"/>
    <col min="8" max="9" width="3.7109375" style="26" customWidth="1"/>
    <col min="10" max="10" width="5.140625" style="26" customWidth="1"/>
    <col min="11" max="18" width="3.7109375" style="26" customWidth="1"/>
    <col min="19" max="19" width="5.140625" style="26" customWidth="1"/>
    <col min="20" max="20" width="2.28515625" style="26" customWidth="1"/>
    <col min="21" max="21" width="8.140625" style="26" customWidth="1"/>
    <col min="22" max="24" width="3.7109375" style="26" customWidth="1"/>
    <col min="25" max="25" width="15.7109375" style="26" customWidth="1"/>
    <col min="26" max="28" width="3.7109375" style="26" customWidth="1"/>
    <col min="29" max="29" width="5" style="26" customWidth="1"/>
    <col min="30" max="30" width="5.7109375" style="26" customWidth="1"/>
    <col min="31" max="31" width="2.140625" style="26" customWidth="1"/>
    <col min="32" max="32" width="3.7109375" style="26" customWidth="1"/>
    <col min="33" max="33" width="5.7109375" style="26" customWidth="1"/>
    <col min="34" max="34" width="3.7109375" style="26" customWidth="1"/>
    <col min="35" max="35" width="4.85546875" style="26" customWidth="1"/>
    <col min="36" max="36" width="5.7109375" style="26" customWidth="1"/>
    <col min="37" max="37" width="2" style="26" customWidth="1"/>
    <col min="38" max="40" width="3.7109375" style="26" customWidth="1"/>
    <col min="41" max="41" width="5.7109375" style="26" bestFit="1" customWidth="1"/>
    <col min="42" max="42" width="5.7109375" style="26" customWidth="1"/>
    <col min="43" max="43" width="3.7109375" style="26" customWidth="1"/>
    <col min="44" max="16384" width="3.7109375" style="26"/>
  </cols>
  <sheetData>
    <row r="1" spans="1:43" ht="14.25" customHeight="1">
      <c r="A1" s="38" t="s">
        <v>0</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c r="A2" s="42"/>
      <c r="B2" s="1" t="s">
        <v>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c r="A3" s="42" t="s">
        <v>2</v>
      </c>
      <c r="B3" s="256" t="s">
        <v>3</v>
      </c>
      <c r="C3" s="257"/>
      <c r="D3" s="260" t="s">
        <v>4</v>
      </c>
      <c r="E3" s="260"/>
      <c r="F3" s="260"/>
      <c r="G3" s="260"/>
      <c r="H3" s="260"/>
      <c r="I3" s="260"/>
      <c r="J3" s="260"/>
      <c r="K3" s="260"/>
      <c r="L3" s="260"/>
      <c r="M3" s="260"/>
      <c r="N3" s="261"/>
      <c r="O3" s="343" t="s">
        <v>5</v>
      </c>
      <c r="P3" s="343"/>
      <c r="Q3" s="343"/>
      <c r="R3" s="343"/>
      <c r="S3" s="343"/>
      <c r="T3" s="343"/>
      <c r="U3" s="343"/>
      <c r="V3" s="343"/>
      <c r="W3" s="343"/>
      <c r="X3" s="344"/>
      <c r="AB3" s="1"/>
      <c r="AC3" s="347" t="s">
        <v>6</v>
      </c>
      <c r="AD3" s="347"/>
      <c r="AE3" s="347" t="s">
        <v>7</v>
      </c>
      <c r="AF3" s="347"/>
      <c r="AG3" s="347"/>
      <c r="AH3" s="347" t="s">
        <v>8</v>
      </c>
      <c r="AI3" s="347"/>
      <c r="AJ3" s="347"/>
      <c r="AK3" s="1"/>
      <c r="AL3" s="1"/>
      <c r="AM3" s="1"/>
      <c r="AN3" s="309"/>
      <c r="AO3" s="309"/>
      <c r="AP3" s="309"/>
      <c r="AQ3" s="310"/>
    </row>
    <row r="4" spans="1:43" ht="16.5" customHeight="1">
      <c r="A4" s="42"/>
      <c r="B4" s="258"/>
      <c r="C4" s="259"/>
      <c r="D4" s="262"/>
      <c r="E4" s="262"/>
      <c r="F4" s="262"/>
      <c r="G4" s="262"/>
      <c r="H4" s="262"/>
      <c r="I4" s="262"/>
      <c r="J4" s="262"/>
      <c r="K4" s="262"/>
      <c r="L4" s="262"/>
      <c r="M4" s="262"/>
      <c r="N4" s="263"/>
      <c r="O4" s="345"/>
      <c r="P4" s="345"/>
      <c r="Q4" s="345"/>
      <c r="R4" s="345"/>
      <c r="S4" s="345"/>
      <c r="T4" s="345"/>
      <c r="U4" s="345"/>
      <c r="V4" s="345"/>
      <c r="W4" s="345"/>
      <c r="X4" s="346"/>
      <c r="AB4" s="1"/>
      <c r="AC4" s="311" t="s">
        <v>9</v>
      </c>
      <c r="AD4" s="311"/>
      <c r="AE4" s="312">
        <v>45869</v>
      </c>
      <c r="AF4" s="312"/>
      <c r="AG4" s="312"/>
      <c r="AH4" s="313" t="s">
        <v>10</v>
      </c>
      <c r="AI4" s="313"/>
      <c r="AJ4" s="313"/>
      <c r="AK4" s="1"/>
      <c r="AL4" s="1"/>
      <c r="AM4" s="1"/>
      <c r="AN4" s="309"/>
      <c r="AO4" s="309"/>
      <c r="AP4" s="309"/>
      <c r="AQ4" s="310"/>
    </row>
    <row r="5" spans="1:43" s="28" customFormat="1" ht="16.5" customHeight="1">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11" t="s">
        <v>11</v>
      </c>
      <c r="AD5" s="311"/>
      <c r="AE5" s="312"/>
      <c r="AF5" s="312"/>
      <c r="AG5" s="312"/>
      <c r="AH5" s="313"/>
      <c r="AI5" s="313"/>
      <c r="AJ5" s="313"/>
      <c r="AK5" s="46"/>
      <c r="AL5" s="46"/>
      <c r="AM5" s="46"/>
      <c r="AN5" s="46"/>
      <c r="AO5" s="46"/>
      <c r="AP5" s="46"/>
      <c r="AQ5" s="47"/>
    </row>
    <row r="6" spans="1:43" s="28" customFormat="1" ht="14.25" customHeight="1">
      <c r="A6" s="44"/>
      <c r="B6" s="348" t="str">
        <f>設定シート!D2</f>
        <v>サブシステム名</v>
      </c>
      <c r="C6" s="349"/>
      <c r="D6" s="349"/>
      <c r="E6" s="349"/>
      <c r="F6" s="349"/>
      <c r="G6" s="349"/>
      <c r="H6" s="350"/>
      <c r="I6" s="351" t="s">
        <v>12</v>
      </c>
      <c r="J6" s="351"/>
      <c r="K6" s="351"/>
      <c r="L6" s="351"/>
      <c r="M6" s="351"/>
      <c r="N6" s="352"/>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c r="A7" s="44"/>
      <c r="B7" s="314" t="str">
        <f>設定シート!E2</f>
        <v>業務プロセス名</v>
      </c>
      <c r="C7" s="339"/>
      <c r="D7" s="339"/>
      <c r="E7" s="339"/>
      <c r="F7" s="339"/>
      <c r="G7" s="339"/>
      <c r="H7" s="340"/>
      <c r="I7" s="341" t="s">
        <v>13</v>
      </c>
      <c r="J7" s="341"/>
      <c r="K7" s="341"/>
      <c r="L7" s="341"/>
      <c r="M7" s="341"/>
      <c r="N7" s="342"/>
      <c r="O7" s="1"/>
      <c r="P7" s="1"/>
      <c r="Q7" s="45"/>
      <c r="R7" s="49"/>
      <c r="U7" s="1"/>
      <c r="V7" s="1"/>
      <c r="W7" s="1"/>
      <c r="X7" s="49"/>
      <c r="Y7" s="49"/>
      <c r="AQ7" s="43"/>
    </row>
    <row r="8" spans="1:43" ht="14.25" customHeight="1">
      <c r="A8" s="44"/>
      <c r="B8" s="333" t="str">
        <f>設定シート!F2</f>
        <v>プロセス名</v>
      </c>
      <c r="C8" s="359"/>
      <c r="D8" s="359"/>
      <c r="E8" s="359"/>
      <c r="F8" s="359"/>
      <c r="G8" s="359"/>
      <c r="H8" s="360"/>
      <c r="I8" s="320" t="s">
        <v>14</v>
      </c>
      <c r="J8" s="321"/>
      <c r="K8" s="321"/>
      <c r="L8" s="321"/>
      <c r="M8" s="321"/>
      <c r="N8" s="322"/>
      <c r="O8" s="1"/>
      <c r="P8" s="1"/>
      <c r="Q8" s="45"/>
      <c r="R8" s="49"/>
      <c r="V8" s="2"/>
      <c r="W8" s="2"/>
      <c r="X8" s="49"/>
      <c r="Y8" s="49"/>
      <c r="AQ8" s="43"/>
    </row>
    <row r="9" spans="1:43" ht="14.25" customHeight="1">
      <c r="A9" s="44"/>
      <c r="B9" s="314" t="s">
        <v>15</v>
      </c>
      <c r="C9" s="315"/>
      <c r="D9" s="315"/>
      <c r="E9" s="315"/>
      <c r="F9" s="315"/>
      <c r="G9" s="315"/>
      <c r="H9" s="316"/>
      <c r="I9" s="353" t="s">
        <v>16</v>
      </c>
      <c r="J9" s="354"/>
      <c r="K9" s="354"/>
      <c r="L9" s="354"/>
      <c r="M9" s="354"/>
      <c r="N9" s="355"/>
      <c r="O9" s="1"/>
      <c r="P9" s="1"/>
      <c r="Q9" s="53"/>
      <c r="R9" s="1"/>
      <c r="V9" s="2"/>
      <c r="W9" s="2"/>
      <c r="X9" s="1"/>
      <c r="Y9" s="1"/>
      <c r="AQ9" s="43"/>
    </row>
    <row r="10" spans="1:43" ht="14.25" customHeight="1">
      <c r="A10" s="44"/>
      <c r="B10" s="333" t="s">
        <v>17</v>
      </c>
      <c r="C10" s="334"/>
      <c r="D10" s="334"/>
      <c r="E10" s="334"/>
      <c r="F10" s="334"/>
      <c r="G10" s="334"/>
      <c r="H10" s="335"/>
      <c r="I10" s="336" t="s">
        <v>18</v>
      </c>
      <c r="J10" s="337"/>
      <c r="K10" s="337"/>
      <c r="L10" s="337"/>
      <c r="M10" s="337"/>
      <c r="N10" s="338"/>
      <c r="O10" s="1"/>
      <c r="P10" s="53"/>
      <c r="Q10" s="2"/>
      <c r="R10" s="2"/>
      <c r="AQ10" s="55"/>
    </row>
    <row r="11" spans="1:43" ht="14.25" customHeight="1">
      <c r="A11" s="44"/>
      <c r="B11" s="314" t="s">
        <v>19</v>
      </c>
      <c r="C11" s="315"/>
      <c r="D11" s="315"/>
      <c r="E11" s="315"/>
      <c r="F11" s="315"/>
      <c r="G11" s="315"/>
      <c r="H11" s="316"/>
      <c r="I11" s="317" t="s">
        <v>20</v>
      </c>
      <c r="J11" s="318"/>
      <c r="K11" s="318"/>
      <c r="L11" s="318"/>
      <c r="M11" s="318"/>
      <c r="N11" s="319"/>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c r="A12" s="9"/>
      <c r="B12" s="327" t="s">
        <v>21</v>
      </c>
      <c r="C12" s="328"/>
      <c r="D12" s="328"/>
      <c r="E12" s="328"/>
      <c r="F12" s="328"/>
      <c r="G12" s="328"/>
      <c r="H12" s="329"/>
      <c r="I12" s="330"/>
      <c r="J12" s="331"/>
      <c r="K12" s="331"/>
      <c r="L12" s="331"/>
      <c r="M12" s="331"/>
      <c r="N12" s="332"/>
      <c r="O12" s="10" t="str">
        <f>共通設定_規模</f>
        <v>KS</v>
      </c>
      <c r="P12" s="2"/>
      <c r="Q12" s="2"/>
      <c r="R12" s="2"/>
      <c r="U12" s="1"/>
      <c r="V12" s="2"/>
      <c r="W12" s="2"/>
      <c r="X12" s="2"/>
      <c r="Y12" s="2"/>
      <c r="AQ12" s="43"/>
    </row>
    <row r="13" spans="1:43" ht="14.25" customHeight="1">
      <c r="A13" s="9"/>
      <c r="B13" s="12"/>
      <c r="C13" s="2"/>
      <c r="D13" s="2"/>
      <c r="E13" s="2"/>
      <c r="F13" s="2"/>
      <c r="G13" s="2"/>
      <c r="H13" s="2"/>
      <c r="I13" s="2"/>
      <c r="J13" s="2"/>
      <c r="K13" s="2"/>
      <c r="L13" s="2"/>
      <c r="M13" s="2"/>
      <c r="N13" s="2"/>
      <c r="O13" s="2"/>
      <c r="P13" s="2"/>
      <c r="Q13" s="1"/>
      <c r="R13" s="2"/>
      <c r="V13" s="2"/>
      <c r="W13" s="2"/>
      <c r="X13" s="2"/>
      <c r="Y13" s="2"/>
      <c r="AQ13" s="43"/>
    </row>
    <row r="14" spans="1:43" ht="14.25" customHeight="1">
      <c r="A14" s="9"/>
      <c r="B14" s="49" t="s">
        <v>22</v>
      </c>
      <c r="C14" s="1"/>
      <c r="D14" s="2"/>
      <c r="E14" s="2"/>
      <c r="F14" s="2"/>
      <c r="G14" s="2"/>
      <c r="H14" s="2"/>
      <c r="I14" s="2"/>
      <c r="J14" s="2"/>
      <c r="K14" s="2"/>
      <c r="L14" s="2"/>
      <c r="M14" s="2"/>
      <c r="N14" s="2"/>
      <c r="O14" s="2"/>
      <c r="P14" s="2"/>
      <c r="Q14" s="1"/>
      <c r="R14" s="2"/>
      <c r="T14" s="73" t="s">
        <v>23</v>
      </c>
      <c r="V14" s="2"/>
      <c r="W14" s="2"/>
      <c r="X14" s="1"/>
      <c r="Y14" s="1"/>
      <c r="Z14" s="26" t="s">
        <v>24</v>
      </c>
      <c r="AF14" s="26" t="s">
        <v>25</v>
      </c>
      <c r="AL14" s="26" t="s">
        <v>26</v>
      </c>
      <c r="AQ14" s="43"/>
    </row>
    <row r="15" spans="1:43" ht="14.25" customHeight="1">
      <c r="A15" s="9"/>
      <c r="B15" s="324" t="s">
        <v>27</v>
      </c>
      <c r="C15" s="325"/>
      <c r="D15" s="325"/>
      <c r="E15" s="325"/>
      <c r="F15" s="325" t="s">
        <v>28</v>
      </c>
      <c r="G15" s="325"/>
      <c r="H15" s="325"/>
      <c r="I15" s="325" t="s">
        <v>29</v>
      </c>
      <c r="J15" s="325"/>
      <c r="K15" s="325"/>
      <c r="L15" s="325" t="s">
        <v>30</v>
      </c>
      <c r="M15" s="325"/>
      <c r="N15" s="325"/>
      <c r="O15" s="325" t="s">
        <v>31</v>
      </c>
      <c r="P15" s="325"/>
      <c r="Q15" s="326"/>
      <c r="R15" s="1"/>
      <c r="T15" s="2" t="s">
        <v>32</v>
      </c>
      <c r="Z15" s="78"/>
      <c r="AA15" s="79"/>
      <c r="AB15" s="80"/>
      <c r="AC15" s="80"/>
      <c r="AD15" s="81"/>
      <c r="AE15" s="74"/>
      <c r="AF15" s="50"/>
      <c r="AG15" s="51"/>
      <c r="AH15" s="5"/>
      <c r="AI15" s="5"/>
      <c r="AJ15" s="6"/>
      <c r="AK15" s="1"/>
      <c r="AL15" s="50"/>
      <c r="AM15" s="51"/>
      <c r="AN15" s="5"/>
      <c r="AO15" s="5"/>
      <c r="AP15" s="6"/>
      <c r="AQ15" s="55"/>
    </row>
    <row r="16" spans="1:43" ht="14.25" customHeight="1">
      <c r="A16" s="9"/>
      <c r="B16" s="361"/>
      <c r="C16" s="362"/>
      <c r="D16" s="362"/>
      <c r="E16" s="362"/>
      <c r="F16" s="367" t="str">
        <f>IF(開発規模="","",ＰＳ指摘件数/開発規模)</f>
        <v/>
      </c>
      <c r="G16" s="367"/>
      <c r="H16" s="367"/>
      <c r="I16" s="370"/>
      <c r="J16" s="370"/>
      <c r="K16" s="370"/>
      <c r="L16" s="373"/>
      <c r="M16" s="373"/>
      <c r="N16" s="373"/>
      <c r="O16" s="373"/>
      <c r="P16" s="373"/>
      <c r="Q16" s="376"/>
      <c r="R16" s="1"/>
      <c r="S16" s="2"/>
      <c r="T16" s="2"/>
      <c r="U16" s="2" t="s">
        <v>33</v>
      </c>
      <c r="V16" s="2"/>
      <c r="W16" s="2"/>
      <c r="X16" s="1"/>
      <c r="Y16" s="1"/>
      <c r="Z16" s="82"/>
      <c r="AA16" s="266">
        <f ca="1">SUM(基本_start:基本_end!CR2)</f>
        <v>8</v>
      </c>
      <c r="AB16" s="323"/>
      <c r="AC16" s="74" t="s">
        <v>34</v>
      </c>
      <c r="AD16" s="83"/>
      <c r="AE16" s="74"/>
      <c r="AF16" s="52"/>
      <c r="AG16" s="266">
        <f>SUM(業務_start:業務_end!CR2)</f>
        <v>0</v>
      </c>
      <c r="AH16" s="323"/>
      <c r="AI16" s="7" t="s">
        <v>34</v>
      </c>
      <c r="AJ16" s="8"/>
      <c r="AK16" s="1"/>
      <c r="AL16" s="52"/>
      <c r="AM16" s="266">
        <f ca="1">基本テスト項目数+業務テスト項目数</f>
        <v>8</v>
      </c>
      <c r="AN16" s="267"/>
      <c r="AO16" s="7" t="s">
        <v>34</v>
      </c>
      <c r="AP16" s="8"/>
      <c r="AQ16" s="43"/>
    </row>
    <row r="17" spans="1:43" ht="14.25" customHeight="1">
      <c r="A17" s="9"/>
      <c r="B17" s="363"/>
      <c r="C17" s="364"/>
      <c r="D17" s="364"/>
      <c r="E17" s="364"/>
      <c r="F17" s="368"/>
      <c r="G17" s="368"/>
      <c r="H17" s="368"/>
      <c r="I17" s="371"/>
      <c r="J17" s="371"/>
      <c r="K17" s="371"/>
      <c r="L17" s="374"/>
      <c r="M17" s="374"/>
      <c r="N17" s="374"/>
      <c r="O17" s="374"/>
      <c r="P17" s="374"/>
      <c r="Q17" s="377"/>
      <c r="T17" s="2"/>
      <c r="U17" s="2" t="s">
        <v>35</v>
      </c>
      <c r="Z17" s="54"/>
      <c r="AA17" s="356" t="str">
        <f>IF(開発規模="","",基本テスト項目数/開発規模)</f>
        <v/>
      </c>
      <c r="AB17" s="357"/>
      <c r="AC17" s="74" t="s">
        <v>36</v>
      </c>
      <c r="AD17" s="83" t="str">
        <f>$O$12</f>
        <v>KS</v>
      </c>
      <c r="AE17" s="74"/>
      <c r="AF17" s="44"/>
      <c r="AG17" s="356" t="str">
        <f>IF(開発規模="","",業務テスト項目数/開発規模)</f>
        <v/>
      </c>
      <c r="AH17" s="358"/>
      <c r="AI17" s="7" t="s">
        <v>36</v>
      </c>
      <c r="AJ17" s="8" t="str">
        <f>$O$12</f>
        <v>KS</v>
      </c>
      <c r="AK17" s="1"/>
      <c r="AL17" s="44"/>
      <c r="AM17" s="356" t="str">
        <f>IF(開発規模="","",合計テスト項目数/開発規模)</f>
        <v/>
      </c>
      <c r="AN17" s="358"/>
      <c r="AO17" s="7" t="s">
        <v>36</v>
      </c>
      <c r="AP17" s="8" t="str">
        <f>$O$12</f>
        <v>KS</v>
      </c>
      <c r="AQ17" s="43"/>
    </row>
    <row r="18" spans="1:43" ht="14.25" customHeight="1">
      <c r="A18" s="9"/>
      <c r="B18" s="365"/>
      <c r="C18" s="366"/>
      <c r="D18" s="366"/>
      <c r="E18" s="366"/>
      <c r="F18" s="369"/>
      <c r="G18" s="369"/>
      <c r="H18" s="369"/>
      <c r="I18" s="372"/>
      <c r="J18" s="372"/>
      <c r="K18" s="372"/>
      <c r="L18" s="375"/>
      <c r="M18" s="375"/>
      <c r="N18" s="375"/>
      <c r="O18" s="375"/>
      <c r="P18" s="375"/>
      <c r="Q18" s="378"/>
      <c r="R18" s="1"/>
      <c r="T18" s="2" t="s">
        <v>37</v>
      </c>
      <c r="Z18" s="84"/>
      <c r="AA18" s="85"/>
      <c r="AB18" s="85"/>
      <c r="AC18" s="75"/>
      <c r="AD18" s="86"/>
      <c r="AE18" s="75"/>
      <c r="AF18" s="9"/>
      <c r="AG18" s="167"/>
      <c r="AH18" s="167"/>
      <c r="AI18" s="4"/>
      <c r="AJ18" s="11"/>
      <c r="AK18" s="1"/>
      <c r="AL18" s="9"/>
      <c r="AM18" s="167"/>
      <c r="AN18" s="167"/>
      <c r="AO18" s="4"/>
      <c r="AP18" s="11"/>
      <c r="AQ18" s="43"/>
    </row>
    <row r="19" spans="1:43" ht="14.25" customHeight="1">
      <c r="A19" s="9"/>
      <c r="B19" s="1"/>
      <c r="C19" s="7"/>
      <c r="D19" s="7"/>
      <c r="E19" s="7"/>
      <c r="I19" s="7"/>
      <c r="J19" s="7"/>
      <c r="K19" s="1"/>
      <c r="L19" s="1"/>
      <c r="M19" s="1"/>
      <c r="N19" s="1"/>
      <c r="O19" s="1"/>
      <c r="P19" s="1"/>
      <c r="Q19" s="1"/>
      <c r="R19" s="1"/>
      <c r="T19" s="2"/>
      <c r="U19" s="2" t="s">
        <v>38</v>
      </c>
      <c r="Z19" s="84"/>
      <c r="AA19" s="266">
        <f ca="1">SUM(基本_start:基本_end!CX6)</f>
        <v>0</v>
      </c>
      <c r="AB19" s="323"/>
      <c r="AC19" s="74" t="s">
        <v>39</v>
      </c>
      <c r="AD19" s="83"/>
      <c r="AE19" s="74"/>
      <c r="AF19" s="9"/>
      <c r="AG19" s="266">
        <f>SUM(業務_start:業務_end!CX6)</f>
        <v>0</v>
      </c>
      <c r="AH19" s="323"/>
      <c r="AI19" s="7" t="s">
        <v>39</v>
      </c>
      <c r="AJ19" s="8"/>
      <c r="AK19" s="1"/>
      <c r="AL19" s="9"/>
      <c r="AM19" s="266">
        <f ca="1">基本障害件数+業務障害件数</f>
        <v>0</v>
      </c>
      <c r="AN19" s="267"/>
      <c r="AO19" s="7" t="s">
        <v>39</v>
      </c>
      <c r="AP19" s="8"/>
      <c r="AQ19" s="43"/>
    </row>
    <row r="20" spans="1:43" ht="14.25" customHeight="1">
      <c r="A20" s="44"/>
      <c r="B20" s="49" t="s">
        <v>40</v>
      </c>
      <c r="C20" s="58"/>
      <c r="D20" s="58"/>
      <c r="E20" s="58"/>
      <c r="I20" s="1"/>
      <c r="J20" s="1"/>
      <c r="K20" s="1"/>
      <c r="L20" s="1"/>
      <c r="M20" s="1"/>
      <c r="N20" s="1"/>
      <c r="O20" s="1"/>
      <c r="P20" s="1"/>
      <c r="Q20" s="1"/>
      <c r="R20" s="1"/>
      <c r="T20" s="2"/>
      <c r="U20" s="2" t="s">
        <v>41</v>
      </c>
      <c r="Z20" s="87"/>
      <c r="AA20" s="356" t="str">
        <f>IF(開発規模="","",基本障害件数/開発規模)</f>
        <v/>
      </c>
      <c r="AB20" s="357"/>
      <c r="AC20" s="74" t="s">
        <v>42</v>
      </c>
      <c r="AD20" s="83" t="str">
        <f>$O$12</f>
        <v>KS</v>
      </c>
      <c r="AE20" s="74"/>
      <c r="AF20" s="13"/>
      <c r="AG20" s="356" t="str">
        <f>IF(開発規模="","",業務障害件数/開発規模)</f>
        <v/>
      </c>
      <c r="AH20" s="358"/>
      <c r="AI20" s="7" t="s">
        <v>42</v>
      </c>
      <c r="AJ20" s="8" t="str">
        <f>$O$12</f>
        <v>KS</v>
      </c>
      <c r="AK20" s="1"/>
      <c r="AL20" s="13"/>
      <c r="AM20" s="356" t="str">
        <f>IF(開発規模="","",合計障害件数/開発規模)</f>
        <v/>
      </c>
      <c r="AN20" s="358"/>
      <c r="AO20" s="7" t="s">
        <v>42</v>
      </c>
      <c r="AP20" s="8" t="str">
        <f>$O$12</f>
        <v>KS</v>
      </c>
      <c r="AQ20" s="43"/>
    </row>
    <row r="21" spans="1:43" ht="14.25" customHeight="1">
      <c r="A21" s="9"/>
      <c r="B21" s="324" t="s">
        <v>27</v>
      </c>
      <c r="C21" s="325"/>
      <c r="D21" s="325"/>
      <c r="E21" s="325"/>
      <c r="F21" s="325" t="s">
        <v>28</v>
      </c>
      <c r="G21" s="325"/>
      <c r="H21" s="325"/>
      <c r="I21" s="325" t="s">
        <v>29</v>
      </c>
      <c r="J21" s="325"/>
      <c r="K21" s="325"/>
      <c r="L21" s="325" t="s">
        <v>30</v>
      </c>
      <c r="M21" s="325"/>
      <c r="N21" s="325"/>
      <c r="O21" s="325" t="s">
        <v>31</v>
      </c>
      <c r="P21" s="325"/>
      <c r="Q21" s="326"/>
      <c r="R21" s="1"/>
      <c r="T21" s="26" t="s">
        <v>43</v>
      </c>
      <c r="Z21" s="54"/>
      <c r="AD21" s="55"/>
      <c r="AF21" s="54"/>
      <c r="AJ21" s="55"/>
      <c r="AL21" s="54"/>
      <c r="AP21" s="55"/>
      <c r="AQ21" s="43"/>
    </row>
    <row r="22" spans="1:43" ht="14.25" customHeight="1">
      <c r="A22" s="9"/>
      <c r="B22" s="361"/>
      <c r="C22" s="362"/>
      <c r="D22" s="362"/>
      <c r="E22" s="362"/>
      <c r="F22" s="367" t="str">
        <f>IF(開発規模="","",ＰＴ仕様書指摘件数/開発規模)</f>
        <v/>
      </c>
      <c r="G22" s="367"/>
      <c r="H22" s="367"/>
      <c r="I22" s="370"/>
      <c r="J22" s="370"/>
      <c r="K22" s="370"/>
      <c r="L22" s="373"/>
      <c r="M22" s="373"/>
      <c r="N22" s="373"/>
      <c r="O22" s="373"/>
      <c r="P22" s="373"/>
      <c r="Q22" s="376"/>
      <c r="R22" s="1"/>
      <c r="U22" s="26" t="str">
        <f ca="1">IF(INDIRECT("コード表!C4")="","",INDIRECT("コード表!C4"))</f>
        <v>RD</v>
      </c>
      <c r="Z22" s="84"/>
      <c r="AA22" s="266">
        <f ca="1">IF(原因工程名１="","",SUM(基本_start:基本_end!ET10))</f>
        <v>0</v>
      </c>
      <c r="AB22" s="267"/>
      <c r="AC22" s="74" t="s">
        <v>39</v>
      </c>
      <c r="AD22" s="89"/>
      <c r="AE22" s="76"/>
      <c r="AF22" s="9"/>
      <c r="AG22" s="266">
        <f ca="1">IF(原因工程名１="","",SUM(業務_start:業務_end!ET10))</f>
        <v>0</v>
      </c>
      <c r="AH22" s="267"/>
      <c r="AI22" s="7" t="s">
        <v>39</v>
      </c>
      <c r="AJ22" s="56"/>
      <c r="AK22" s="1"/>
      <c r="AL22" s="9"/>
      <c r="AM22" s="266">
        <f ca="1">IF(原因工程名１="","",SUM(基本原因工程１,業務原因工程１))</f>
        <v>0</v>
      </c>
      <c r="AN22" s="267"/>
      <c r="AO22" s="7" t="s">
        <v>39</v>
      </c>
      <c r="AP22" s="56"/>
      <c r="AQ22" s="43"/>
    </row>
    <row r="23" spans="1:43" ht="14.25" customHeight="1">
      <c r="A23" s="9"/>
      <c r="B23" s="363"/>
      <c r="C23" s="364"/>
      <c r="D23" s="364"/>
      <c r="E23" s="364"/>
      <c r="F23" s="368"/>
      <c r="G23" s="368"/>
      <c r="H23" s="368"/>
      <c r="I23" s="371"/>
      <c r="J23" s="371"/>
      <c r="K23" s="371"/>
      <c r="L23" s="374"/>
      <c r="M23" s="374"/>
      <c r="N23" s="374"/>
      <c r="O23" s="374"/>
      <c r="P23" s="374"/>
      <c r="Q23" s="377"/>
      <c r="R23" s="1"/>
      <c r="U23" s="26" t="str">
        <f ca="1">IF(INDIRECT("コード表!C5")="","",INDIRECT("コード表!C5"))</f>
        <v>UI</v>
      </c>
      <c r="Z23" s="84"/>
      <c r="AA23" s="246">
        <f ca="1">IF(原因工程名２="","",SUM(基本_start:基本_end!EU10))</f>
        <v>0</v>
      </c>
      <c r="AB23" s="248"/>
      <c r="AC23" s="74" t="s">
        <v>39</v>
      </c>
      <c r="AD23" s="90"/>
      <c r="AE23" s="77"/>
      <c r="AF23" s="9"/>
      <c r="AG23" s="246">
        <f ca="1">IF(原因工程名２="","",SUM(業務_start:業務_end!EU10))</f>
        <v>0</v>
      </c>
      <c r="AH23" s="248"/>
      <c r="AI23" s="7" t="s">
        <v>39</v>
      </c>
      <c r="AJ23" s="57"/>
      <c r="AK23" s="1"/>
      <c r="AL23" s="9"/>
      <c r="AM23" s="246">
        <f ca="1">IF(原因工程名２="","",SUM(基本原因工程２,業務原因工程２))</f>
        <v>0</v>
      </c>
      <c r="AN23" s="248"/>
      <c r="AO23" s="7" t="s">
        <v>39</v>
      </c>
      <c r="AP23" s="57"/>
      <c r="AQ23" s="43"/>
    </row>
    <row r="24" spans="1:43" ht="14.25" customHeight="1">
      <c r="A24" s="9"/>
      <c r="B24" s="365"/>
      <c r="C24" s="366"/>
      <c r="D24" s="366"/>
      <c r="E24" s="366"/>
      <c r="F24" s="369"/>
      <c r="G24" s="369"/>
      <c r="H24" s="369"/>
      <c r="I24" s="372"/>
      <c r="J24" s="372"/>
      <c r="K24" s="372"/>
      <c r="L24" s="375"/>
      <c r="M24" s="375"/>
      <c r="N24" s="375"/>
      <c r="O24" s="375"/>
      <c r="P24" s="375"/>
      <c r="Q24" s="378"/>
      <c r="R24" s="1"/>
      <c r="U24" s="26" t="str">
        <f ca="1">IF(INDIRECT("コード表!C6")="","",INDIRECT("コード表!C6"))</f>
        <v>SS</v>
      </c>
      <c r="W24" s="2"/>
      <c r="X24" s="1"/>
      <c r="Y24" s="1"/>
      <c r="Z24" s="84"/>
      <c r="AA24" s="246">
        <f ca="1">IF(原因工程名３="","",SUM(基本_start:基本_end!EV10))</f>
        <v>0</v>
      </c>
      <c r="AB24" s="247"/>
      <c r="AC24" s="74" t="s">
        <v>39</v>
      </c>
      <c r="AD24" s="90"/>
      <c r="AE24" s="77"/>
      <c r="AF24" s="9"/>
      <c r="AG24" s="246">
        <f ca="1">IF(原因工程名３="","",SUM(業務_start:業務_end!EV10))</f>
        <v>0</v>
      </c>
      <c r="AH24" s="247"/>
      <c r="AI24" s="7" t="s">
        <v>39</v>
      </c>
      <c r="AJ24" s="57"/>
      <c r="AK24" s="1"/>
      <c r="AL24" s="9"/>
      <c r="AM24" s="246">
        <f ca="1">IF(原因工程名３="","",SUM(基本原因工程３,業務原因工程３))</f>
        <v>0</v>
      </c>
      <c r="AN24" s="248"/>
      <c r="AO24" s="7" t="s">
        <v>39</v>
      </c>
      <c r="AP24" s="57"/>
      <c r="AQ24" s="43"/>
    </row>
    <row r="25" spans="1:43" ht="14.25" customHeight="1">
      <c r="A25" s="9"/>
      <c r="B25" s="1"/>
      <c r="C25" s="1"/>
      <c r="D25" s="1"/>
      <c r="E25" s="1"/>
      <c r="I25" s="1"/>
      <c r="J25" s="1"/>
      <c r="K25" s="1"/>
      <c r="L25" s="1"/>
      <c r="M25" s="1"/>
      <c r="N25" s="1"/>
      <c r="O25" s="1"/>
      <c r="P25" s="1"/>
      <c r="Q25" s="1"/>
      <c r="R25" s="1"/>
      <c r="U25" s="26" t="str">
        <f ca="1">IF(INDIRECT("コード表!C7")="","",INDIRECT("コード表!C7"))</f>
        <v>PS</v>
      </c>
      <c r="W25" s="1"/>
      <c r="X25" s="1"/>
      <c r="Y25" s="1"/>
      <c r="Z25" s="84"/>
      <c r="AA25" s="246">
        <f ca="1">IF(原因工程名４="","",SUM(基本_start:基本_end!EW10))</f>
        <v>0</v>
      </c>
      <c r="AB25" s="247"/>
      <c r="AC25" s="74" t="s">
        <v>39</v>
      </c>
      <c r="AD25" s="90"/>
      <c r="AE25" s="77"/>
      <c r="AF25" s="9"/>
      <c r="AG25" s="246">
        <f ca="1">IF(原因工程名４="","",SUM(業務_start:業務_end!EW10))</f>
        <v>0</v>
      </c>
      <c r="AH25" s="247"/>
      <c r="AI25" s="7" t="s">
        <v>39</v>
      </c>
      <c r="AJ25" s="57"/>
      <c r="AK25" s="1"/>
      <c r="AL25" s="9"/>
      <c r="AM25" s="246">
        <f ca="1">IF(原因工程名４="","",SUM(基本原因工程４,業務原因工程４))</f>
        <v>0</v>
      </c>
      <c r="AN25" s="248"/>
      <c r="AO25" s="7" t="s">
        <v>39</v>
      </c>
      <c r="AP25" s="57"/>
      <c r="AQ25" s="43"/>
    </row>
    <row r="26" spans="1:43" ht="14.25" customHeight="1">
      <c r="A26" s="9"/>
      <c r="B26" s="49" t="s">
        <v>44</v>
      </c>
      <c r="C26" s="1"/>
      <c r="D26" s="1"/>
      <c r="E26" s="1"/>
      <c r="I26" s="1"/>
      <c r="J26" s="1"/>
      <c r="K26" s="1"/>
      <c r="L26" s="1"/>
      <c r="M26" s="1"/>
      <c r="N26" s="1"/>
      <c r="O26" s="1"/>
      <c r="P26" s="1"/>
      <c r="Q26" s="1"/>
      <c r="R26" s="1"/>
      <c r="S26" s="12"/>
      <c r="U26" s="26" t="str">
        <f ca="1">IF(INDIRECT("コード表!C8")="","",INDIRECT("コード表!C8"))</f>
        <v>PG</v>
      </c>
      <c r="W26" s="1"/>
      <c r="X26" s="1"/>
      <c r="Y26" s="1"/>
      <c r="Z26" s="84"/>
      <c r="AA26" s="246">
        <f ca="1">IF(原因工程名５="","",SUM(基本_start:基本_end!EX10))</f>
        <v>0</v>
      </c>
      <c r="AB26" s="247"/>
      <c r="AC26" s="74" t="s">
        <v>39</v>
      </c>
      <c r="AD26" s="55"/>
      <c r="AF26" s="9"/>
      <c r="AG26" s="246">
        <f ca="1">IF(原因工程名５="","",SUM(業務_start:業務_end!EX10))</f>
        <v>0</v>
      </c>
      <c r="AH26" s="247"/>
      <c r="AI26" s="7" t="s">
        <v>39</v>
      </c>
      <c r="AJ26" s="43"/>
      <c r="AK26" s="1"/>
      <c r="AL26" s="9"/>
      <c r="AM26" s="246">
        <f ca="1">IF(原因工程名５="","",SUM(基本原因工程５,業務原因工程５))</f>
        <v>0</v>
      </c>
      <c r="AN26" s="248"/>
      <c r="AO26" s="7" t="s">
        <v>39</v>
      </c>
      <c r="AP26" s="43"/>
      <c r="AQ26" s="43"/>
    </row>
    <row r="27" spans="1:43" ht="14.25" customHeight="1">
      <c r="A27" s="9"/>
      <c r="B27" s="324" t="s">
        <v>27</v>
      </c>
      <c r="C27" s="325"/>
      <c r="D27" s="325"/>
      <c r="E27" s="325"/>
      <c r="F27" s="325" t="s">
        <v>28</v>
      </c>
      <c r="G27" s="325"/>
      <c r="H27" s="325"/>
      <c r="I27" s="325" t="s">
        <v>29</v>
      </c>
      <c r="J27" s="325"/>
      <c r="K27" s="325"/>
      <c r="L27" s="325" t="s">
        <v>30</v>
      </c>
      <c r="M27" s="325"/>
      <c r="N27" s="325"/>
      <c r="O27" s="325" t="s">
        <v>31</v>
      </c>
      <c r="P27" s="325"/>
      <c r="Q27" s="326"/>
      <c r="R27" s="1"/>
      <c r="S27" s="12"/>
      <c r="U27" s="26" t="str">
        <f ca="1">IF(INDIRECT("コード表!C9")="","",INDIRECT("コード表!C9"))</f>
        <v>PT</v>
      </c>
      <c r="Y27" s="1"/>
      <c r="Z27" s="84"/>
      <c r="AA27" s="246">
        <f ca="1">IF(原因工程名６="","",SUM(基本_start:基本_end!EY10))</f>
        <v>0</v>
      </c>
      <c r="AB27" s="247"/>
      <c r="AC27" s="74" t="s">
        <v>39</v>
      </c>
      <c r="AD27" s="55"/>
      <c r="AF27" s="9"/>
      <c r="AG27" s="246">
        <f ca="1">IF(原因工程名６="","",SUM(業務_start:業務_end!EY10))</f>
        <v>0</v>
      </c>
      <c r="AH27" s="247"/>
      <c r="AI27" s="7" t="s">
        <v>39</v>
      </c>
      <c r="AJ27" s="43"/>
      <c r="AK27" s="1"/>
      <c r="AL27" s="9"/>
      <c r="AM27" s="246">
        <f ca="1">IF(原因工程名６="","",SUM(基本原因工程６,業務原因工程６))</f>
        <v>0</v>
      </c>
      <c r="AN27" s="248"/>
      <c r="AO27" s="7" t="s">
        <v>39</v>
      </c>
      <c r="AP27" s="43"/>
      <c r="AQ27" s="43"/>
    </row>
    <row r="28" spans="1:43" ht="14.25" customHeight="1">
      <c r="A28" s="9"/>
      <c r="B28" s="361"/>
      <c r="C28" s="362"/>
      <c r="D28" s="362"/>
      <c r="E28" s="362"/>
      <c r="F28" s="367" t="str">
        <f>IF(開発規模="","",ＰＧ指摘件数/開発規模)</f>
        <v/>
      </c>
      <c r="G28" s="367"/>
      <c r="H28" s="367"/>
      <c r="I28" s="370"/>
      <c r="J28" s="370"/>
      <c r="K28" s="370"/>
      <c r="L28" s="373"/>
      <c r="M28" s="373"/>
      <c r="N28" s="373"/>
      <c r="O28" s="373"/>
      <c r="P28" s="373"/>
      <c r="Q28" s="376"/>
      <c r="R28" s="1"/>
      <c r="S28" s="12"/>
      <c r="U28" s="26" t="str">
        <f ca="1">IF(INDIRECT("コード表!C10")="","",INDIRECT("コード表!C10"))</f>
        <v>PT受入</v>
      </c>
      <c r="V28" s="2"/>
      <c r="W28" s="1"/>
      <c r="X28" s="1"/>
      <c r="Y28" s="1"/>
      <c r="Z28" s="84"/>
      <c r="AA28" s="246">
        <f ca="1">IF(原因工程名７="","",SUM(基本_start:基本_end!EZ10))</f>
        <v>0</v>
      </c>
      <c r="AB28" s="247"/>
      <c r="AC28" s="74" t="s">
        <v>39</v>
      </c>
      <c r="AD28" s="90"/>
      <c r="AE28" s="77"/>
      <c r="AF28" s="9"/>
      <c r="AG28" s="246">
        <f ca="1">IF(原因工程名７="","",SUM(業務_start:業務_end!EZ10))</f>
        <v>0</v>
      </c>
      <c r="AH28" s="247"/>
      <c r="AI28" s="7" t="s">
        <v>39</v>
      </c>
      <c r="AJ28" s="57"/>
      <c r="AK28" s="1"/>
      <c r="AL28" s="9"/>
      <c r="AM28" s="246">
        <f ca="1">IF(原因工程名７="","",SUM(基本原因工程７,業務原因工程７))</f>
        <v>0</v>
      </c>
      <c r="AN28" s="248"/>
      <c r="AO28" s="7" t="s">
        <v>39</v>
      </c>
      <c r="AP28" s="57"/>
      <c r="AQ28" s="43"/>
    </row>
    <row r="29" spans="1:43" ht="14.25" customHeight="1">
      <c r="A29" s="9"/>
      <c r="B29" s="363"/>
      <c r="C29" s="364"/>
      <c r="D29" s="364"/>
      <c r="E29" s="364"/>
      <c r="F29" s="368"/>
      <c r="G29" s="368"/>
      <c r="H29" s="368"/>
      <c r="I29" s="371"/>
      <c r="J29" s="371"/>
      <c r="K29" s="371"/>
      <c r="L29" s="374"/>
      <c r="M29" s="374"/>
      <c r="N29" s="374"/>
      <c r="O29" s="374"/>
      <c r="P29" s="374"/>
      <c r="Q29" s="377"/>
      <c r="R29" s="1"/>
      <c r="S29" s="12"/>
      <c r="U29" s="26" t="str">
        <f ca="1">IF(INDIRECT("コード表!C11")="","",INDIRECT("コード表!C11"))</f>
        <v>IT</v>
      </c>
      <c r="W29" s="1"/>
      <c r="X29" s="1"/>
      <c r="Y29" s="1"/>
      <c r="Z29" s="84"/>
      <c r="AA29" s="246">
        <f ca="1">IF(原因工程名８="","",SUM(基本_start:基本_end!FA10))</f>
        <v>0</v>
      </c>
      <c r="AB29" s="247"/>
      <c r="AC29" s="74" t="s">
        <v>39</v>
      </c>
      <c r="AD29" s="90"/>
      <c r="AE29" s="77"/>
      <c r="AF29" s="9"/>
      <c r="AG29" s="246">
        <f ca="1">IF(原因工程名８="","",SUM(業務_start:業務_end!FA10))</f>
        <v>0</v>
      </c>
      <c r="AH29" s="247"/>
      <c r="AI29" s="7" t="s">
        <v>39</v>
      </c>
      <c r="AJ29" s="57"/>
      <c r="AK29" s="1"/>
      <c r="AL29" s="9"/>
      <c r="AM29" s="246">
        <f ca="1">IF(原因工程名８="","",SUM(基本原因工程８,業務原因工程８))</f>
        <v>0</v>
      </c>
      <c r="AN29" s="248"/>
      <c r="AO29" s="7" t="s">
        <v>39</v>
      </c>
      <c r="AP29" s="57"/>
      <c r="AQ29" s="43"/>
    </row>
    <row r="30" spans="1:43" ht="14.25" customHeight="1">
      <c r="A30" s="9"/>
      <c r="B30" s="365"/>
      <c r="C30" s="366"/>
      <c r="D30" s="366"/>
      <c r="E30" s="366"/>
      <c r="F30" s="369"/>
      <c r="G30" s="369"/>
      <c r="H30" s="369"/>
      <c r="I30" s="372"/>
      <c r="J30" s="372"/>
      <c r="K30" s="372"/>
      <c r="L30" s="375"/>
      <c r="M30" s="375"/>
      <c r="N30" s="375"/>
      <c r="O30" s="375"/>
      <c r="P30" s="375"/>
      <c r="Q30" s="378"/>
      <c r="R30" s="1"/>
      <c r="S30" s="12"/>
      <c r="T30" s="2"/>
      <c r="U30" s="26" t="str">
        <f ca="1">IF(INDIRECT("コード表!C12")="","",INDIRECT("コード表!C12"))</f>
        <v>ST</v>
      </c>
      <c r="V30" s="2"/>
      <c r="W30" s="1"/>
      <c r="X30" s="1"/>
      <c r="Y30" s="1"/>
      <c r="Z30" s="84"/>
      <c r="AA30" s="246">
        <f ca="1">IF(原因工程名９="","",SUM(基本_start:基本_end!FB10))</f>
        <v>0</v>
      </c>
      <c r="AB30" s="247"/>
      <c r="AC30" s="74" t="s">
        <v>39</v>
      </c>
      <c r="AD30" s="55"/>
      <c r="AF30" s="9"/>
      <c r="AG30" s="246">
        <f ca="1">IF(原因工程名９="","",SUM(業務_start:業務_end!FB10))</f>
        <v>0</v>
      </c>
      <c r="AH30" s="247"/>
      <c r="AI30" s="7" t="s">
        <v>39</v>
      </c>
      <c r="AJ30" s="43"/>
      <c r="AK30" s="1"/>
      <c r="AL30" s="9"/>
      <c r="AM30" s="246">
        <f ca="1">IF(原因工程名９="","",SUM(基本原因工程９,業務原因工程９))</f>
        <v>0</v>
      </c>
      <c r="AN30" s="248"/>
      <c r="AO30" s="7" t="s">
        <v>39</v>
      </c>
      <c r="AP30" s="43"/>
      <c r="AQ30" s="43"/>
    </row>
    <row r="31" spans="1:43" ht="14.25" customHeight="1">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249" t="str">
        <f ca="1">IF(原因工程名１０="","",SUM(基本_start:基本_end!FC10))</f>
        <v/>
      </c>
      <c r="AB31" s="250"/>
      <c r="AC31" s="74" t="s">
        <v>39</v>
      </c>
      <c r="AD31" s="55"/>
      <c r="AF31" s="9"/>
      <c r="AG31" s="249" t="str">
        <f ca="1">IF(原因工程名１０="","",SUM(業務_start:業務_end!FC10))</f>
        <v/>
      </c>
      <c r="AH31" s="250"/>
      <c r="AI31" s="7" t="s">
        <v>39</v>
      </c>
      <c r="AJ31" s="43"/>
      <c r="AK31" s="1"/>
      <c r="AL31" s="9"/>
      <c r="AM31" s="249" t="str">
        <f ca="1">IF(原因工程名１０="","",SUM(基本原因工程１０,業務原因工程１０))</f>
        <v/>
      </c>
      <c r="AN31" s="250"/>
      <c r="AO31" s="7" t="s">
        <v>39</v>
      </c>
      <c r="AP31" s="43"/>
      <c r="AQ31" s="43"/>
    </row>
    <row r="32" spans="1:43" ht="14.25" customHeight="1">
      <c r="A32" s="9"/>
      <c r="B32" s="49" t="s">
        <v>45</v>
      </c>
      <c r="C32" s="1"/>
      <c r="D32" s="1"/>
      <c r="E32" s="1"/>
      <c r="F32" s="1"/>
      <c r="G32" s="1"/>
      <c r="H32" s="1"/>
      <c r="I32" s="1"/>
      <c r="J32" s="1"/>
      <c r="K32" s="1"/>
      <c r="L32" s="1"/>
      <c r="M32" s="1"/>
      <c r="N32" s="1"/>
      <c r="O32" s="1"/>
      <c r="P32" s="1"/>
      <c r="Q32" s="1"/>
      <c r="R32" s="1"/>
      <c r="S32" s="12"/>
      <c r="T32" s="2" t="s">
        <v>46</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c r="A33" s="9"/>
      <c r="B33" s="3" t="s">
        <v>47</v>
      </c>
      <c r="C33" s="3"/>
      <c r="D33" s="1"/>
      <c r="E33" s="1"/>
      <c r="F33" s="1"/>
      <c r="G33" s="1"/>
      <c r="H33" s="1"/>
      <c r="I33" s="1"/>
      <c r="J33" s="1"/>
      <c r="K33" s="1"/>
      <c r="L33" s="1"/>
      <c r="M33" s="1"/>
      <c r="N33" s="1"/>
      <c r="O33" s="1"/>
      <c r="P33" s="1"/>
      <c r="Q33" s="1"/>
      <c r="R33" s="1"/>
      <c r="S33" s="12"/>
      <c r="T33" s="12"/>
      <c r="U33" s="26" t="s">
        <v>48</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c r="A34" s="9"/>
      <c r="B34" s="324" t="s">
        <v>49</v>
      </c>
      <c r="C34" s="325"/>
      <c r="D34" s="325"/>
      <c r="E34" s="325" t="s">
        <v>50</v>
      </c>
      <c r="F34" s="325"/>
      <c r="G34" s="325"/>
      <c r="H34" s="325" t="s">
        <v>51</v>
      </c>
      <c r="I34" s="325"/>
      <c r="J34" s="325"/>
      <c r="K34" s="325" t="s">
        <v>52</v>
      </c>
      <c r="L34" s="325"/>
      <c r="M34" s="325"/>
      <c r="N34" s="325" t="s">
        <v>53</v>
      </c>
      <c r="O34" s="325"/>
      <c r="P34" s="326"/>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c r="A35" s="9"/>
      <c r="B35" s="379">
        <v>45877</v>
      </c>
      <c r="C35" s="380"/>
      <c r="D35" s="380"/>
      <c r="E35" s="379">
        <v>45877</v>
      </c>
      <c r="F35" s="380"/>
      <c r="G35" s="380"/>
      <c r="H35" s="373" t="s">
        <v>54</v>
      </c>
      <c r="I35" s="385"/>
      <c r="J35" s="385"/>
      <c r="K35" s="370">
        <v>45880</v>
      </c>
      <c r="L35" s="380"/>
      <c r="M35" s="380"/>
      <c r="N35" s="373" t="s">
        <v>55</v>
      </c>
      <c r="O35" s="385"/>
      <c r="P35" s="388"/>
      <c r="Q35" s="1"/>
      <c r="R35" s="1"/>
      <c r="S35" s="12"/>
      <c r="T35" s="1" t="s">
        <v>56</v>
      </c>
      <c r="U35" s="1"/>
      <c r="V35" s="1"/>
      <c r="W35" s="1"/>
      <c r="X35" s="1"/>
      <c r="AE35" s="1"/>
      <c r="AF35" s="1"/>
      <c r="AI35" s="74"/>
      <c r="AJ35" s="25"/>
      <c r="AL35" s="25"/>
      <c r="AM35" s="88"/>
      <c r="AN35" s="88"/>
      <c r="AO35" s="74"/>
      <c r="AP35" s="25"/>
      <c r="AQ35" s="43"/>
    </row>
    <row r="36" spans="1:43" ht="14.25" customHeight="1">
      <c r="A36" s="9"/>
      <c r="B36" s="381"/>
      <c r="C36" s="382"/>
      <c r="D36" s="382"/>
      <c r="E36" s="381"/>
      <c r="F36" s="382"/>
      <c r="G36" s="382"/>
      <c r="H36" s="386"/>
      <c r="I36" s="386"/>
      <c r="J36" s="386"/>
      <c r="K36" s="382"/>
      <c r="L36" s="382"/>
      <c r="M36" s="382"/>
      <c r="N36" s="386"/>
      <c r="O36" s="386"/>
      <c r="P36" s="389"/>
      <c r="Q36" s="1"/>
      <c r="R36" s="1"/>
      <c r="S36" s="12"/>
      <c r="T36" s="1"/>
      <c r="U36" s="1"/>
      <c r="V36" s="1" t="s">
        <v>57</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c r="A37" s="9"/>
      <c r="B37" s="383"/>
      <c r="C37" s="384"/>
      <c r="D37" s="384"/>
      <c r="E37" s="383"/>
      <c r="F37" s="384"/>
      <c r="G37" s="384"/>
      <c r="H37" s="387"/>
      <c r="I37" s="387"/>
      <c r="J37" s="387"/>
      <c r="K37" s="384"/>
      <c r="L37" s="384"/>
      <c r="M37" s="384"/>
      <c r="N37" s="387"/>
      <c r="O37" s="387"/>
      <c r="P37" s="390"/>
      <c r="Q37" s="1"/>
      <c r="R37" s="1"/>
      <c r="S37" s="12"/>
      <c r="T37" s="1"/>
      <c r="U37" s="1"/>
      <c r="V37" s="1" t="s">
        <v>57</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c r="A38" s="9"/>
      <c r="B38" s="3" t="s">
        <v>58</v>
      </c>
      <c r="C38" s="3"/>
      <c r="D38" s="1"/>
      <c r="E38" s="1"/>
      <c r="F38" s="1"/>
      <c r="G38" s="1"/>
      <c r="H38" s="1"/>
      <c r="I38" s="1"/>
      <c r="J38" s="1"/>
      <c r="K38" s="1"/>
      <c r="L38" s="1"/>
      <c r="M38" s="1"/>
      <c r="N38" s="1"/>
      <c r="O38" s="1"/>
      <c r="P38" s="1"/>
      <c r="Q38" s="1"/>
      <c r="R38" s="1"/>
      <c r="S38" s="12"/>
      <c r="T38" s="1"/>
      <c r="U38" s="1"/>
      <c r="V38" s="1" t="s">
        <v>57</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c r="A39" s="9"/>
      <c r="B39" s="324" t="s">
        <v>49</v>
      </c>
      <c r="C39" s="325"/>
      <c r="D39" s="325"/>
      <c r="E39" s="325" t="s">
        <v>50</v>
      </c>
      <c r="F39" s="325"/>
      <c r="G39" s="325"/>
      <c r="H39" s="325" t="s">
        <v>51</v>
      </c>
      <c r="I39" s="325"/>
      <c r="J39" s="325"/>
      <c r="K39" s="325" t="s">
        <v>52</v>
      </c>
      <c r="L39" s="325"/>
      <c r="M39" s="325"/>
      <c r="N39" s="325" t="s">
        <v>53</v>
      </c>
      <c r="O39" s="325"/>
      <c r="P39" s="326"/>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c r="A40" s="9"/>
      <c r="B40" s="379"/>
      <c r="C40" s="380"/>
      <c r="D40" s="380"/>
      <c r="E40" s="379"/>
      <c r="F40" s="380"/>
      <c r="G40" s="380"/>
      <c r="H40" s="373"/>
      <c r="I40" s="385"/>
      <c r="J40" s="385"/>
      <c r="K40" s="380"/>
      <c r="L40" s="380"/>
      <c r="M40" s="380"/>
      <c r="N40" s="385"/>
      <c r="O40" s="385"/>
      <c r="P40" s="388"/>
      <c r="Q40" s="1"/>
      <c r="R40" s="1"/>
      <c r="S40" s="1"/>
      <c r="T40" s="1" t="s">
        <v>59</v>
      </c>
      <c r="AP40" s="25"/>
      <c r="AQ40" s="43"/>
    </row>
    <row r="41" spans="1:43" ht="14.25" customHeight="1">
      <c r="A41" s="9"/>
      <c r="B41" s="381"/>
      <c r="C41" s="382"/>
      <c r="D41" s="382"/>
      <c r="E41" s="381"/>
      <c r="F41" s="382"/>
      <c r="G41" s="382"/>
      <c r="H41" s="386"/>
      <c r="I41" s="386"/>
      <c r="J41" s="386"/>
      <c r="K41" s="382"/>
      <c r="L41" s="382"/>
      <c r="M41" s="382"/>
      <c r="N41" s="386"/>
      <c r="O41" s="386"/>
      <c r="P41" s="389"/>
      <c r="Q41" s="1"/>
      <c r="R41" s="1"/>
      <c r="S41" s="1"/>
      <c r="T41" s="297"/>
      <c r="U41" s="298"/>
      <c r="V41" s="298"/>
      <c r="W41" s="298"/>
      <c r="X41" s="298"/>
      <c r="Y41" s="298"/>
      <c r="Z41" s="298"/>
      <c r="AA41" s="298"/>
      <c r="AB41" s="298"/>
      <c r="AC41" s="298"/>
      <c r="AD41" s="298"/>
      <c r="AE41" s="298"/>
      <c r="AF41" s="298"/>
      <c r="AG41" s="298"/>
      <c r="AH41" s="298"/>
      <c r="AI41" s="298"/>
      <c r="AJ41" s="298"/>
      <c r="AK41" s="298"/>
      <c r="AL41" s="298"/>
      <c r="AM41" s="298"/>
      <c r="AN41" s="298"/>
      <c r="AO41" s="299"/>
      <c r="AP41" s="25"/>
      <c r="AQ41" s="43"/>
    </row>
    <row r="42" spans="1:43" ht="14.25" customHeight="1">
      <c r="A42" s="9"/>
      <c r="B42" s="383"/>
      <c r="C42" s="384"/>
      <c r="D42" s="384"/>
      <c r="E42" s="383"/>
      <c r="F42" s="384"/>
      <c r="G42" s="384"/>
      <c r="H42" s="387"/>
      <c r="I42" s="387"/>
      <c r="J42" s="387"/>
      <c r="K42" s="384"/>
      <c r="L42" s="384"/>
      <c r="M42" s="384"/>
      <c r="N42" s="387"/>
      <c r="O42" s="387"/>
      <c r="P42" s="390"/>
      <c r="Q42" s="1"/>
      <c r="R42" s="1"/>
      <c r="S42" s="1"/>
      <c r="T42" s="300"/>
      <c r="U42" s="301"/>
      <c r="V42" s="301"/>
      <c r="W42" s="301"/>
      <c r="X42" s="301"/>
      <c r="Y42" s="301"/>
      <c r="Z42" s="301"/>
      <c r="AA42" s="301"/>
      <c r="AB42" s="301"/>
      <c r="AC42" s="301"/>
      <c r="AD42" s="301"/>
      <c r="AE42" s="301"/>
      <c r="AF42" s="301"/>
      <c r="AG42" s="301"/>
      <c r="AH42" s="301"/>
      <c r="AI42" s="301"/>
      <c r="AJ42" s="301"/>
      <c r="AK42" s="301"/>
      <c r="AL42" s="301"/>
      <c r="AM42" s="301"/>
      <c r="AN42" s="301"/>
      <c r="AO42" s="302"/>
      <c r="AP42" s="25"/>
      <c r="AQ42" s="43"/>
    </row>
    <row r="43" spans="1:43" ht="14.25" customHeight="1">
      <c r="A43" s="9"/>
      <c r="B43" s="1" t="s">
        <v>60</v>
      </c>
      <c r="C43" s="1"/>
      <c r="D43" s="1"/>
      <c r="E43" s="1"/>
      <c r="F43" s="1"/>
      <c r="G43" s="1"/>
      <c r="H43" s="1"/>
      <c r="I43" s="1"/>
      <c r="J43" s="1"/>
      <c r="K43" s="1"/>
      <c r="L43" s="1"/>
      <c r="M43" s="1"/>
      <c r="N43" s="1"/>
      <c r="O43" s="1"/>
      <c r="P43" s="1"/>
      <c r="Q43" s="1"/>
      <c r="R43" s="1"/>
      <c r="S43" s="1"/>
      <c r="T43" s="300"/>
      <c r="U43" s="301"/>
      <c r="V43" s="301"/>
      <c r="W43" s="301"/>
      <c r="X43" s="301"/>
      <c r="Y43" s="301"/>
      <c r="Z43" s="301"/>
      <c r="AA43" s="301"/>
      <c r="AB43" s="301"/>
      <c r="AC43" s="301"/>
      <c r="AD43" s="301"/>
      <c r="AE43" s="301"/>
      <c r="AF43" s="301"/>
      <c r="AG43" s="301"/>
      <c r="AH43" s="301"/>
      <c r="AI43" s="301"/>
      <c r="AJ43" s="301"/>
      <c r="AK43" s="301"/>
      <c r="AL43" s="301"/>
      <c r="AM43" s="301"/>
      <c r="AN43" s="301"/>
      <c r="AO43" s="302"/>
      <c r="AP43" s="25"/>
      <c r="AQ43" s="43"/>
    </row>
    <row r="44" spans="1:43" ht="14.25" customHeight="1">
      <c r="A44" s="9"/>
      <c r="B44" s="324" t="s">
        <v>61</v>
      </c>
      <c r="C44" s="325"/>
      <c r="D44" s="325"/>
      <c r="E44" s="325" t="s">
        <v>62</v>
      </c>
      <c r="F44" s="325"/>
      <c r="G44" s="325"/>
      <c r="H44" s="325"/>
      <c r="I44" s="325"/>
      <c r="J44" s="325"/>
      <c r="K44" s="325"/>
      <c r="L44" s="325"/>
      <c r="M44" s="325"/>
      <c r="N44" s="325"/>
      <c r="O44" s="325"/>
      <c r="P44" s="326"/>
      <c r="Q44" s="1"/>
      <c r="R44" s="1"/>
      <c r="S44" s="1"/>
      <c r="T44" s="300"/>
      <c r="U44" s="301"/>
      <c r="V44" s="301"/>
      <c r="W44" s="301"/>
      <c r="X44" s="301"/>
      <c r="Y44" s="301"/>
      <c r="Z44" s="301"/>
      <c r="AA44" s="301"/>
      <c r="AB44" s="301"/>
      <c r="AC44" s="301"/>
      <c r="AD44" s="301"/>
      <c r="AE44" s="301"/>
      <c r="AF44" s="301"/>
      <c r="AG44" s="301"/>
      <c r="AH44" s="301"/>
      <c r="AI44" s="301"/>
      <c r="AJ44" s="301"/>
      <c r="AK44" s="301"/>
      <c r="AL44" s="301"/>
      <c r="AM44" s="301"/>
      <c r="AN44" s="301"/>
      <c r="AO44" s="302"/>
      <c r="AP44" s="25"/>
      <c r="AQ44" s="43"/>
    </row>
    <row r="45" spans="1:43" ht="14.25" customHeight="1">
      <c r="A45" s="9"/>
      <c r="B45" s="391"/>
      <c r="C45" s="392"/>
      <c r="D45" s="393"/>
      <c r="E45" s="397"/>
      <c r="F45" s="301"/>
      <c r="G45" s="301"/>
      <c r="H45" s="301"/>
      <c r="I45" s="301"/>
      <c r="J45" s="301"/>
      <c r="K45" s="301"/>
      <c r="L45" s="301"/>
      <c r="M45" s="301"/>
      <c r="N45" s="301"/>
      <c r="O45" s="301"/>
      <c r="P45" s="302"/>
      <c r="Q45" s="1"/>
      <c r="R45" s="1"/>
      <c r="S45" s="1"/>
      <c r="T45" s="300"/>
      <c r="U45" s="301"/>
      <c r="V45" s="301"/>
      <c r="W45" s="301"/>
      <c r="X45" s="301"/>
      <c r="Y45" s="301"/>
      <c r="Z45" s="301"/>
      <c r="AA45" s="301"/>
      <c r="AB45" s="301"/>
      <c r="AC45" s="301"/>
      <c r="AD45" s="301"/>
      <c r="AE45" s="301"/>
      <c r="AF45" s="301"/>
      <c r="AG45" s="301"/>
      <c r="AH45" s="301"/>
      <c r="AI45" s="301"/>
      <c r="AJ45" s="301"/>
      <c r="AK45" s="301"/>
      <c r="AL45" s="301"/>
      <c r="AM45" s="301"/>
      <c r="AN45" s="301"/>
      <c r="AO45" s="302"/>
      <c r="AP45" s="2"/>
      <c r="AQ45" s="43"/>
    </row>
    <row r="46" spans="1:43" ht="14.25" customHeight="1">
      <c r="A46" s="42"/>
      <c r="B46" s="391"/>
      <c r="C46" s="392"/>
      <c r="D46" s="393"/>
      <c r="E46" s="397"/>
      <c r="F46" s="301"/>
      <c r="G46" s="301"/>
      <c r="H46" s="301"/>
      <c r="I46" s="301"/>
      <c r="J46" s="301"/>
      <c r="K46" s="301"/>
      <c r="L46" s="301"/>
      <c r="M46" s="301"/>
      <c r="N46" s="301"/>
      <c r="O46" s="301"/>
      <c r="P46" s="302"/>
      <c r="Q46" s="1"/>
      <c r="R46" s="1"/>
      <c r="S46" s="1"/>
      <c r="T46" s="300"/>
      <c r="U46" s="301"/>
      <c r="V46" s="301"/>
      <c r="W46" s="301"/>
      <c r="X46" s="301"/>
      <c r="Y46" s="301"/>
      <c r="Z46" s="301"/>
      <c r="AA46" s="301"/>
      <c r="AB46" s="301"/>
      <c r="AC46" s="301"/>
      <c r="AD46" s="301"/>
      <c r="AE46" s="301"/>
      <c r="AF46" s="301"/>
      <c r="AG46" s="301"/>
      <c r="AH46" s="301"/>
      <c r="AI46" s="301"/>
      <c r="AJ46" s="301"/>
      <c r="AK46" s="301"/>
      <c r="AL46" s="301"/>
      <c r="AM46" s="301"/>
      <c r="AN46" s="301"/>
      <c r="AO46" s="302"/>
      <c r="AP46" s="1"/>
      <c r="AQ46" s="43"/>
    </row>
    <row r="47" spans="1:43" ht="14.25" customHeight="1">
      <c r="A47" s="42"/>
      <c r="B47" s="394"/>
      <c r="C47" s="395"/>
      <c r="D47" s="396"/>
      <c r="E47" s="398"/>
      <c r="F47" s="304"/>
      <c r="G47" s="304"/>
      <c r="H47" s="304"/>
      <c r="I47" s="304"/>
      <c r="J47" s="304"/>
      <c r="K47" s="304"/>
      <c r="L47" s="304"/>
      <c r="M47" s="304"/>
      <c r="N47" s="304"/>
      <c r="O47" s="304"/>
      <c r="P47" s="305"/>
      <c r="Q47" s="1"/>
      <c r="R47" s="1"/>
      <c r="S47" s="1"/>
      <c r="T47" s="303"/>
      <c r="U47" s="304"/>
      <c r="V47" s="304"/>
      <c r="W47" s="304"/>
      <c r="X47" s="304"/>
      <c r="Y47" s="304"/>
      <c r="Z47" s="304"/>
      <c r="AA47" s="304"/>
      <c r="AB47" s="304"/>
      <c r="AC47" s="304"/>
      <c r="AD47" s="304"/>
      <c r="AE47" s="304"/>
      <c r="AF47" s="304"/>
      <c r="AG47" s="304"/>
      <c r="AH47" s="304"/>
      <c r="AI47" s="304"/>
      <c r="AJ47" s="304"/>
      <c r="AK47" s="304"/>
      <c r="AL47" s="304"/>
      <c r="AM47" s="304"/>
      <c r="AN47" s="304"/>
      <c r="AO47" s="305"/>
      <c r="AQ47" s="43"/>
    </row>
    <row r="48" spans="1:43" ht="14.25" customHeight="1">
      <c r="A48" s="42"/>
      <c r="B48" s="46"/>
      <c r="C48" s="48" t="s">
        <v>63</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c r="A49" s="42"/>
      <c r="B49" s="46"/>
      <c r="C49" s="48"/>
      <c r="D49" s="46"/>
      <c r="E49" s="46"/>
      <c r="F49" s="46"/>
      <c r="G49" s="46"/>
      <c r="H49" s="46"/>
      <c r="I49" s="46"/>
      <c r="J49" s="46"/>
      <c r="K49" s="46"/>
      <c r="L49" s="46"/>
      <c r="M49" s="46"/>
      <c r="N49" s="46"/>
      <c r="O49" s="46"/>
      <c r="P49" s="46"/>
      <c r="Q49" s="1"/>
      <c r="R49" s="1"/>
      <c r="S49" s="1"/>
      <c r="T49" s="49" t="s">
        <v>64</v>
      </c>
      <c r="U49" s="1"/>
      <c r="V49" s="1"/>
      <c r="W49" s="1"/>
      <c r="X49" s="1"/>
      <c r="Y49" s="1"/>
      <c r="Z49" s="1"/>
      <c r="AA49" s="1"/>
      <c r="AB49" s="1"/>
      <c r="AC49" s="1"/>
      <c r="AD49" s="1"/>
      <c r="AE49" s="1"/>
      <c r="AF49" s="1"/>
      <c r="AG49" s="1"/>
      <c r="AH49" s="1"/>
      <c r="AI49" s="1"/>
      <c r="AJ49" s="1"/>
      <c r="AK49" s="1"/>
      <c r="AO49" s="176"/>
      <c r="AQ49" s="43"/>
    </row>
    <row r="50" spans="1:43" ht="14.25" customHeight="1">
      <c r="A50" s="42"/>
      <c r="B50" s="1" t="s">
        <v>65</v>
      </c>
      <c r="C50" s="1"/>
      <c r="D50" s="46"/>
      <c r="E50" s="1"/>
      <c r="F50" s="1"/>
      <c r="G50" s="1"/>
      <c r="H50" s="1"/>
      <c r="I50" s="1"/>
      <c r="J50" s="1"/>
      <c r="K50" s="1"/>
      <c r="L50" s="1"/>
      <c r="M50" s="1"/>
      <c r="N50" s="1"/>
      <c r="O50" s="1"/>
      <c r="P50" s="1"/>
      <c r="Q50" s="1"/>
      <c r="R50" s="1"/>
      <c r="S50" s="1"/>
      <c r="T50" s="306" t="s">
        <v>66</v>
      </c>
      <c r="U50" s="307"/>
      <c r="V50" s="307"/>
      <c r="W50" s="307"/>
      <c r="X50" s="307"/>
      <c r="Y50" s="307"/>
      <c r="Z50" s="307"/>
      <c r="AA50" s="307"/>
      <c r="AB50" s="307"/>
      <c r="AC50" s="308" t="s">
        <v>67</v>
      </c>
      <c r="AD50" s="308"/>
      <c r="AE50" s="308"/>
      <c r="AF50" s="308"/>
      <c r="AG50" s="308"/>
      <c r="AH50" s="308"/>
      <c r="AI50" s="308"/>
      <c r="AJ50" s="308"/>
      <c r="AK50" s="308"/>
      <c r="AL50" s="308"/>
      <c r="AM50" s="308"/>
      <c r="AN50" s="308"/>
      <c r="AO50" s="176"/>
      <c r="AQ50" s="43"/>
    </row>
    <row r="51" spans="1:43" ht="14.25" customHeight="1">
      <c r="A51" s="42"/>
      <c r="B51" s="324"/>
      <c r="C51" s="325"/>
      <c r="D51" s="325" t="s">
        <v>68</v>
      </c>
      <c r="E51" s="325"/>
      <c r="F51" s="325"/>
      <c r="G51" s="325" t="s">
        <v>69</v>
      </c>
      <c r="H51" s="325"/>
      <c r="I51" s="325"/>
      <c r="J51" s="325" t="s">
        <v>70</v>
      </c>
      <c r="K51" s="325"/>
      <c r="L51" s="325"/>
      <c r="M51" s="325"/>
      <c r="N51" s="325"/>
      <c r="O51" s="325"/>
      <c r="P51" s="326"/>
      <c r="Q51" s="1"/>
      <c r="R51" s="1"/>
      <c r="S51" s="1"/>
      <c r="T51" s="268" t="s">
        <v>71</v>
      </c>
      <c r="U51" s="269"/>
      <c r="V51" s="270" t="s">
        <v>72</v>
      </c>
      <c r="W51" s="270"/>
      <c r="X51" s="270"/>
      <c r="Y51" s="271" t="s">
        <v>73</v>
      </c>
      <c r="Z51" s="272"/>
      <c r="AA51" s="273" t="s">
        <v>74</v>
      </c>
      <c r="AB51" s="274"/>
      <c r="AC51" s="275" t="s">
        <v>71</v>
      </c>
      <c r="AD51" s="276"/>
      <c r="AE51" s="276" t="s">
        <v>72</v>
      </c>
      <c r="AF51" s="276"/>
      <c r="AG51" s="276"/>
      <c r="AH51" s="276" t="s">
        <v>73</v>
      </c>
      <c r="AI51" s="276"/>
      <c r="AJ51" s="276"/>
      <c r="AK51" s="276"/>
      <c r="AL51" s="276"/>
      <c r="AM51" s="277" t="s">
        <v>74</v>
      </c>
      <c r="AN51" s="278"/>
      <c r="AO51" s="176"/>
      <c r="AQ51" s="55"/>
    </row>
    <row r="52" spans="1:43" ht="14.25" customHeight="1">
      <c r="A52" s="42"/>
      <c r="B52" s="403" t="s">
        <v>75</v>
      </c>
      <c r="C52" s="404"/>
      <c r="D52" s="405"/>
      <c r="E52" s="406"/>
      <c r="F52" s="22" t="s">
        <v>39</v>
      </c>
      <c r="G52" s="405"/>
      <c r="H52" s="406"/>
      <c r="I52" s="22" t="s">
        <v>39</v>
      </c>
      <c r="J52" s="397"/>
      <c r="K52" s="301"/>
      <c r="L52" s="301"/>
      <c r="M52" s="301"/>
      <c r="N52" s="301"/>
      <c r="O52" s="301"/>
      <c r="P52" s="302"/>
      <c r="Q52" s="1"/>
      <c r="R52" s="1"/>
      <c r="S52" s="1"/>
      <c r="T52" s="279"/>
      <c r="U52" s="280"/>
      <c r="V52" s="281"/>
      <c r="W52" s="281"/>
      <c r="X52" s="281"/>
      <c r="Y52" s="282"/>
      <c r="Z52" s="283"/>
      <c r="AA52" s="288"/>
      <c r="AB52" s="289"/>
      <c r="AC52" s="279"/>
      <c r="AD52" s="280"/>
      <c r="AE52" s="281"/>
      <c r="AF52" s="281"/>
      <c r="AG52" s="281"/>
      <c r="AH52" s="294"/>
      <c r="AI52" s="294"/>
      <c r="AJ52" s="294"/>
      <c r="AK52" s="294"/>
      <c r="AL52" s="294"/>
      <c r="AM52" s="295"/>
      <c r="AN52" s="296"/>
      <c r="AO52" s="176"/>
      <c r="AQ52" s="43"/>
    </row>
    <row r="53" spans="1:43" ht="14.25" customHeight="1">
      <c r="A53" s="42"/>
      <c r="B53" s="407" t="s">
        <v>76</v>
      </c>
      <c r="C53" s="408"/>
      <c r="D53" s="399"/>
      <c r="E53" s="400"/>
      <c r="F53" s="23" t="s">
        <v>77</v>
      </c>
      <c r="G53" s="399"/>
      <c r="H53" s="400"/>
      <c r="I53" s="23" t="s">
        <v>77</v>
      </c>
      <c r="J53" s="397"/>
      <c r="K53" s="301"/>
      <c r="L53" s="301"/>
      <c r="M53" s="301"/>
      <c r="N53" s="301"/>
      <c r="O53" s="301"/>
      <c r="P53" s="302"/>
      <c r="Q53" s="1"/>
      <c r="R53" s="1"/>
      <c r="S53" s="1"/>
      <c r="T53" s="279"/>
      <c r="U53" s="280"/>
      <c r="V53" s="281"/>
      <c r="W53" s="281"/>
      <c r="X53" s="281"/>
      <c r="Y53" s="284"/>
      <c r="Z53" s="285"/>
      <c r="AA53" s="290"/>
      <c r="AB53" s="291"/>
      <c r="AC53" s="279"/>
      <c r="AD53" s="280"/>
      <c r="AE53" s="281"/>
      <c r="AF53" s="281"/>
      <c r="AG53" s="281"/>
      <c r="AH53" s="294"/>
      <c r="AI53" s="294"/>
      <c r="AJ53" s="294"/>
      <c r="AK53" s="294"/>
      <c r="AL53" s="294"/>
      <c r="AM53" s="295"/>
      <c r="AN53" s="296"/>
      <c r="AO53" s="176"/>
      <c r="AQ53" s="43"/>
    </row>
    <row r="54" spans="1:43" ht="14.25" customHeight="1">
      <c r="A54" s="42"/>
      <c r="B54" s="275" t="s">
        <v>78</v>
      </c>
      <c r="C54" s="276"/>
      <c r="D54" s="401"/>
      <c r="E54" s="402"/>
      <c r="F54" s="24" t="s">
        <v>79</v>
      </c>
      <c r="G54" s="401"/>
      <c r="H54" s="402"/>
      <c r="I54" s="24" t="s">
        <v>79</v>
      </c>
      <c r="J54" s="398"/>
      <c r="K54" s="304"/>
      <c r="L54" s="304"/>
      <c r="M54" s="304"/>
      <c r="N54" s="304"/>
      <c r="O54" s="304"/>
      <c r="P54" s="305"/>
      <c r="Q54" s="1"/>
      <c r="R54" s="1"/>
      <c r="S54" s="1"/>
      <c r="T54" s="279"/>
      <c r="U54" s="280"/>
      <c r="V54" s="281"/>
      <c r="W54" s="281"/>
      <c r="X54" s="281"/>
      <c r="Y54" s="286"/>
      <c r="Z54" s="287"/>
      <c r="AA54" s="292"/>
      <c r="AB54" s="293"/>
      <c r="AC54" s="279"/>
      <c r="AD54" s="280"/>
      <c r="AE54" s="281"/>
      <c r="AF54" s="281"/>
      <c r="AG54" s="281"/>
      <c r="AH54" s="294"/>
      <c r="AI54" s="294"/>
      <c r="AJ54" s="294"/>
      <c r="AK54" s="294"/>
      <c r="AL54" s="294"/>
      <c r="AM54" s="295"/>
      <c r="AN54" s="296"/>
      <c r="AO54" s="176"/>
      <c r="AQ54" s="43"/>
    </row>
    <row r="55" spans="1:43" ht="14.25" customHeight="1">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c r="A57" s="70"/>
      <c r="B57" s="256" t="str">
        <f>ＰＴ仕様書</f>
        <v>PT</v>
      </c>
      <c r="C57" s="257"/>
      <c r="D57" s="260" t="s">
        <v>4</v>
      </c>
      <c r="E57" s="260"/>
      <c r="F57" s="260"/>
      <c r="G57" s="260"/>
      <c r="H57" s="260"/>
      <c r="I57" s="260"/>
      <c r="J57" s="260"/>
      <c r="K57" s="260"/>
      <c r="L57" s="260"/>
      <c r="M57" s="260"/>
      <c r="N57" s="261"/>
      <c r="O57" s="184"/>
      <c r="P57" s="185"/>
      <c r="Q57" s="185"/>
      <c r="R57" s="185"/>
      <c r="S57" s="185"/>
      <c r="T57" s="185"/>
      <c r="U57" s="185"/>
      <c r="V57" s="185"/>
      <c r="W57" s="185"/>
      <c r="X57" s="185"/>
      <c r="AQ57" s="55"/>
    </row>
    <row r="58" spans="1:43" ht="16.5" customHeight="1">
      <c r="A58" s="70"/>
      <c r="B58" s="258"/>
      <c r="C58" s="259"/>
      <c r="D58" s="262"/>
      <c r="E58" s="262"/>
      <c r="F58" s="262"/>
      <c r="G58" s="262"/>
      <c r="H58" s="262"/>
      <c r="I58" s="262"/>
      <c r="J58" s="262"/>
      <c r="K58" s="262"/>
      <c r="L58" s="262"/>
      <c r="M58" s="262"/>
      <c r="N58" s="263"/>
      <c r="O58" s="184"/>
      <c r="P58" s="185"/>
      <c r="Q58" s="185"/>
      <c r="R58" s="185"/>
      <c r="S58" s="185"/>
      <c r="T58" s="185"/>
      <c r="U58" s="185"/>
      <c r="V58" s="185"/>
      <c r="W58" s="185"/>
      <c r="X58" s="185"/>
      <c r="AQ58" s="55"/>
    </row>
    <row r="59" spans="1:43">
      <c r="A59" s="70"/>
      <c r="B59" s="27"/>
      <c r="C59" s="25"/>
      <c r="D59" s="25"/>
      <c r="E59" s="25"/>
      <c r="G59" s="25"/>
      <c r="H59" s="25"/>
      <c r="I59" s="25"/>
      <c r="J59" s="25"/>
      <c r="K59" s="25"/>
      <c r="L59" s="25"/>
      <c r="M59" s="25"/>
      <c r="N59" s="25"/>
      <c r="O59" s="25"/>
      <c r="P59" s="25"/>
      <c r="Q59" s="25"/>
      <c r="R59" s="25"/>
      <c r="AQ59" s="55"/>
    </row>
    <row r="60" spans="1:43">
      <c r="A60" s="70"/>
      <c r="B60" s="186" t="s">
        <v>23</v>
      </c>
      <c r="C60" s="186"/>
      <c r="D60" s="186"/>
      <c r="E60" s="186"/>
      <c r="F60" s="186"/>
      <c r="G60" s="186"/>
      <c r="H60" s="186"/>
      <c r="I60" s="186"/>
      <c r="J60" s="186"/>
      <c r="K60" s="186"/>
      <c r="L60" s="186"/>
      <c r="M60" s="186"/>
      <c r="N60" s="187" t="s">
        <v>47</v>
      </c>
      <c r="O60" s="187"/>
      <c r="P60" s="187"/>
      <c r="Q60" s="187"/>
      <c r="R60" s="187"/>
      <c r="S60" s="186"/>
      <c r="T60" s="187" t="s">
        <v>58</v>
      </c>
      <c r="U60" s="187"/>
      <c r="V60" s="187"/>
      <c r="W60" s="187"/>
      <c r="X60" s="187"/>
      <c r="Y60" s="186"/>
      <c r="Z60" s="187" t="s">
        <v>80</v>
      </c>
      <c r="AA60" s="187"/>
      <c r="AB60" s="187"/>
      <c r="AC60" s="187"/>
      <c r="AD60" s="187"/>
      <c r="AQ60" s="55"/>
    </row>
    <row r="61" spans="1:43">
      <c r="A61" s="70"/>
      <c r="B61" s="186" t="s">
        <v>46</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c r="A62" s="70"/>
      <c r="C62" s="1" t="s">
        <v>81</v>
      </c>
      <c r="D62" s="2"/>
      <c r="E62" s="1"/>
      <c r="F62" s="1"/>
      <c r="G62" s="1"/>
      <c r="N62" s="84"/>
      <c r="O62" s="264">
        <f ca="1">IF(原因区分名１="","",SUM(基本_start:基本_end!DD10))</f>
        <v>0</v>
      </c>
      <c r="P62" s="265"/>
      <c r="Q62" s="74" t="s">
        <v>39</v>
      </c>
      <c r="R62" s="89"/>
      <c r="S62" s="76"/>
      <c r="T62" s="9"/>
      <c r="U62" s="264">
        <f>IF(原因区分名１="","",SUM(業務_start:業務_end!DD10))</f>
        <v>0</v>
      </c>
      <c r="V62" s="265"/>
      <c r="W62" s="7" t="s">
        <v>39</v>
      </c>
      <c r="X62" s="56"/>
      <c r="Y62" s="1"/>
      <c r="Z62" s="9"/>
      <c r="AA62" s="266">
        <f ca="1">IF(原因区分名１="","",SUM(基本原因区分１,業務原因区分１))</f>
        <v>0</v>
      </c>
      <c r="AB62" s="267"/>
      <c r="AC62" s="7" t="s">
        <v>39</v>
      </c>
      <c r="AD62" s="56"/>
      <c r="AQ62" s="55"/>
    </row>
    <row r="63" spans="1:43">
      <c r="A63" s="70"/>
      <c r="C63" s="1" t="s">
        <v>82</v>
      </c>
      <c r="D63" s="2"/>
      <c r="E63" s="1"/>
      <c r="F63" s="1"/>
      <c r="G63" s="1"/>
      <c r="N63" s="84"/>
      <c r="O63" s="246">
        <f ca="1">IF(原因区分名２="","",SUM(基本_start:基本_end!DE10))</f>
        <v>0</v>
      </c>
      <c r="P63" s="248"/>
      <c r="Q63" s="74" t="s">
        <v>39</v>
      </c>
      <c r="R63" s="90"/>
      <c r="S63" s="77"/>
      <c r="T63" s="9"/>
      <c r="U63" s="246">
        <f>IF(原因区分名２="","",SUM(業務_start:業務_end!DE10))</f>
        <v>0</v>
      </c>
      <c r="V63" s="247"/>
      <c r="W63" s="7" t="s">
        <v>39</v>
      </c>
      <c r="X63" s="57"/>
      <c r="Y63" s="1"/>
      <c r="Z63" s="9"/>
      <c r="AA63" s="246">
        <f ca="1">IF(原因区分名２="","",SUM(基本原因区分２,業務原因区分２))</f>
        <v>0</v>
      </c>
      <c r="AB63" s="248"/>
      <c r="AC63" s="7" t="s">
        <v>39</v>
      </c>
      <c r="AD63" s="57"/>
      <c r="AQ63" s="55"/>
    </row>
    <row r="64" spans="1:43">
      <c r="A64" s="70"/>
      <c r="C64" s="1" t="s">
        <v>83</v>
      </c>
      <c r="G64" s="1"/>
      <c r="N64" s="84"/>
      <c r="O64" s="246">
        <f ca="1">IF(原因区分名３="","",SUM(基本_start:基本_end!DF10))</f>
        <v>0</v>
      </c>
      <c r="P64" s="248"/>
      <c r="Q64" s="74" t="s">
        <v>39</v>
      </c>
      <c r="R64" s="90"/>
      <c r="S64" s="77"/>
      <c r="T64" s="9"/>
      <c r="U64" s="246">
        <f>IF(原因区分名３="","",SUM(業務_start:業務_end!DF10))</f>
        <v>0</v>
      </c>
      <c r="V64" s="247"/>
      <c r="W64" s="7" t="s">
        <v>39</v>
      </c>
      <c r="X64" s="57"/>
      <c r="Y64" s="1"/>
      <c r="Z64" s="9"/>
      <c r="AA64" s="246">
        <f ca="1">IF(原因区分名３="","",SUM(基本原因区分３,業務原因区分３))</f>
        <v>0</v>
      </c>
      <c r="AB64" s="248"/>
      <c r="AC64" s="7" t="s">
        <v>39</v>
      </c>
      <c r="AD64" s="57"/>
      <c r="AQ64" s="55"/>
    </row>
    <row r="65" spans="1:43">
      <c r="A65" s="70"/>
      <c r="C65" s="1" t="s">
        <v>84</v>
      </c>
      <c r="D65" s="2"/>
      <c r="E65" s="1"/>
      <c r="F65" s="1"/>
      <c r="G65" s="1"/>
      <c r="N65" s="84"/>
      <c r="O65" s="246">
        <f ca="1">IF(原因区分名４="","",SUM(基本_start:基本_end!DG10))</f>
        <v>0</v>
      </c>
      <c r="P65" s="248"/>
      <c r="Q65" s="74" t="s">
        <v>39</v>
      </c>
      <c r="R65" s="90"/>
      <c r="S65" s="77"/>
      <c r="T65" s="9"/>
      <c r="U65" s="246">
        <f>IF(原因区分名４="","",SUM(業務_start:業務_end!DG10))</f>
        <v>0</v>
      </c>
      <c r="V65" s="247"/>
      <c r="W65" s="7" t="s">
        <v>39</v>
      </c>
      <c r="X65" s="57"/>
      <c r="Y65" s="1"/>
      <c r="Z65" s="9"/>
      <c r="AA65" s="246">
        <f ca="1">IF(原因区分名４="","",SUM(基本原因区分４,業務原因区分４))</f>
        <v>0</v>
      </c>
      <c r="AB65" s="248"/>
      <c r="AC65" s="7" t="s">
        <v>39</v>
      </c>
      <c r="AD65" s="57"/>
      <c r="AQ65" s="55"/>
    </row>
    <row r="66" spans="1:43">
      <c r="A66" s="70"/>
      <c r="C66" s="1" t="s">
        <v>85</v>
      </c>
      <c r="D66" s="2"/>
      <c r="E66" s="1"/>
      <c r="F66" s="1"/>
      <c r="G66" s="1"/>
      <c r="N66" s="84"/>
      <c r="O66" s="246">
        <f ca="1">IF(原因区分名５="","",SUM(基本_start:基本_end!DH10))</f>
        <v>0</v>
      </c>
      <c r="P66" s="248"/>
      <c r="Q66" s="74" t="s">
        <v>39</v>
      </c>
      <c r="R66" s="55"/>
      <c r="T66" s="9"/>
      <c r="U66" s="246">
        <f>IF(原因区分名５="","",SUM(業務_start:業務_end!DH10))</f>
        <v>0</v>
      </c>
      <c r="V66" s="247"/>
      <c r="W66" s="7" t="s">
        <v>39</v>
      </c>
      <c r="X66" s="43"/>
      <c r="Y66" s="1"/>
      <c r="Z66" s="9"/>
      <c r="AA66" s="246">
        <f ca="1">IF(原因区分名５="","",SUM(基本原因区分５,業務原因区分５))</f>
        <v>0</v>
      </c>
      <c r="AB66" s="248"/>
      <c r="AC66" s="7" t="s">
        <v>39</v>
      </c>
      <c r="AD66" s="43"/>
      <c r="AQ66" s="55"/>
    </row>
    <row r="67" spans="1:43">
      <c r="A67" s="70"/>
      <c r="C67" s="1" t="s">
        <v>86</v>
      </c>
      <c r="D67" s="2"/>
      <c r="E67" s="1"/>
      <c r="F67" s="1"/>
      <c r="G67" s="1"/>
      <c r="N67" s="84"/>
      <c r="O67" s="246">
        <f ca="1">IF(原因区分名６="","",SUM(基本_start:基本_end!DI10))</f>
        <v>0</v>
      </c>
      <c r="P67" s="248"/>
      <c r="Q67" s="74" t="s">
        <v>39</v>
      </c>
      <c r="R67" s="55"/>
      <c r="T67" s="9"/>
      <c r="U67" s="246">
        <f>IF(原因区分名６="","",SUM(業務_start:業務_end!DI10))</f>
        <v>0</v>
      </c>
      <c r="V67" s="247"/>
      <c r="W67" s="7" t="s">
        <v>39</v>
      </c>
      <c r="X67" s="43"/>
      <c r="Y67" s="1"/>
      <c r="Z67" s="9"/>
      <c r="AA67" s="246">
        <f ca="1">IF(原因区分名６="","",SUM(基本原因区分６,業務原因区分６))</f>
        <v>0</v>
      </c>
      <c r="AB67" s="248"/>
      <c r="AC67" s="7" t="s">
        <v>39</v>
      </c>
      <c r="AD67" s="43"/>
      <c r="AQ67" s="55"/>
    </row>
    <row r="68" spans="1:43">
      <c r="A68" s="70"/>
      <c r="C68" s="1" t="s">
        <v>87</v>
      </c>
      <c r="D68" s="2"/>
      <c r="E68" s="1"/>
      <c r="F68" s="1"/>
      <c r="G68" s="1"/>
      <c r="N68" s="84"/>
      <c r="O68" s="246">
        <f ca="1">IF(原因区分名７="","",SUM(基本_start:基本_end!DJ10))</f>
        <v>0</v>
      </c>
      <c r="P68" s="248"/>
      <c r="Q68" s="74" t="s">
        <v>39</v>
      </c>
      <c r="R68" s="55"/>
      <c r="T68" s="9"/>
      <c r="U68" s="246">
        <f>IF(原因区分名７="","",SUM(業務_start:業務_end!DJ10))</f>
        <v>0</v>
      </c>
      <c r="V68" s="247"/>
      <c r="W68" s="7" t="s">
        <v>39</v>
      </c>
      <c r="X68" s="43"/>
      <c r="Y68" s="1"/>
      <c r="Z68" s="9"/>
      <c r="AA68" s="246">
        <f ca="1">IF(原因区分名７="","",SUM(基本原因区分７,業務原因区分７))</f>
        <v>0</v>
      </c>
      <c r="AB68" s="248"/>
      <c r="AC68" s="7" t="s">
        <v>39</v>
      </c>
      <c r="AD68" s="43"/>
      <c r="AQ68" s="55"/>
    </row>
    <row r="69" spans="1:43">
      <c r="A69" s="70"/>
      <c r="C69" s="1" t="s">
        <v>88</v>
      </c>
      <c r="D69" s="2"/>
      <c r="E69" s="1"/>
      <c r="F69" s="1"/>
      <c r="G69" s="1"/>
      <c r="N69" s="84"/>
      <c r="O69" s="246">
        <f ca="1">IF(原因区分名８="","",SUM(基本_start:基本_end!DK10))</f>
        <v>0</v>
      </c>
      <c r="P69" s="248"/>
      <c r="Q69" s="74" t="s">
        <v>39</v>
      </c>
      <c r="R69" s="91"/>
      <c r="S69" s="25"/>
      <c r="T69" s="9"/>
      <c r="U69" s="246">
        <f>IF(原因区分名８="","",SUM(業務_start:業務_end!DK10))</f>
        <v>0</v>
      </c>
      <c r="V69" s="247"/>
      <c r="W69" s="7" t="s">
        <v>39</v>
      </c>
      <c r="X69" s="14"/>
      <c r="Y69" s="1"/>
      <c r="Z69" s="9"/>
      <c r="AA69" s="246">
        <f ca="1">IF(原因区分名８="","",SUM(基本原因区分８,業務原因区分８))</f>
        <v>0</v>
      </c>
      <c r="AB69" s="248"/>
      <c r="AC69" s="7" t="s">
        <v>39</v>
      </c>
      <c r="AD69" s="14"/>
      <c r="AQ69" s="55"/>
    </row>
    <row r="70" spans="1:43">
      <c r="A70" s="70"/>
      <c r="C70" s="1" t="s">
        <v>89</v>
      </c>
      <c r="D70" s="2"/>
      <c r="E70" s="1"/>
      <c r="F70" s="1"/>
      <c r="G70" s="1"/>
      <c r="N70" s="84"/>
      <c r="O70" s="246">
        <f ca="1">IF(原因区分名９="","",SUM(基本_start:基本_end!DL10))</f>
        <v>0</v>
      </c>
      <c r="P70" s="248"/>
      <c r="Q70" s="74" t="s">
        <v>39</v>
      </c>
      <c r="R70" s="91"/>
      <c r="S70" s="25"/>
      <c r="T70" s="9"/>
      <c r="U70" s="246">
        <f>IF(原因区分名９="","",SUM(業務_start:業務_end!DL10))</f>
        <v>0</v>
      </c>
      <c r="V70" s="247"/>
      <c r="W70" s="7" t="s">
        <v>39</v>
      </c>
      <c r="X70" s="14"/>
      <c r="Y70" s="1"/>
      <c r="Z70" s="9"/>
      <c r="AA70" s="246">
        <f ca="1">IF(原因区分名９="","",SUM(基本原因区分９,業務原因区分９))</f>
        <v>0</v>
      </c>
      <c r="AB70" s="248"/>
      <c r="AC70" s="7" t="s">
        <v>39</v>
      </c>
      <c r="AD70" s="14"/>
      <c r="AQ70" s="55"/>
    </row>
    <row r="71" spans="1:43">
      <c r="A71" s="70"/>
      <c r="C71" s="1" t="s">
        <v>90</v>
      </c>
      <c r="D71" s="2"/>
      <c r="E71" s="1"/>
      <c r="F71" s="1"/>
      <c r="G71" s="1"/>
      <c r="N71" s="84"/>
      <c r="O71" s="246">
        <f ca="1">IF(原因区分名１０="","",SUM(基本_start:基本_end!DM10))</f>
        <v>0</v>
      </c>
      <c r="P71" s="248"/>
      <c r="Q71" s="74" t="s">
        <v>39</v>
      </c>
      <c r="R71" s="91"/>
      <c r="S71" s="25"/>
      <c r="T71" s="9"/>
      <c r="U71" s="246">
        <f>IF(原因区分名１０="","",SUM(業務_start:業務_end!DM10))</f>
        <v>0</v>
      </c>
      <c r="V71" s="247"/>
      <c r="W71" s="7" t="s">
        <v>39</v>
      </c>
      <c r="X71" s="14"/>
      <c r="Y71" s="1"/>
      <c r="Z71" s="9"/>
      <c r="AA71" s="246">
        <f ca="1">IF(原因区分名１０="","",SUM(基本原因区分１０,業務原因区分１０))</f>
        <v>0</v>
      </c>
      <c r="AB71" s="248"/>
      <c r="AC71" s="7" t="s">
        <v>39</v>
      </c>
      <c r="AD71" s="14"/>
      <c r="AQ71" s="55"/>
    </row>
    <row r="72" spans="1:43">
      <c r="A72" s="70"/>
      <c r="C72" s="1" t="s">
        <v>91</v>
      </c>
      <c r="D72" s="2"/>
      <c r="E72" s="1"/>
      <c r="F72" s="1"/>
      <c r="G72" s="1"/>
      <c r="N72" s="84"/>
      <c r="O72" s="246">
        <f ca="1">IF(原因区分名１１="","",SUM(基本_start:基本_end!DN10))</f>
        <v>0</v>
      </c>
      <c r="P72" s="248"/>
      <c r="Q72" s="74" t="s">
        <v>39</v>
      </c>
      <c r="R72" s="91"/>
      <c r="S72" s="25"/>
      <c r="T72" s="9"/>
      <c r="U72" s="246">
        <f>IF(原因区分名１１="","",SUM(業務_start:業務_end!DN10))</f>
        <v>0</v>
      </c>
      <c r="V72" s="247"/>
      <c r="W72" s="7" t="s">
        <v>39</v>
      </c>
      <c r="X72" s="14"/>
      <c r="Y72" s="1"/>
      <c r="Z72" s="9"/>
      <c r="AA72" s="246">
        <f ca="1">IF(原因区分名１１="","",SUM(基本原因区分１１,業務原因区分１１))</f>
        <v>0</v>
      </c>
      <c r="AB72" s="248"/>
      <c r="AC72" s="7" t="s">
        <v>39</v>
      </c>
      <c r="AD72" s="14"/>
      <c r="AQ72" s="55"/>
    </row>
    <row r="73" spans="1:43">
      <c r="A73" s="70"/>
      <c r="C73" s="1" t="s">
        <v>92</v>
      </c>
      <c r="G73" s="1"/>
      <c r="N73" s="84"/>
      <c r="O73" s="246">
        <f ca="1">IF(原因区分名１２="","",SUM(基本_start:基本_end!DO10))</f>
        <v>0</v>
      </c>
      <c r="P73" s="248"/>
      <c r="Q73" s="74" t="s">
        <v>39</v>
      </c>
      <c r="R73" s="91"/>
      <c r="S73" s="25"/>
      <c r="T73" s="9"/>
      <c r="U73" s="246">
        <f>IF(原因区分名１２="","",SUM(業務_start:業務_end!DO10))</f>
        <v>0</v>
      </c>
      <c r="V73" s="247"/>
      <c r="W73" s="7" t="s">
        <v>39</v>
      </c>
      <c r="X73" s="14"/>
      <c r="Y73" s="1"/>
      <c r="Z73" s="9"/>
      <c r="AA73" s="246">
        <f ca="1">IF(原因区分名１２="","",SUM(基本原因区分１２,業務原因区分１２))</f>
        <v>0</v>
      </c>
      <c r="AB73" s="248"/>
      <c r="AC73" s="7" t="s">
        <v>39</v>
      </c>
      <c r="AD73" s="14"/>
      <c r="AQ73" s="55"/>
    </row>
    <row r="74" spans="1:43">
      <c r="A74" s="70"/>
      <c r="C74" s="1" t="s">
        <v>93</v>
      </c>
      <c r="D74" s="2"/>
      <c r="E74" s="1"/>
      <c r="F74" s="1"/>
      <c r="G74" s="1"/>
      <c r="N74" s="84"/>
      <c r="O74" s="246">
        <f ca="1">IF(原因区分名１３="","",SUM(基本_start:基本_end!DP10))</f>
        <v>0</v>
      </c>
      <c r="P74" s="248"/>
      <c r="Q74" s="74" t="s">
        <v>39</v>
      </c>
      <c r="R74" s="91"/>
      <c r="S74" s="25"/>
      <c r="T74" s="9"/>
      <c r="U74" s="246">
        <f>IF(原因区分名１３="","",SUM(業務_start:業務_end!DP10))</f>
        <v>0</v>
      </c>
      <c r="V74" s="247"/>
      <c r="W74" s="7" t="s">
        <v>39</v>
      </c>
      <c r="X74" s="14"/>
      <c r="Y74" s="1"/>
      <c r="Z74" s="9"/>
      <c r="AA74" s="246">
        <f ca="1">IF(原因区分名１３="","",SUM(基本原因区分１３,業務原因区分１３))</f>
        <v>0</v>
      </c>
      <c r="AB74" s="248"/>
      <c r="AC74" s="7" t="s">
        <v>39</v>
      </c>
      <c r="AD74" s="14"/>
      <c r="AQ74" s="55"/>
    </row>
    <row r="75" spans="1:43">
      <c r="A75" s="70"/>
      <c r="C75" s="1" t="s">
        <v>94</v>
      </c>
      <c r="D75" s="2"/>
      <c r="E75" s="1"/>
      <c r="F75" s="1"/>
      <c r="G75" s="1"/>
      <c r="N75" s="84"/>
      <c r="O75" s="246">
        <f ca="1">IF(原因区分名１４="","",SUM(基本_start:基本_end!DQ10))</f>
        <v>0</v>
      </c>
      <c r="P75" s="248"/>
      <c r="Q75" s="74" t="s">
        <v>39</v>
      </c>
      <c r="R75" s="91"/>
      <c r="S75" s="25"/>
      <c r="T75" s="9"/>
      <c r="U75" s="246">
        <f>IF(原因区分名１４="","",SUM(業務_start:業務_end!DQ10))</f>
        <v>0</v>
      </c>
      <c r="V75" s="247"/>
      <c r="W75" s="7" t="s">
        <v>39</v>
      </c>
      <c r="X75" s="14"/>
      <c r="Y75" s="1"/>
      <c r="Z75" s="9"/>
      <c r="AA75" s="246">
        <f ca="1">IF(原因区分名１４="","",SUM(基本原因区分１４,業務原因区分１４))</f>
        <v>0</v>
      </c>
      <c r="AB75" s="248"/>
      <c r="AC75" s="7" t="s">
        <v>39</v>
      </c>
      <c r="AD75" s="14"/>
      <c r="AQ75" s="55"/>
    </row>
    <row r="76" spans="1:43">
      <c r="A76" s="70"/>
      <c r="C76" s="1" t="s">
        <v>95</v>
      </c>
      <c r="D76" s="2"/>
      <c r="E76" s="1"/>
      <c r="F76" s="1"/>
      <c r="G76" s="1"/>
      <c r="N76" s="84"/>
      <c r="O76" s="246">
        <f ca="1">IF(原因区分名１５="","",SUM(基本_start:基本_end!DR10))</f>
        <v>0</v>
      </c>
      <c r="P76" s="248"/>
      <c r="Q76" s="74" t="s">
        <v>39</v>
      </c>
      <c r="R76" s="91"/>
      <c r="S76" s="25"/>
      <c r="T76" s="9"/>
      <c r="U76" s="246">
        <f>IF(原因区分名１５="","",SUM(業務_start:業務_end!DR10))</f>
        <v>0</v>
      </c>
      <c r="V76" s="247"/>
      <c r="W76" s="7" t="s">
        <v>39</v>
      </c>
      <c r="X76" s="14"/>
      <c r="Y76" s="1"/>
      <c r="Z76" s="9"/>
      <c r="AA76" s="246">
        <f ca="1">IF(原因区分名１５="","",SUM(基本原因区分１５,業務原因区分１５))</f>
        <v>0</v>
      </c>
      <c r="AB76" s="248"/>
      <c r="AC76" s="7" t="s">
        <v>39</v>
      </c>
      <c r="AD76" s="14"/>
      <c r="AQ76" s="55"/>
    </row>
    <row r="77" spans="1:43">
      <c r="A77" s="70"/>
      <c r="C77" s="1" t="s">
        <v>96</v>
      </c>
      <c r="D77" s="2"/>
      <c r="E77" s="1"/>
      <c r="F77" s="1"/>
      <c r="G77" s="1"/>
      <c r="N77" s="84"/>
      <c r="O77" s="246">
        <f ca="1">IF(原因区分名１６="","",SUM(基本_start:基本_end!DS10))</f>
        <v>0</v>
      </c>
      <c r="P77" s="248"/>
      <c r="Q77" s="74" t="s">
        <v>39</v>
      </c>
      <c r="R77" s="91"/>
      <c r="S77" s="25"/>
      <c r="T77" s="9"/>
      <c r="U77" s="246">
        <f>IF(原因区分名１６="","",SUM(業務_start:業務_end!DS10))</f>
        <v>0</v>
      </c>
      <c r="V77" s="247"/>
      <c r="W77" s="7" t="s">
        <v>39</v>
      </c>
      <c r="X77" s="14"/>
      <c r="Y77" s="1"/>
      <c r="Z77" s="9"/>
      <c r="AA77" s="246">
        <f ca="1">IF(原因区分名１６="","",SUM(基本原因区分１６,業務原因区分１６))</f>
        <v>0</v>
      </c>
      <c r="AB77" s="248"/>
      <c r="AC77" s="7" t="s">
        <v>39</v>
      </c>
      <c r="AD77" s="14"/>
      <c r="AQ77" s="55"/>
    </row>
    <row r="78" spans="1:43">
      <c r="A78" s="70"/>
      <c r="C78" s="1" t="s">
        <v>97</v>
      </c>
      <c r="G78" s="1"/>
      <c r="N78" s="84"/>
      <c r="O78" s="246">
        <f ca="1">IF(原因区分名１７="","",SUM(基本_start:基本_end!DT10))</f>
        <v>0</v>
      </c>
      <c r="P78" s="248"/>
      <c r="Q78" s="74" t="s">
        <v>39</v>
      </c>
      <c r="R78" s="91"/>
      <c r="S78" s="25"/>
      <c r="T78" s="9"/>
      <c r="U78" s="246">
        <f>IF(原因区分名１７="","",SUM(業務_start:業務_end!DT10))</f>
        <v>0</v>
      </c>
      <c r="V78" s="247"/>
      <c r="W78" s="7" t="s">
        <v>39</v>
      </c>
      <c r="X78" s="14"/>
      <c r="Y78" s="1"/>
      <c r="Z78" s="9"/>
      <c r="AA78" s="246">
        <f ca="1">IF(原因区分名１７="","",SUM(基本原因区分１７,業務原因区分１７))</f>
        <v>0</v>
      </c>
      <c r="AB78" s="248"/>
      <c r="AC78" s="7" t="s">
        <v>39</v>
      </c>
      <c r="AD78" s="14"/>
      <c r="AQ78" s="55"/>
    </row>
    <row r="79" spans="1:43">
      <c r="A79" s="70"/>
      <c r="C79" s="1" t="s">
        <v>98</v>
      </c>
      <c r="D79" s="2"/>
      <c r="E79" s="1"/>
      <c r="F79" s="1"/>
      <c r="G79" s="1"/>
      <c r="N79" s="84"/>
      <c r="O79" s="246">
        <f ca="1">IF(原因区分名１８="","",SUM(基本_start:基本_end!DU10))</f>
        <v>0</v>
      </c>
      <c r="P79" s="248"/>
      <c r="Q79" s="74" t="s">
        <v>39</v>
      </c>
      <c r="R79" s="91"/>
      <c r="S79" s="25"/>
      <c r="T79" s="9"/>
      <c r="U79" s="246">
        <f>IF(原因区分名１８="","",SUM(業務_start:業務_end!DU10))</f>
        <v>0</v>
      </c>
      <c r="V79" s="247"/>
      <c r="W79" s="7" t="s">
        <v>39</v>
      </c>
      <c r="X79" s="14"/>
      <c r="Y79" s="1"/>
      <c r="Z79" s="9"/>
      <c r="AA79" s="246">
        <f ca="1">IF(原因区分名１８="","",SUM(基本原因区分１８,業務原因区分１８))</f>
        <v>0</v>
      </c>
      <c r="AB79" s="248"/>
      <c r="AC79" s="7" t="s">
        <v>39</v>
      </c>
      <c r="AD79" s="14"/>
      <c r="AQ79" s="55"/>
    </row>
    <row r="80" spans="1:43">
      <c r="A80" s="70"/>
      <c r="C80" s="1" t="s">
        <v>99</v>
      </c>
      <c r="D80" s="2"/>
      <c r="E80" s="1"/>
      <c r="F80" s="1"/>
      <c r="G80" s="1"/>
      <c r="N80" s="84"/>
      <c r="O80" s="246">
        <f ca="1">IF(原因区分名１９="","",SUM(基本_start:基本_end!DV10))</f>
        <v>0</v>
      </c>
      <c r="P80" s="248"/>
      <c r="Q80" s="74" t="s">
        <v>39</v>
      </c>
      <c r="R80" s="91"/>
      <c r="S80" s="25"/>
      <c r="T80" s="9"/>
      <c r="U80" s="246">
        <f>IF(原因区分名１９="","",SUM(業務_start:業務_end!DV10))</f>
        <v>0</v>
      </c>
      <c r="V80" s="247"/>
      <c r="W80" s="7" t="s">
        <v>39</v>
      </c>
      <c r="X80" s="14"/>
      <c r="Y80" s="1"/>
      <c r="Z80" s="9"/>
      <c r="AA80" s="246">
        <f ca="1">IF(原因区分名１９="","",SUM(基本原因区分１９,業務原因区分１９))</f>
        <v>0</v>
      </c>
      <c r="AB80" s="248"/>
      <c r="AC80" s="7" t="s">
        <v>39</v>
      </c>
      <c r="AD80" s="14"/>
      <c r="AQ80" s="55"/>
    </row>
    <row r="81" spans="1:43">
      <c r="A81" s="70"/>
      <c r="C81" s="1" t="s">
        <v>100</v>
      </c>
      <c r="D81" s="2"/>
      <c r="E81" s="2"/>
      <c r="F81" s="1"/>
      <c r="G81" s="1"/>
      <c r="N81" s="84"/>
      <c r="O81" s="246">
        <f ca="1">IF(原因区分名２０="","",SUM(基本_start:基本_end!DW10))</f>
        <v>0</v>
      </c>
      <c r="P81" s="248"/>
      <c r="Q81" s="74" t="s">
        <v>39</v>
      </c>
      <c r="R81" s="91"/>
      <c r="S81" s="25"/>
      <c r="T81" s="9"/>
      <c r="U81" s="246">
        <f>IF(原因区分名２０="","",SUM(業務_start:業務_end!DW10))</f>
        <v>0</v>
      </c>
      <c r="V81" s="247"/>
      <c r="W81" s="7" t="s">
        <v>39</v>
      </c>
      <c r="X81" s="14"/>
      <c r="Y81" s="1"/>
      <c r="Z81" s="9"/>
      <c r="AA81" s="254">
        <f ca="1">IF(原因区分名２０="","",SUM(基本原因区分２０,業務原因区分２０))</f>
        <v>0</v>
      </c>
      <c r="AB81" s="255"/>
      <c r="AC81" s="7" t="s">
        <v>39</v>
      </c>
      <c r="AD81" s="14"/>
      <c r="AQ81" s="55"/>
    </row>
    <row r="82" spans="1:43">
      <c r="A82" s="70"/>
      <c r="C82" s="1"/>
      <c r="D82" s="1"/>
      <c r="E82" s="1"/>
      <c r="F82" s="1"/>
      <c r="G82" s="1"/>
      <c r="N82" s="84"/>
      <c r="O82" s="246" t="str">
        <f>IF(原因区分名２１="","",SUM(基本_start:基本_end!DX10))</f>
        <v/>
      </c>
      <c r="P82" s="248"/>
      <c r="Q82" s="74" t="s">
        <v>39</v>
      </c>
      <c r="R82" s="91"/>
      <c r="S82" s="84"/>
      <c r="T82" s="9"/>
      <c r="U82" s="246" t="str">
        <f>IF(原因区分名２１="","",SUM(業務_start:業務_end!DX10))</f>
        <v/>
      </c>
      <c r="V82" s="247"/>
      <c r="W82" s="7" t="s">
        <v>39</v>
      </c>
      <c r="X82" s="14"/>
      <c r="Y82" s="1"/>
      <c r="Z82" s="9"/>
      <c r="AA82" s="246" t="str">
        <f>IF(原因区分名２１="","",SUM(基本原因区分２１,業務原因区分２１))</f>
        <v/>
      </c>
      <c r="AB82" s="248"/>
      <c r="AC82" s="7" t="s">
        <v>39</v>
      </c>
      <c r="AD82" s="14"/>
      <c r="AQ82" s="55"/>
    </row>
    <row r="83" spans="1:43">
      <c r="A83" s="70"/>
      <c r="C83" s="1"/>
      <c r="M83" s="25"/>
      <c r="N83" s="84"/>
      <c r="O83" s="246" t="str">
        <f>IF(原因区分名２２="","",SUM(基本_start:基本_end!DY10))</f>
        <v/>
      </c>
      <c r="P83" s="248"/>
      <c r="Q83" s="74" t="s">
        <v>39</v>
      </c>
      <c r="R83" s="25"/>
      <c r="S83" s="84"/>
      <c r="T83" s="9"/>
      <c r="U83" s="246" t="str">
        <f>IF(原因区分名２２="","",SUM(業務_start:業務_end!DY10))</f>
        <v/>
      </c>
      <c r="V83" s="247"/>
      <c r="W83" s="7" t="s">
        <v>39</v>
      </c>
      <c r="X83" s="14"/>
      <c r="Y83" s="1"/>
      <c r="Z83" s="9"/>
      <c r="AA83" s="246" t="str">
        <f>IF(原因区分名２２="","",SUM(基本原因区分２２,業務原因区分２２))</f>
        <v/>
      </c>
      <c r="AB83" s="248"/>
      <c r="AC83" s="7" t="s">
        <v>39</v>
      </c>
      <c r="AD83" s="14"/>
      <c r="AQ83" s="55"/>
    </row>
    <row r="84" spans="1:43">
      <c r="A84" s="70"/>
      <c r="C84" s="1"/>
      <c r="N84" s="84"/>
      <c r="O84" s="246" t="str">
        <f>IF(原因区分名２３="","",SUM(基本_start:基本_end!DZ10))</f>
        <v/>
      </c>
      <c r="P84" s="248"/>
      <c r="Q84" s="74" t="s">
        <v>39</v>
      </c>
      <c r="S84" s="84"/>
      <c r="T84" s="9"/>
      <c r="U84" s="246" t="str">
        <f>IF(原因区分名２３="","",SUM(業務_start:業務_end!DZ10))</f>
        <v/>
      </c>
      <c r="V84" s="247"/>
      <c r="W84" s="7" t="s">
        <v>39</v>
      </c>
      <c r="X84" s="14"/>
      <c r="Y84" s="1"/>
      <c r="Z84" s="9"/>
      <c r="AA84" s="246" t="str">
        <f>IF(原因区分名２３="","",SUM(基本原因区分２３,業務原因区分２３))</f>
        <v/>
      </c>
      <c r="AB84" s="248"/>
      <c r="AC84" s="7" t="s">
        <v>39</v>
      </c>
      <c r="AD84" s="14"/>
      <c r="AQ84" s="55"/>
    </row>
    <row r="85" spans="1:43">
      <c r="A85" s="70"/>
      <c r="C85" s="1"/>
      <c r="N85" s="84"/>
      <c r="O85" s="246" t="str">
        <f>IF(原因区分名２４="","",SUM(基本_start:基本_end!EA10))</f>
        <v/>
      </c>
      <c r="P85" s="248"/>
      <c r="Q85" s="74" t="s">
        <v>39</v>
      </c>
      <c r="S85" s="84"/>
      <c r="T85" s="9"/>
      <c r="U85" s="246" t="str">
        <f>IF(原因区分名２４="","",SUM(業務_start:業務_end!EA10))</f>
        <v/>
      </c>
      <c r="V85" s="247"/>
      <c r="W85" s="7" t="s">
        <v>39</v>
      </c>
      <c r="X85" s="14"/>
      <c r="Y85" s="1"/>
      <c r="Z85" s="9"/>
      <c r="AA85" s="246" t="str">
        <f>IF(原因区分名２４="","",SUM(基本原因区分２４,業務原因区分２４))</f>
        <v/>
      </c>
      <c r="AB85" s="248"/>
      <c r="AC85" s="7" t="s">
        <v>39</v>
      </c>
      <c r="AD85" s="14"/>
      <c r="AQ85" s="55"/>
    </row>
    <row r="86" spans="1:43">
      <c r="A86" s="70"/>
      <c r="C86" s="1"/>
      <c r="N86" s="84"/>
      <c r="O86" s="246" t="str">
        <f>IF(原因区分名２５="","",SUM(基本_start:基本_end!EB10))</f>
        <v/>
      </c>
      <c r="P86" s="248"/>
      <c r="Q86" s="74" t="s">
        <v>39</v>
      </c>
      <c r="S86" s="84"/>
      <c r="T86" s="9"/>
      <c r="U86" s="246" t="str">
        <f>IF(原因区分名２５="","",SUM(業務_start:業務_end!EB10))</f>
        <v/>
      </c>
      <c r="V86" s="247"/>
      <c r="W86" s="7" t="s">
        <v>39</v>
      </c>
      <c r="X86" s="14"/>
      <c r="Y86" s="1"/>
      <c r="Z86" s="9"/>
      <c r="AA86" s="246" t="str">
        <f>IF(原因区分名２５="","",SUM(基本原因区分２５,業務原因区分２５))</f>
        <v/>
      </c>
      <c r="AB86" s="248"/>
      <c r="AC86" s="7" t="s">
        <v>39</v>
      </c>
      <c r="AD86" s="14"/>
      <c r="AQ86" s="55"/>
    </row>
    <row r="87" spans="1:43">
      <c r="A87" s="70"/>
      <c r="C87" s="1"/>
      <c r="N87" s="84"/>
      <c r="O87" s="246" t="str">
        <f>IF(原因区分名２６="","",SUM(基本_start:基本_end!EC10))</f>
        <v/>
      </c>
      <c r="P87" s="248"/>
      <c r="Q87" s="74" t="s">
        <v>39</v>
      </c>
      <c r="S87" s="84"/>
      <c r="T87" s="9"/>
      <c r="U87" s="246" t="str">
        <f>IF(原因区分名２６="","",SUM(業務_start:業務_end!EC10))</f>
        <v/>
      </c>
      <c r="V87" s="247"/>
      <c r="W87" s="7" t="s">
        <v>39</v>
      </c>
      <c r="X87" s="14"/>
      <c r="Y87" s="1"/>
      <c r="Z87" s="9"/>
      <c r="AA87" s="246" t="str">
        <f>IF(原因区分名２６="","",SUM(基本原因区分２６,業務原因区分２６))</f>
        <v/>
      </c>
      <c r="AB87" s="248"/>
      <c r="AC87" s="7" t="s">
        <v>39</v>
      </c>
      <c r="AD87" s="14"/>
      <c r="AQ87" s="55"/>
    </row>
    <row r="88" spans="1:43">
      <c r="A88" s="70"/>
      <c r="C88" s="1"/>
      <c r="N88" s="84"/>
      <c r="O88" s="246" t="str">
        <f>IF(原因区分名２７="","",SUM(基本_start:基本_end!ED10))</f>
        <v/>
      </c>
      <c r="P88" s="248"/>
      <c r="Q88" s="74" t="s">
        <v>39</v>
      </c>
      <c r="S88" s="84"/>
      <c r="T88" s="9"/>
      <c r="U88" s="246" t="str">
        <f>IF(原因区分名２７="","",SUM(業務_start:業務_end!ED10))</f>
        <v/>
      </c>
      <c r="V88" s="247"/>
      <c r="W88" s="7" t="s">
        <v>39</v>
      </c>
      <c r="X88" s="14"/>
      <c r="Y88" s="1"/>
      <c r="Z88" s="9"/>
      <c r="AA88" s="246" t="str">
        <f>IF(原因区分名２７="","",SUM(基本原因区分２７,業務原因区分２７))</f>
        <v/>
      </c>
      <c r="AB88" s="248"/>
      <c r="AC88" s="7" t="s">
        <v>39</v>
      </c>
      <c r="AD88" s="14"/>
      <c r="AQ88" s="55"/>
    </row>
    <row r="89" spans="1:43">
      <c r="A89" s="70"/>
      <c r="C89" s="1"/>
      <c r="N89" s="84"/>
      <c r="O89" s="246" t="str">
        <f>IF(原因区分名２８="","",SUM(基本_start:基本_end!EE10))</f>
        <v/>
      </c>
      <c r="P89" s="248"/>
      <c r="Q89" s="74" t="s">
        <v>39</v>
      </c>
      <c r="S89" s="84"/>
      <c r="T89" s="9"/>
      <c r="U89" s="246" t="str">
        <f>IF(原因区分名２８="","",SUM(業務_start:業務_end!EE10))</f>
        <v/>
      </c>
      <c r="V89" s="247"/>
      <c r="W89" s="7" t="s">
        <v>39</v>
      </c>
      <c r="X89" s="14"/>
      <c r="Y89" s="1"/>
      <c r="Z89" s="9"/>
      <c r="AA89" s="246" t="str">
        <f>IF(原因区分名２８="","",SUM(基本原因区分２８,業務原因区分２８))</f>
        <v/>
      </c>
      <c r="AB89" s="248"/>
      <c r="AC89" s="7" t="s">
        <v>39</v>
      </c>
      <c r="AD89" s="14"/>
      <c r="AQ89" s="55"/>
    </row>
    <row r="90" spans="1:43">
      <c r="A90" s="70"/>
      <c r="C90" s="1"/>
      <c r="N90" s="84"/>
      <c r="O90" s="246" t="str">
        <f>IF(原因区分名２９="","",SUM(基本_start:基本_end!EF10))</f>
        <v/>
      </c>
      <c r="P90" s="248"/>
      <c r="Q90" s="74" t="s">
        <v>39</v>
      </c>
      <c r="S90" s="84"/>
      <c r="T90" s="9"/>
      <c r="U90" s="246" t="str">
        <f>IF(原因区分名２９="","",SUM(業務_start:業務_end!EF10))</f>
        <v/>
      </c>
      <c r="V90" s="247"/>
      <c r="W90" s="7" t="s">
        <v>39</v>
      </c>
      <c r="X90" s="14"/>
      <c r="Y90" s="1"/>
      <c r="Z90" s="9"/>
      <c r="AA90" s="246" t="str">
        <f>IF(原因区分名２９="","",SUM(基本原因区分２９,業務原因区分２９))</f>
        <v/>
      </c>
      <c r="AB90" s="248"/>
      <c r="AC90" s="7" t="s">
        <v>39</v>
      </c>
      <c r="AD90" s="14"/>
      <c r="AQ90" s="55"/>
    </row>
    <row r="91" spans="1:43">
      <c r="A91" s="70"/>
      <c r="C91" s="1"/>
      <c r="N91" s="84"/>
      <c r="O91" s="246" t="str">
        <f>IF(原因区分名３０="","",SUM(基本_start:基本_end!EG10))</f>
        <v/>
      </c>
      <c r="P91" s="248"/>
      <c r="Q91" s="74" t="s">
        <v>39</v>
      </c>
      <c r="S91" s="84"/>
      <c r="T91" s="9"/>
      <c r="U91" s="246" t="str">
        <f>IF(原因区分名３０="","",SUM(業務_start:業務_end!EG10))</f>
        <v/>
      </c>
      <c r="V91" s="247"/>
      <c r="W91" s="7" t="s">
        <v>39</v>
      </c>
      <c r="X91" s="14"/>
      <c r="Y91" s="1"/>
      <c r="Z91" s="9"/>
      <c r="AA91" s="246" t="str">
        <f>IF(原因区分名３０="","",SUM(基本原因区分３０,業務原因区分３０))</f>
        <v/>
      </c>
      <c r="AB91" s="248"/>
      <c r="AC91" s="7" t="s">
        <v>39</v>
      </c>
      <c r="AD91" s="14"/>
      <c r="AQ91" s="55"/>
    </row>
    <row r="92" spans="1:43">
      <c r="A92" s="70"/>
      <c r="C92" s="1"/>
      <c r="N92" s="84"/>
      <c r="O92" s="246" t="str">
        <f>IF(原因区分名３１="","",SUM(基本_start:基本_end!EH10))</f>
        <v/>
      </c>
      <c r="P92" s="248"/>
      <c r="Q92" s="74" t="s">
        <v>39</v>
      </c>
      <c r="S92" s="84"/>
      <c r="T92" s="9"/>
      <c r="U92" s="246" t="str">
        <f>IF(原因区分名３１="","",SUM(業務_start:業務_end!EH10))</f>
        <v/>
      </c>
      <c r="V92" s="247"/>
      <c r="W92" s="7" t="s">
        <v>39</v>
      </c>
      <c r="X92" s="14"/>
      <c r="Y92" s="1"/>
      <c r="Z92" s="9"/>
      <c r="AA92" s="246" t="str">
        <f>IF(原因区分名３１="","",SUM(基本原因区分３１,業務原因区分３１))</f>
        <v/>
      </c>
      <c r="AB92" s="248"/>
      <c r="AC92" s="7" t="s">
        <v>39</v>
      </c>
      <c r="AD92" s="14"/>
      <c r="AQ92" s="55"/>
    </row>
    <row r="93" spans="1:43">
      <c r="A93" s="70"/>
      <c r="C93" s="1"/>
      <c r="N93" s="84"/>
      <c r="O93" s="246" t="str">
        <f>IF(原因区分名３２="","",SUM(基本_start:基本_end!EI10))</f>
        <v/>
      </c>
      <c r="P93" s="248"/>
      <c r="Q93" s="74" t="s">
        <v>39</v>
      </c>
      <c r="S93" s="84"/>
      <c r="T93" s="9"/>
      <c r="U93" s="246" t="str">
        <f>IF(原因区分名３２="","",SUM(業務_start:業務_end!EI10))</f>
        <v/>
      </c>
      <c r="V93" s="247"/>
      <c r="W93" s="7" t="s">
        <v>39</v>
      </c>
      <c r="X93" s="14"/>
      <c r="Y93" s="1"/>
      <c r="Z93" s="9"/>
      <c r="AA93" s="246" t="str">
        <f>IF(原因区分名３２="","",SUM(基本原因区分３２,業務原因区分３２))</f>
        <v/>
      </c>
      <c r="AB93" s="248"/>
      <c r="AC93" s="7" t="s">
        <v>39</v>
      </c>
      <c r="AD93" s="14"/>
      <c r="AQ93" s="55"/>
    </row>
    <row r="94" spans="1:43">
      <c r="A94" s="70"/>
      <c r="C94" s="1"/>
      <c r="N94" s="84"/>
      <c r="O94" s="246" t="str">
        <f>IF(原因区分名３３="","",SUM(基本_start:基本_end!EJ10))</f>
        <v/>
      </c>
      <c r="P94" s="248"/>
      <c r="Q94" s="74" t="s">
        <v>39</v>
      </c>
      <c r="S94" s="84"/>
      <c r="T94" s="9"/>
      <c r="U94" s="246" t="str">
        <f>IF(原因区分名３３="","",SUM(業務_start:業務_end!EJ10))</f>
        <v/>
      </c>
      <c r="V94" s="247"/>
      <c r="W94" s="7" t="s">
        <v>39</v>
      </c>
      <c r="X94" s="14"/>
      <c r="Y94" s="1"/>
      <c r="Z94" s="9"/>
      <c r="AA94" s="246" t="str">
        <f>IF(原因区分名３３="","",SUM(基本原因区分３３,業務原因区分３３))</f>
        <v/>
      </c>
      <c r="AB94" s="248"/>
      <c r="AC94" s="7" t="s">
        <v>39</v>
      </c>
      <c r="AD94" s="14"/>
      <c r="AQ94" s="55"/>
    </row>
    <row r="95" spans="1:43">
      <c r="A95" s="70"/>
      <c r="C95" s="1"/>
      <c r="N95" s="84"/>
      <c r="O95" s="246" t="str">
        <f>IF(原因区分名３４="","",SUM(基本_start:基本_end!EK10))</f>
        <v/>
      </c>
      <c r="P95" s="248"/>
      <c r="Q95" s="74" t="s">
        <v>39</v>
      </c>
      <c r="S95" s="84"/>
      <c r="T95" s="9"/>
      <c r="U95" s="246" t="str">
        <f>IF(原因区分名３４="","",SUM(業務_start:業務_end!EK10))</f>
        <v/>
      </c>
      <c r="V95" s="247"/>
      <c r="W95" s="7" t="s">
        <v>39</v>
      </c>
      <c r="X95" s="14"/>
      <c r="Y95" s="1"/>
      <c r="Z95" s="9"/>
      <c r="AA95" s="246" t="str">
        <f>IF(原因区分名３４="","",SUM(基本原因区分３４,業務原因区分３４))</f>
        <v/>
      </c>
      <c r="AB95" s="248"/>
      <c r="AC95" s="7" t="s">
        <v>39</v>
      </c>
      <c r="AD95" s="14"/>
      <c r="AQ95" s="55"/>
    </row>
    <row r="96" spans="1:43">
      <c r="A96" s="70"/>
      <c r="C96" s="1"/>
      <c r="N96" s="84"/>
      <c r="O96" s="246" t="str">
        <f>IF(原因区分名３５="","",SUM(基本_start:基本_end!EL10))</f>
        <v/>
      </c>
      <c r="P96" s="248"/>
      <c r="Q96" s="74" t="s">
        <v>39</v>
      </c>
      <c r="S96" s="84"/>
      <c r="T96" s="9"/>
      <c r="U96" s="246" t="str">
        <f>IF(原因区分名３５="","",SUM(業務_start:業務_end!EL10))</f>
        <v/>
      </c>
      <c r="V96" s="247"/>
      <c r="W96" s="7" t="s">
        <v>39</v>
      </c>
      <c r="X96" s="14"/>
      <c r="Y96" s="1"/>
      <c r="Z96" s="9"/>
      <c r="AA96" s="246" t="str">
        <f>IF(原因区分名３５="","",SUM(基本原因区分３５,業務原因区分３５))</f>
        <v/>
      </c>
      <c r="AB96" s="248"/>
      <c r="AC96" s="7" t="s">
        <v>39</v>
      </c>
      <c r="AD96" s="14"/>
      <c r="AQ96" s="55"/>
    </row>
    <row r="97" spans="1:43">
      <c r="A97" s="70"/>
      <c r="C97" s="1"/>
      <c r="N97" s="84"/>
      <c r="O97" s="246" t="str">
        <f>IF(原因区分名３６="","",SUM(基本_start:基本_end!EM10))</f>
        <v/>
      </c>
      <c r="P97" s="248"/>
      <c r="Q97" s="74" t="s">
        <v>39</v>
      </c>
      <c r="S97" s="84"/>
      <c r="T97" s="9"/>
      <c r="U97" s="246" t="str">
        <f>IF(原因区分名３６="","",SUM(業務_start:業務_end!EM10))</f>
        <v/>
      </c>
      <c r="V97" s="247"/>
      <c r="W97" s="7" t="s">
        <v>39</v>
      </c>
      <c r="X97" s="14"/>
      <c r="Y97" s="1"/>
      <c r="Z97" s="9"/>
      <c r="AA97" s="246" t="str">
        <f>IF(原因区分名３６="","",SUM(基本原因区分３６,業務原因区分３６))</f>
        <v/>
      </c>
      <c r="AB97" s="248"/>
      <c r="AC97" s="7" t="s">
        <v>39</v>
      </c>
      <c r="AD97" s="14"/>
      <c r="AQ97" s="55"/>
    </row>
    <row r="98" spans="1:43">
      <c r="A98" s="70"/>
      <c r="C98" s="1"/>
      <c r="N98" s="84"/>
      <c r="O98" s="246" t="str">
        <f>IF(原因区分名３７="","",SUM(基本_start:基本_end!EN10))</f>
        <v/>
      </c>
      <c r="P98" s="248"/>
      <c r="Q98" s="74" t="s">
        <v>39</v>
      </c>
      <c r="S98" s="84"/>
      <c r="T98" s="9"/>
      <c r="U98" s="246" t="str">
        <f>IF(原因区分名３７="","",SUM(業務_start:業務_end!EN10))</f>
        <v/>
      </c>
      <c r="V98" s="247"/>
      <c r="W98" s="7" t="s">
        <v>39</v>
      </c>
      <c r="X98" s="14"/>
      <c r="Y98" s="1"/>
      <c r="Z98" s="9"/>
      <c r="AA98" s="246" t="str">
        <f>IF(原因区分名３７="","",SUM(基本原因区分３７,業務原因区分３７))</f>
        <v/>
      </c>
      <c r="AB98" s="248"/>
      <c r="AC98" s="7" t="s">
        <v>39</v>
      </c>
      <c r="AD98" s="14"/>
      <c r="AQ98" s="55"/>
    </row>
    <row r="99" spans="1:43">
      <c r="A99" s="70"/>
      <c r="C99" s="1"/>
      <c r="N99" s="84"/>
      <c r="O99" s="246" t="str">
        <f>IF(原因区分名３８="","",SUM(基本_start:基本_end!EO10))</f>
        <v/>
      </c>
      <c r="P99" s="248"/>
      <c r="Q99" s="74" t="s">
        <v>39</v>
      </c>
      <c r="S99" s="84"/>
      <c r="T99" s="9"/>
      <c r="U99" s="246" t="str">
        <f>IF(原因区分名３８="","",SUM(業務_start:業務_end!EO10))</f>
        <v/>
      </c>
      <c r="V99" s="247"/>
      <c r="W99" s="7" t="s">
        <v>39</v>
      </c>
      <c r="X99" s="14"/>
      <c r="Y99" s="1"/>
      <c r="Z99" s="9"/>
      <c r="AA99" s="246" t="str">
        <f>IF(原因区分名３８="","",SUM(基本原因区分３８,業務原因区分３８))</f>
        <v/>
      </c>
      <c r="AB99" s="248"/>
      <c r="AC99" s="7" t="s">
        <v>39</v>
      </c>
      <c r="AD99" s="14"/>
      <c r="AQ99" s="55"/>
    </row>
    <row r="100" spans="1:43">
      <c r="A100" s="70"/>
      <c r="C100" s="1"/>
      <c r="N100" s="84"/>
      <c r="O100" s="246" t="str">
        <f>IF(原因区分名３９="","",SUM(基本_start:基本_end!EP10))</f>
        <v/>
      </c>
      <c r="P100" s="248"/>
      <c r="Q100" s="74" t="s">
        <v>39</v>
      </c>
      <c r="S100" s="84"/>
      <c r="T100" s="9"/>
      <c r="U100" s="246" t="str">
        <f>IF(原因区分名３９="","",SUM(業務_start:業務_end!EP10))</f>
        <v/>
      </c>
      <c r="V100" s="247"/>
      <c r="W100" s="7" t="s">
        <v>39</v>
      </c>
      <c r="X100" s="14"/>
      <c r="Y100" s="1"/>
      <c r="Z100" s="9"/>
      <c r="AA100" s="246" t="str">
        <f>IF(原因区分名３９="","",SUM(基本原因区分３９,業務原因区分３９))</f>
        <v/>
      </c>
      <c r="AB100" s="248"/>
      <c r="AC100" s="7" t="s">
        <v>39</v>
      </c>
      <c r="AD100" s="14"/>
      <c r="AQ100" s="55"/>
    </row>
    <row r="101" spans="1:43">
      <c r="A101" s="70"/>
      <c r="C101" s="1"/>
      <c r="N101" s="84"/>
      <c r="O101" s="249" t="str">
        <f>IF(原因区分名４０="","",SUM(基本_start:基本_end!EQ10))</f>
        <v/>
      </c>
      <c r="P101" s="250"/>
      <c r="Q101" s="74" t="s">
        <v>39</v>
      </c>
      <c r="S101" s="84"/>
      <c r="T101" s="9"/>
      <c r="U101" s="249" t="str">
        <f>IF(原因区分名４０="","",SUM(業務_start:業務_end!EQ10))</f>
        <v/>
      </c>
      <c r="V101" s="251"/>
      <c r="W101" s="7" t="s">
        <v>39</v>
      </c>
      <c r="X101" s="14"/>
      <c r="Y101" s="1"/>
      <c r="Z101" s="9"/>
      <c r="AA101" s="252" t="str">
        <f>IF(原因区分名４０="","",SUM(基本原因区分４０,業務原因区分４０))</f>
        <v/>
      </c>
      <c r="AB101" s="253"/>
      <c r="AC101" s="7" t="s">
        <v>39</v>
      </c>
      <c r="AD101" s="14"/>
      <c r="AQ101" s="55"/>
    </row>
    <row r="102" spans="1:43">
      <c r="A102" s="70"/>
      <c r="N102" s="92"/>
      <c r="O102" s="97"/>
      <c r="P102" s="97"/>
      <c r="Q102" s="97"/>
      <c r="R102" s="119"/>
      <c r="S102" s="84"/>
      <c r="T102" s="15"/>
      <c r="U102" s="97"/>
      <c r="V102" s="97"/>
      <c r="W102" s="97"/>
      <c r="X102" s="96"/>
      <c r="Y102" s="1"/>
      <c r="Z102" s="15"/>
      <c r="AA102" s="97"/>
      <c r="AB102" s="97"/>
      <c r="AC102" s="97"/>
      <c r="AD102" s="96"/>
      <c r="AQ102" s="55"/>
    </row>
    <row r="103" spans="1:43">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B35:D37"/>
    <mergeCell ref="E35:G37"/>
    <mergeCell ref="H35:J37"/>
    <mergeCell ref="K35:M37"/>
    <mergeCell ref="N35:P37"/>
    <mergeCell ref="B34:D34"/>
    <mergeCell ref="E34:G34"/>
    <mergeCell ref="H34:J34"/>
    <mergeCell ref="K34:M34"/>
    <mergeCell ref="N34:P34"/>
    <mergeCell ref="B27:E27"/>
    <mergeCell ref="F27:H27"/>
    <mergeCell ref="I27:K27"/>
    <mergeCell ref="L27:N27"/>
    <mergeCell ref="O27:Q27"/>
    <mergeCell ref="B28:E30"/>
    <mergeCell ref="F28:H30"/>
    <mergeCell ref="I28:K30"/>
    <mergeCell ref="L28:N30"/>
    <mergeCell ref="O28:Q30"/>
    <mergeCell ref="B22:E24"/>
    <mergeCell ref="F22:H24"/>
    <mergeCell ref="I22:K24"/>
    <mergeCell ref="L22:N24"/>
    <mergeCell ref="O22:Q24"/>
    <mergeCell ref="B21:E21"/>
    <mergeCell ref="F21:H21"/>
    <mergeCell ref="I21:K21"/>
    <mergeCell ref="L21:N21"/>
    <mergeCell ref="O21:Q21"/>
    <mergeCell ref="AA20:AB20"/>
    <mergeCell ref="AG20:AH20"/>
    <mergeCell ref="AM20:AN20"/>
    <mergeCell ref="AA23:AB23"/>
    <mergeCell ref="AG23:AH23"/>
    <mergeCell ref="AM23:AN23"/>
    <mergeCell ref="AA24:AB24"/>
    <mergeCell ref="AG24:AH24"/>
    <mergeCell ref="AM24:AN24"/>
    <mergeCell ref="AA22:AB22"/>
    <mergeCell ref="AG22:AH22"/>
    <mergeCell ref="AM22:AN22"/>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B7:H7"/>
    <mergeCell ref="I7:N7"/>
    <mergeCell ref="O3:X4"/>
    <mergeCell ref="AC3:AD3"/>
    <mergeCell ref="AE3:AG3"/>
    <mergeCell ref="AH3:AJ3"/>
    <mergeCell ref="AC5:AD5"/>
    <mergeCell ref="AE5:AG5"/>
    <mergeCell ref="AH5:AJ5"/>
    <mergeCell ref="B6:H6"/>
    <mergeCell ref="I6:N6"/>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B57:C58"/>
    <mergeCell ref="D57:N58"/>
    <mergeCell ref="O62:P62"/>
    <mergeCell ref="U62:V62"/>
    <mergeCell ref="AA62:AB62"/>
    <mergeCell ref="O63:P63"/>
    <mergeCell ref="U63:V63"/>
    <mergeCell ref="AA63:AB63"/>
    <mergeCell ref="O64:P64"/>
    <mergeCell ref="U64:V64"/>
    <mergeCell ref="AA64:AB64"/>
    <mergeCell ref="O65:P65"/>
    <mergeCell ref="U65:V65"/>
    <mergeCell ref="AA65:AB65"/>
    <mergeCell ref="O66:P66"/>
    <mergeCell ref="U66:V66"/>
    <mergeCell ref="AA66:AB66"/>
    <mergeCell ref="O67:P67"/>
    <mergeCell ref="U67:V67"/>
    <mergeCell ref="AA67:AB67"/>
    <mergeCell ref="O68:P68"/>
    <mergeCell ref="U68:V68"/>
    <mergeCell ref="AA68:AB68"/>
    <mergeCell ref="O69:P69"/>
    <mergeCell ref="U69:V69"/>
    <mergeCell ref="AA69:AB69"/>
    <mergeCell ref="O70:P70"/>
    <mergeCell ref="U70:V70"/>
    <mergeCell ref="AA70:AB70"/>
    <mergeCell ref="O71:P71"/>
    <mergeCell ref="U71:V71"/>
    <mergeCell ref="AA71:AB71"/>
    <mergeCell ref="O72:P72"/>
    <mergeCell ref="U72:V72"/>
    <mergeCell ref="AA72:AB72"/>
    <mergeCell ref="O73:P73"/>
    <mergeCell ref="U73:V73"/>
    <mergeCell ref="AA73:AB73"/>
    <mergeCell ref="O74:P74"/>
    <mergeCell ref="U74:V74"/>
    <mergeCell ref="AA74:AB74"/>
    <mergeCell ref="O75:P75"/>
    <mergeCell ref="U75:V75"/>
    <mergeCell ref="AA75:AB75"/>
    <mergeCell ref="O76:P76"/>
    <mergeCell ref="U76:V76"/>
    <mergeCell ref="AA76:AB76"/>
    <mergeCell ref="O77:P77"/>
    <mergeCell ref="U77:V77"/>
    <mergeCell ref="AA77:AB77"/>
    <mergeCell ref="O78:P78"/>
    <mergeCell ref="U78:V78"/>
    <mergeCell ref="AA78:AB78"/>
    <mergeCell ref="O79:P79"/>
    <mergeCell ref="U79:V79"/>
    <mergeCell ref="AA79:AB79"/>
    <mergeCell ref="O80:P80"/>
    <mergeCell ref="U80:V80"/>
    <mergeCell ref="AA80:AB80"/>
    <mergeCell ref="O81:P81"/>
    <mergeCell ref="U81:V81"/>
    <mergeCell ref="AA81:AB81"/>
    <mergeCell ref="O82:P82"/>
    <mergeCell ref="U82:V82"/>
    <mergeCell ref="AA82:AB82"/>
    <mergeCell ref="O83:P83"/>
    <mergeCell ref="U83:V83"/>
    <mergeCell ref="AA83:AB83"/>
    <mergeCell ref="O84:P84"/>
    <mergeCell ref="U84:V84"/>
    <mergeCell ref="AA84:AB84"/>
    <mergeCell ref="O85:P85"/>
    <mergeCell ref="U85:V85"/>
    <mergeCell ref="AA85:AB85"/>
    <mergeCell ref="O86:P86"/>
    <mergeCell ref="U86:V86"/>
    <mergeCell ref="AA86:AB86"/>
    <mergeCell ref="O87:P87"/>
    <mergeCell ref="U87:V87"/>
    <mergeCell ref="AA87:AB87"/>
    <mergeCell ref="O88:P88"/>
    <mergeCell ref="U88:V88"/>
    <mergeCell ref="AA88:AB88"/>
    <mergeCell ref="O89:P89"/>
    <mergeCell ref="U89:V89"/>
    <mergeCell ref="AA89:AB89"/>
    <mergeCell ref="O90:P90"/>
    <mergeCell ref="U90:V90"/>
    <mergeCell ref="AA90:AB90"/>
    <mergeCell ref="O91:P91"/>
    <mergeCell ref="U91:V91"/>
    <mergeCell ref="AA91:AB91"/>
    <mergeCell ref="O92:P92"/>
    <mergeCell ref="U92:V92"/>
    <mergeCell ref="AA92:AB92"/>
    <mergeCell ref="O93:P93"/>
    <mergeCell ref="U93:V93"/>
    <mergeCell ref="AA93:AB93"/>
    <mergeCell ref="O94:P94"/>
    <mergeCell ref="U94:V94"/>
    <mergeCell ref="AA94:AB94"/>
    <mergeCell ref="O95:P95"/>
    <mergeCell ref="U95:V95"/>
    <mergeCell ref="AA95:AB95"/>
    <mergeCell ref="O96:P96"/>
    <mergeCell ref="U96:V96"/>
    <mergeCell ref="AA96:AB96"/>
    <mergeCell ref="O97:P97"/>
    <mergeCell ref="U97:V97"/>
    <mergeCell ref="AA97:AB97"/>
    <mergeCell ref="O101:P101"/>
    <mergeCell ref="U101:V101"/>
    <mergeCell ref="AA101:AB101"/>
    <mergeCell ref="O98:P98"/>
    <mergeCell ref="U98:V98"/>
    <mergeCell ref="AA98:AB98"/>
    <mergeCell ref="O99:P99"/>
    <mergeCell ref="U99:V99"/>
    <mergeCell ref="AA99:AB99"/>
    <mergeCell ref="O100:P100"/>
    <mergeCell ref="U100:V100"/>
    <mergeCell ref="AA100:AB100"/>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s>
  <phoneticPr fontId="3"/>
  <conditionalFormatting sqref="I11">
    <cfRule type="expression" dxfId="20"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K40:M42 I16:K18 K35:M37 B35:G37 I28:K30 I22:K24 B40:G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5546875" defaultRowHeight="15.75"/>
  <cols>
    <col min="1" max="1" width="2.7109375" style="142" customWidth="1"/>
    <col min="2" max="2" width="20.28515625" style="142" customWidth="1"/>
    <col min="3" max="3" width="16.28515625" style="142" customWidth="1"/>
    <col min="4" max="4" width="117.28515625" style="142" customWidth="1"/>
    <col min="5" max="16384" width="8.85546875" style="142"/>
  </cols>
  <sheetData>
    <row r="1" spans="1:4" ht="21">
      <c r="A1" s="211" t="s">
        <v>101</v>
      </c>
      <c r="B1" s="206"/>
      <c r="C1" s="206"/>
      <c r="D1" s="206"/>
    </row>
    <row r="3" spans="1:4" ht="16.5">
      <c r="A3" s="210" t="s">
        <v>102</v>
      </c>
      <c r="B3" s="206"/>
      <c r="C3" s="206"/>
      <c r="D3" s="206"/>
    </row>
    <row r="4" spans="1:4">
      <c r="A4" s="206"/>
      <c r="B4" s="207" t="s">
        <v>103</v>
      </c>
      <c r="C4" s="207" t="s">
        <v>104</v>
      </c>
      <c r="D4" s="207" t="s">
        <v>105</v>
      </c>
    </row>
    <row r="5" spans="1:4">
      <c r="A5" s="206"/>
      <c r="B5" s="208" t="s">
        <v>106</v>
      </c>
      <c r="C5" s="208" t="s">
        <v>107</v>
      </c>
      <c r="D5" s="208" t="s">
        <v>108</v>
      </c>
    </row>
    <row r="6" spans="1:4">
      <c r="A6" s="206"/>
      <c r="B6" s="209" t="s">
        <v>109</v>
      </c>
      <c r="C6" s="209" t="s">
        <v>110</v>
      </c>
      <c r="D6" s="209" t="s">
        <v>111</v>
      </c>
    </row>
    <row r="7" spans="1:4">
      <c r="A7" s="206"/>
      <c r="B7" s="208" t="s">
        <v>112</v>
      </c>
      <c r="C7" s="208" t="s">
        <v>107</v>
      </c>
      <c r="D7" s="208" t="s">
        <v>113</v>
      </c>
    </row>
    <row r="8" spans="1:4">
      <c r="A8" s="206"/>
      <c r="B8" s="208" t="s">
        <v>114</v>
      </c>
      <c r="C8" s="208" t="s">
        <v>107</v>
      </c>
      <c r="D8" s="208" t="s">
        <v>115</v>
      </c>
    </row>
    <row r="9" spans="1:4">
      <c r="A9" s="206"/>
      <c r="B9" s="209" t="s">
        <v>116</v>
      </c>
      <c r="C9" s="209" t="s">
        <v>110</v>
      </c>
      <c r="D9" s="209" t="s">
        <v>117</v>
      </c>
    </row>
    <row r="10" spans="1:4">
      <c r="A10" s="206"/>
      <c r="B10" s="209" t="s">
        <v>118</v>
      </c>
      <c r="C10" s="209" t="s">
        <v>110</v>
      </c>
      <c r="D10" s="209" t="s">
        <v>119</v>
      </c>
    </row>
    <row r="11" spans="1:4">
      <c r="A11" s="206"/>
      <c r="B11" s="209" t="s">
        <v>120</v>
      </c>
      <c r="C11" s="209" t="s">
        <v>110</v>
      </c>
      <c r="D11" s="209" t="s">
        <v>121</v>
      </c>
    </row>
    <row r="12" spans="1:4">
      <c r="A12" s="206"/>
      <c r="B12" s="208" t="s">
        <v>122</v>
      </c>
      <c r="C12" s="208" t="s">
        <v>107</v>
      </c>
      <c r="D12" s="208" t="s">
        <v>123</v>
      </c>
    </row>
    <row r="13" spans="1:4">
      <c r="A13" s="206"/>
      <c r="B13" s="209" t="s">
        <v>124</v>
      </c>
      <c r="C13" s="209" t="s">
        <v>110</v>
      </c>
      <c r="D13" s="209" t="s">
        <v>125</v>
      </c>
    </row>
    <row r="14" spans="1:4">
      <c r="A14" s="206"/>
      <c r="B14" s="208" t="s">
        <v>126</v>
      </c>
      <c r="C14" s="208" t="s">
        <v>107</v>
      </c>
      <c r="D14" s="208" t="s">
        <v>123</v>
      </c>
    </row>
    <row r="15" spans="1:4">
      <c r="A15" s="206"/>
      <c r="B15" s="209" t="s">
        <v>127</v>
      </c>
      <c r="C15" s="209" t="s">
        <v>110</v>
      </c>
      <c r="D15" s="209" t="s">
        <v>128</v>
      </c>
    </row>
    <row r="16" spans="1:4">
      <c r="A16" s="206"/>
      <c r="B16" s="209" t="s">
        <v>129</v>
      </c>
      <c r="C16" s="209" t="s">
        <v>110</v>
      </c>
      <c r="D16" s="209" t="s">
        <v>128</v>
      </c>
    </row>
    <row r="17" spans="1:4">
      <c r="A17" s="206"/>
      <c r="B17" s="208" t="s">
        <v>130</v>
      </c>
      <c r="C17" s="208" t="s">
        <v>107</v>
      </c>
      <c r="D17" s="208" t="s">
        <v>131</v>
      </c>
    </row>
    <row r="18" spans="1:4">
      <c r="A18" s="206"/>
      <c r="B18" s="208" t="s">
        <v>132</v>
      </c>
      <c r="C18" s="208" t="s">
        <v>107</v>
      </c>
      <c r="D18" s="208" t="s">
        <v>133</v>
      </c>
    </row>
    <row r="19" spans="1:4">
      <c r="A19" s="206"/>
      <c r="B19" s="208" t="s">
        <v>134</v>
      </c>
      <c r="C19" s="208" t="s">
        <v>107</v>
      </c>
      <c r="D19" s="208" t="s">
        <v>135</v>
      </c>
    </row>
    <row r="20" spans="1:4">
      <c r="A20" s="206"/>
      <c r="B20" s="208" t="s">
        <v>136</v>
      </c>
      <c r="C20" s="208" t="s">
        <v>107</v>
      </c>
      <c r="D20" s="208" t="s">
        <v>137</v>
      </c>
    </row>
    <row r="21" spans="1:4">
      <c r="A21" s="206"/>
      <c r="B21" s="208" t="s">
        <v>138</v>
      </c>
      <c r="C21" s="208" t="s">
        <v>107</v>
      </c>
      <c r="D21" s="208" t="s">
        <v>139</v>
      </c>
    </row>
    <row r="24" spans="1:4" ht="16.5">
      <c r="A24" s="210" t="s">
        <v>140</v>
      </c>
      <c r="B24" s="206"/>
      <c r="C24" s="206"/>
      <c r="D24" s="206"/>
    </row>
    <row r="25" spans="1:4">
      <c r="A25" s="206"/>
      <c r="B25" s="142" t="s">
        <v>141</v>
      </c>
      <c r="C25" s="206"/>
      <c r="D25" s="206"/>
    </row>
    <row r="27" spans="1:4">
      <c r="A27" s="206"/>
      <c r="B27" s="142" t="s">
        <v>142</v>
      </c>
      <c r="C27" s="206"/>
      <c r="D27" s="206"/>
    </row>
    <row r="28" spans="1:4">
      <c r="A28" s="206"/>
      <c r="B28" s="142" t="s">
        <v>143</v>
      </c>
      <c r="C28" s="206"/>
      <c r="D28" s="206"/>
    </row>
    <row r="29" spans="1:4">
      <c r="A29" s="206"/>
      <c r="B29" s="142" t="s">
        <v>144</v>
      </c>
      <c r="C29" s="206"/>
      <c r="D29" s="206"/>
    </row>
    <row r="30" spans="1:4">
      <c r="A30" s="206"/>
      <c r="B30" s="142" t="s">
        <v>145</v>
      </c>
      <c r="C30" s="206"/>
      <c r="D30" s="206"/>
    </row>
    <row r="32" spans="1:4">
      <c r="B32" s="142" t="s">
        <v>146</v>
      </c>
      <c r="C32" s="206"/>
      <c r="D32" s="206"/>
    </row>
    <row r="33" spans="1:2">
      <c r="A33" s="206"/>
      <c r="B33" s="142" t="s">
        <v>147</v>
      </c>
    </row>
    <row r="34" spans="1:2">
      <c r="A34" s="206"/>
      <c r="B34" s="142" t="s">
        <v>148</v>
      </c>
    </row>
    <row r="36" spans="1:2" ht="16.5">
      <c r="A36" s="210"/>
      <c r="B36" s="142" t="s">
        <v>149</v>
      </c>
    </row>
    <row r="37" spans="1:2" ht="16.5">
      <c r="A37" s="210"/>
      <c r="B37" s="142" t="s">
        <v>150</v>
      </c>
    </row>
    <row r="39" spans="1:2">
      <c r="A39" s="142" t="s">
        <v>151</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75"/>
  <cols>
    <col min="1" max="16384" width="9" style="131"/>
  </cols>
  <sheetData>
    <row r="1" spans="1:1">
      <c r="A1" s="131" t="s">
        <v>152</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8DB4E2"/>
  </sheetPr>
  <dimension ref="A1:FC371"/>
  <sheetViews>
    <sheetView view="pageBreakPreview" zoomScale="85" zoomScaleNormal="70" zoomScaleSheetLayoutView="85" zoomScalePageLayoutView="70" workbookViewId="0">
      <pane ySplit="10" topLeftCell="A29" activePane="bottomLeft" state="frozen"/>
      <selection pane="bottomLeft" sqref="A1:M4"/>
      <selection sqref="A1:M4"/>
    </sheetView>
  </sheetViews>
  <sheetFormatPr defaultColWidth="3.7109375" defaultRowHeight="14.25"/>
  <cols>
    <col min="1" max="1" width="5.7109375" style="31" customWidth="1"/>
    <col min="2" max="3" width="3.7109375" style="31" hidden="1" customWidth="1"/>
    <col min="4" max="17" width="3.7109375" style="29"/>
    <col min="18" max="19" width="3.7109375" style="29" customWidth="1"/>
    <col min="20" max="60" width="3.7109375" style="29"/>
    <col min="61" max="61" width="6.85546875" style="29" customWidth="1"/>
    <col min="62" max="62" width="3.28515625" style="29" customWidth="1"/>
    <col min="63" max="98" width="3.7109375" style="29"/>
    <col min="99" max="99" width="3.7109375" style="29" customWidth="1"/>
    <col min="100" max="107" width="3.7109375" style="29"/>
    <col min="108" max="147" width="10.85546875" style="29" hidden="1" customWidth="1"/>
    <col min="148" max="149" width="3.7109375" style="29" customWidth="1"/>
    <col min="150" max="159" width="10.85546875" style="29" hidden="1" customWidth="1"/>
    <col min="160" max="16384" width="3.7109375" style="29"/>
  </cols>
  <sheetData>
    <row r="1" spans="1:159" s="32" customFormat="1" ht="19.5">
      <c r="A1" s="606" t="s">
        <v>153</v>
      </c>
      <c r="B1" s="606"/>
      <c r="C1" s="606"/>
      <c r="D1" s="606"/>
      <c r="E1" s="606"/>
      <c r="F1" s="606"/>
      <c r="G1" s="606"/>
      <c r="H1" s="606"/>
      <c r="I1" s="606"/>
      <c r="J1" s="606"/>
      <c r="K1" s="606"/>
      <c r="L1" s="606"/>
      <c r="M1" s="606"/>
      <c r="N1" s="607" t="s">
        <v>154</v>
      </c>
      <c r="O1" s="608"/>
      <c r="P1" s="608"/>
      <c r="Q1" s="608"/>
      <c r="R1" s="608"/>
      <c r="S1" s="608"/>
      <c r="T1" s="608"/>
      <c r="U1" s="608"/>
      <c r="V1" s="608"/>
      <c r="W1" s="608"/>
      <c r="X1" s="608"/>
      <c r="Y1" s="608"/>
      <c r="Z1" s="608"/>
      <c r="AA1" s="608"/>
      <c r="AB1" s="608"/>
      <c r="AC1" s="608"/>
      <c r="AD1" s="608"/>
      <c r="AE1" s="608"/>
      <c r="AF1" s="608"/>
      <c r="AG1" s="608"/>
      <c r="AH1" s="608"/>
      <c r="AI1" s="608"/>
      <c r="AJ1" s="608"/>
      <c r="AK1" s="608"/>
      <c r="AL1" s="608"/>
      <c r="AM1" s="608"/>
      <c r="AN1" s="608"/>
      <c r="AO1" s="608"/>
      <c r="AP1" s="609" t="str">
        <f>表紙!B6</f>
        <v>サブシステム名</v>
      </c>
      <c r="AQ1" s="610"/>
      <c r="AR1" s="610"/>
      <c r="AS1" s="610"/>
      <c r="AT1" s="611"/>
      <c r="AU1" s="610"/>
      <c r="AV1" s="610"/>
      <c r="AW1" s="610"/>
      <c r="AX1" s="610"/>
      <c r="AY1" s="610"/>
      <c r="AZ1" s="609" t="str">
        <f>表紙!B7</f>
        <v>業務プロセス名</v>
      </c>
      <c r="BA1" s="610"/>
      <c r="BB1" s="610"/>
      <c r="BC1" s="610"/>
      <c r="BD1" s="610"/>
      <c r="BE1" s="610"/>
      <c r="BF1" s="610"/>
      <c r="BG1" s="610"/>
      <c r="BH1" s="610"/>
      <c r="BI1" s="71"/>
    </row>
    <row r="2" spans="1:159" s="32" customFormat="1" ht="24" customHeight="1">
      <c r="A2" s="606"/>
      <c r="B2" s="606"/>
      <c r="C2" s="606"/>
      <c r="D2" s="606"/>
      <c r="E2" s="606"/>
      <c r="F2" s="606"/>
      <c r="G2" s="606"/>
      <c r="H2" s="606"/>
      <c r="I2" s="606"/>
      <c r="J2" s="606"/>
      <c r="K2" s="606"/>
      <c r="L2" s="606"/>
      <c r="M2" s="606"/>
      <c r="N2" s="608"/>
      <c r="O2" s="608"/>
      <c r="P2" s="608"/>
      <c r="Q2" s="608"/>
      <c r="R2" s="608"/>
      <c r="S2" s="608"/>
      <c r="T2" s="608"/>
      <c r="U2" s="608"/>
      <c r="V2" s="608"/>
      <c r="W2" s="608"/>
      <c r="X2" s="608"/>
      <c r="Y2" s="608"/>
      <c r="Z2" s="608"/>
      <c r="AA2" s="608"/>
      <c r="AB2" s="608"/>
      <c r="AC2" s="608"/>
      <c r="AD2" s="608"/>
      <c r="AE2" s="608"/>
      <c r="AF2" s="608"/>
      <c r="AG2" s="608"/>
      <c r="AH2" s="608"/>
      <c r="AI2" s="608"/>
      <c r="AJ2" s="608"/>
      <c r="AK2" s="608"/>
      <c r="AL2" s="608"/>
      <c r="AM2" s="608"/>
      <c r="AN2" s="608"/>
      <c r="AO2" s="608"/>
      <c r="AP2" s="612" t="str">
        <f>IF(表紙!I6="","",表紙!I6)</f>
        <v>EDI</v>
      </c>
      <c r="AQ2" s="612"/>
      <c r="AR2" s="612"/>
      <c r="AS2" s="612"/>
      <c r="AT2" s="612"/>
      <c r="AU2" s="612"/>
      <c r="AV2" s="612"/>
      <c r="AW2" s="612"/>
      <c r="AX2" s="612"/>
      <c r="AY2" s="612"/>
      <c r="AZ2" s="612" t="str">
        <f>IF(表紙!I7="","",表紙!I7)</f>
        <v>SPT</v>
      </c>
      <c r="BA2" s="612"/>
      <c r="BB2" s="612"/>
      <c r="BC2" s="612"/>
      <c r="BD2" s="612"/>
      <c r="BE2" s="612"/>
      <c r="BF2" s="612"/>
      <c r="BG2" s="612"/>
      <c r="BH2" s="612"/>
      <c r="BI2" s="72"/>
      <c r="CN2" s="561" t="s">
        <v>155</v>
      </c>
      <c r="CO2" s="562"/>
      <c r="CP2" s="562"/>
      <c r="CQ2" s="563"/>
      <c r="CR2" s="588">
        <f ca="1">COUNTIFS(INDIRECT("$K11:$K"&amp;ROW(テスト項目定義書_最終行)),"&lt;&gt;",INDIRECT("$R11:$R"&amp;ROW(テスト項目定義書_最終行)),"&lt;&gt;x")</f>
        <v>8</v>
      </c>
      <c r="CS2" s="589"/>
      <c r="CT2" s="561" t="s">
        <v>156</v>
      </c>
      <c r="CU2" s="562"/>
      <c r="CV2" s="562"/>
      <c r="CW2" s="563"/>
      <c r="CX2" s="588">
        <f ca="1">COUNTIFS(INDIRECT("$C11:$C"&amp;ROW(テスト項目定義書_最終行)),"=●",INDIRECT("$BG11:$BG"&amp;ROW(テスト項目定義書_最終行)),"=○")</f>
        <v>8</v>
      </c>
      <c r="CY2" s="589"/>
    </row>
    <row r="3" spans="1:159" s="32" customFormat="1" ht="19.5" hidden="1" customHeight="1">
      <c r="A3" s="606"/>
      <c r="B3" s="606"/>
      <c r="C3" s="606"/>
      <c r="D3" s="606"/>
      <c r="E3" s="606"/>
      <c r="F3" s="606"/>
      <c r="G3" s="606"/>
      <c r="H3" s="606"/>
      <c r="I3" s="606"/>
      <c r="J3" s="606"/>
      <c r="K3" s="606"/>
      <c r="L3" s="606"/>
      <c r="M3" s="606"/>
      <c r="N3" s="608"/>
      <c r="O3" s="608"/>
      <c r="P3" s="608"/>
      <c r="Q3" s="608"/>
      <c r="R3" s="608"/>
      <c r="S3" s="608"/>
      <c r="T3" s="608"/>
      <c r="U3" s="608"/>
      <c r="V3" s="608"/>
      <c r="W3" s="608"/>
      <c r="X3" s="608"/>
      <c r="Y3" s="608"/>
      <c r="Z3" s="608"/>
      <c r="AA3" s="608"/>
      <c r="AB3" s="608"/>
      <c r="AC3" s="608"/>
      <c r="AD3" s="608"/>
      <c r="AE3" s="608"/>
      <c r="AF3" s="608"/>
      <c r="AG3" s="608"/>
      <c r="AH3" s="608"/>
      <c r="AI3" s="608"/>
      <c r="AJ3" s="608"/>
      <c r="AK3" s="608"/>
      <c r="AL3" s="608"/>
      <c r="AM3" s="608"/>
      <c r="AN3" s="608"/>
      <c r="AO3" s="608"/>
      <c r="AP3" s="612"/>
      <c r="AQ3" s="612"/>
      <c r="AR3" s="612"/>
      <c r="AS3" s="612"/>
      <c r="AT3" s="612"/>
      <c r="AU3" s="612"/>
      <c r="AV3" s="612"/>
      <c r="AW3" s="612"/>
      <c r="AX3" s="612"/>
      <c r="AY3" s="612"/>
      <c r="AZ3" s="612"/>
      <c r="BA3" s="612"/>
      <c r="BB3" s="612"/>
      <c r="BC3" s="612"/>
      <c r="BD3" s="612"/>
      <c r="BE3" s="612"/>
      <c r="BF3" s="612"/>
      <c r="BG3" s="612"/>
      <c r="BH3" s="612"/>
      <c r="BI3" s="72"/>
    </row>
    <row r="4" spans="1:159" s="32" customFormat="1" ht="9.75" customHeight="1">
      <c r="A4" s="606"/>
      <c r="B4" s="606"/>
      <c r="C4" s="606"/>
      <c r="D4" s="606"/>
      <c r="E4" s="606"/>
      <c r="F4" s="606"/>
      <c r="G4" s="606"/>
      <c r="H4" s="606"/>
      <c r="I4" s="606"/>
      <c r="J4" s="606"/>
      <c r="K4" s="606"/>
      <c r="L4" s="606"/>
      <c r="M4" s="606"/>
      <c r="N4" s="608"/>
      <c r="O4" s="608"/>
      <c r="P4" s="608"/>
      <c r="Q4" s="608"/>
      <c r="R4" s="608"/>
      <c r="S4" s="608"/>
      <c r="T4" s="608"/>
      <c r="U4" s="608"/>
      <c r="V4" s="608"/>
      <c r="W4" s="608"/>
      <c r="X4" s="608"/>
      <c r="Y4" s="608"/>
      <c r="Z4" s="608"/>
      <c r="AA4" s="608"/>
      <c r="AB4" s="608"/>
      <c r="AC4" s="608"/>
      <c r="AD4" s="608"/>
      <c r="AE4" s="608"/>
      <c r="AF4" s="608"/>
      <c r="AG4" s="608"/>
      <c r="AH4" s="608"/>
      <c r="AI4" s="608"/>
      <c r="AJ4" s="608"/>
      <c r="AK4" s="608"/>
      <c r="AL4" s="608"/>
      <c r="AM4" s="608"/>
      <c r="AN4" s="608"/>
      <c r="AO4" s="608"/>
      <c r="AP4" s="612"/>
      <c r="AQ4" s="612"/>
      <c r="AR4" s="612"/>
      <c r="AS4" s="612"/>
      <c r="AT4" s="612"/>
      <c r="AU4" s="612"/>
      <c r="AV4" s="612"/>
      <c r="AW4" s="612"/>
      <c r="AX4" s="612"/>
      <c r="AY4" s="612"/>
      <c r="AZ4" s="612"/>
      <c r="BA4" s="612"/>
      <c r="BB4" s="612"/>
      <c r="BC4" s="612"/>
      <c r="BD4" s="612"/>
      <c r="BE4" s="612"/>
      <c r="BF4" s="612"/>
      <c r="BG4" s="612"/>
      <c r="BH4" s="612"/>
      <c r="BI4" s="72"/>
    </row>
    <row r="5" spans="1:159" ht="7.5" customHeight="1">
      <c r="A5" s="29"/>
      <c r="B5" s="603"/>
      <c r="C5" s="603"/>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04"/>
      <c r="BA5" s="604"/>
      <c r="BB5" s="604"/>
      <c r="BC5" s="604"/>
      <c r="BD5" s="168"/>
      <c r="BE5" s="168"/>
      <c r="BF5" s="168"/>
      <c r="BG5" s="605"/>
      <c r="BH5" s="605"/>
      <c r="BI5" s="605"/>
      <c r="BJ5" s="605"/>
      <c r="BK5" s="605"/>
      <c r="BL5" s="605"/>
      <c r="BM5" s="605"/>
      <c r="BN5" s="605"/>
      <c r="BO5" s="605"/>
      <c r="BP5" s="605"/>
      <c r="BQ5" s="203"/>
      <c r="BR5" s="203"/>
      <c r="BS5" s="203"/>
    </row>
    <row r="6" spans="1:159" s="30" customFormat="1" ht="24" customHeight="1">
      <c r="A6" s="561" t="str">
        <f>表紙!B8</f>
        <v>プロセス名</v>
      </c>
      <c r="B6" s="583"/>
      <c r="C6" s="583"/>
      <c r="D6" s="583"/>
      <c r="E6" s="583"/>
      <c r="F6" s="583"/>
      <c r="G6" s="583"/>
      <c r="H6" s="584"/>
      <c r="I6" s="597" t="str">
        <f>IF(表紙!I8="","",表紙!I8)</f>
        <v>SPT_発注</v>
      </c>
      <c r="J6" s="598"/>
      <c r="K6" s="598"/>
      <c r="L6" s="598"/>
      <c r="M6" s="598"/>
      <c r="N6" s="598"/>
      <c r="O6" s="598"/>
      <c r="P6" s="598"/>
      <c r="Q6" s="598"/>
      <c r="R6" s="598"/>
      <c r="S6" s="599"/>
      <c r="T6" s="561" t="str">
        <f>表紙!B9</f>
        <v>ジョブ名</v>
      </c>
      <c r="U6" s="583"/>
      <c r="V6" s="583"/>
      <c r="W6" s="583"/>
      <c r="X6" s="583"/>
      <c r="Y6" s="584"/>
      <c r="Z6" s="597" t="str">
        <f>IF(表紙!I9="","",表紙!I9)</f>
        <v>CMNA555S010</v>
      </c>
      <c r="AA6" s="598"/>
      <c r="AB6" s="598"/>
      <c r="AC6" s="598"/>
      <c r="AD6" s="598"/>
      <c r="AE6" s="598"/>
      <c r="AF6" s="598"/>
      <c r="AG6" s="598"/>
      <c r="AH6" s="598"/>
      <c r="AI6" s="598"/>
      <c r="AJ6" s="598"/>
      <c r="AK6" s="599"/>
      <c r="AL6" s="582" t="s">
        <v>157</v>
      </c>
      <c r="AM6" s="583"/>
      <c r="AN6" s="583"/>
      <c r="AO6" s="583"/>
      <c r="AP6" s="583"/>
      <c r="AQ6" s="583"/>
      <c r="AR6" s="583"/>
      <c r="AS6" s="600"/>
      <c r="AT6" s="601"/>
      <c r="AU6" s="601"/>
      <c r="AV6" s="601"/>
      <c r="AW6" s="601"/>
      <c r="AX6" s="601"/>
      <c r="AY6" s="601"/>
      <c r="AZ6" s="601"/>
      <c r="BA6" s="601"/>
      <c r="BB6" s="601"/>
      <c r="BC6" s="601"/>
      <c r="BD6" s="601"/>
      <c r="BE6" s="601"/>
      <c r="BF6" s="602"/>
      <c r="BG6" s="582" t="s">
        <v>158</v>
      </c>
      <c r="BH6" s="583"/>
      <c r="BI6" s="583"/>
      <c r="BJ6" s="583"/>
      <c r="BK6" s="583"/>
      <c r="BL6" s="583"/>
      <c r="BM6" s="584"/>
      <c r="BN6" s="585"/>
      <c r="BO6" s="586"/>
      <c r="BP6" s="586"/>
      <c r="BQ6" s="586"/>
      <c r="BR6" s="586"/>
      <c r="BS6" s="586"/>
      <c r="BT6" s="586"/>
      <c r="BU6" s="586"/>
      <c r="BV6" s="586"/>
      <c r="BW6" s="586"/>
      <c r="BX6" s="587"/>
      <c r="CT6" s="561" t="s">
        <v>71</v>
      </c>
      <c r="CU6" s="562"/>
      <c r="CV6" s="562"/>
      <c r="CW6" s="563"/>
      <c r="CX6" s="588">
        <f ca="1">COUNTIFS(INDIRECT("$C11:$C"&amp;ROW(テスト項目定義書_最終行)),"=●",INDIRECT("$BG11:$BG"&amp;ROW(テスト項目定義書_最終行)),"=×")</f>
        <v>0</v>
      </c>
      <c r="CY6" s="589"/>
    </row>
    <row r="7" spans="1:159" ht="18.75" customHeight="1">
      <c r="A7" s="68"/>
      <c r="B7" s="69"/>
      <c r="C7" s="69"/>
      <c r="D7" s="69"/>
      <c r="E7" s="69"/>
      <c r="F7" s="69"/>
      <c r="G7" s="69"/>
      <c r="H7" s="69"/>
      <c r="I7" s="67"/>
      <c r="J7" s="67"/>
      <c r="K7" s="218" t="s">
        <v>159</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90" t="s">
        <v>160</v>
      </c>
      <c r="B8" s="590" t="s">
        <v>161</v>
      </c>
      <c r="C8" s="593" t="s">
        <v>162</v>
      </c>
      <c r="D8" s="573" t="s">
        <v>163</v>
      </c>
      <c r="E8" s="574"/>
      <c r="F8" s="574"/>
      <c r="G8" s="574"/>
      <c r="H8" s="574"/>
      <c r="I8" s="574"/>
      <c r="J8" s="574"/>
      <c r="K8" s="596" t="s">
        <v>164</v>
      </c>
      <c r="L8" s="574"/>
      <c r="M8" s="574"/>
      <c r="N8" s="574"/>
      <c r="O8" s="574"/>
      <c r="P8" s="574"/>
      <c r="Q8" s="574"/>
      <c r="R8" s="567" t="s">
        <v>165</v>
      </c>
      <c r="S8" s="568"/>
      <c r="T8" s="567" t="s">
        <v>166</v>
      </c>
      <c r="U8" s="568"/>
      <c r="V8" s="573" t="s">
        <v>167</v>
      </c>
      <c r="W8" s="574"/>
      <c r="X8" s="574"/>
      <c r="Y8" s="574"/>
      <c r="Z8" s="574"/>
      <c r="AA8" s="574"/>
      <c r="AB8" s="574"/>
      <c r="AC8" s="574"/>
      <c r="AD8" s="573" t="s">
        <v>168</v>
      </c>
      <c r="AE8" s="574"/>
      <c r="AF8" s="574"/>
      <c r="AG8" s="574"/>
      <c r="AH8" s="574"/>
      <c r="AI8" s="574"/>
      <c r="AJ8" s="574"/>
      <c r="AK8" s="579"/>
      <c r="AL8" s="573" t="s">
        <v>169</v>
      </c>
      <c r="AM8" s="574"/>
      <c r="AN8" s="574"/>
      <c r="AO8" s="574"/>
      <c r="AP8" s="574"/>
      <c r="AQ8" s="574"/>
      <c r="AR8" s="579"/>
      <c r="AS8" s="573" t="s">
        <v>170</v>
      </c>
      <c r="AT8" s="574"/>
      <c r="AU8" s="574"/>
      <c r="AV8" s="574"/>
      <c r="AW8" s="574"/>
      <c r="AX8" s="574"/>
      <c r="AY8" s="579"/>
      <c r="AZ8" s="573" t="s">
        <v>171</v>
      </c>
      <c r="BA8" s="579"/>
      <c r="BB8" s="564" t="s">
        <v>79</v>
      </c>
      <c r="BC8" s="543" t="s">
        <v>172</v>
      </c>
      <c r="BD8" s="544"/>
      <c r="BE8" s="544"/>
      <c r="BF8" s="545"/>
      <c r="BG8" s="543" t="s">
        <v>173</v>
      </c>
      <c r="BH8" s="545"/>
      <c r="BI8" s="564" t="s">
        <v>174</v>
      </c>
      <c r="BJ8" s="543" t="s">
        <v>175</v>
      </c>
      <c r="BK8" s="544"/>
      <c r="BL8" s="544"/>
      <c r="BM8" s="544"/>
      <c r="BN8" s="544"/>
      <c r="BO8" s="545"/>
      <c r="BP8" s="543" t="s">
        <v>176</v>
      </c>
      <c r="BQ8" s="544"/>
      <c r="BR8" s="544"/>
      <c r="BS8" s="544"/>
      <c r="BT8" s="544"/>
      <c r="BU8" s="545"/>
      <c r="BV8" s="543" t="s">
        <v>177</v>
      </c>
      <c r="BW8" s="544"/>
      <c r="BX8" s="544"/>
      <c r="BY8" s="544"/>
      <c r="BZ8" s="544"/>
      <c r="CA8" s="545"/>
      <c r="CB8" s="552" t="s">
        <v>178</v>
      </c>
      <c r="CC8" s="553"/>
      <c r="CD8" s="553"/>
      <c r="CE8" s="554"/>
      <c r="CF8" s="561" t="s">
        <v>179</v>
      </c>
      <c r="CG8" s="562"/>
      <c r="CH8" s="562"/>
      <c r="CI8" s="562"/>
      <c r="CJ8" s="563"/>
      <c r="CK8" s="561" t="s">
        <v>180</v>
      </c>
      <c r="CL8" s="562"/>
      <c r="CM8" s="562"/>
      <c r="CN8" s="562"/>
      <c r="CO8" s="563"/>
      <c r="CP8" s="562" t="s">
        <v>181</v>
      </c>
      <c r="CQ8" s="562"/>
      <c r="CR8" s="562"/>
      <c r="CS8" s="562"/>
      <c r="CT8" s="563"/>
      <c r="CU8" s="561" t="s">
        <v>182</v>
      </c>
      <c r="CV8" s="562"/>
      <c r="CW8" s="562"/>
      <c r="CX8" s="562"/>
      <c r="CY8" s="563"/>
      <c r="CZ8" s="33"/>
      <c r="DA8" s="34"/>
      <c r="DD8" s="537" t="s">
        <v>132</v>
      </c>
      <c r="DE8" s="538"/>
      <c r="DF8" s="538"/>
      <c r="DG8" s="538"/>
      <c r="DH8" s="538"/>
      <c r="DI8" s="538"/>
      <c r="DJ8" s="538"/>
      <c r="DK8" s="538"/>
      <c r="DL8" s="538"/>
      <c r="DM8" s="538"/>
      <c r="DN8" s="538"/>
      <c r="DO8" s="538"/>
      <c r="DP8" s="538"/>
      <c r="DQ8" s="538"/>
      <c r="DR8" s="538"/>
      <c r="DS8" s="538"/>
      <c r="DT8" s="538"/>
      <c r="DU8" s="538"/>
      <c r="DV8" s="538"/>
      <c r="DW8" s="538"/>
      <c r="DX8" s="538"/>
      <c r="DY8" s="538"/>
      <c r="DZ8" s="538"/>
      <c r="EA8" s="538"/>
      <c r="EB8" s="538"/>
      <c r="EC8" s="538"/>
      <c r="ED8" s="538"/>
      <c r="EE8" s="538"/>
      <c r="EF8" s="538"/>
      <c r="EG8" s="538"/>
      <c r="EH8" s="538"/>
      <c r="EI8" s="538"/>
      <c r="EJ8" s="538"/>
      <c r="EK8" s="538"/>
      <c r="EL8" s="538"/>
      <c r="EM8" s="538"/>
      <c r="EN8" s="538"/>
      <c r="EO8" s="538"/>
      <c r="EP8" s="538"/>
      <c r="EQ8" s="539"/>
      <c r="ET8" s="540" t="s">
        <v>183</v>
      </c>
      <c r="EU8" s="541"/>
      <c r="EV8" s="541"/>
      <c r="EW8" s="541"/>
      <c r="EX8" s="541"/>
      <c r="EY8" s="541"/>
      <c r="EZ8" s="541"/>
      <c r="FA8" s="541"/>
      <c r="FB8" s="541"/>
      <c r="FC8" s="542"/>
    </row>
    <row r="9" spans="1:159" ht="57" customHeight="1">
      <c r="A9" s="591"/>
      <c r="B9" s="591"/>
      <c r="C9" s="594"/>
      <c r="D9" s="575"/>
      <c r="E9" s="576"/>
      <c r="F9" s="576"/>
      <c r="G9" s="576"/>
      <c r="H9" s="576"/>
      <c r="I9" s="576"/>
      <c r="J9" s="576"/>
      <c r="K9" s="575"/>
      <c r="L9" s="576"/>
      <c r="M9" s="576"/>
      <c r="N9" s="576"/>
      <c r="O9" s="576"/>
      <c r="P9" s="576"/>
      <c r="Q9" s="576"/>
      <c r="R9" s="569"/>
      <c r="S9" s="570"/>
      <c r="T9" s="569"/>
      <c r="U9" s="570"/>
      <c r="V9" s="575"/>
      <c r="W9" s="576"/>
      <c r="X9" s="576"/>
      <c r="Y9" s="576"/>
      <c r="Z9" s="576"/>
      <c r="AA9" s="576"/>
      <c r="AB9" s="576"/>
      <c r="AC9" s="576"/>
      <c r="AD9" s="575"/>
      <c r="AE9" s="576"/>
      <c r="AF9" s="576"/>
      <c r="AG9" s="576"/>
      <c r="AH9" s="576"/>
      <c r="AI9" s="576"/>
      <c r="AJ9" s="576"/>
      <c r="AK9" s="580"/>
      <c r="AL9" s="575"/>
      <c r="AM9" s="576"/>
      <c r="AN9" s="576"/>
      <c r="AO9" s="576"/>
      <c r="AP9" s="576"/>
      <c r="AQ9" s="576"/>
      <c r="AR9" s="580"/>
      <c r="AS9" s="575"/>
      <c r="AT9" s="576"/>
      <c r="AU9" s="576"/>
      <c r="AV9" s="576"/>
      <c r="AW9" s="576"/>
      <c r="AX9" s="576"/>
      <c r="AY9" s="580"/>
      <c r="AZ9" s="575"/>
      <c r="BA9" s="580"/>
      <c r="BB9" s="565"/>
      <c r="BC9" s="546"/>
      <c r="BD9" s="547"/>
      <c r="BE9" s="547"/>
      <c r="BF9" s="548"/>
      <c r="BG9" s="546"/>
      <c r="BH9" s="548"/>
      <c r="BI9" s="565"/>
      <c r="BJ9" s="546"/>
      <c r="BK9" s="547"/>
      <c r="BL9" s="547"/>
      <c r="BM9" s="547"/>
      <c r="BN9" s="547"/>
      <c r="BO9" s="548"/>
      <c r="BP9" s="546"/>
      <c r="BQ9" s="547"/>
      <c r="BR9" s="547"/>
      <c r="BS9" s="547"/>
      <c r="BT9" s="547"/>
      <c r="BU9" s="548"/>
      <c r="BV9" s="546"/>
      <c r="BW9" s="547"/>
      <c r="BX9" s="547"/>
      <c r="BY9" s="547"/>
      <c r="BZ9" s="547"/>
      <c r="CA9" s="548"/>
      <c r="CB9" s="555"/>
      <c r="CC9" s="556"/>
      <c r="CD9" s="556"/>
      <c r="CE9" s="557"/>
      <c r="CF9" s="561"/>
      <c r="CG9" s="562"/>
      <c r="CH9" s="562"/>
      <c r="CI9" s="562"/>
      <c r="CJ9" s="563"/>
      <c r="CK9" s="561"/>
      <c r="CL9" s="562"/>
      <c r="CM9" s="562"/>
      <c r="CN9" s="562"/>
      <c r="CO9" s="563"/>
      <c r="CP9" s="562"/>
      <c r="CQ9" s="562"/>
      <c r="CR9" s="562"/>
      <c r="CS9" s="562"/>
      <c r="CT9" s="563"/>
      <c r="CU9" s="561"/>
      <c r="CV9" s="562"/>
      <c r="CW9" s="562"/>
      <c r="CX9" s="562"/>
      <c r="CY9" s="56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92"/>
      <c r="B10" s="592"/>
      <c r="C10" s="595"/>
      <c r="D10" s="577"/>
      <c r="E10" s="578"/>
      <c r="F10" s="578"/>
      <c r="G10" s="578"/>
      <c r="H10" s="578"/>
      <c r="I10" s="578"/>
      <c r="J10" s="578"/>
      <c r="K10" s="577"/>
      <c r="L10" s="578"/>
      <c r="M10" s="578"/>
      <c r="N10" s="578"/>
      <c r="O10" s="578"/>
      <c r="P10" s="578"/>
      <c r="Q10" s="578"/>
      <c r="R10" s="571"/>
      <c r="S10" s="572"/>
      <c r="T10" s="571"/>
      <c r="U10" s="572"/>
      <c r="V10" s="577"/>
      <c r="W10" s="578"/>
      <c r="X10" s="578"/>
      <c r="Y10" s="578"/>
      <c r="Z10" s="578"/>
      <c r="AA10" s="578"/>
      <c r="AB10" s="578"/>
      <c r="AC10" s="578"/>
      <c r="AD10" s="577"/>
      <c r="AE10" s="578"/>
      <c r="AF10" s="578"/>
      <c r="AG10" s="578"/>
      <c r="AH10" s="578"/>
      <c r="AI10" s="578"/>
      <c r="AJ10" s="578"/>
      <c r="AK10" s="581"/>
      <c r="AL10" s="577"/>
      <c r="AM10" s="578"/>
      <c r="AN10" s="578"/>
      <c r="AO10" s="578"/>
      <c r="AP10" s="578"/>
      <c r="AQ10" s="578"/>
      <c r="AR10" s="581"/>
      <c r="AS10" s="577"/>
      <c r="AT10" s="578"/>
      <c r="AU10" s="578"/>
      <c r="AV10" s="578"/>
      <c r="AW10" s="578"/>
      <c r="AX10" s="578"/>
      <c r="AY10" s="581"/>
      <c r="AZ10" s="577"/>
      <c r="BA10" s="581"/>
      <c r="BB10" s="566"/>
      <c r="BC10" s="549"/>
      <c r="BD10" s="550"/>
      <c r="BE10" s="550"/>
      <c r="BF10" s="551"/>
      <c r="BG10" s="549"/>
      <c r="BH10" s="551"/>
      <c r="BI10" s="566"/>
      <c r="BJ10" s="549"/>
      <c r="BK10" s="550"/>
      <c r="BL10" s="550"/>
      <c r="BM10" s="550"/>
      <c r="BN10" s="550"/>
      <c r="BO10" s="551"/>
      <c r="BP10" s="549"/>
      <c r="BQ10" s="550"/>
      <c r="BR10" s="550"/>
      <c r="BS10" s="550"/>
      <c r="BT10" s="550"/>
      <c r="BU10" s="551"/>
      <c r="BV10" s="549"/>
      <c r="BW10" s="550"/>
      <c r="BX10" s="550"/>
      <c r="BY10" s="550"/>
      <c r="BZ10" s="550"/>
      <c r="CA10" s="551"/>
      <c r="CB10" s="558"/>
      <c r="CC10" s="559"/>
      <c r="CD10" s="559"/>
      <c r="CE10" s="560"/>
      <c r="CF10" s="561"/>
      <c r="CG10" s="562"/>
      <c r="CH10" s="562"/>
      <c r="CI10" s="562"/>
      <c r="CJ10" s="563"/>
      <c r="CK10" s="561"/>
      <c r="CL10" s="562"/>
      <c r="CM10" s="562"/>
      <c r="CN10" s="562"/>
      <c r="CO10" s="563"/>
      <c r="CP10" s="562"/>
      <c r="CQ10" s="562"/>
      <c r="CR10" s="562"/>
      <c r="CS10" s="562"/>
      <c r="CT10" s="563"/>
      <c r="CU10" s="561"/>
      <c r="CV10" s="562"/>
      <c r="CW10" s="562"/>
      <c r="CX10" s="562"/>
      <c r="CY10" s="56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hidden="1">
      <c r="A11" s="434">
        <v>1</v>
      </c>
      <c r="B11" s="36"/>
      <c r="C11" s="198" t="str">
        <f ca="1">IF(AND(OFFSET($K11,-($BB11-1),0)&lt;&gt;"",OFFSET($R11,-($BB11-1),0)&lt;&gt;"x"),"●","")</f>
        <v/>
      </c>
      <c r="D11" s="477" t="s">
        <v>184</v>
      </c>
      <c r="E11" s="478"/>
      <c r="F11" s="478"/>
      <c r="G11" s="478"/>
      <c r="H11" s="478"/>
      <c r="I11" s="478"/>
      <c r="J11" s="478"/>
      <c r="K11" s="438" t="s">
        <v>185</v>
      </c>
      <c r="L11" s="439"/>
      <c r="M11" s="439"/>
      <c r="N11" s="439"/>
      <c r="O11" s="439"/>
      <c r="P11" s="439"/>
      <c r="Q11" s="439"/>
      <c r="R11" s="442" t="s">
        <v>186</v>
      </c>
      <c r="S11" s="443"/>
      <c r="T11" s="442"/>
      <c r="U11" s="443"/>
      <c r="V11" s="438"/>
      <c r="W11" s="439"/>
      <c r="X11" s="439"/>
      <c r="Y11" s="439"/>
      <c r="Z11" s="439"/>
      <c r="AA11" s="439"/>
      <c r="AB11" s="439"/>
      <c r="AC11" s="439"/>
      <c r="AD11" s="438"/>
      <c r="AE11" s="439"/>
      <c r="AF11" s="439"/>
      <c r="AG11" s="439"/>
      <c r="AH11" s="439"/>
      <c r="AI11" s="439"/>
      <c r="AJ11" s="439"/>
      <c r="AK11" s="449"/>
      <c r="AL11" s="491"/>
      <c r="AM11" s="492"/>
      <c r="AN11" s="492"/>
      <c r="AO11" s="492"/>
      <c r="AP11" s="492"/>
      <c r="AQ11" s="492"/>
      <c r="AR11" s="493"/>
      <c r="AS11" s="500"/>
      <c r="AT11" s="483"/>
      <c r="AU11" s="483"/>
      <c r="AV11" s="483"/>
      <c r="AW11" s="483"/>
      <c r="AX11" s="483"/>
      <c r="AY11" s="484"/>
      <c r="AZ11" s="460"/>
      <c r="BA11" s="461"/>
      <c r="BB11" s="60">
        <v>1</v>
      </c>
      <c r="BC11" s="466"/>
      <c r="BD11" s="467"/>
      <c r="BE11" s="467"/>
      <c r="BF11" s="468"/>
      <c r="BG11" s="469"/>
      <c r="BH11" s="470"/>
      <c r="BI11" s="194"/>
      <c r="BJ11" s="471"/>
      <c r="BK11" s="472"/>
      <c r="BL11" s="472"/>
      <c r="BM11" s="472"/>
      <c r="BN11" s="472"/>
      <c r="BO11" s="473"/>
      <c r="BP11" s="471"/>
      <c r="BQ11" s="472"/>
      <c r="BR11" s="472"/>
      <c r="BS11" s="472"/>
      <c r="BT11" s="472"/>
      <c r="BU11" s="473"/>
      <c r="BV11" s="471"/>
      <c r="BW11" s="472"/>
      <c r="BX11" s="472"/>
      <c r="BY11" s="472"/>
      <c r="BZ11" s="472"/>
      <c r="CA11" s="473"/>
      <c r="CB11" s="466"/>
      <c r="CC11" s="467"/>
      <c r="CD11" s="467"/>
      <c r="CE11" s="468"/>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5" hidden="1">
      <c r="A12" s="435"/>
      <c r="B12" s="36"/>
      <c r="C12" s="199" t="str">
        <f t="shared" ref="C12:C81" ca="1" si="2">IF(AND(OFFSET($K12,-($BB12-1),0)&lt;&gt;"",OFFSET($R12,-($BB12-1),0)&lt;&gt;"x"),"●","")</f>
        <v/>
      </c>
      <c r="D12" s="479"/>
      <c r="E12" s="480"/>
      <c r="F12" s="480"/>
      <c r="G12" s="480"/>
      <c r="H12" s="480"/>
      <c r="I12" s="480"/>
      <c r="J12" s="480"/>
      <c r="K12" s="440"/>
      <c r="L12" s="441"/>
      <c r="M12" s="441"/>
      <c r="N12" s="441"/>
      <c r="O12" s="441"/>
      <c r="P12" s="441"/>
      <c r="Q12" s="441"/>
      <c r="R12" s="444"/>
      <c r="S12" s="445"/>
      <c r="T12" s="444"/>
      <c r="U12" s="445"/>
      <c r="V12" s="440"/>
      <c r="W12" s="441"/>
      <c r="X12" s="441"/>
      <c r="Y12" s="441"/>
      <c r="Z12" s="441"/>
      <c r="AA12" s="441"/>
      <c r="AB12" s="441"/>
      <c r="AC12" s="441"/>
      <c r="AD12" s="440"/>
      <c r="AE12" s="441"/>
      <c r="AF12" s="441"/>
      <c r="AG12" s="441"/>
      <c r="AH12" s="441"/>
      <c r="AI12" s="441"/>
      <c r="AJ12" s="441"/>
      <c r="AK12" s="450"/>
      <c r="AL12" s="494"/>
      <c r="AM12" s="495"/>
      <c r="AN12" s="495"/>
      <c r="AO12" s="495"/>
      <c r="AP12" s="495"/>
      <c r="AQ12" s="495"/>
      <c r="AR12" s="496"/>
      <c r="AS12" s="485"/>
      <c r="AT12" s="486"/>
      <c r="AU12" s="486"/>
      <c r="AV12" s="486"/>
      <c r="AW12" s="486"/>
      <c r="AX12" s="486"/>
      <c r="AY12" s="487"/>
      <c r="AZ12" s="462"/>
      <c r="BA12" s="463"/>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5" hidden="1">
      <c r="A13" s="435"/>
      <c r="B13" s="36"/>
      <c r="C13" s="199" t="str">
        <f t="shared" ca="1" si="2"/>
        <v/>
      </c>
      <c r="D13" s="479"/>
      <c r="E13" s="480"/>
      <c r="F13" s="480"/>
      <c r="G13" s="480"/>
      <c r="H13" s="480"/>
      <c r="I13" s="480"/>
      <c r="J13" s="480"/>
      <c r="K13" s="440"/>
      <c r="L13" s="441"/>
      <c r="M13" s="441"/>
      <c r="N13" s="441"/>
      <c r="O13" s="441"/>
      <c r="P13" s="441"/>
      <c r="Q13" s="441"/>
      <c r="R13" s="444"/>
      <c r="S13" s="445"/>
      <c r="T13" s="444"/>
      <c r="U13" s="445"/>
      <c r="V13" s="440"/>
      <c r="W13" s="441"/>
      <c r="X13" s="441"/>
      <c r="Y13" s="441"/>
      <c r="Z13" s="441"/>
      <c r="AA13" s="441"/>
      <c r="AB13" s="441"/>
      <c r="AC13" s="441"/>
      <c r="AD13" s="440"/>
      <c r="AE13" s="441"/>
      <c r="AF13" s="441"/>
      <c r="AG13" s="441"/>
      <c r="AH13" s="441"/>
      <c r="AI13" s="441"/>
      <c r="AJ13" s="441"/>
      <c r="AK13" s="450"/>
      <c r="AL13" s="494"/>
      <c r="AM13" s="495"/>
      <c r="AN13" s="495"/>
      <c r="AO13" s="495"/>
      <c r="AP13" s="495"/>
      <c r="AQ13" s="495"/>
      <c r="AR13" s="496"/>
      <c r="AS13" s="485"/>
      <c r="AT13" s="486"/>
      <c r="AU13" s="486"/>
      <c r="AV13" s="486"/>
      <c r="AW13" s="486"/>
      <c r="AX13" s="486"/>
      <c r="AY13" s="487"/>
      <c r="AZ13" s="462"/>
      <c r="BA13" s="463"/>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5" hidden="1">
      <c r="A14" s="435"/>
      <c r="B14" s="36"/>
      <c r="C14" s="199" t="str">
        <f t="shared" ca="1" si="2"/>
        <v/>
      </c>
      <c r="D14" s="479"/>
      <c r="E14" s="480"/>
      <c r="F14" s="480"/>
      <c r="G14" s="480"/>
      <c r="H14" s="480"/>
      <c r="I14" s="480"/>
      <c r="J14" s="480"/>
      <c r="K14" s="440"/>
      <c r="L14" s="441"/>
      <c r="M14" s="441"/>
      <c r="N14" s="441"/>
      <c r="O14" s="441"/>
      <c r="P14" s="441"/>
      <c r="Q14" s="441"/>
      <c r="R14" s="444"/>
      <c r="S14" s="445"/>
      <c r="T14" s="444"/>
      <c r="U14" s="445"/>
      <c r="V14" s="440"/>
      <c r="W14" s="441"/>
      <c r="X14" s="441"/>
      <c r="Y14" s="441"/>
      <c r="Z14" s="441"/>
      <c r="AA14" s="441"/>
      <c r="AB14" s="441"/>
      <c r="AC14" s="441"/>
      <c r="AD14" s="440"/>
      <c r="AE14" s="441"/>
      <c r="AF14" s="441"/>
      <c r="AG14" s="441"/>
      <c r="AH14" s="441"/>
      <c r="AI14" s="441"/>
      <c r="AJ14" s="441"/>
      <c r="AK14" s="450"/>
      <c r="AL14" s="494"/>
      <c r="AM14" s="495"/>
      <c r="AN14" s="495"/>
      <c r="AO14" s="495"/>
      <c r="AP14" s="495"/>
      <c r="AQ14" s="495"/>
      <c r="AR14" s="496"/>
      <c r="AS14" s="485"/>
      <c r="AT14" s="486"/>
      <c r="AU14" s="486"/>
      <c r="AV14" s="486"/>
      <c r="AW14" s="486"/>
      <c r="AX14" s="486"/>
      <c r="AY14" s="487"/>
      <c r="AZ14" s="462"/>
      <c r="BA14" s="463"/>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5" hidden="1">
      <c r="A15" s="435"/>
      <c r="B15" s="36"/>
      <c r="C15" s="199" t="str">
        <f t="shared" ca="1" si="2"/>
        <v/>
      </c>
      <c r="D15" s="479"/>
      <c r="E15" s="480"/>
      <c r="F15" s="480"/>
      <c r="G15" s="480"/>
      <c r="H15" s="480"/>
      <c r="I15" s="480"/>
      <c r="J15" s="480"/>
      <c r="K15" s="440"/>
      <c r="L15" s="441"/>
      <c r="M15" s="441"/>
      <c r="N15" s="441"/>
      <c r="O15" s="441"/>
      <c r="P15" s="441"/>
      <c r="Q15" s="441"/>
      <c r="R15" s="444"/>
      <c r="S15" s="445"/>
      <c r="T15" s="444"/>
      <c r="U15" s="445"/>
      <c r="V15" s="440"/>
      <c r="W15" s="441"/>
      <c r="X15" s="441"/>
      <c r="Y15" s="441"/>
      <c r="Z15" s="441"/>
      <c r="AA15" s="441"/>
      <c r="AB15" s="441"/>
      <c r="AC15" s="441"/>
      <c r="AD15" s="440"/>
      <c r="AE15" s="441"/>
      <c r="AF15" s="441"/>
      <c r="AG15" s="441"/>
      <c r="AH15" s="441"/>
      <c r="AI15" s="441"/>
      <c r="AJ15" s="441"/>
      <c r="AK15" s="450"/>
      <c r="AL15" s="494"/>
      <c r="AM15" s="495"/>
      <c r="AN15" s="495"/>
      <c r="AO15" s="495"/>
      <c r="AP15" s="495"/>
      <c r="AQ15" s="495"/>
      <c r="AR15" s="496"/>
      <c r="AS15" s="485"/>
      <c r="AT15" s="486"/>
      <c r="AU15" s="486"/>
      <c r="AV15" s="486"/>
      <c r="AW15" s="486"/>
      <c r="AX15" s="486"/>
      <c r="AY15" s="487"/>
      <c r="AZ15" s="462"/>
      <c r="BA15" s="463"/>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5" hidden="1">
      <c r="A16" s="436"/>
      <c r="B16" s="37"/>
      <c r="C16" s="200" t="str">
        <f t="shared" ca="1" si="2"/>
        <v/>
      </c>
      <c r="D16" s="481"/>
      <c r="E16" s="482"/>
      <c r="F16" s="482"/>
      <c r="G16" s="482"/>
      <c r="H16" s="482"/>
      <c r="I16" s="482"/>
      <c r="J16" s="482"/>
      <c r="K16" s="409"/>
      <c r="L16" s="410"/>
      <c r="M16" s="410"/>
      <c r="N16" s="410"/>
      <c r="O16" s="410"/>
      <c r="P16" s="410"/>
      <c r="Q16" s="410"/>
      <c r="R16" s="446"/>
      <c r="S16" s="447"/>
      <c r="T16" s="446"/>
      <c r="U16" s="447"/>
      <c r="V16" s="409"/>
      <c r="W16" s="410"/>
      <c r="X16" s="410"/>
      <c r="Y16" s="410"/>
      <c r="Z16" s="410"/>
      <c r="AA16" s="410"/>
      <c r="AB16" s="410"/>
      <c r="AC16" s="410"/>
      <c r="AD16" s="409"/>
      <c r="AE16" s="410"/>
      <c r="AF16" s="410"/>
      <c r="AG16" s="410"/>
      <c r="AH16" s="410"/>
      <c r="AI16" s="410"/>
      <c r="AJ16" s="410"/>
      <c r="AK16" s="411"/>
      <c r="AL16" s="497"/>
      <c r="AM16" s="498"/>
      <c r="AN16" s="498"/>
      <c r="AO16" s="498"/>
      <c r="AP16" s="498"/>
      <c r="AQ16" s="498"/>
      <c r="AR16" s="499"/>
      <c r="AS16" s="488"/>
      <c r="AT16" s="489"/>
      <c r="AU16" s="489"/>
      <c r="AV16" s="489"/>
      <c r="AW16" s="489"/>
      <c r="AX16" s="489"/>
      <c r="AY16" s="490"/>
      <c r="AZ16" s="464"/>
      <c r="BA16" s="465"/>
      <c r="BB16" s="62">
        <v>6</v>
      </c>
      <c r="BC16" s="426"/>
      <c r="BD16" s="427"/>
      <c r="BE16" s="427"/>
      <c r="BF16" s="428"/>
      <c r="BG16" s="429"/>
      <c r="BH16" s="430"/>
      <c r="BI16" s="196"/>
      <c r="BJ16" s="474"/>
      <c r="BK16" s="475"/>
      <c r="BL16" s="475"/>
      <c r="BM16" s="475"/>
      <c r="BN16" s="475"/>
      <c r="BO16" s="476"/>
      <c r="BP16" s="474"/>
      <c r="BQ16" s="475"/>
      <c r="BR16" s="475"/>
      <c r="BS16" s="475"/>
      <c r="BT16" s="475"/>
      <c r="BU16" s="476"/>
      <c r="BV16" s="474"/>
      <c r="BW16" s="475"/>
      <c r="BX16" s="475"/>
      <c r="BY16" s="475"/>
      <c r="BZ16" s="475"/>
      <c r="CA16" s="476"/>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5" hidden="1">
      <c r="A17" s="434">
        <v>2</v>
      </c>
      <c r="B17" s="36"/>
      <c r="C17" s="198" t="str">
        <f t="shared" ca="1" si="2"/>
        <v/>
      </c>
      <c r="D17" s="477"/>
      <c r="E17" s="478"/>
      <c r="F17" s="478"/>
      <c r="G17" s="478"/>
      <c r="H17" s="478"/>
      <c r="I17" s="478"/>
      <c r="J17" s="478"/>
      <c r="K17" s="438" t="s">
        <v>187</v>
      </c>
      <c r="L17" s="439"/>
      <c r="M17" s="439"/>
      <c r="N17" s="439"/>
      <c r="O17" s="439"/>
      <c r="P17" s="439"/>
      <c r="Q17" s="439"/>
      <c r="R17" s="442" t="s">
        <v>186</v>
      </c>
      <c r="S17" s="443"/>
      <c r="T17" s="442"/>
      <c r="U17" s="443"/>
      <c r="V17" s="438"/>
      <c r="W17" s="439"/>
      <c r="X17" s="439"/>
      <c r="Y17" s="439"/>
      <c r="Z17" s="439"/>
      <c r="AA17" s="439"/>
      <c r="AB17" s="439"/>
      <c r="AC17" s="439"/>
      <c r="AD17" s="438"/>
      <c r="AE17" s="439"/>
      <c r="AF17" s="439"/>
      <c r="AG17" s="439"/>
      <c r="AH17" s="439"/>
      <c r="AI17" s="439"/>
      <c r="AJ17" s="439"/>
      <c r="AK17" s="449"/>
      <c r="AL17" s="491"/>
      <c r="AM17" s="492"/>
      <c r="AN17" s="492"/>
      <c r="AO17" s="492"/>
      <c r="AP17" s="492"/>
      <c r="AQ17" s="492"/>
      <c r="AR17" s="493"/>
      <c r="AS17" s="500"/>
      <c r="AT17" s="483"/>
      <c r="AU17" s="483"/>
      <c r="AV17" s="483"/>
      <c r="AW17" s="483"/>
      <c r="AX17" s="483"/>
      <c r="AY17" s="484"/>
      <c r="AZ17" s="460"/>
      <c r="BA17" s="461"/>
      <c r="BB17" s="60">
        <v>1</v>
      </c>
      <c r="BC17" s="466"/>
      <c r="BD17" s="467"/>
      <c r="BE17" s="467"/>
      <c r="BF17" s="468"/>
      <c r="BG17" s="469"/>
      <c r="BH17" s="470"/>
      <c r="BI17" s="194"/>
      <c r="BJ17" s="471"/>
      <c r="BK17" s="472"/>
      <c r="BL17" s="472"/>
      <c r="BM17" s="472"/>
      <c r="BN17" s="472"/>
      <c r="BO17" s="473"/>
      <c r="BP17" s="471"/>
      <c r="BQ17" s="472"/>
      <c r="BR17" s="472"/>
      <c r="BS17" s="472"/>
      <c r="BT17" s="472"/>
      <c r="BU17" s="473"/>
      <c r="BV17" s="471"/>
      <c r="BW17" s="472"/>
      <c r="BX17" s="472"/>
      <c r="BY17" s="472"/>
      <c r="BZ17" s="472"/>
      <c r="CA17" s="473"/>
      <c r="CB17" s="466"/>
      <c r="CC17" s="467"/>
      <c r="CD17" s="467"/>
      <c r="CE17" s="468"/>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5" hidden="1">
      <c r="A18" s="435"/>
      <c r="B18" s="36"/>
      <c r="C18" s="199" t="str">
        <f t="shared" ca="1" si="2"/>
        <v/>
      </c>
      <c r="D18" s="479"/>
      <c r="E18" s="480"/>
      <c r="F18" s="480"/>
      <c r="G18" s="480"/>
      <c r="H18" s="480"/>
      <c r="I18" s="480"/>
      <c r="J18" s="480"/>
      <c r="K18" s="440"/>
      <c r="L18" s="441"/>
      <c r="M18" s="441"/>
      <c r="N18" s="441"/>
      <c r="O18" s="441"/>
      <c r="P18" s="441"/>
      <c r="Q18" s="441"/>
      <c r="R18" s="444"/>
      <c r="S18" s="445"/>
      <c r="T18" s="444"/>
      <c r="U18" s="445"/>
      <c r="V18" s="440"/>
      <c r="W18" s="441"/>
      <c r="X18" s="441"/>
      <c r="Y18" s="441"/>
      <c r="Z18" s="441"/>
      <c r="AA18" s="441"/>
      <c r="AB18" s="441"/>
      <c r="AC18" s="441"/>
      <c r="AD18" s="440"/>
      <c r="AE18" s="441"/>
      <c r="AF18" s="441"/>
      <c r="AG18" s="441"/>
      <c r="AH18" s="441"/>
      <c r="AI18" s="441"/>
      <c r="AJ18" s="441"/>
      <c r="AK18" s="450"/>
      <c r="AL18" s="494"/>
      <c r="AM18" s="495"/>
      <c r="AN18" s="495"/>
      <c r="AO18" s="495"/>
      <c r="AP18" s="495"/>
      <c r="AQ18" s="495"/>
      <c r="AR18" s="496"/>
      <c r="AS18" s="485"/>
      <c r="AT18" s="486"/>
      <c r="AU18" s="486"/>
      <c r="AV18" s="486"/>
      <c r="AW18" s="486"/>
      <c r="AX18" s="486"/>
      <c r="AY18" s="487"/>
      <c r="AZ18" s="462"/>
      <c r="BA18" s="463"/>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5" hidden="1">
      <c r="A19" s="435"/>
      <c r="B19" s="36"/>
      <c r="C19" s="199" t="str">
        <f t="shared" ca="1" si="2"/>
        <v/>
      </c>
      <c r="D19" s="479"/>
      <c r="E19" s="480"/>
      <c r="F19" s="480"/>
      <c r="G19" s="480"/>
      <c r="H19" s="480"/>
      <c r="I19" s="480"/>
      <c r="J19" s="480"/>
      <c r="K19" s="440"/>
      <c r="L19" s="441"/>
      <c r="M19" s="441"/>
      <c r="N19" s="441"/>
      <c r="O19" s="441"/>
      <c r="P19" s="441"/>
      <c r="Q19" s="441"/>
      <c r="R19" s="444"/>
      <c r="S19" s="445"/>
      <c r="T19" s="444"/>
      <c r="U19" s="445"/>
      <c r="V19" s="440"/>
      <c r="W19" s="441"/>
      <c r="X19" s="441"/>
      <c r="Y19" s="441"/>
      <c r="Z19" s="441"/>
      <c r="AA19" s="441"/>
      <c r="AB19" s="441"/>
      <c r="AC19" s="441"/>
      <c r="AD19" s="440"/>
      <c r="AE19" s="441"/>
      <c r="AF19" s="441"/>
      <c r="AG19" s="441"/>
      <c r="AH19" s="441"/>
      <c r="AI19" s="441"/>
      <c r="AJ19" s="441"/>
      <c r="AK19" s="450"/>
      <c r="AL19" s="494"/>
      <c r="AM19" s="495"/>
      <c r="AN19" s="495"/>
      <c r="AO19" s="495"/>
      <c r="AP19" s="495"/>
      <c r="AQ19" s="495"/>
      <c r="AR19" s="496"/>
      <c r="AS19" s="485"/>
      <c r="AT19" s="486"/>
      <c r="AU19" s="486"/>
      <c r="AV19" s="486"/>
      <c r="AW19" s="486"/>
      <c r="AX19" s="486"/>
      <c r="AY19" s="487"/>
      <c r="AZ19" s="462"/>
      <c r="BA19" s="463"/>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5" hidden="1">
      <c r="A20" s="435"/>
      <c r="B20" s="36"/>
      <c r="C20" s="199" t="str">
        <f t="shared" ca="1" si="2"/>
        <v/>
      </c>
      <c r="D20" s="479"/>
      <c r="E20" s="480"/>
      <c r="F20" s="480"/>
      <c r="G20" s="480"/>
      <c r="H20" s="480"/>
      <c r="I20" s="480"/>
      <c r="J20" s="480"/>
      <c r="K20" s="440"/>
      <c r="L20" s="441"/>
      <c r="M20" s="441"/>
      <c r="N20" s="441"/>
      <c r="O20" s="441"/>
      <c r="P20" s="441"/>
      <c r="Q20" s="441"/>
      <c r="R20" s="444"/>
      <c r="S20" s="445"/>
      <c r="T20" s="444"/>
      <c r="U20" s="445"/>
      <c r="V20" s="440"/>
      <c r="W20" s="441"/>
      <c r="X20" s="441"/>
      <c r="Y20" s="441"/>
      <c r="Z20" s="441"/>
      <c r="AA20" s="441"/>
      <c r="AB20" s="441"/>
      <c r="AC20" s="441"/>
      <c r="AD20" s="440"/>
      <c r="AE20" s="441"/>
      <c r="AF20" s="441"/>
      <c r="AG20" s="441"/>
      <c r="AH20" s="441"/>
      <c r="AI20" s="441"/>
      <c r="AJ20" s="441"/>
      <c r="AK20" s="450"/>
      <c r="AL20" s="494"/>
      <c r="AM20" s="495"/>
      <c r="AN20" s="495"/>
      <c r="AO20" s="495"/>
      <c r="AP20" s="495"/>
      <c r="AQ20" s="495"/>
      <c r="AR20" s="496"/>
      <c r="AS20" s="485"/>
      <c r="AT20" s="486"/>
      <c r="AU20" s="486"/>
      <c r="AV20" s="486"/>
      <c r="AW20" s="486"/>
      <c r="AX20" s="486"/>
      <c r="AY20" s="487"/>
      <c r="AZ20" s="462"/>
      <c r="BA20" s="463"/>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5" hidden="1">
      <c r="A21" s="435"/>
      <c r="B21" s="36"/>
      <c r="C21" s="199" t="str">
        <f t="shared" ca="1" si="2"/>
        <v/>
      </c>
      <c r="D21" s="479"/>
      <c r="E21" s="480"/>
      <c r="F21" s="480"/>
      <c r="G21" s="480"/>
      <c r="H21" s="480"/>
      <c r="I21" s="480"/>
      <c r="J21" s="480"/>
      <c r="K21" s="440"/>
      <c r="L21" s="441"/>
      <c r="M21" s="441"/>
      <c r="N21" s="441"/>
      <c r="O21" s="441"/>
      <c r="P21" s="441"/>
      <c r="Q21" s="441"/>
      <c r="R21" s="444"/>
      <c r="S21" s="445"/>
      <c r="T21" s="444"/>
      <c r="U21" s="445"/>
      <c r="V21" s="440"/>
      <c r="W21" s="441"/>
      <c r="X21" s="441"/>
      <c r="Y21" s="441"/>
      <c r="Z21" s="441"/>
      <c r="AA21" s="441"/>
      <c r="AB21" s="441"/>
      <c r="AC21" s="441"/>
      <c r="AD21" s="440"/>
      <c r="AE21" s="441"/>
      <c r="AF21" s="441"/>
      <c r="AG21" s="441"/>
      <c r="AH21" s="441"/>
      <c r="AI21" s="441"/>
      <c r="AJ21" s="441"/>
      <c r="AK21" s="450"/>
      <c r="AL21" s="494"/>
      <c r="AM21" s="495"/>
      <c r="AN21" s="495"/>
      <c r="AO21" s="495"/>
      <c r="AP21" s="495"/>
      <c r="AQ21" s="495"/>
      <c r="AR21" s="496"/>
      <c r="AS21" s="485"/>
      <c r="AT21" s="486"/>
      <c r="AU21" s="486"/>
      <c r="AV21" s="486"/>
      <c r="AW21" s="486"/>
      <c r="AX21" s="486"/>
      <c r="AY21" s="487"/>
      <c r="AZ21" s="462"/>
      <c r="BA21" s="463"/>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5" hidden="1">
      <c r="A22" s="436"/>
      <c r="B22" s="37"/>
      <c r="C22" s="200" t="str">
        <f t="shared" ca="1" si="2"/>
        <v/>
      </c>
      <c r="D22" s="481"/>
      <c r="E22" s="482"/>
      <c r="F22" s="482"/>
      <c r="G22" s="482"/>
      <c r="H22" s="482"/>
      <c r="I22" s="482"/>
      <c r="J22" s="482"/>
      <c r="K22" s="409"/>
      <c r="L22" s="410"/>
      <c r="M22" s="410"/>
      <c r="N22" s="410"/>
      <c r="O22" s="410"/>
      <c r="P22" s="410"/>
      <c r="Q22" s="410"/>
      <c r="R22" s="446"/>
      <c r="S22" s="447"/>
      <c r="T22" s="446"/>
      <c r="U22" s="447"/>
      <c r="V22" s="409"/>
      <c r="W22" s="410"/>
      <c r="X22" s="410"/>
      <c r="Y22" s="410"/>
      <c r="Z22" s="410"/>
      <c r="AA22" s="410"/>
      <c r="AB22" s="410"/>
      <c r="AC22" s="410"/>
      <c r="AD22" s="409"/>
      <c r="AE22" s="410"/>
      <c r="AF22" s="410"/>
      <c r="AG22" s="410"/>
      <c r="AH22" s="410"/>
      <c r="AI22" s="410"/>
      <c r="AJ22" s="410"/>
      <c r="AK22" s="411"/>
      <c r="AL22" s="497"/>
      <c r="AM22" s="498"/>
      <c r="AN22" s="498"/>
      <c r="AO22" s="498"/>
      <c r="AP22" s="498"/>
      <c r="AQ22" s="498"/>
      <c r="AR22" s="499"/>
      <c r="AS22" s="488"/>
      <c r="AT22" s="489"/>
      <c r="AU22" s="489"/>
      <c r="AV22" s="489"/>
      <c r="AW22" s="489"/>
      <c r="AX22" s="489"/>
      <c r="AY22" s="490"/>
      <c r="AZ22" s="464"/>
      <c r="BA22" s="465"/>
      <c r="BB22" s="62">
        <v>6</v>
      </c>
      <c r="BC22" s="426"/>
      <c r="BD22" s="427"/>
      <c r="BE22" s="427"/>
      <c r="BF22" s="428"/>
      <c r="BG22" s="429"/>
      <c r="BH22" s="430"/>
      <c r="BI22" s="196"/>
      <c r="BJ22" s="474"/>
      <c r="BK22" s="475"/>
      <c r="BL22" s="475"/>
      <c r="BM22" s="475"/>
      <c r="BN22" s="475"/>
      <c r="BO22" s="476"/>
      <c r="BP22" s="474"/>
      <c r="BQ22" s="475"/>
      <c r="BR22" s="475"/>
      <c r="BS22" s="475"/>
      <c r="BT22" s="475"/>
      <c r="BU22" s="476"/>
      <c r="BV22" s="474"/>
      <c r="BW22" s="475"/>
      <c r="BX22" s="475"/>
      <c r="BY22" s="475"/>
      <c r="BZ22" s="475"/>
      <c r="CA22" s="476"/>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5" hidden="1">
      <c r="A23" s="434">
        <v>3</v>
      </c>
      <c r="B23" s="36"/>
      <c r="C23" s="198" t="str">
        <f t="shared" ca="1" si="2"/>
        <v/>
      </c>
      <c r="D23" s="477"/>
      <c r="E23" s="478"/>
      <c r="F23" s="478"/>
      <c r="G23" s="478"/>
      <c r="H23" s="478"/>
      <c r="I23" s="478"/>
      <c r="J23" s="478"/>
      <c r="K23" s="438" t="s">
        <v>188</v>
      </c>
      <c r="L23" s="439"/>
      <c r="M23" s="439"/>
      <c r="N23" s="439"/>
      <c r="O23" s="439"/>
      <c r="P23" s="439"/>
      <c r="Q23" s="439"/>
      <c r="R23" s="442" t="s">
        <v>186</v>
      </c>
      <c r="S23" s="443"/>
      <c r="T23" s="442"/>
      <c r="U23" s="443"/>
      <c r="V23" s="438"/>
      <c r="W23" s="439"/>
      <c r="X23" s="439"/>
      <c r="Y23" s="439"/>
      <c r="Z23" s="439"/>
      <c r="AA23" s="439"/>
      <c r="AB23" s="439"/>
      <c r="AC23" s="439"/>
      <c r="AD23" s="438"/>
      <c r="AE23" s="439"/>
      <c r="AF23" s="439"/>
      <c r="AG23" s="439"/>
      <c r="AH23" s="439"/>
      <c r="AI23" s="439"/>
      <c r="AJ23" s="439"/>
      <c r="AK23" s="449"/>
      <c r="AL23" s="491"/>
      <c r="AM23" s="492"/>
      <c r="AN23" s="492"/>
      <c r="AO23" s="492"/>
      <c r="AP23" s="492"/>
      <c r="AQ23" s="492"/>
      <c r="AR23" s="493"/>
      <c r="AS23" s="500"/>
      <c r="AT23" s="483"/>
      <c r="AU23" s="483"/>
      <c r="AV23" s="483"/>
      <c r="AW23" s="483"/>
      <c r="AX23" s="483"/>
      <c r="AY23" s="484"/>
      <c r="AZ23" s="460"/>
      <c r="BA23" s="461"/>
      <c r="BB23" s="60">
        <v>1</v>
      </c>
      <c r="BC23" s="466"/>
      <c r="BD23" s="467"/>
      <c r="BE23" s="467"/>
      <c r="BF23" s="468"/>
      <c r="BG23" s="469"/>
      <c r="BH23" s="470"/>
      <c r="BI23" s="194"/>
      <c r="BJ23" s="471"/>
      <c r="BK23" s="472"/>
      <c r="BL23" s="472"/>
      <c r="BM23" s="472"/>
      <c r="BN23" s="472"/>
      <c r="BO23" s="473"/>
      <c r="BP23" s="471"/>
      <c r="BQ23" s="472"/>
      <c r="BR23" s="472"/>
      <c r="BS23" s="472"/>
      <c r="BT23" s="472"/>
      <c r="BU23" s="473"/>
      <c r="BV23" s="471"/>
      <c r="BW23" s="472"/>
      <c r="BX23" s="472"/>
      <c r="BY23" s="472"/>
      <c r="BZ23" s="472"/>
      <c r="CA23" s="473"/>
      <c r="CB23" s="466"/>
      <c r="CC23" s="467"/>
      <c r="CD23" s="467"/>
      <c r="CE23" s="468"/>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5" hidden="1">
      <c r="A24" s="435"/>
      <c r="B24" s="36"/>
      <c r="C24" s="199" t="str">
        <f t="shared" ca="1" si="2"/>
        <v/>
      </c>
      <c r="D24" s="479"/>
      <c r="E24" s="480"/>
      <c r="F24" s="480"/>
      <c r="G24" s="480"/>
      <c r="H24" s="480"/>
      <c r="I24" s="480"/>
      <c r="J24" s="480"/>
      <c r="K24" s="440"/>
      <c r="L24" s="441"/>
      <c r="M24" s="441"/>
      <c r="N24" s="441"/>
      <c r="O24" s="441"/>
      <c r="P24" s="441"/>
      <c r="Q24" s="441"/>
      <c r="R24" s="444"/>
      <c r="S24" s="445"/>
      <c r="T24" s="444"/>
      <c r="U24" s="445"/>
      <c r="V24" s="440"/>
      <c r="W24" s="441"/>
      <c r="X24" s="441"/>
      <c r="Y24" s="441"/>
      <c r="Z24" s="441"/>
      <c r="AA24" s="441"/>
      <c r="AB24" s="441"/>
      <c r="AC24" s="441"/>
      <c r="AD24" s="440"/>
      <c r="AE24" s="441"/>
      <c r="AF24" s="441"/>
      <c r="AG24" s="441"/>
      <c r="AH24" s="441"/>
      <c r="AI24" s="441"/>
      <c r="AJ24" s="441"/>
      <c r="AK24" s="450"/>
      <c r="AL24" s="494"/>
      <c r="AM24" s="495"/>
      <c r="AN24" s="495"/>
      <c r="AO24" s="495"/>
      <c r="AP24" s="495"/>
      <c r="AQ24" s="495"/>
      <c r="AR24" s="496"/>
      <c r="AS24" s="485"/>
      <c r="AT24" s="486"/>
      <c r="AU24" s="486"/>
      <c r="AV24" s="486"/>
      <c r="AW24" s="486"/>
      <c r="AX24" s="486"/>
      <c r="AY24" s="487"/>
      <c r="AZ24" s="462"/>
      <c r="BA24" s="463"/>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5" hidden="1">
      <c r="A25" s="435"/>
      <c r="B25" s="36"/>
      <c r="C25" s="199" t="str">
        <f t="shared" ca="1" si="2"/>
        <v/>
      </c>
      <c r="D25" s="479"/>
      <c r="E25" s="480"/>
      <c r="F25" s="480"/>
      <c r="G25" s="480"/>
      <c r="H25" s="480"/>
      <c r="I25" s="480"/>
      <c r="J25" s="480"/>
      <c r="K25" s="440"/>
      <c r="L25" s="441"/>
      <c r="M25" s="441"/>
      <c r="N25" s="441"/>
      <c r="O25" s="441"/>
      <c r="P25" s="441"/>
      <c r="Q25" s="441"/>
      <c r="R25" s="444"/>
      <c r="S25" s="445"/>
      <c r="T25" s="444"/>
      <c r="U25" s="445"/>
      <c r="V25" s="440"/>
      <c r="W25" s="441"/>
      <c r="X25" s="441"/>
      <c r="Y25" s="441"/>
      <c r="Z25" s="441"/>
      <c r="AA25" s="441"/>
      <c r="AB25" s="441"/>
      <c r="AC25" s="441"/>
      <c r="AD25" s="440"/>
      <c r="AE25" s="441"/>
      <c r="AF25" s="441"/>
      <c r="AG25" s="441"/>
      <c r="AH25" s="441"/>
      <c r="AI25" s="441"/>
      <c r="AJ25" s="441"/>
      <c r="AK25" s="450"/>
      <c r="AL25" s="494"/>
      <c r="AM25" s="495"/>
      <c r="AN25" s="495"/>
      <c r="AO25" s="495"/>
      <c r="AP25" s="495"/>
      <c r="AQ25" s="495"/>
      <c r="AR25" s="496"/>
      <c r="AS25" s="485"/>
      <c r="AT25" s="486"/>
      <c r="AU25" s="486"/>
      <c r="AV25" s="486"/>
      <c r="AW25" s="486"/>
      <c r="AX25" s="486"/>
      <c r="AY25" s="487"/>
      <c r="AZ25" s="462"/>
      <c r="BA25" s="463"/>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5" hidden="1">
      <c r="A26" s="435"/>
      <c r="B26" s="36"/>
      <c r="C26" s="199" t="str">
        <f t="shared" ca="1" si="2"/>
        <v/>
      </c>
      <c r="D26" s="479"/>
      <c r="E26" s="480"/>
      <c r="F26" s="480"/>
      <c r="G26" s="480"/>
      <c r="H26" s="480"/>
      <c r="I26" s="480"/>
      <c r="J26" s="480"/>
      <c r="K26" s="440"/>
      <c r="L26" s="441"/>
      <c r="M26" s="441"/>
      <c r="N26" s="441"/>
      <c r="O26" s="441"/>
      <c r="P26" s="441"/>
      <c r="Q26" s="441"/>
      <c r="R26" s="444"/>
      <c r="S26" s="445"/>
      <c r="T26" s="444"/>
      <c r="U26" s="445"/>
      <c r="V26" s="440"/>
      <c r="W26" s="441"/>
      <c r="X26" s="441"/>
      <c r="Y26" s="441"/>
      <c r="Z26" s="441"/>
      <c r="AA26" s="441"/>
      <c r="AB26" s="441"/>
      <c r="AC26" s="441"/>
      <c r="AD26" s="440"/>
      <c r="AE26" s="441"/>
      <c r="AF26" s="441"/>
      <c r="AG26" s="441"/>
      <c r="AH26" s="441"/>
      <c r="AI26" s="441"/>
      <c r="AJ26" s="441"/>
      <c r="AK26" s="450"/>
      <c r="AL26" s="494"/>
      <c r="AM26" s="495"/>
      <c r="AN26" s="495"/>
      <c r="AO26" s="495"/>
      <c r="AP26" s="495"/>
      <c r="AQ26" s="495"/>
      <c r="AR26" s="496"/>
      <c r="AS26" s="485"/>
      <c r="AT26" s="486"/>
      <c r="AU26" s="486"/>
      <c r="AV26" s="486"/>
      <c r="AW26" s="486"/>
      <c r="AX26" s="486"/>
      <c r="AY26" s="487"/>
      <c r="AZ26" s="462"/>
      <c r="BA26" s="463"/>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5" hidden="1">
      <c r="A27" s="435"/>
      <c r="B27" s="36"/>
      <c r="C27" s="199" t="str">
        <f t="shared" ca="1" si="2"/>
        <v/>
      </c>
      <c r="D27" s="479"/>
      <c r="E27" s="480"/>
      <c r="F27" s="480"/>
      <c r="G27" s="480"/>
      <c r="H27" s="480"/>
      <c r="I27" s="480"/>
      <c r="J27" s="480"/>
      <c r="K27" s="440"/>
      <c r="L27" s="441"/>
      <c r="M27" s="441"/>
      <c r="N27" s="441"/>
      <c r="O27" s="441"/>
      <c r="P27" s="441"/>
      <c r="Q27" s="441"/>
      <c r="R27" s="444"/>
      <c r="S27" s="445"/>
      <c r="T27" s="444"/>
      <c r="U27" s="445"/>
      <c r="V27" s="440"/>
      <c r="W27" s="441"/>
      <c r="X27" s="441"/>
      <c r="Y27" s="441"/>
      <c r="Z27" s="441"/>
      <c r="AA27" s="441"/>
      <c r="AB27" s="441"/>
      <c r="AC27" s="441"/>
      <c r="AD27" s="440"/>
      <c r="AE27" s="441"/>
      <c r="AF27" s="441"/>
      <c r="AG27" s="441"/>
      <c r="AH27" s="441"/>
      <c r="AI27" s="441"/>
      <c r="AJ27" s="441"/>
      <c r="AK27" s="450"/>
      <c r="AL27" s="494"/>
      <c r="AM27" s="495"/>
      <c r="AN27" s="495"/>
      <c r="AO27" s="495"/>
      <c r="AP27" s="495"/>
      <c r="AQ27" s="495"/>
      <c r="AR27" s="496"/>
      <c r="AS27" s="485"/>
      <c r="AT27" s="486"/>
      <c r="AU27" s="486"/>
      <c r="AV27" s="486"/>
      <c r="AW27" s="486"/>
      <c r="AX27" s="486"/>
      <c r="AY27" s="487"/>
      <c r="AZ27" s="462"/>
      <c r="BA27" s="463"/>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5" hidden="1">
      <c r="A28" s="436"/>
      <c r="B28" s="37"/>
      <c r="C28" s="200" t="str">
        <f t="shared" ca="1" si="2"/>
        <v/>
      </c>
      <c r="D28" s="481"/>
      <c r="E28" s="482"/>
      <c r="F28" s="482"/>
      <c r="G28" s="482"/>
      <c r="H28" s="482"/>
      <c r="I28" s="482"/>
      <c r="J28" s="482"/>
      <c r="K28" s="409"/>
      <c r="L28" s="410"/>
      <c r="M28" s="410"/>
      <c r="N28" s="410"/>
      <c r="O28" s="410"/>
      <c r="P28" s="410"/>
      <c r="Q28" s="410"/>
      <c r="R28" s="446"/>
      <c r="S28" s="447"/>
      <c r="T28" s="446"/>
      <c r="U28" s="447"/>
      <c r="V28" s="409"/>
      <c r="W28" s="410"/>
      <c r="X28" s="410"/>
      <c r="Y28" s="410"/>
      <c r="Z28" s="410"/>
      <c r="AA28" s="410"/>
      <c r="AB28" s="410"/>
      <c r="AC28" s="410"/>
      <c r="AD28" s="409"/>
      <c r="AE28" s="410"/>
      <c r="AF28" s="410"/>
      <c r="AG28" s="410"/>
      <c r="AH28" s="410"/>
      <c r="AI28" s="410"/>
      <c r="AJ28" s="410"/>
      <c r="AK28" s="411"/>
      <c r="AL28" s="497"/>
      <c r="AM28" s="498"/>
      <c r="AN28" s="498"/>
      <c r="AO28" s="498"/>
      <c r="AP28" s="498"/>
      <c r="AQ28" s="498"/>
      <c r="AR28" s="499"/>
      <c r="AS28" s="488"/>
      <c r="AT28" s="489"/>
      <c r="AU28" s="489"/>
      <c r="AV28" s="489"/>
      <c r="AW28" s="489"/>
      <c r="AX28" s="489"/>
      <c r="AY28" s="490"/>
      <c r="AZ28" s="464"/>
      <c r="BA28" s="465"/>
      <c r="BB28" s="62">
        <v>6</v>
      </c>
      <c r="BC28" s="426"/>
      <c r="BD28" s="427"/>
      <c r="BE28" s="427"/>
      <c r="BF28" s="428"/>
      <c r="BG28" s="429"/>
      <c r="BH28" s="430"/>
      <c r="BI28" s="196"/>
      <c r="BJ28" s="474"/>
      <c r="BK28" s="475"/>
      <c r="BL28" s="475"/>
      <c r="BM28" s="475"/>
      <c r="BN28" s="475"/>
      <c r="BO28" s="476"/>
      <c r="BP28" s="474"/>
      <c r="BQ28" s="475"/>
      <c r="BR28" s="475"/>
      <c r="BS28" s="475"/>
      <c r="BT28" s="475"/>
      <c r="BU28" s="476"/>
      <c r="BV28" s="474"/>
      <c r="BW28" s="475"/>
      <c r="BX28" s="475"/>
      <c r="BY28" s="475"/>
      <c r="BZ28" s="475"/>
      <c r="CA28" s="476"/>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5" customHeight="1">
      <c r="A29" s="434">
        <v>4</v>
      </c>
      <c r="B29" s="36"/>
      <c r="C29" s="198" t="str">
        <f t="shared" ca="1" si="2"/>
        <v>●</v>
      </c>
      <c r="D29" s="477" t="s">
        <v>189</v>
      </c>
      <c r="E29" s="478"/>
      <c r="F29" s="478"/>
      <c r="G29" s="478"/>
      <c r="H29" s="478"/>
      <c r="I29" s="478"/>
      <c r="J29" s="478"/>
      <c r="K29" s="438" t="s">
        <v>190</v>
      </c>
      <c r="L29" s="439"/>
      <c r="M29" s="439"/>
      <c r="N29" s="439"/>
      <c r="O29" s="439"/>
      <c r="P29" s="439"/>
      <c r="Q29" s="439"/>
      <c r="R29" s="442"/>
      <c r="S29" s="443"/>
      <c r="T29" s="442"/>
      <c r="U29" s="443"/>
      <c r="V29" s="438" t="s">
        <v>191</v>
      </c>
      <c r="W29" s="439"/>
      <c r="X29" s="439"/>
      <c r="Y29" s="439"/>
      <c r="Z29" s="439"/>
      <c r="AA29" s="439"/>
      <c r="AB29" s="439"/>
      <c r="AC29" s="439"/>
      <c r="AD29" s="438" t="s">
        <v>192</v>
      </c>
      <c r="AE29" s="439"/>
      <c r="AF29" s="439"/>
      <c r="AG29" s="439"/>
      <c r="AH29" s="439"/>
      <c r="AI29" s="439"/>
      <c r="AJ29" s="439"/>
      <c r="AK29" s="449"/>
      <c r="AL29" s="451" t="s">
        <v>193</v>
      </c>
      <c r="AM29" s="492"/>
      <c r="AN29" s="492"/>
      <c r="AO29" s="492"/>
      <c r="AP29" s="492"/>
      <c r="AQ29" s="492"/>
      <c r="AR29" s="493"/>
      <c r="AS29" s="438" t="s">
        <v>194</v>
      </c>
      <c r="AT29" s="483"/>
      <c r="AU29" s="483"/>
      <c r="AV29" s="483"/>
      <c r="AW29" s="483"/>
      <c r="AX29" s="483"/>
      <c r="AY29" s="484"/>
      <c r="AZ29" s="460" t="s">
        <v>54</v>
      </c>
      <c r="BA29" s="461"/>
      <c r="BB29" s="60">
        <v>1</v>
      </c>
      <c r="BC29" s="466">
        <v>45877</v>
      </c>
      <c r="BD29" s="467"/>
      <c r="BE29" s="467"/>
      <c r="BF29" s="468"/>
      <c r="BG29" s="469" t="s">
        <v>195</v>
      </c>
      <c r="BH29" s="470"/>
      <c r="BI29" s="194"/>
      <c r="BJ29" s="471"/>
      <c r="BK29" s="472"/>
      <c r="BL29" s="472"/>
      <c r="BM29" s="472"/>
      <c r="BN29" s="472"/>
      <c r="BO29" s="473"/>
      <c r="BP29" s="471"/>
      <c r="BQ29" s="472"/>
      <c r="BR29" s="472"/>
      <c r="BS29" s="472"/>
      <c r="BT29" s="472"/>
      <c r="BU29" s="473"/>
      <c r="BV29" s="471"/>
      <c r="BW29" s="472"/>
      <c r="BX29" s="472"/>
      <c r="BY29" s="472"/>
      <c r="BZ29" s="472"/>
      <c r="CA29" s="473"/>
      <c r="CB29" s="466">
        <v>45877</v>
      </c>
      <c r="CC29" s="467"/>
      <c r="CD29" s="467"/>
      <c r="CE29" s="468"/>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5">
      <c r="A30" s="435"/>
      <c r="B30" s="36"/>
      <c r="C30" s="199" t="str">
        <f t="shared" ca="1" si="2"/>
        <v>●</v>
      </c>
      <c r="D30" s="479"/>
      <c r="E30" s="480"/>
      <c r="F30" s="480"/>
      <c r="G30" s="480"/>
      <c r="H30" s="480"/>
      <c r="I30" s="480"/>
      <c r="J30" s="480"/>
      <c r="K30" s="440"/>
      <c r="L30" s="441"/>
      <c r="M30" s="441"/>
      <c r="N30" s="441"/>
      <c r="O30" s="441"/>
      <c r="P30" s="441"/>
      <c r="Q30" s="441"/>
      <c r="R30" s="444"/>
      <c r="S30" s="445"/>
      <c r="T30" s="444"/>
      <c r="U30" s="445"/>
      <c r="V30" s="440"/>
      <c r="W30" s="441"/>
      <c r="X30" s="441"/>
      <c r="Y30" s="441"/>
      <c r="Z30" s="441"/>
      <c r="AA30" s="441"/>
      <c r="AB30" s="441"/>
      <c r="AC30" s="441"/>
      <c r="AD30" s="440"/>
      <c r="AE30" s="441"/>
      <c r="AF30" s="441"/>
      <c r="AG30" s="441"/>
      <c r="AH30" s="441"/>
      <c r="AI30" s="441"/>
      <c r="AJ30" s="441"/>
      <c r="AK30" s="450"/>
      <c r="AL30" s="494"/>
      <c r="AM30" s="495"/>
      <c r="AN30" s="495"/>
      <c r="AO30" s="495"/>
      <c r="AP30" s="495"/>
      <c r="AQ30" s="495"/>
      <c r="AR30" s="496"/>
      <c r="AS30" s="485"/>
      <c r="AT30" s="486"/>
      <c r="AU30" s="486"/>
      <c r="AV30" s="486"/>
      <c r="AW30" s="486"/>
      <c r="AX30" s="486"/>
      <c r="AY30" s="487"/>
      <c r="AZ30" s="462"/>
      <c r="BA30" s="463"/>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5">
      <c r="A31" s="435"/>
      <c r="B31" s="36"/>
      <c r="C31" s="199" t="str">
        <f t="shared" ca="1" si="2"/>
        <v>●</v>
      </c>
      <c r="D31" s="479"/>
      <c r="E31" s="480"/>
      <c r="F31" s="480"/>
      <c r="G31" s="480"/>
      <c r="H31" s="480"/>
      <c r="I31" s="480"/>
      <c r="J31" s="480"/>
      <c r="K31" s="440"/>
      <c r="L31" s="441"/>
      <c r="M31" s="441"/>
      <c r="N31" s="441"/>
      <c r="O31" s="441"/>
      <c r="P31" s="441"/>
      <c r="Q31" s="441"/>
      <c r="R31" s="444"/>
      <c r="S31" s="445"/>
      <c r="T31" s="444"/>
      <c r="U31" s="445"/>
      <c r="V31" s="440"/>
      <c r="W31" s="441"/>
      <c r="X31" s="441"/>
      <c r="Y31" s="441"/>
      <c r="Z31" s="441"/>
      <c r="AA31" s="441"/>
      <c r="AB31" s="441"/>
      <c r="AC31" s="441"/>
      <c r="AD31" s="440"/>
      <c r="AE31" s="441"/>
      <c r="AF31" s="441"/>
      <c r="AG31" s="441"/>
      <c r="AH31" s="441"/>
      <c r="AI31" s="441"/>
      <c r="AJ31" s="441"/>
      <c r="AK31" s="450"/>
      <c r="AL31" s="494"/>
      <c r="AM31" s="495"/>
      <c r="AN31" s="495"/>
      <c r="AO31" s="495"/>
      <c r="AP31" s="495"/>
      <c r="AQ31" s="495"/>
      <c r="AR31" s="496"/>
      <c r="AS31" s="485"/>
      <c r="AT31" s="486"/>
      <c r="AU31" s="486"/>
      <c r="AV31" s="486"/>
      <c r="AW31" s="486"/>
      <c r="AX31" s="486"/>
      <c r="AY31" s="487"/>
      <c r="AZ31" s="462"/>
      <c r="BA31" s="463"/>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5">
      <c r="A32" s="435"/>
      <c r="B32" s="36"/>
      <c r="C32" s="199" t="str">
        <f t="shared" ca="1" si="2"/>
        <v>●</v>
      </c>
      <c r="D32" s="479"/>
      <c r="E32" s="480"/>
      <c r="F32" s="480"/>
      <c r="G32" s="480"/>
      <c r="H32" s="480"/>
      <c r="I32" s="480"/>
      <c r="J32" s="480"/>
      <c r="K32" s="440"/>
      <c r="L32" s="441"/>
      <c r="M32" s="441"/>
      <c r="N32" s="441"/>
      <c r="O32" s="441"/>
      <c r="P32" s="441"/>
      <c r="Q32" s="441"/>
      <c r="R32" s="444"/>
      <c r="S32" s="445"/>
      <c r="T32" s="444"/>
      <c r="U32" s="445"/>
      <c r="V32" s="440"/>
      <c r="W32" s="441"/>
      <c r="X32" s="441"/>
      <c r="Y32" s="441"/>
      <c r="Z32" s="441"/>
      <c r="AA32" s="441"/>
      <c r="AB32" s="441"/>
      <c r="AC32" s="441"/>
      <c r="AD32" s="440"/>
      <c r="AE32" s="441"/>
      <c r="AF32" s="441"/>
      <c r="AG32" s="441"/>
      <c r="AH32" s="441"/>
      <c r="AI32" s="441"/>
      <c r="AJ32" s="441"/>
      <c r="AK32" s="450"/>
      <c r="AL32" s="494"/>
      <c r="AM32" s="495"/>
      <c r="AN32" s="495"/>
      <c r="AO32" s="495"/>
      <c r="AP32" s="495"/>
      <c r="AQ32" s="495"/>
      <c r="AR32" s="496"/>
      <c r="AS32" s="485"/>
      <c r="AT32" s="486"/>
      <c r="AU32" s="486"/>
      <c r="AV32" s="486"/>
      <c r="AW32" s="486"/>
      <c r="AX32" s="486"/>
      <c r="AY32" s="487"/>
      <c r="AZ32" s="462"/>
      <c r="BA32" s="463"/>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5">
      <c r="A33" s="435"/>
      <c r="B33" s="36"/>
      <c r="C33" s="199" t="str">
        <f t="shared" ca="1" si="2"/>
        <v>●</v>
      </c>
      <c r="D33" s="479"/>
      <c r="E33" s="480"/>
      <c r="F33" s="480"/>
      <c r="G33" s="480"/>
      <c r="H33" s="480"/>
      <c r="I33" s="480"/>
      <c r="J33" s="480"/>
      <c r="K33" s="440"/>
      <c r="L33" s="441"/>
      <c r="M33" s="441"/>
      <c r="N33" s="441"/>
      <c r="O33" s="441"/>
      <c r="P33" s="441"/>
      <c r="Q33" s="441"/>
      <c r="R33" s="444"/>
      <c r="S33" s="445"/>
      <c r="T33" s="444"/>
      <c r="U33" s="445"/>
      <c r="V33" s="440"/>
      <c r="W33" s="441"/>
      <c r="X33" s="441"/>
      <c r="Y33" s="441"/>
      <c r="Z33" s="441"/>
      <c r="AA33" s="441"/>
      <c r="AB33" s="441"/>
      <c r="AC33" s="441"/>
      <c r="AD33" s="440"/>
      <c r="AE33" s="441"/>
      <c r="AF33" s="441"/>
      <c r="AG33" s="441"/>
      <c r="AH33" s="441"/>
      <c r="AI33" s="441"/>
      <c r="AJ33" s="441"/>
      <c r="AK33" s="450"/>
      <c r="AL33" s="494"/>
      <c r="AM33" s="495"/>
      <c r="AN33" s="495"/>
      <c r="AO33" s="495"/>
      <c r="AP33" s="495"/>
      <c r="AQ33" s="495"/>
      <c r="AR33" s="496"/>
      <c r="AS33" s="485"/>
      <c r="AT33" s="486"/>
      <c r="AU33" s="486"/>
      <c r="AV33" s="486"/>
      <c r="AW33" s="486"/>
      <c r="AX33" s="486"/>
      <c r="AY33" s="487"/>
      <c r="AZ33" s="462"/>
      <c r="BA33" s="463"/>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46.15" customHeight="1">
      <c r="A34" s="436"/>
      <c r="B34" s="37"/>
      <c r="C34" s="200" t="str">
        <f t="shared" ca="1" si="2"/>
        <v>●</v>
      </c>
      <c r="D34" s="481"/>
      <c r="E34" s="482"/>
      <c r="F34" s="482"/>
      <c r="G34" s="482"/>
      <c r="H34" s="482"/>
      <c r="I34" s="482"/>
      <c r="J34" s="482"/>
      <c r="K34" s="409"/>
      <c r="L34" s="410"/>
      <c r="M34" s="410"/>
      <c r="N34" s="410"/>
      <c r="O34" s="410"/>
      <c r="P34" s="410"/>
      <c r="Q34" s="410"/>
      <c r="R34" s="446"/>
      <c r="S34" s="447"/>
      <c r="T34" s="446"/>
      <c r="U34" s="447"/>
      <c r="V34" s="409"/>
      <c r="W34" s="410"/>
      <c r="X34" s="410"/>
      <c r="Y34" s="410"/>
      <c r="Z34" s="410"/>
      <c r="AA34" s="410"/>
      <c r="AB34" s="410"/>
      <c r="AC34" s="410"/>
      <c r="AD34" s="409"/>
      <c r="AE34" s="410"/>
      <c r="AF34" s="410"/>
      <c r="AG34" s="410"/>
      <c r="AH34" s="410"/>
      <c r="AI34" s="410"/>
      <c r="AJ34" s="410"/>
      <c r="AK34" s="411"/>
      <c r="AL34" s="497"/>
      <c r="AM34" s="498"/>
      <c r="AN34" s="498"/>
      <c r="AO34" s="498"/>
      <c r="AP34" s="498"/>
      <c r="AQ34" s="498"/>
      <c r="AR34" s="499"/>
      <c r="AS34" s="488"/>
      <c r="AT34" s="489"/>
      <c r="AU34" s="489"/>
      <c r="AV34" s="489"/>
      <c r="AW34" s="489"/>
      <c r="AX34" s="489"/>
      <c r="AY34" s="490"/>
      <c r="AZ34" s="464"/>
      <c r="BA34" s="465"/>
      <c r="BB34" s="62">
        <v>6</v>
      </c>
      <c r="BC34" s="426"/>
      <c r="BD34" s="427"/>
      <c r="BE34" s="427"/>
      <c r="BF34" s="428"/>
      <c r="BG34" s="429"/>
      <c r="BH34" s="430"/>
      <c r="BI34" s="196"/>
      <c r="BJ34" s="474"/>
      <c r="BK34" s="475"/>
      <c r="BL34" s="475"/>
      <c r="BM34" s="475"/>
      <c r="BN34" s="475"/>
      <c r="BO34" s="476"/>
      <c r="BP34" s="474"/>
      <c r="BQ34" s="475"/>
      <c r="BR34" s="475"/>
      <c r="BS34" s="475"/>
      <c r="BT34" s="475"/>
      <c r="BU34" s="476"/>
      <c r="BV34" s="474"/>
      <c r="BW34" s="475"/>
      <c r="BX34" s="475"/>
      <c r="BY34" s="475"/>
      <c r="BZ34" s="475"/>
      <c r="CA34" s="476"/>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5.95" customHeight="1">
      <c r="A35" s="434">
        <v>5</v>
      </c>
      <c r="B35" s="36"/>
      <c r="C35" s="198" t="str">
        <f t="shared" ca="1" si="2"/>
        <v>●</v>
      </c>
      <c r="D35" s="477"/>
      <c r="E35" s="478"/>
      <c r="F35" s="478"/>
      <c r="G35" s="478"/>
      <c r="H35" s="478"/>
      <c r="I35" s="478"/>
      <c r="J35" s="478"/>
      <c r="K35" s="438" t="s">
        <v>196</v>
      </c>
      <c r="L35" s="439"/>
      <c r="M35" s="439"/>
      <c r="N35" s="439"/>
      <c r="O35" s="439"/>
      <c r="P35" s="439"/>
      <c r="Q35" s="439"/>
      <c r="R35" s="442"/>
      <c r="S35" s="443"/>
      <c r="T35" s="442"/>
      <c r="U35" s="443"/>
      <c r="V35" s="438" t="s">
        <v>191</v>
      </c>
      <c r="W35" s="439"/>
      <c r="X35" s="439"/>
      <c r="Y35" s="439"/>
      <c r="Z35" s="439"/>
      <c r="AA35" s="439"/>
      <c r="AB35" s="439"/>
      <c r="AC35" s="449"/>
      <c r="AD35" s="438" t="s">
        <v>192</v>
      </c>
      <c r="AE35" s="439"/>
      <c r="AF35" s="439"/>
      <c r="AG35" s="439"/>
      <c r="AH35" s="439"/>
      <c r="AI35" s="439"/>
      <c r="AJ35" s="439"/>
      <c r="AK35" s="449"/>
      <c r="AL35" s="451" t="s">
        <v>197</v>
      </c>
      <c r="AM35" s="492"/>
      <c r="AN35" s="492"/>
      <c r="AO35" s="492"/>
      <c r="AP35" s="492"/>
      <c r="AQ35" s="492"/>
      <c r="AR35" s="493"/>
      <c r="AS35" s="438" t="s">
        <v>194</v>
      </c>
      <c r="AT35" s="483"/>
      <c r="AU35" s="483"/>
      <c r="AV35" s="483"/>
      <c r="AW35" s="483"/>
      <c r="AX35" s="483"/>
      <c r="AY35" s="484"/>
      <c r="AZ35" s="460" t="s">
        <v>54</v>
      </c>
      <c r="BA35" s="461"/>
      <c r="BB35" s="60">
        <v>1</v>
      </c>
      <c r="BC35" s="466">
        <v>45877</v>
      </c>
      <c r="BD35" s="467"/>
      <c r="BE35" s="467"/>
      <c r="BF35" s="468"/>
      <c r="BG35" s="469" t="s">
        <v>195</v>
      </c>
      <c r="BH35" s="470"/>
      <c r="BI35" s="194"/>
      <c r="BJ35" s="471"/>
      <c r="BK35" s="472"/>
      <c r="BL35" s="472"/>
      <c r="BM35" s="472"/>
      <c r="BN35" s="472"/>
      <c r="BO35" s="473"/>
      <c r="BP35" s="471"/>
      <c r="BQ35" s="472"/>
      <c r="BR35" s="472"/>
      <c r="BS35" s="472"/>
      <c r="BT35" s="472"/>
      <c r="BU35" s="473"/>
      <c r="BV35" s="471"/>
      <c r="BW35" s="472"/>
      <c r="BX35" s="472"/>
      <c r="BY35" s="472"/>
      <c r="BZ35" s="472"/>
      <c r="CA35" s="473"/>
      <c r="CB35" s="466">
        <v>45877</v>
      </c>
      <c r="CC35" s="467"/>
      <c r="CD35" s="467"/>
      <c r="CE35" s="468"/>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5">
      <c r="A36" s="435"/>
      <c r="B36" s="36"/>
      <c r="C36" s="199" t="str">
        <f t="shared" ca="1" si="2"/>
        <v>●</v>
      </c>
      <c r="D36" s="479"/>
      <c r="E36" s="480"/>
      <c r="F36" s="480"/>
      <c r="G36" s="480"/>
      <c r="H36" s="480"/>
      <c r="I36" s="480"/>
      <c r="J36" s="480"/>
      <c r="K36" s="440"/>
      <c r="L36" s="441"/>
      <c r="M36" s="441"/>
      <c r="N36" s="441"/>
      <c r="O36" s="441"/>
      <c r="P36" s="441"/>
      <c r="Q36" s="441"/>
      <c r="R36" s="444"/>
      <c r="S36" s="445"/>
      <c r="T36" s="444"/>
      <c r="U36" s="445"/>
      <c r="V36" s="440"/>
      <c r="W36" s="441"/>
      <c r="X36" s="441"/>
      <c r="Y36" s="441"/>
      <c r="Z36" s="441"/>
      <c r="AA36" s="441"/>
      <c r="AB36" s="441"/>
      <c r="AC36" s="450"/>
      <c r="AD36" s="440"/>
      <c r="AE36" s="441"/>
      <c r="AF36" s="441"/>
      <c r="AG36" s="441"/>
      <c r="AH36" s="441"/>
      <c r="AI36" s="441"/>
      <c r="AJ36" s="441"/>
      <c r="AK36" s="450"/>
      <c r="AL36" s="494"/>
      <c r="AM36" s="495"/>
      <c r="AN36" s="495"/>
      <c r="AO36" s="495"/>
      <c r="AP36" s="495"/>
      <c r="AQ36" s="495"/>
      <c r="AR36" s="496"/>
      <c r="AS36" s="485"/>
      <c r="AT36" s="486"/>
      <c r="AU36" s="486"/>
      <c r="AV36" s="486"/>
      <c r="AW36" s="486"/>
      <c r="AX36" s="486"/>
      <c r="AY36" s="487"/>
      <c r="AZ36" s="462"/>
      <c r="BA36" s="463"/>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5">
      <c r="A37" s="435"/>
      <c r="B37" s="36"/>
      <c r="C37" s="199" t="str">
        <f t="shared" ca="1" si="2"/>
        <v>●</v>
      </c>
      <c r="D37" s="479"/>
      <c r="E37" s="480"/>
      <c r="F37" s="480"/>
      <c r="G37" s="480"/>
      <c r="H37" s="480"/>
      <c r="I37" s="480"/>
      <c r="J37" s="480"/>
      <c r="K37" s="440"/>
      <c r="L37" s="441"/>
      <c r="M37" s="441"/>
      <c r="N37" s="441"/>
      <c r="O37" s="441"/>
      <c r="P37" s="441"/>
      <c r="Q37" s="441"/>
      <c r="R37" s="444"/>
      <c r="S37" s="445"/>
      <c r="T37" s="444"/>
      <c r="U37" s="445"/>
      <c r="V37" s="440"/>
      <c r="W37" s="441"/>
      <c r="X37" s="441"/>
      <c r="Y37" s="441"/>
      <c r="Z37" s="441"/>
      <c r="AA37" s="441"/>
      <c r="AB37" s="441"/>
      <c r="AC37" s="450"/>
      <c r="AD37" s="440"/>
      <c r="AE37" s="441"/>
      <c r="AF37" s="441"/>
      <c r="AG37" s="441"/>
      <c r="AH37" s="441"/>
      <c r="AI37" s="441"/>
      <c r="AJ37" s="441"/>
      <c r="AK37" s="450"/>
      <c r="AL37" s="494"/>
      <c r="AM37" s="495"/>
      <c r="AN37" s="495"/>
      <c r="AO37" s="495"/>
      <c r="AP37" s="495"/>
      <c r="AQ37" s="495"/>
      <c r="AR37" s="496"/>
      <c r="AS37" s="485"/>
      <c r="AT37" s="486"/>
      <c r="AU37" s="486"/>
      <c r="AV37" s="486"/>
      <c r="AW37" s="486"/>
      <c r="AX37" s="486"/>
      <c r="AY37" s="487"/>
      <c r="AZ37" s="462"/>
      <c r="BA37" s="463"/>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5">
      <c r="A38" s="435"/>
      <c r="B38" s="36"/>
      <c r="C38" s="199" t="str">
        <f t="shared" ca="1" si="2"/>
        <v>●</v>
      </c>
      <c r="D38" s="479"/>
      <c r="E38" s="480"/>
      <c r="F38" s="480"/>
      <c r="G38" s="480"/>
      <c r="H38" s="480"/>
      <c r="I38" s="480"/>
      <c r="J38" s="480"/>
      <c r="K38" s="440"/>
      <c r="L38" s="441"/>
      <c r="M38" s="441"/>
      <c r="N38" s="441"/>
      <c r="O38" s="441"/>
      <c r="P38" s="441"/>
      <c r="Q38" s="441"/>
      <c r="R38" s="444"/>
      <c r="S38" s="445"/>
      <c r="T38" s="444"/>
      <c r="U38" s="445"/>
      <c r="V38" s="440"/>
      <c r="W38" s="441"/>
      <c r="X38" s="441"/>
      <c r="Y38" s="441"/>
      <c r="Z38" s="441"/>
      <c r="AA38" s="441"/>
      <c r="AB38" s="441"/>
      <c r="AC38" s="450"/>
      <c r="AD38" s="440"/>
      <c r="AE38" s="441"/>
      <c r="AF38" s="441"/>
      <c r="AG38" s="441"/>
      <c r="AH38" s="441"/>
      <c r="AI38" s="441"/>
      <c r="AJ38" s="441"/>
      <c r="AK38" s="450"/>
      <c r="AL38" s="494"/>
      <c r="AM38" s="495"/>
      <c r="AN38" s="495"/>
      <c r="AO38" s="495"/>
      <c r="AP38" s="495"/>
      <c r="AQ38" s="495"/>
      <c r="AR38" s="496"/>
      <c r="AS38" s="485"/>
      <c r="AT38" s="486"/>
      <c r="AU38" s="486"/>
      <c r="AV38" s="486"/>
      <c r="AW38" s="486"/>
      <c r="AX38" s="486"/>
      <c r="AY38" s="487"/>
      <c r="AZ38" s="462"/>
      <c r="BA38" s="463"/>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5">
      <c r="A39" s="435"/>
      <c r="B39" s="36"/>
      <c r="C39" s="199" t="str">
        <f t="shared" ca="1" si="2"/>
        <v>●</v>
      </c>
      <c r="D39" s="479"/>
      <c r="E39" s="480"/>
      <c r="F39" s="480"/>
      <c r="G39" s="480"/>
      <c r="H39" s="480"/>
      <c r="I39" s="480"/>
      <c r="J39" s="480"/>
      <c r="K39" s="440"/>
      <c r="L39" s="441"/>
      <c r="M39" s="441"/>
      <c r="N39" s="441"/>
      <c r="O39" s="441"/>
      <c r="P39" s="441"/>
      <c r="Q39" s="441"/>
      <c r="R39" s="444"/>
      <c r="S39" s="445"/>
      <c r="T39" s="444"/>
      <c r="U39" s="445"/>
      <c r="V39" s="440"/>
      <c r="W39" s="441"/>
      <c r="X39" s="441"/>
      <c r="Y39" s="441"/>
      <c r="Z39" s="441"/>
      <c r="AA39" s="441"/>
      <c r="AB39" s="441"/>
      <c r="AC39" s="450"/>
      <c r="AD39" s="440"/>
      <c r="AE39" s="441"/>
      <c r="AF39" s="441"/>
      <c r="AG39" s="441"/>
      <c r="AH39" s="441"/>
      <c r="AI39" s="441"/>
      <c r="AJ39" s="441"/>
      <c r="AK39" s="450"/>
      <c r="AL39" s="494"/>
      <c r="AM39" s="495"/>
      <c r="AN39" s="495"/>
      <c r="AO39" s="495"/>
      <c r="AP39" s="495"/>
      <c r="AQ39" s="495"/>
      <c r="AR39" s="496"/>
      <c r="AS39" s="485"/>
      <c r="AT39" s="486"/>
      <c r="AU39" s="486"/>
      <c r="AV39" s="486"/>
      <c r="AW39" s="486"/>
      <c r="AX39" s="486"/>
      <c r="AY39" s="487"/>
      <c r="AZ39" s="462"/>
      <c r="BA39" s="463"/>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52.9" customHeight="1">
      <c r="A40" s="436"/>
      <c r="B40" s="37"/>
      <c r="C40" s="200" t="str">
        <f t="shared" ca="1" si="2"/>
        <v>●</v>
      </c>
      <c r="D40" s="481"/>
      <c r="E40" s="482"/>
      <c r="F40" s="482"/>
      <c r="G40" s="482"/>
      <c r="H40" s="482"/>
      <c r="I40" s="482"/>
      <c r="J40" s="482"/>
      <c r="K40" s="409"/>
      <c r="L40" s="410"/>
      <c r="M40" s="410"/>
      <c r="N40" s="410"/>
      <c r="O40" s="410"/>
      <c r="P40" s="410"/>
      <c r="Q40" s="410"/>
      <c r="R40" s="446"/>
      <c r="S40" s="447"/>
      <c r="T40" s="446"/>
      <c r="U40" s="447"/>
      <c r="V40" s="409"/>
      <c r="W40" s="410"/>
      <c r="X40" s="410"/>
      <c r="Y40" s="410"/>
      <c r="Z40" s="410"/>
      <c r="AA40" s="410"/>
      <c r="AB40" s="410"/>
      <c r="AC40" s="411"/>
      <c r="AD40" s="409"/>
      <c r="AE40" s="410"/>
      <c r="AF40" s="410"/>
      <c r="AG40" s="410"/>
      <c r="AH40" s="410"/>
      <c r="AI40" s="410"/>
      <c r="AJ40" s="410"/>
      <c r="AK40" s="411"/>
      <c r="AL40" s="497"/>
      <c r="AM40" s="498"/>
      <c r="AN40" s="498"/>
      <c r="AO40" s="498"/>
      <c r="AP40" s="498"/>
      <c r="AQ40" s="498"/>
      <c r="AR40" s="499"/>
      <c r="AS40" s="488"/>
      <c r="AT40" s="489"/>
      <c r="AU40" s="489"/>
      <c r="AV40" s="489"/>
      <c r="AW40" s="489"/>
      <c r="AX40" s="489"/>
      <c r="AY40" s="490"/>
      <c r="AZ40" s="464"/>
      <c r="BA40" s="465"/>
      <c r="BB40" s="62">
        <v>6</v>
      </c>
      <c r="BC40" s="426"/>
      <c r="BD40" s="427"/>
      <c r="BE40" s="427"/>
      <c r="BF40" s="428"/>
      <c r="BG40" s="429"/>
      <c r="BH40" s="430"/>
      <c r="BI40" s="196"/>
      <c r="BJ40" s="474"/>
      <c r="BK40" s="475"/>
      <c r="BL40" s="475"/>
      <c r="BM40" s="475"/>
      <c r="BN40" s="475"/>
      <c r="BO40" s="476"/>
      <c r="BP40" s="474"/>
      <c r="BQ40" s="475"/>
      <c r="BR40" s="475"/>
      <c r="BS40" s="475"/>
      <c r="BT40" s="475"/>
      <c r="BU40" s="476"/>
      <c r="BV40" s="474"/>
      <c r="BW40" s="475"/>
      <c r="BX40" s="475"/>
      <c r="BY40" s="475"/>
      <c r="BZ40" s="475"/>
      <c r="CA40" s="476"/>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5" customHeight="1">
      <c r="A41" s="434">
        <v>6</v>
      </c>
      <c r="B41" s="36"/>
      <c r="C41" s="198" t="str">
        <f t="shared" ca="1" si="2"/>
        <v/>
      </c>
      <c r="D41" s="477" t="s">
        <v>198</v>
      </c>
      <c r="E41" s="478"/>
      <c r="F41" s="478"/>
      <c r="G41" s="478"/>
      <c r="H41" s="478"/>
      <c r="I41" s="478"/>
      <c r="J41" s="478"/>
      <c r="K41" s="438" t="s">
        <v>199</v>
      </c>
      <c r="L41" s="439"/>
      <c r="M41" s="439"/>
      <c r="N41" s="439"/>
      <c r="O41" s="439"/>
      <c r="P41" s="439"/>
      <c r="Q41" s="439"/>
      <c r="R41" s="442" t="s">
        <v>186</v>
      </c>
      <c r="S41" s="443"/>
      <c r="T41" s="442"/>
      <c r="U41" s="443"/>
      <c r="V41" s="438" t="s">
        <v>191</v>
      </c>
      <c r="W41" s="439"/>
      <c r="X41" s="439"/>
      <c r="Y41" s="439"/>
      <c r="Z41" s="439"/>
      <c r="AA41" s="439"/>
      <c r="AB41" s="439"/>
      <c r="AC41" s="449"/>
      <c r="AD41" s="438" t="s">
        <v>200</v>
      </c>
      <c r="AE41" s="439"/>
      <c r="AF41" s="439"/>
      <c r="AG41" s="439"/>
      <c r="AH41" s="439"/>
      <c r="AI41" s="439"/>
      <c r="AJ41" s="439"/>
      <c r="AK41" s="449"/>
      <c r="AL41" s="451" t="s">
        <v>197</v>
      </c>
      <c r="AM41" s="492"/>
      <c r="AN41" s="492"/>
      <c r="AO41" s="492"/>
      <c r="AP41" s="492"/>
      <c r="AQ41" s="492"/>
      <c r="AR41" s="493"/>
      <c r="AS41" s="438" t="s">
        <v>194</v>
      </c>
      <c r="AT41" s="483"/>
      <c r="AU41" s="483"/>
      <c r="AV41" s="483"/>
      <c r="AW41" s="483"/>
      <c r="AX41" s="483"/>
      <c r="AY41" s="484"/>
      <c r="AZ41" s="460"/>
      <c r="BA41" s="461"/>
      <c r="BB41" s="60">
        <v>1</v>
      </c>
      <c r="BC41" s="466"/>
      <c r="BD41" s="467"/>
      <c r="BE41" s="467"/>
      <c r="BF41" s="468"/>
      <c r="BG41" s="469"/>
      <c r="BH41" s="470"/>
      <c r="BI41" s="194"/>
      <c r="BJ41" s="471"/>
      <c r="BK41" s="472"/>
      <c r="BL41" s="472"/>
      <c r="BM41" s="472"/>
      <c r="BN41" s="472"/>
      <c r="BO41" s="473"/>
      <c r="BP41" s="471"/>
      <c r="BQ41" s="472"/>
      <c r="BR41" s="472"/>
      <c r="BS41" s="472"/>
      <c r="BT41" s="472"/>
      <c r="BU41" s="473"/>
      <c r="BV41" s="471"/>
      <c r="BW41" s="472"/>
      <c r="BX41" s="472"/>
      <c r="BY41" s="472"/>
      <c r="BZ41" s="472"/>
      <c r="CA41" s="473"/>
      <c r="CB41" s="466"/>
      <c r="CC41" s="467"/>
      <c r="CD41" s="467"/>
      <c r="CE41" s="468"/>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5">
      <c r="A42" s="435"/>
      <c r="B42" s="36"/>
      <c r="C42" s="199" t="str">
        <f t="shared" ca="1" si="2"/>
        <v/>
      </c>
      <c r="D42" s="479"/>
      <c r="E42" s="480"/>
      <c r="F42" s="480"/>
      <c r="G42" s="480"/>
      <c r="H42" s="480"/>
      <c r="I42" s="480"/>
      <c r="J42" s="480"/>
      <c r="K42" s="440"/>
      <c r="L42" s="441"/>
      <c r="M42" s="441"/>
      <c r="N42" s="441"/>
      <c r="O42" s="441"/>
      <c r="P42" s="441"/>
      <c r="Q42" s="441"/>
      <c r="R42" s="444"/>
      <c r="S42" s="445"/>
      <c r="T42" s="444"/>
      <c r="U42" s="445"/>
      <c r="V42" s="440"/>
      <c r="W42" s="441"/>
      <c r="X42" s="441"/>
      <c r="Y42" s="441"/>
      <c r="Z42" s="441"/>
      <c r="AA42" s="441"/>
      <c r="AB42" s="441"/>
      <c r="AC42" s="450"/>
      <c r="AD42" s="440"/>
      <c r="AE42" s="441"/>
      <c r="AF42" s="441"/>
      <c r="AG42" s="441"/>
      <c r="AH42" s="441"/>
      <c r="AI42" s="441"/>
      <c r="AJ42" s="441"/>
      <c r="AK42" s="450"/>
      <c r="AL42" s="494"/>
      <c r="AM42" s="495"/>
      <c r="AN42" s="495"/>
      <c r="AO42" s="495"/>
      <c r="AP42" s="495"/>
      <c r="AQ42" s="495"/>
      <c r="AR42" s="496"/>
      <c r="AS42" s="485"/>
      <c r="AT42" s="486"/>
      <c r="AU42" s="486"/>
      <c r="AV42" s="486"/>
      <c r="AW42" s="486"/>
      <c r="AX42" s="486"/>
      <c r="AY42" s="487"/>
      <c r="AZ42" s="462"/>
      <c r="BA42" s="463"/>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5">
      <c r="A43" s="435"/>
      <c r="B43" s="36"/>
      <c r="C43" s="199" t="str">
        <f t="shared" ca="1" si="2"/>
        <v/>
      </c>
      <c r="D43" s="479"/>
      <c r="E43" s="480"/>
      <c r="F43" s="480"/>
      <c r="G43" s="480"/>
      <c r="H43" s="480"/>
      <c r="I43" s="480"/>
      <c r="J43" s="480"/>
      <c r="K43" s="440"/>
      <c r="L43" s="441"/>
      <c r="M43" s="441"/>
      <c r="N43" s="441"/>
      <c r="O43" s="441"/>
      <c r="P43" s="441"/>
      <c r="Q43" s="441"/>
      <c r="R43" s="444"/>
      <c r="S43" s="445"/>
      <c r="T43" s="444"/>
      <c r="U43" s="445"/>
      <c r="V43" s="440"/>
      <c r="W43" s="441"/>
      <c r="X43" s="441"/>
      <c r="Y43" s="441"/>
      <c r="Z43" s="441"/>
      <c r="AA43" s="441"/>
      <c r="AB43" s="441"/>
      <c r="AC43" s="450"/>
      <c r="AD43" s="440"/>
      <c r="AE43" s="441"/>
      <c r="AF43" s="441"/>
      <c r="AG43" s="441"/>
      <c r="AH43" s="441"/>
      <c r="AI43" s="441"/>
      <c r="AJ43" s="441"/>
      <c r="AK43" s="450"/>
      <c r="AL43" s="494"/>
      <c r="AM43" s="495"/>
      <c r="AN43" s="495"/>
      <c r="AO43" s="495"/>
      <c r="AP43" s="495"/>
      <c r="AQ43" s="495"/>
      <c r="AR43" s="496"/>
      <c r="AS43" s="485"/>
      <c r="AT43" s="486"/>
      <c r="AU43" s="486"/>
      <c r="AV43" s="486"/>
      <c r="AW43" s="486"/>
      <c r="AX43" s="486"/>
      <c r="AY43" s="487"/>
      <c r="AZ43" s="462"/>
      <c r="BA43" s="463"/>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5">
      <c r="A44" s="435"/>
      <c r="B44" s="36"/>
      <c r="C44" s="199" t="str">
        <f t="shared" ca="1" si="2"/>
        <v/>
      </c>
      <c r="D44" s="479"/>
      <c r="E44" s="480"/>
      <c r="F44" s="480"/>
      <c r="G44" s="480"/>
      <c r="H44" s="480"/>
      <c r="I44" s="480"/>
      <c r="J44" s="480"/>
      <c r="K44" s="440"/>
      <c r="L44" s="441"/>
      <c r="M44" s="441"/>
      <c r="N44" s="441"/>
      <c r="O44" s="441"/>
      <c r="P44" s="441"/>
      <c r="Q44" s="441"/>
      <c r="R44" s="444"/>
      <c r="S44" s="445"/>
      <c r="T44" s="444"/>
      <c r="U44" s="445"/>
      <c r="V44" s="440"/>
      <c r="W44" s="441"/>
      <c r="X44" s="441"/>
      <c r="Y44" s="441"/>
      <c r="Z44" s="441"/>
      <c r="AA44" s="441"/>
      <c r="AB44" s="441"/>
      <c r="AC44" s="450"/>
      <c r="AD44" s="440"/>
      <c r="AE44" s="441"/>
      <c r="AF44" s="441"/>
      <c r="AG44" s="441"/>
      <c r="AH44" s="441"/>
      <c r="AI44" s="441"/>
      <c r="AJ44" s="441"/>
      <c r="AK44" s="450"/>
      <c r="AL44" s="494"/>
      <c r="AM44" s="495"/>
      <c r="AN44" s="495"/>
      <c r="AO44" s="495"/>
      <c r="AP44" s="495"/>
      <c r="AQ44" s="495"/>
      <c r="AR44" s="496"/>
      <c r="AS44" s="485"/>
      <c r="AT44" s="486"/>
      <c r="AU44" s="486"/>
      <c r="AV44" s="486"/>
      <c r="AW44" s="486"/>
      <c r="AX44" s="486"/>
      <c r="AY44" s="487"/>
      <c r="AZ44" s="462"/>
      <c r="BA44" s="463"/>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5">
      <c r="A45" s="435"/>
      <c r="B45" s="36"/>
      <c r="C45" s="199" t="str">
        <f t="shared" ca="1" si="2"/>
        <v/>
      </c>
      <c r="D45" s="479"/>
      <c r="E45" s="480"/>
      <c r="F45" s="480"/>
      <c r="G45" s="480"/>
      <c r="H45" s="480"/>
      <c r="I45" s="480"/>
      <c r="J45" s="480"/>
      <c r="K45" s="440"/>
      <c r="L45" s="441"/>
      <c r="M45" s="441"/>
      <c r="N45" s="441"/>
      <c r="O45" s="441"/>
      <c r="P45" s="441"/>
      <c r="Q45" s="441"/>
      <c r="R45" s="444"/>
      <c r="S45" s="445"/>
      <c r="T45" s="444"/>
      <c r="U45" s="445"/>
      <c r="V45" s="440"/>
      <c r="W45" s="441"/>
      <c r="X45" s="441"/>
      <c r="Y45" s="441"/>
      <c r="Z45" s="441"/>
      <c r="AA45" s="441"/>
      <c r="AB45" s="441"/>
      <c r="AC45" s="450"/>
      <c r="AD45" s="440"/>
      <c r="AE45" s="441"/>
      <c r="AF45" s="441"/>
      <c r="AG45" s="441"/>
      <c r="AH45" s="441"/>
      <c r="AI45" s="441"/>
      <c r="AJ45" s="441"/>
      <c r="AK45" s="450"/>
      <c r="AL45" s="494"/>
      <c r="AM45" s="495"/>
      <c r="AN45" s="495"/>
      <c r="AO45" s="495"/>
      <c r="AP45" s="495"/>
      <c r="AQ45" s="495"/>
      <c r="AR45" s="496"/>
      <c r="AS45" s="485"/>
      <c r="AT45" s="486"/>
      <c r="AU45" s="486"/>
      <c r="AV45" s="486"/>
      <c r="AW45" s="486"/>
      <c r="AX45" s="486"/>
      <c r="AY45" s="487"/>
      <c r="AZ45" s="462"/>
      <c r="BA45" s="463"/>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4.25" customHeight="1">
      <c r="A46" s="436"/>
      <c r="B46" s="37"/>
      <c r="C46" s="200" t="str">
        <f t="shared" ca="1" si="2"/>
        <v/>
      </c>
      <c r="D46" s="481"/>
      <c r="E46" s="482"/>
      <c r="F46" s="482"/>
      <c r="G46" s="482"/>
      <c r="H46" s="482"/>
      <c r="I46" s="482"/>
      <c r="J46" s="482"/>
      <c r="K46" s="409"/>
      <c r="L46" s="410"/>
      <c r="M46" s="410"/>
      <c r="N46" s="410"/>
      <c r="O46" s="410"/>
      <c r="P46" s="410"/>
      <c r="Q46" s="410"/>
      <c r="R46" s="446"/>
      <c r="S46" s="447"/>
      <c r="T46" s="446"/>
      <c r="U46" s="447"/>
      <c r="V46" s="409"/>
      <c r="W46" s="410"/>
      <c r="X46" s="410"/>
      <c r="Y46" s="410"/>
      <c r="Z46" s="410"/>
      <c r="AA46" s="410"/>
      <c r="AB46" s="410"/>
      <c r="AC46" s="411"/>
      <c r="AD46" s="409"/>
      <c r="AE46" s="410"/>
      <c r="AF46" s="410"/>
      <c r="AG46" s="410"/>
      <c r="AH46" s="410"/>
      <c r="AI46" s="410"/>
      <c r="AJ46" s="410"/>
      <c r="AK46" s="411"/>
      <c r="AL46" s="497"/>
      <c r="AM46" s="498"/>
      <c r="AN46" s="498"/>
      <c r="AO46" s="498"/>
      <c r="AP46" s="498"/>
      <c r="AQ46" s="498"/>
      <c r="AR46" s="499"/>
      <c r="AS46" s="488"/>
      <c r="AT46" s="489"/>
      <c r="AU46" s="489"/>
      <c r="AV46" s="489"/>
      <c r="AW46" s="489"/>
      <c r="AX46" s="489"/>
      <c r="AY46" s="490"/>
      <c r="AZ46" s="464"/>
      <c r="BA46" s="465"/>
      <c r="BB46" s="62">
        <v>6</v>
      </c>
      <c r="BC46" s="426"/>
      <c r="BD46" s="427"/>
      <c r="BE46" s="427"/>
      <c r="BF46" s="428"/>
      <c r="BG46" s="429"/>
      <c r="BH46" s="430"/>
      <c r="BI46" s="196"/>
      <c r="BJ46" s="474"/>
      <c r="BK46" s="475"/>
      <c r="BL46" s="475"/>
      <c r="BM46" s="475"/>
      <c r="BN46" s="475"/>
      <c r="BO46" s="476"/>
      <c r="BP46" s="474"/>
      <c r="BQ46" s="475"/>
      <c r="BR46" s="475"/>
      <c r="BS46" s="475"/>
      <c r="BT46" s="475"/>
      <c r="BU46" s="476"/>
      <c r="BV46" s="474"/>
      <c r="BW46" s="475"/>
      <c r="BX46" s="475"/>
      <c r="BY46" s="475"/>
      <c r="BZ46" s="475"/>
      <c r="CA46" s="476"/>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5" customHeight="1">
      <c r="A47" s="434">
        <v>7</v>
      </c>
      <c r="B47" s="36"/>
      <c r="C47" s="198" t="str">
        <f t="shared" ca="1" si="2"/>
        <v>●</v>
      </c>
      <c r="D47" s="477"/>
      <c r="E47" s="478"/>
      <c r="F47" s="478"/>
      <c r="G47" s="478"/>
      <c r="H47" s="478"/>
      <c r="I47" s="478"/>
      <c r="J47" s="478"/>
      <c r="K47" s="438" t="s">
        <v>201</v>
      </c>
      <c r="L47" s="439"/>
      <c r="M47" s="439"/>
      <c r="N47" s="439"/>
      <c r="O47" s="439"/>
      <c r="P47" s="439"/>
      <c r="Q47" s="439"/>
      <c r="R47" s="442"/>
      <c r="S47" s="443"/>
      <c r="T47" s="442"/>
      <c r="U47" s="443"/>
      <c r="V47" s="438" t="s">
        <v>191</v>
      </c>
      <c r="W47" s="439"/>
      <c r="X47" s="439"/>
      <c r="Y47" s="439"/>
      <c r="Z47" s="439"/>
      <c r="AA47" s="439"/>
      <c r="AB47" s="439"/>
      <c r="AC47" s="449"/>
      <c r="AD47" s="438" t="s">
        <v>202</v>
      </c>
      <c r="AE47" s="439"/>
      <c r="AF47" s="439"/>
      <c r="AG47" s="439"/>
      <c r="AH47" s="439"/>
      <c r="AI47" s="439"/>
      <c r="AJ47" s="439"/>
      <c r="AK47" s="449"/>
      <c r="AL47" s="451" t="s">
        <v>203</v>
      </c>
      <c r="AM47" s="492"/>
      <c r="AN47" s="492"/>
      <c r="AO47" s="492"/>
      <c r="AP47" s="492"/>
      <c r="AQ47" s="492"/>
      <c r="AR47" s="493"/>
      <c r="AS47" s="438" t="s">
        <v>194</v>
      </c>
      <c r="AT47" s="483"/>
      <c r="AU47" s="483"/>
      <c r="AV47" s="483"/>
      <c r="AW47" s="483"/>
      <c r="AX47" s="483"/>
      <c r="AY47" s="484"/>
      <c r="AZ47" s="460" t="s">
        <v>54</v>
      </c>
      <c r="BA47" s="461"/>
      <c r="BB47" s="60">
        <v>1</v>
      </c>
      <c r="BC47" s="466">
        <v>45877</v>
      </c>
      <c r="BD47" s="467"/>
      <c r="BE47" s="467"/>
      <c r="BF47" s="468"/>
      <c r="BG47" s="469" t="s">
        <v>195</v>
      </c>
      <c r="BH47" s="470"/>
      <c r="BI47" s="194"/>
      <c r="BJ47" s="471"/>
      <c r="BK47" s="472"/>
      <c r="BL47" s="472"/>
      <c r="BM47" s="472"/>
      <c r="BN47" s="472"/>
      <c r="BO47" s="473"/>
      <c r="BP47" s="471"/>
      <c r="BQ47" s="472"/>
      <c r="BR47" s="472"/>
      <c r="BS47" s="472"/>
      <c r="BT47" s="472"/>
      <c r="BU47" s="473"/>
      <c r="BV47" s="471"/>
      <c r="BW47" s="472"/>
      <c r="BX47" s="472"/>
      <c r="BY47" s="472"/>
      <c r="BZ47" s="472"/>
      <c r="CA47" s="473"/>
      <c r="CB47" s="466">
        <v>45877</v>
      </c>
      <c r="CC47" s="467"/>
      <c r="CD47" s="467"/>
      <c r="CE47" s="468"/>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5">
      <c r="A48" s="435"/>
      <c r="B48" s="36"/>
      <c r="C48" s="199" t="str">
        <f t="shared" ca="1" si="2"/>
        <v>●</v>
      </c>
      <c r="D48" s="479"/>
      <c r="E48" s="480"/>
      <c r="F48" s="480"/>
      <c r="G48" s="480"/>
      <c r="H48" s="480"/>
      <c r="I48" s="480"/>
      <c r="J48" s="480"/>
      <c r="K48" s="440"/>
      <c r="L48" s="441"/>
      <c r="M48" s="441"/>
      <c r="N48" s="441"/>
      <c r="O48" s="441"/>
      <c r="P48" s="441"/>
      <c r="Q48" s="441"/>
      <c r="R48" s="444"/>
      <c r="S48" s="445"/>
      <c r="T48" s="444"/>
      <c r="U48" s="445"/>
      <c r="V48" s="440"/>
      <c r="W48" s="441"/>
      <c r="X48" s="441"/>
      <c r="Y48" s="441"/>
      <c r="Z48" s="441"/>
      <c r="AA48" s="441"/>
      <c r="AB48" s="441"/>
      <c r="AC48" s="450"/>
      <c r="AD48" s="440"/>
      <c r="AE48" s="441"/>
      <c r="AF48" s="441"/>
      <c r="AG48" s="441"/>
      <c r="AH48" s="441"/>
      <c r="AI48" s="441"/>
      <c r="AJ48" s="441"/>
      <c r="AK48" s="450"/>
      <c r="AL48" s="494"/>
      <c r="AM48" s="495"/>
      <c r="AN48" s="495"/>
      <c r="AO48" s="495"/>
      <c r="AP48" s="495"/>
      <c r="AQ48" s="495"/>
      <c r="AR48" s="496"/>
      <c r="AS48" s="485"/>
      <c r="AT48" s="486"/>
      <c r="AU48" s="486"/>
      <c r="AV48" s="486"/>
      <c r="AW48" s="486"/>
      <c r="AX48" s="486"/>
      <c r="AY48" s="487"/>
      <c r="AZ48" s="462"/>
      <c r="BA48" s="463"/>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5">
      <c r="A49" s="435"/>
      <c r="B49" s="36"/>
      <c r="C49" s="199" t="str">
        <f t="shared" ca="1" si="2"/>
        <v>●</v>
      </c>
      <c r="D49" s="479"/>
      <c r="E49" s="480"/>
      <c r="F49" s="480"/>
      <c r="G49" s="480"/>
      <c r="H49" s="480"/>
      <c r="I49" s="480"/>
      <c r="J49" s="480"/>
      <c r="K49" s="440"/>
      <c r="L49" s="441"/>
      <c r="M49" s="441"/>
      <c r="N49" s="441"/>
      <c r="O49" s="441"/>
      <c r="P49" s="441"/>
      <c r="Q49" s="441"/>
      <c r="R49" s="444"/>
      <c r="S49" s="445"/>
      <c r="T49" s="444"/>
      <c r="U49" s="445"/>
      <c r="V49" s="440"/>
      <c r="W49" s="441"/>
      <c r="X49" s="441"/>
      <c r="Y49" s="441"/>
      <c r="Z49" s="441"/>
      <c r="AA49" s="441"/>
      <c r="AB49" s="441"/>
      <c r="AC49" s="450"/>
      <c r="AD49" s="440"/>
      <c r="AE49" s="441"/>
      <c r="AF49" s="441"/>
      <c r="AG49" s="441"/>
      <c r="AH49" s="441"/>
      <c r="AI49" s="441"/>
      <c r="AJ49" s="441"/>
      <c r="AK49" s="450"/>
      <c r="AL49" s="494"/>
      <c r="AM49" s="495"/>
      <c r="AN49" s="495"/>
      <c r="AO49" s="495"/>
      <c r="AP49" s="495"/>
      <c r="AQ49" s="495"/>
      <c r="AR49" s="496"/>
      <c r="AS49" s="485"/>
      <c r="AT49" s="486"/>
      <c r="AU49" s="486"/>
      <c r="AV49" s="486"/>
      <c r="AW49" s="486"/>
      <c r="AX49" s="486"/>
      <c r="AY49" s="487"/>
      <c r="AZ49" s="462"/>
      <c r="BA49" s="463"/>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5">
      <c r="A50" s="435"/>
      <c r="B50" s="36"/>
      <c r="C50" s="199" t="str">
        <f t="shared" ca="1" si="2"/>
        <v>●</v>
      </c>
      <c r="D50" s="479"/>
      <c r="E50" s="480"/>
      <c r="F50" s="480"/>
      <c r="G50" s="480"/>
      <c r="H50" s="480"/>
      <c r="I50" s="480"/>
      <c r="J50" s="480"/>
      <c r="K50" s="440"/>
      <c r="L50" s="441"/>
      <c r="M50" s="441"/>
      <c r="N50" s="441"/>
      <c r="O50" s="441"/>
      <c r="P50" s="441"/>
      <c r="Q50" s="441"/>
      <c r="R50" s="444"/>
      <c r="S50" s="445"/>
      <c r="T50" s="444"/>
      <c r="U50" s="445"/>
      <c r="V50" s="440"/>
      <c r="W50" s="441"/>
      <c r="X50" s="441"/>
      <c r="Y50" s="441"/>
      <c r="Z50" s="441"/>
      <c r="AA50" s="441"/>
      <c r="AB50" s="441"/>
      <c r="AC50" s="450"/>
      <c r="AD50" s="440"/>
      <c r="AE50" s="441"/>
      <c r="AF50" s="441"/>
      <c r="AG50" s="441"/>
      <c r="AH50" s="441"/>
      <c r="AI50" s="441"/>
      <c r="AJ50" s="441"/>
      <c r="AK50" s="450"/>
      <c r="AL50" s="494"/>
      <c r="AM50" s="495"/>
      <c r="AN50" s="495"/>
      <c r="AO50" s="495"/>
      <c r="AP50" s="495"/>
      <c r="AQ50" s="495"/>
      <c r="AR50" s="496"/>
      <c r="AS50" s="485"/>
      <c r="AT50" s="486"/>
      <c r="AU50" s="486"/>
      <c r="AV50" s="486"/>
      <c r="AW50" s="486"/>
      <c r="AX50" s="486"/>
      <c r="AY50" s="487"/>
      <c r="AZ50" s="462"/>
      <c r="BA50" s="463"/>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5">
      <c r="A51" s="435"/>
      <c r="B51" s="36"/>
      <c r="C51" s="199" t="str">
        <f t="shared" ca="1" si="2"/>
        <v>●</v>
      </c>
      <c r="D51" s="479"/>
      <c r="E51" s="480"/>
      <c r="F51" s="480"/>
      <c r="G51" s="480"/>
      <c r="H51" s="480"/>
      <c r="I51" s="480"/>
      <c r="J51" s="480"/>
      <c r="K51" s="440"/>
      <c r="L51" s="441"/>
      <c r="M51" s="441"/>
      <c r="N51" s="441"/>
      <c r="O51" s="441"/>
      <c r="P51" s="441"/>
      <c r="Q51" s="441"/>
      <c r="R51" s="444"/>
      <c r="S51" s="445"/>
      <c r="T51" s="444"/>
      <c r="U51" s="445"/>
      <c r="V51" s="440"/>
      <c r="W51" s="441"/>
      <c r="X51" s="441"/>
      <c r="Y51" s="441"/>
      <c r="Z51" s="441"/>
      <c r="AA51" s="441"/>
      <c r="AB51" s="441"/>
      <c r="AC51" s="450"/>
      <c r="AD51" s="440"/>
      <c r="AE51" s="441"/>
      <c r="AF51" s="441"/>
      <c r="AG51" s="441"/>
      <c r="AH51" s="441"/>
      <c r="AI51" s="441"/>
      <c r="AJ51" s="441"/>
      <c r="AK51" s="450"/>
      <c r="AL51" s="494"/>
      <c r="AM51" s="495"/>
      <c r="AN51" s="495"/>
      <c r="AO51" s="495"/>
      <c r="AP51" s="495"/>
      <c r="AQ51" s="495"/>
      <c r="AR51" s="496"/>
      <c r="AS51" s="485"/>
      <c r="AT51" s="486"/>
      <c r="AU51" s="486"/>
      <c r="AV51" s="486"/>
      <c r="AW51" s="486"/>
      <c r="AX51" s="486"/>
      <c r="AY51" s="487"/>
      <c r="AZ51" s="462"/>
      <c r="BA51" s="463"/>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52.15" customHeight="1">
      <c r="A52" s="436"/>
      <c r="B52" s="37"/>
      <c r="C52" s="200" t="str">
        <f t="shared" ca="1" si="2"/>
        <v>●</v>
      </c>
      <c r="D52" s="481"/>
      <c r="E52" s="482"/>
      <c r="F52" s="482"/>
      <c r="G52" s="482"/>
      <c r="H52" s="482"/>
      <c r="I52" s="482"/>
      <c r="J52" s="482"/>
      <c r="K52" s="409"/>
      <c r="L52" s="410"/>
      <c r="M52" s="410"/>
      <c r="N52" s="410"/>
      <c r="O52" s="410"/>
      <c r="P52" s="410"/>
      <c r="Q52" s="410"/>
      <c r="R52" s="446"/>
      <c r="S52" s="447"/>
      <c r="T52" s="446"/>
      <c r="U52" s="447"/>
      <c r="V52" s="409"/>
      <c r="W52" s="410"/>
      <c r="X52" s="410"/>
      <c r="Y52" s="410"/>
      <c r="Z52" s="410"/>
      <c r="AA52" s="410"/>
      <c r="AB52" s="410"/>
      <c r="AC52" s="411"/>
      <c r="AD52" s="409"/>
      <c r="AE52" s="410"/>
      <c r="AF52" s="410"/>
      <c r="AG52" s="410"/>
      <c r="AH52" s="410"/>
      <c r="AI52" s="410"/>
      <c r="AJ52" s="410"/>
      <c r="AK52" s="411"/>
      <c r="AL52" s="497"/>
      <c r="AM52" s="498"/>
      <c r="AN52" s="498"/>
      <c r="AO52" s="498"/>
      <c r="AP52" s="498"/>
      <c r="AQ52" s="498"/>
      <c r="AR52" s="499"/>
      <c r="AS52" s="488"/>
      <c r="AT52" s="489"/>
      <c r="AU52" s="489"/>
      <c r="AV52" s="489"/>
      <c r="AW52" s="489"/>
      <c r="AX52" s="489"/>
      <c r="AY52" s="490"/>
      <c r="AZ52" s="464"/>
      <c r="BA52" s="465"/>
      <c r="BB52" s="62">
        <v>6</v>
      </c>
      <c r="BC52" s="426"/>
      <c r="BD52" s="427"/>
      <c r="BE52" s="427"/>
      <c r="BF52" s="428"/>
      <c r="BG52" s="429"/>
      <c r="BH52" s="430"/>
      <c r="BI52" s="196"/>
      <c r="BJ52" s="474"/>
      <c r="BK52" s="475"/>
      <c r="BL52" s="475"/>
      <c r="BM52" s="475"/>
      <c r="BN52" s="475"/>
      <c r="BO52" s="476"/>
      <c r="BP52" s="474"/>
      <c r="BQ52" s="475"/>
      <c r="BR52" s="475"/>
      <c r="BS52" s="475"/>
      <c r="BT52" s="475"/>
      <c r="BU52" s="476"/>
      <c r="BV52" s="474"/>
      <c r="BW52" s="475"/>
      <c r="BX52" s="475"/>
      <c r="BY52" s="475"/>
      <c r="BZ52" s="475"/>
      <c r="CA52" s="476"/>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5.95" customHeight="1">
      <c r="A53" s="434">
        <v>8</v>
      </c>
      <c r="B53" s="36"/>
      <c r="C53" s="198" t="str">
        <f t="shared" ca="1" si="2"/>
        <v>●</v>
      </c>
      <c r="D53" s="477"/>
      <c r="E53" s="478"/>
      <c r="F53" s="478"/>
      <c r="G53" s="478"/>
      <c r="H53" s="478"/>
      <c r="I53" s="478"/>
      <c r="J53" s="478"/>
      <c r="K53" s="438" t="s">
        <v>204</v>
      </c>
      <c r="L53" s="439"/>
      <c r="M53" s="439"/>
      <c r="N53" s="439"/>
      <c r="O53" s="439"/>
      <c r="P53" s="439"/>
      <c r="Q53" s="439"/>
      <c r="R53" s="442"/>
      <c r="S53" s="443"/>
      <c r="T53" s="442"/>
      <c r="U53" s="443"/>
      <c r="V53" s="438" t="s">
        <v>191</v>
      </c>
      <c r="W53" s="439"/>
      <c r="X53" s="439"/>
      <c r="Y53" s="439"/>
      <c r="Z53" s="439"/>
      <c r="AA53" s="439"/>
      <c r="AB53" s="439"/>
      <c r="AC53" s="449"/>
      <c r="AD53" s="438" t="s">
        <v>205</v>
      </c>
      <c r="AE53" s="439"/>
      <c r="AF53" s="439"/>
      <c r="AG53" s="439"/>
      <c r="AH53" s="439"/>
      <c r="AI53" s="439"/>
      <c r="AJ53" s="439"/>
      <c r="AK53" s="449"/>
      <c r="AL53" s="451" t="s">
        <v>206</v>
      </c>
      <c r="AM53" s="492"/>
      <c r="AN53" s="492"/>
      <c r="AO53" s="492"/>
      <c r="AP53" s="492"/>
      <c r="AQ53" s="492"/>
      <c r="AR53" s="493"/>
      <c r="AS53" s="438" t="s">
        <v>194</v>
      </c>
      <c r="AT53" s="483"/>
      <c r="AU53" s="483"/>
      <c r="AV53" s="483"/>
      <c r="AW53" s="483"/>
      <c r="AX53" s="483"/>
      <c r="AY53" s="484"/>
      <c r="AZ53" s="460" t="s">
        <v>54</v>
      </c>
      <c r="BA53" s="461"/>
      <c r="BB53" s="60">
        <v>1</v>
      </c>
      <c r="BC53" s="466">
        <v>45877</v>
      </c>
      <c r="BD53" s="467"/>
      <c r="BE53" s="467"/>
      <c r="BF53" s="468"/>
      <c r="BG53" s="469" t="s">
        <v>195</v>
      </c>
      <c r="BH53" s="470"/>
      <c r="BI53" s="194"/>
      <c r="BJ53" s="471"/>
      <c r="BK53" s="472"/>
      <c r="BL53" s="472"/>
      <c r="BM53" s="472"/>
      <c r="BN53" s="472"/>
      <c r="BO53" s="473"/>
      <c r="BP53" s="471"/>
      <c r="BQ53" s="472"/>
      <c r="BR53" s="472"/>
      <c r="BS53" s="472"/>
      <c r="BT53" s="472"/>
      <c r="BU53" s="473"/>
      <c r="BV53" s="471"/>
      <c r="BW53" s="472"/>
      <c r="BX53" s="472"/>
      <c r="BY53" s="472"/>
      <c r="BZ53" s="472"/>
      <c r="CA53" s="473"/>
      <c r="CB53" s="466">
        <v>45877</v>
      </c>
      <c r="CC53" s="467"/>
      <c r="CD53" s="467"/>
      <c r="CE53" s="468"/>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5">
      <c r="A54" s="435"/>
      <c r="B54" s="36"/>
      <c r="C54" s="199" t="str">
        <f t="shared" ca="1" si="2"/>
        <v>●</v>
      </c>
      <c r="D54" s="479"/>
      <c r="E54" s="480"/>
      <c r="F54" s="480"/>
      <c r="G54" s="480"/>
      <c r="H54" s="480"/>
      <c r="I54" s="480"/>
      <c r="J54" s="480"/>
      <c r="K54" s="440"/>
      <c r="L54" s="441"/>
      <c r="M54" s="441"/>
      <c r="N54" s="441"/>
      <c r="O54" s="441"/>
      <c r="P54" s="441"/>
      <c r="Q54" s="441"/>
      <c r="R54" s="444"/>
      <c r="S54" s="445"/>
      <c r="T54" s="444"/>
      <c r="U54" s="445"/>
      <c r="V54" s="440"/>
      <c r="W54" s="441"/>
      <c r="X54" s="441"/>
      <c r="Y54" s="441"/>
      <c r="Z54" s="441"/>
      <c r="AA54" s="441"/>
      <c r="AB54" s="441"/>
      <c r="AC54" s="450"/>
      <c r="AD54" s="440"/>
      <c r="AE54" s="441"/>
      <c r="AF54" s="441"/>
      <c r="AG54" s="441"/>
      <c r="AH54" s="441"/>
      <c r="AI54" s="441"/>
      <c r="AJ54" s="441"/>
      <c r="AK54" s="450"/>
      <c r="AL54" s="494"/>
      <c r="AM54" s="495"/>
      <c r="AN54" s="495"/>
      <c r="AO54" s="495"/>
      <c r="AP54" s="495"/>
      <c r="AQ54" s="495"/>
      <c r="AR54" s="496"/>
      <c r="AS54" s="485"/>
      <c r="AT54" s="486"/>
      <c r="AU54" s="486"/>
      <c r="AV54" s="486"/>
      <c r="AW54" s="486"/>
      <c r="AX54" s="486"/>
      <c r="AY54" s="487"/>
      <c r="AZ54" s="462"/>
      <c r="BA54" s="463"/>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5">
      <c r="A55" s="435"/>
      <c r="B55" s="36"/>
      <c r="C55" s="199" t="str">
        <f t="shared" ca="1" si="2"/>
        <v>●</v>
      </c>
      <c r="D55" s="479"/>
      <c r="E55" s="480"/>
      <c r="F55" s="480"/>
      <c r="G55" s="480"/>
      <c r="H55" s="480"/>
      <c r="I55" s="480"/>
      <c r="J55" s="480"/>
      <c r="K55" s="440"/>
      <c r="L55" s="441"/>
      <c r="M55" s="441"/>
      <c r="N55" s="441"/>
      <c r="O55" s="441"/>
      <c r="P55" s="441"/>
      <c r="Q55" s="441"/>
      <c r="R55" s="444"/>
      <c r="S55" s="445"/>
      <c r="T55" s="444"/>
      <c r="U55" s="445"/>
      <c r="V55" s="440"/>
      <c r="W55" s="441"/>
      <c r="X55" s="441"/>
      <c r="Y55" s="441"/>
      <c r="Z55" s="441"/>
      <c r="AA55" s="441"/>
      <c r="AB55" s="441"/>
      <c r="AC55" s="450"/>
      <c r="AD55" s="440"/>
      <c r="AE55" s="441"/>
      <c r="AF55" s="441"/>
      <c r="AG55" s="441"/>
      <c r="AH55" s="441"/>
      <c r="AI55" s="441"/>
      <c r="AJ55" s="441"/>
      <c r="AK55" s="450"/>
      <c r="AL55" s="494"/>
      <c r="AM55" s="495"/>
      <c r="AN55" s="495"/>
      <c r="AO55" s="495"/>
      <c r="AP55" s="495"/>
      <c r="AQ55" s="495"/>
      <c r="AR55" s="496"/>
      <c r="AS55" s="485"/>
      <c r="AT55" s="486"/>
      <c r="AU55" s="486"/>
      <c r="AV55" s="486"/>
      <c r="AW55" s="486"/>
      <c r="AX55" s="486"/>
      <c r="AY55" s="487"/>
      <c r="AZ55" s="462"/>
      <c r="BA55" s="463"/>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5">
      <c r="A56" s="435"/>
      <c r="B56" s="36"/>
      <c r="C56" s="199" t="str">
        <f t="shared" ca="1" si="2"/>
        <v>●</v>
      </c>
      <c r="D56" s="479"/>
      <c r="E56" s="480"/>
      <c r="F56" s="480"/>
      <c r="G56" s="480"/>
      <c r="H56" s="480"/>
      <c r="I56" s="480"/>
      <c r="J56" s="480"/>
      <c r="K56" s="440"/>
      <c r="L56" s="441"/>
      <c r="M56" s="441"/>
      <c r="N56" s="441"/>
      <c r="O56" s="441"/>
      <c r="P56" s="441"/>
      <c r="Q56" s="441"/>
      <c r="R56" s="444"/>
      <c r="S56" s="445"/>
      <c r="T56" s="444"/>
      <c r="U56" s="445"/>
      <c r="V56" s="440"/>
      <c r="W56" s="441"/>
      <c r="X56" s="441"/>
      <c r="Y56" s="441"/>
      <c r="Z56" s="441"/>
      <c r="AA56" s="441"/>
      <c r="AB56" s="441"/>
      <c r="AC56" s="450"/>
      <c r="AD56" s="440"/>
      <c r="AE56" s="441"/>
      <c r="AF56" s="441"/>
      <c r="AG56" s="441"/>
      <c r="AH56" s="441"/>
      <c r="AI56" s="441"/>
      <c r="AJ56" s="441"/>
      <c r="AK56" s="450"/>
      <c r="AL56" s="494"/>
      <c r="AM56" s="495"/>
      <c r="AN56" s="495"/>
      <c r="AO56" s="495"/>
      <c r="AP56" s="495"/>
      <c r="AQ56" s="495"/>
      <c r="AR56" s="496"/>
      <c r="AS56" s="485"/>
      <c r="AT56" s="486"/>
      <c r="AU56" s="486"/>
      <c r="AV56" s="486"/>
      <c r="AW56" s="486"/>
      <c r="AX56" s="486"/>
      <c r="AY56" s="487"/>
      <c r="AZ56" s="462"/>
      <c r="BA56" s="463"/>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5">
      <c r="A57" s="435"/>
      <c r="B57" s="36"/>
      <c r="C57" s="199" t="str">
        <f t="shared" ca="1" si="2"/>
        <v>●</v>
      </c>
      <c r="D57" s="479"/>
      <c r="E57" s="480"/>
      <c r="F57" s="480"/>
      <c r="G57" s="480"/>
      <c r="H57" s="480"/>
      <c r="I57" s="480"/>
      <c r="J57" s="480"/>
      <c r="K57" s="440"/>
      <c r="L57" s="441"/>
      <c r="M57" s="441"/>
      <c r="N57" s="441"/>
      <c r="O57" s="441"/>
      <c r="P57" s="441"/>
      <c r="Q57" s="441"/>
      <c r="R57" s="444"/>
      <c r="S57" s="445"/>
      <c r="T57" s="444"/>
      <c r="U57" s="445"/>
      <c r="V57" s="440"/>
      <c r="W57" s="441"/>
      <c r="X57" s="441"/>
      <c r="Y57" s="441"/>
      <c r="Z57" s="441"/>
      <c r="AA57" s="441"/>
      <c r="AB57" s="441"/>
      <c r="AC57" s="450"/>
      <c r="AD57" s="440"/>
      <c r="AE57" s="441"/>
      <c r="AF57" s="441"/>
      <c r="AG57" s="441"/>
      <c r="AH57" s="441"/>
      <c r="AI57" s="441"/>
      <c r="AJ57" s="441"/>
      <c r="AK57" s="450"/>
      <c r="AL57" s="494"/>
      <c r="AM57" s="495"/>
      <c r="AN57" s="495"/>
      <c r="AO57" s="495"/>
      <c r="AP57" s="495"/>
      <c r="AQ57" s="495"/>
      <c r="AR57" s="496"/>
      <c r="AS57" s="485"/>
      <c r="AT57" s="486"/>
      <c r="AU57" s="486"/>
      <c r="AV57" s="486"/>
      <c r="AW57" s="486"/>
      <c r="AX57" s="486"/>
      <c r="AY57" s="487"/>
      <c r="AZ57" s="462"/>
      <c r="BA57" s="463"/>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55.15" customHeight="1">
      <c r="A58" s="436"/>
      <c r="B58" s="37"/>
      <c r="C58" s="200" t="str">
        <f t="shared" ca="1" si="2"/>
        <v>●</v>
      </c>
      <c r="D58" s="481"/>
      <c r="E58" s="482"/>
      <c r="F58" s="482"/>
      <c r="G58" s="482"/>
      <c r="H58" s="482"/>
      <c r="I58" s="482"/>
      <c r="J58" s="482"/>
      <c r="K58" s="409"/>
      <c r="L58" s="410"/>
      <c r="M58" s="410"/>
      <c r="N58" s="410"/>
      <c r="O58" s="410"/>
      <c r="P58" s="410"/>
      <c r="Q58" s="410"/>
      <c r="R58" s="446"/>
      <c r="S58" s="447"/>
      <c r="T58" s="446"/>
      <c r="U58" s="447"/>
      <c r="V58" s="409"/>
      <c r="W58" s="410"/>
      <c r="X58" s="410"/>
      <c r="Y58" s="410"/>
      <c r="Z58" s="410"/>
      <c r="AA58" s="410"/>
      <c r="AB58" s="410"/>
      <c r="AC58" s="411"/>
      <c r="AD58" s="409"/>
      <c r="AE58" s="410"/>
      <c r="AF58" s="410"/>
      <c r="AG58" s="410"/>
      <c r="AH58" s="410"/>
      <c r="AI58" s="410"/>
      <c r="AJ58" s="410"/>
      <c r="AK58" s="411"/>
      <c r="AL58" s="497"/>
      <c r="AM58" s="498"/>
      <c r="AN58" s="498"/>
      <c r="AO58" s="498"/>
      <c r="AP58" s="498"/>
      <c r="AQ58" s="498"/>
      <c r="AR58" s="499"/>
      <c r="AS58" s="488"/>
      <c r="AT58" s="489"/>
      <c r="AU58" s="489"/>
      <c r="AV58" s="489"/>
      <c r="AW58" s="489"/>
      <c r="AX58" s="489"/>
      <c r="AY58" s="490"/>
      <c r="AZ58" s="464"/>
      <c r="BA58" s="465"/>
      <c r="BB58" s="62">
        <v>6</v>
      </c>
      <c r="BC58" s="426"/>
      <c r="BD58" s="427"/>
      <c r="BE58" s="427"/>
      <c r="BF58" s="428"/>
      <c r="BG58" s="429"/>
      <c r="BH58" s="430"/>
      <c r="BI58" s="196"/>
      <c r="BJ58" s="474"/>
      <c r="BK58" s="475"/>
      <c r="BL58" s="475"/>
      <c r="BM58" s="475"/>
      <c r="BN58" s="475"/>
      <c r="BO58" s="476"/>
      <c r="BP58" s="474"/>
      <c r="BQ58" s="475"/>
      <c r="BR58" s="475"/>
      <c r="BS58" s="475"/>
      <c r="BT58" s="475"/>
      <c r="BU58" s="476"/>
      <c r="BV58" s="474"/>
      <c r="BW58" s="475"/>
      <c r="BX58" s="475"/>
      <c r="BY58" s="475"/>
      <c r="BZ58" s="475"/>
      <c r="CA58" s="476"/>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149999999999999" hidden="1" customHeight="1">
      <c r="A59" s="434">
        <v>9</v>
      </c>
      <c r="B59" s="36"/>
      <c r="C59" s="198" t="str">
        <f t="shared" ca="1" si="2"/>
        <v/>
      </c>
      <c r="D59" s="477"/>
      <c r="E59" s="478"/>
      <c r="F59" s="478"/>
      <c r="G59" s="478"/>
      <c r="H59" s="478"/>
      <c r="I59" s="478"/>
      <c r="J59" s="478"/>
      <c r="K59" s="438" t="s">
        <v>207</v>
      </c>
      <c r="L59" s="439"/>
      <c r="M59" s="439"/>
      <c r="N59" s="439"/>
      <c r="O59" s="439"/>
      <c r="P59" s="439"/>
      <c r="Q59" s="439"/>
      <c r="R59" s="442" t="s">
        <v>186</v>
      </c>
      <c r="S59" s="443"/>
      <c r="T59" s="442"/>
      <c r="U59" s="443"/>
      <c r="V59" s="438" t="s">
        <v>191</v>
      </c>
      <c r="W59" s="439"/>
      <c r="X59" s="439"/>
      <c r="Y59" s="439"/>
      <c r="Z59" s="439"/>
      <c r="AA59" s="439"/>
      <c r="AB59" s="439"/>
      <c r="AC59" s="449"/>
      <c r="AD59" s="438" t="s">
        <v>208</v>
      </c>
      <c r="AE59" s="439"/>
      <c r="AF59" s="439"/>
      <c r="AG59" s="439"/>
      <c r="AH59" s="439"/>
      <c r="AI59" s="439"/>
      <c r="AJ59" s="439"/>
      <c r="AK59" s="449"/>
      <c r="AL59" s="451" t="s">
        <v>193</v>
      </c>
      <c r="AM59" s="492"/>
      <c r="AN59" s="492"/>
      <c r="AO59" s="492"/>
      <c r="AP59" s="492"/>
      <c r="AQ59" s="492"/>
      <c r="AR59" s="493"/>
      <c r="AS59" s="438" t="s">
        <v>209</v>
      </c>
      <c r="AT59" s="439"/>
      <c r="AU59" s="439"/>
      <c r="AV59" s="439"/>
      <c r="AW59" s="439"/>
      <c r="AX59" s="439"/>
      <c r="AY59" s="449"/>
      <c r="AZ59" s="460"/>
      <c r="BA59" s="461"/>
      <c r="BB59" s="60">
        <v>1</v>
      </c>
      <c r="BC59" s="466"/>
      <c r="BD59" s="467"/>
      <c r="BE59" s="467"/>
      <c r="BF59" s="468"/>
      <c r="BG59" s="469"/>
      <c r="BH59" s="470"/>
      <c r="BI59" s="194"/>
      <c r="BJ59" s="471"/>
      <c r="BK59" s="472"/>
      <c r="BL59" s="472"/>
      <c r="BM59" s="472"/>
      <c r="BN59" s="472"/>
      <c r="BO59" s="473"/>
      <c r="BP59" s="471"/>
      <c r="BQ59" s="472"/>
      <c r="BR59" s="472"/>
      <c r="BS59" s="472"/>
      <c r="BT59" s="472"/>
      <c r="BU59" s="473"/>
      <c r="BV59" s="471"/>
      <c r="BW59" s="472"/>
      <c r="BX59" s="472"/>
      <c r="BY59" s="472"/>
      <c r="BZ59" s="472"/>
      <c r="CA59" s="473"/>
      <c r="CB59" s="466"/>
      <c r="CC59" s="467"/>
      <c r="CD59" s="467"/>
      <c r="CE59" s="468"/>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5" hidden="1">
      <c r="A60" s="435"/>
      <c r="B60" s="36"/>
      <c r="C60" s="199" t="str">
        <f t="shared" ca="1" si="2"/>
        <v/>
      </c>
      <c r="D60" s="479"/>
      <c r="E60" s="480"/>
      <c r="F60" s="480"/>
      <c r="G60" s="480"/>
      <c r="H60" s="480"/>
      <c r="I60" s="480"/>
      <c r="J60" s="480"/>
      <c r="K60" s="440"/>
      <c r="L60" s="441"/>
      <c r="M60" s="441"/>
      <c r="N60" s="441"/>
      <c r="O60" s="441"/>
      <c r="P60" s="441"/>
      <c r="Q60" s="441"/>
      <c r="R60" s="444"/>
      <c r="S60" s="445"/>
      <c r="T60" s="444"/>
      <c r="U60" s="445"/>
      <c r="V60" s="440"/>
      <c r="W60" s="441"/>
      <c r="X60" s="441"/>
      <c r="Y60" s="441"/>
      <c r="Z60" s="441"/>
      <c r="AA60" s="441"/>
      <c r="AB60" s="441"/>
      <c r="AC60" s="450"/>
      <c r="AD60" s="440"/>
      <c r="AE60" s="441"/>
      <c r="AF60" s="441"/>
      <c r="AG60" s="441"/>
      <c r="AH60" s="441"/>
      <c r="AI60" s="441"/>
      <c r="AJ60" s="441"/>
      <c r="AK60" s="450"/>
      <c r="AL60" s="494"/>
      <c r="AM60" s="495"/>
      <c r="AN60" s="495"/>
      <c r="AO60" s="495"/>
      <c r="AP60" s="495"/>
      <c r="AQ60" s="495"/>
      <c r="AR60" s="496"/>
      <c r="AS60" s="440"/>
      <c r="AT60" s="441"/>
      <c r="AU60" s="441"/>
      <c r="AV60" s="441"/>
      <c r="AW60" s="441"/>
      <c r="AX60" s="441"/>
      <c r="AY60" s="450"/>
      <c r="AZ60" s="462"/>
      <c r="BA60" s="463"/>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5" hidden="1">
      <c r="A61" s="435"/>
      <c r="B61" s="36"/>
      <c r="C61" s="199" t="str">
        <f t="shared" ca="1" si="2"/>
        <v/>
      </c>
      <c r="D61" s="479"/>
      <c r="E61" s="480"/>
      <c r="F61" s="480"/>
      <c r="G61" s="480"/>
      <c r="H61" s="480"/>
      <c r="I61" s="480"/>
      <c r="J61" s="480"/>
      <c r="K61" s="440"/>
      <c r="L61" s="441"/>
      <c r="M61" s="441"/>
      <c r="N61" s="441"/>
      <c r="O61" s="441"/>
      <c r="P61" s="441"/>
      <c r="Q61" s="441"/>
      <c r="R61" s="444"/>
      <c r="S61" s="445"/>
      <c r="T61" s="444"/>
      <c r="U61" s="445"/>
      <c r="V61" s="440"/>
      <c r="W61" s="441"/>
      <c r="X61" s="441"/>
      <c r="Y61" s="441"/>
      <c r="Z61" s="441"/>
      <c r="AA61" s="441"/>
      <c r="AB61" s="441"/>
      <c r="AC61" s="450"/>
      <c r="AD61" s="440"/>
      <c r="AE61" s="441"/>
      <c r="AF61" s="441"/>
      <c r="AG61" s="441"/>
      <c r="AH61" s="441"/>
      <c r="AI61" s="441"/>
      <c r="AJ61" s="441"/>
      <c r="AK61" s="450"/>
      <c r="AL61" s="494"/>
      <c r="AM61" s="495"/>
      <c r="AN61" s="495"/>
      <c r="AO61" s="495"/>
      <c r="AP61" s="495"/>
      <c r="AQ61" s="495"/>
      <c r="AR61" s="496"/>
      <c r="AS61" s="440"/>
      <c r="AT61" s="441"/>
      <c r="AU61" s="441"/>
      <c r="AV61" s="441"/>
      <c r="AW61" s="441"/>
      <c r="AX61" s="441"/>
      <c r="AY61" s="450"/>
      <c r="AZ61" s="462"/>
      <c r="BA61" s="463"/>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5" hidden="1">
      <c r="A62" s="435"/>
      <c r="B62" s="36"/>
      <c r="C62" s="199" t="str">
        <f t="shared" ca="1" si="2"/>
        <v/>
      </c>
      <c r="D62" s="479"/>
      <c r="E62" s="480"/>
      <c r="F62" s="480"/>
      <c r="G62" s="480"/>
      <c r="H62" s="480"/>
      <c r="I62" s="480"/>
      <c r="J62" s="480"/>
      <c r="K62" s="440"/>
      <c r="L62" s="441"/>
      <c r="M62" s="441"/>
      <c r="N62" s="441"/>
      <c r="O62" s="441"/>
      <c r="P62" s="441"/>
      <c r="Q62" s="441"/>
      <c r="R62" s="444"/>
      <c r="S62" s="445"/>
      <c r="T62" s="444"/>
      <c r="U62" s="445"/>
      <c r="V62" s="440"/>
      <c r="W62" s="441"/>
      <c r="X62" s="441"/>
      <c r="Y62" s="441"/>
      <c r="Z62" s="441"/>
      <c r="AA62" s="441"/>
      <c r="AB62" s="441"/>
      <c r="AC62" s="450"/>
      <c r="AD62" s="440"/>
      <c r="AE62" s="441"/>
      <c r="AF62" s="441"/>
      <c r="AG62" s="441"/>
      <c r="AH62" s="441"/>
      <c r="AI62" s="441"/>
      <c r="AJ62" s="441"/>
      <c r="AK62" s="450"/>
      <c r="AL62" s="494"/>
      <c r="AM62" s="495"/>
      <c r="AN62" s="495"/>
      <c r="AO62" s="495"/>
      <c r="AP62" s="495"/>
      <c r="AQ62" s="495"/>
      <c r="AR62" s="496"/>
      <c r="AS62" s="440"/>
      <c r="AT62" s="441"/>
      <c r="AU62" s="441"/>
      <c r="AV62" s="441"/>
      <c r="AW62" s="441"/>
      <c r="AX62" s="441"/>
      <c r="AY62" s="450"/>
      <c r="AZ62" s="462"/>
      <c r="BA62" s="463"/>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5" hidden="1">
      <c r="A63" s="435"/>
      <c r="B63" s="36"/>
      <c r="C63" s="199" t="str">
        <f t="shared" ca="1" si="2"/>
        <v/>
      </c>
      <c r="D63" s="479"/>
      <c r="E63" s="480"/>
      <c r="F63" s="480"/>
      <c r="G63" s="480"/>
      <c r="H63" s="480"/>
      <c r="I63" s="480"/>
      <c r="J63" s="480"/>
      <c r="K63" s="440"/>
      <c r="L63" s="441"/>
      <c r="M63" s="441"/>
      <c r="N63" s="441"/>
      <c r="O63" s="441"/>
      <c r="P63" s="441"/>
      <c r="Q63" s="441"/>
      <c r="R63" s="444"/>
      <c r="S63" s="445"/>
      <c r="T63" s="444"/>
      <c r="U63" s="445"/>
      <c r="V63" s="440"/>
      <c r="W63" s="441"/>
      <c r="X63" s="441"/>
      <c r="Y63" s="441"/>
      <c r="Z63" s="441"/>
      <c r="AA63" s="441"/>
      <c r="AB63" s="441"/>
      <c r="AC63" s="450"/>
      <c r="AD63" s="440"/>
      <c r="AE63" s="441"/>
      <c r="AF63" s="441"/>
      <c r="AG63" s="441"/>
      <c r="AH63" s="441"/>
      <c r="AI63" s="441"/>
      <c r="AJ63" s="441"/>
      <c r="AK63" s="450"/>
      <c r="AL63" s="494"/>
      <c r="AM63" s="495"/>
      <c r="AN63" s="495"/>
      <c r="AO63" s="495"/>
      <c r="AP63" s="495"/>
      <c r="AQ63" s="495"/>
      <c r="AR63" s="496"/>
      <c r="AS63" s="440"/>
      <c r="AT63" s="441"/>
      <c r="AU63" s="441"/>
      <c r="AV63" s="441"/>
      <c r="AW63" s="441"/>
      <c r="AX63" s="441"/>
      <c r="AY63" s="450"/>
      <c r="AZ63" s="462"/>
      <c r="BA63" s="463"/>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42" hidden="1" customHeight="1">
      <c r="A64" s="436"/>
      <c r="B64" s="37"/>
      <c r="C64" s="200" t="str">
        <f t="shared" ca="1" si="2"/>
        <v/>
      </c>
      <c r="D64" s="481"/>
      <c r="E64" s="482"/>
      <c r="F64" s="482"/>
      <c r="G64" s="482"/>
      <c r="H64" s="482"/>
      <c r="I64" s="482"/>
      <c r="J64" s="482"/>
      <c r="K64" s="409"/>
      <c r="L64" s="410"/>
      <c r="M64" s="410"/>
      <c r="N64" s="410"/>
      <c r="O64" s="410"/>
      <c r="P64" s="410"/>
      <c r="Q64" s="410"/>
      <c r="R64" s="446"/>
      <c r="S64" s="447"/>
      <c r="T64" s="446"/>
      <c r="U64" s="447"/>
      <c r="V64" s="409"/>
      <c r="W64" s="410"/>
      <c r="X64" s="410"/>
      <c r="Y64" s="410"/>
      <c r="Z64" s="410"/>
      <c r="AA64" s="410"/>
      <c r="AB64" s="410"/>
      <c r="AC64" s="411"/>
      <c r="AD64" s="409"/>
      <c r="AE64" s="410"/>
      <c r="AF64" s="410"/>
      <c r="AG64" s="410"/>
      <c r="AH64" s="410"/>
      <c r="AI64" s="410"/>
      <c r="AJ64" s="410"/>
      <c r="AK64" s="411"/>
      <c r="AL64" s="497"/>
      <c r="AM64" s="498"/>
      <c r="AN64" s="498"/>
      <c r="AO64" s="498"/>
      <c r="AP64" s="498"/>
      <c r="AQ64" s="498"/>
      <c r="AR64" s="499"/>
      <c r="AS64" s="409"/>
      <c r="AT64" s="410"/>
      <c r="AU64" s="410"/>
      <c r="AV64" s="410"/>
      <c r="AW64" s="410"/>
      <c r="AX64" s="410"/>
      <c r="AY64" s="411"/>
      <c r="AZ64" s="464"/>
      <c r="BA64" s="465"/>
      <c r="BB64" s="62">
        <v>6</v>
      </c>
      <c r="BC64" s="426"/>
      <c r="BD64" s="427"/>
      <c r="BE64" s="427"/>
      <c r="BF64" s="428"/>
      <c r="BG64" s="429"/>
      <c r="BH64" s="430"/>
      <c r="BI64" s="196"/>
      <c r="BJ64" s="474"/>
      <c r="BK64" s="475"/>
      <c r="BL64" s="475"/>
      <c r="BM64" s="475"/>
      <c r="BN64" s="475"/>
      <c r="BO64" s="476"/>
      <c r="BP64" s="474"/>
      <c r="BQ64" s="475"/>
      <c r="BR64" s="475"/>
      <c r="BS64" s="475"/>
      <c r="BT64" s="475"/>
      <c r="BU64" s="476"/>
      <c r="BV64" s="474"/>
      <c r="BW64" s="475"/>
      <c r="BX64" s="475"/>
      <c r="BY64" s="475"/>
      <c r="BZ64" s="475"/>
      <c r="CA64" s="476"/>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29.45" hidden="1" customHeight="1">
      <c r="A65" s="434">
        <v>10</v>
      </c>
      <c r="B65" s="36"/>
      <c r="C65" s="198" t="str">
        <f t="shared" ca="1" si="2"/>
        <v/>
      </c>
      <c r="D65" s="477"/>
      <c r="E65" s="478"/>
      <c r="F65" s="478"/>
      <c r="G65" s="478"/>
      <c r="H65" s="478"/>
      <c r="I65" s="478"/>
      <c r="J65" s="478"/>
      <c r="K65" s="438" t="s">
        <v>210</v>
      </c>
      <c r="L65" s="439"/>
      <c r="M65" s="439"/>
      <c r="N65" s="439"/>
      <c r="O65" s="439"/>
      <c r="P65" s="439"/>
      <c r="Q65" s="439"/>
      <c r="R65" s="442" t="s">
        <v>186</v>
      </c>
      <c r="S65" s="443"/>
      <c r="T65" s="442"/>
      <c r="U65" s="443"/>
      <c r="V65" s="438" t="s">
        <v>191</v>
      </c>
      <c r="W65" s="439"/>
      <c r="X65" s="439"/>
      <c r="Y65" s="439"/>
      <c r="Z65" s="439"/>
      <c r="AA65" s="439"/>
      <c r="AB65" s="439"/>
      <c r="AC65" s="449"/>
      <c r="AD65" s="438" t="s">
        <v>211</v>
      </c>
      <c r="AE65" s="439"/>
      <c r="AF65" s="439"/>
      <c r="AG65" s="439"/>
      <c r="AH65" s="439"/>
      <c r="AI65" s="439"/>
      <c r="AJ65" s="439"/>
      <c r="AK65" s="449"/>
      <c r="AL65" s="451" t="s">
        <v>193</v>
      </c>
      <c r="AM65" s="492"/>
      <c r="AN65" s="492"/>
      <c r="AO65" s="492"/>
      <c r="AP65" s="492"/>
      <c r="AQ65" s="492"/>
      <c r="AR65" s="493"/>
      <c r="AS65" s="438" t="s">
        <v>212</v>
      </c>
      <c r="AT65" s="439"/>
      <c r="AU65" s="439"/>
      <c r="AV65" s="439"/>
      <c r="AW65" s="439"/>
      <c r="AX65" s="439"/>
      <c r="AY65" s="449"/>
      <c r="AZ65" s="460"/>
      <c r="BA65" s="461"/>
      <c r="BB65" s="60">
        <v>1</v>
      </c>
      <c r="BC65" s="466"/>
      <c r="BD65" s="467"/>
      <c r="BE65" s="467"/>
      <c r="BF65" s="468"/>
      <c r="BG65" s="469"/>
      <c r="BH65" s="470"/>
      <c r="BI65" s="194"/>
      <c r="BJ65" s="471"/>
      <c r="BK65" s="472"/>
      <c r="BL65" s="472"/>
      <c r="BM65" s="472"/>
      <c r="BN65" s="472"/>
      <c r="BO65" s="473"/>
      <c r="BP65" s="471"/>
      <c r="BQ65" s="472"/>
      <c r="BR65" s="472"/>
      <c r="BS65" s="472"/>
      <c r="BT65" s="472"/>
      <c r="BU65" s="473"/>
      <c r="BV65" s="471"/>
      <c r="BW65" s="472"/>
      <c r="BX65" s="472"/>
      <c r="BY65" s="472"/>
      <c r="BZ65" s="472"/>
      <c r="CA65" s="473"/>
      <c r="CB65" s="466"/>
      <c r="CC65" s="467"/>
      <c r="CD65" s="467"/>
      <c r="CE65" s="468"/>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29.45" hidden="1" customHeight="1">
      <c r="A66" s="435"/>
      <c r="B66" s="36"/>
      <c r="C66" s="199" t="str">
        <f t="shared" ca="1" si="2"/>
        <v/>
      </c>
      <c r="D66" s="479"/>
      <c r="E66" s="480"/>
      <c r="F66" s="480"/>
      <c r="G66" s="480"/>
      <c r="H66" s="480"/>
      <c r="I66" s="480"/>
      <c r="J66" s="480"/>
      <c r="K66" s="440"/>
      <c r="L66" s="441"/>
      <c r="M66" s="441"/>
      <c r="N66" s="441"/>
      <c r="O66" s="441"/>
      <c r="P66" s="441"/>
      <c r="Q66" s="441"/>
      <c r="R66" s="444"/>
      <c r="S66" s="445"/>
      <c r="T66" s="444"/>
      <c r="U66" s="445"/>
      <c r="V66" s="440"/>
      <c r="W66" s="441"/>
      <c r="X66" s="441"/>
      <c r="Y66" s="441"/>
      <c r="Z66" s="441"/>
      <c r="AA66" s="441"/>
      <c r="AB66" s="441"/>
      <c r="AC66" s="450"/>
      <c r="AD66" s="440"/>
      <c r="AE66" s="441"/>
      <c r="AF66" s="441"/>
      <c r="AG66" s="441"/>
      <c r="AH66" s="441"/>
      <c r="AI66" s="441"/>
      <c r="AJ66" s="441"/>
      <c r="AK66" s="450"/>
      <c r="AL66" s="494"/>
      <c r="AM66" s="495"/>
      <c r="AN66" s="495"/>
      <c r="AO66" s="495"/>
      <c r="AP66" s="495"/>
      <c r="AQ66" s="495"/>
      <c r="AR66" s="496"/>
      <c r="AS66" s="440"/>
      <c r="AT66" s="441"/>
      <c r="AU66" s="441"/>
      <c r="AV66" s="441"/>
      <c r="AW66" s="441"/>
      <c r="AX66" s="441"/>
      <c r="AY66" s="450"/>
      <c r="AZ66" s="462"/>
      <c r="BA66" s="463"/>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29.45" hidden="1" customHeight="1">
      <c r="A67" s="435"/>
      <c r="B67" s="36"/>
      <c r="C67" s="199" t="str">
        <f t="shared" ca="1" si="2"/>
        <v/>
      </c>
      <c r="D67" s="479"/>
      <c r="E67" s="480"/>
      <c r="F67" s="480"/>
      <c r="G67" s="480"/>
      <c r="H67" s="480"/>
      <c r="I67" s="480"/>
      <c r="J67" s="480"/>
      <c r="K67" s="440"/>
      <c r="L67" s="441"/>
      <c r="M67" s="441"/>
      <c r="N67" s="441"/>
      <c r="O67" s="441"/>
      <c r="P67" s="441"/>
      <c r="Q67" s="441"/>
      <c r="R67" s="444"/>
      <c r="S67" s="445"/>
      <c r="T67" s="444"/>
      <c r="U67" s="445"/>
      <c r="V67" s="440"/>
      <c r="W67" s="441"/>
      <c r="X67" s="441"/>
      <c r="Y67" s="441"/>
      <c r="Z67" s="441"/>
      <c r="AA67" s="441"/>
      <c r="AB67" s="441"/>
      <c r="AC67" s="450"/>
      <c r="AD67" s="440"/>
      <c r="AE67" s="441"/>
      <c r="AF67" s="441"/>
      <c r="AG67" s="441"/>
      <c r="AH67" s="441"/>
      <c r="AI67" s="441"/>
      <c r="AJ67" s="441"/>
      <c r="AK67" s="450"/>
      <c r="AL67" s="494"/>
      <c r="AM67" s="495"/>
      <c r="AN67" s="495"/>
      <c r="AO67" s="495"/>
      <c r="AP67" s="495"/>
      <c r="AQ67" s="495"/>
      <c r="AR67" s="496"/>
      <c r="AS67" s="440"/>
      <c r="AT67" s="441"/>
      <c r="AU67" s="441"/>
      <c r="AV67" s="441"/>
      <c r="AW67" s="441"/>
      <c r="AX67" s="441"/>
      <c r="AY67" s="450"/>
      <c r="AZ67" s="462"/>
      <c r="BA67" s="463"/>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2.75" hidden="1" customHeight="1">
      <c r="A68" s="435"/>
      <c r="B68" s="36"/>
      <c r="C68" s="199" t="str">
        <f t="shared" ca="1" si="2"/>
        <v/>
      </c>
      <c r="D68" s="479"/>
      <c r="E68" s="480"/>
      <c r="F68" s="480"/>
      <c r="G68" s="480"/>
      <c r="H68" s="480"/>
      <c r="I68" s="480"/>
      <c r="J68" s="480"/>
      <c r="K68" s="440"/>
      <c r="L68" s="441"/>
      <c r="M68" s="441"/>
      <c r="N68" s="441"/>
      <c r="O68" s="441"/>
      <c r="P68" s="441"/>
      <c r="Q68" s="441"/>
      <c r="R68" s="444"/>
      <c r="S68" s="445"/>
      <c r="T68" s="444"/>
      <c r="U68" s="445"/>
      <c r="V68" s="440"/>
      <c r="W68" s="441"/>
      <c r="X68" s="441"/>
      <c r="Y68" s="441"/>
      <c r="Z68" s="441"/>
      <c r="AA68" s="441"/>
      <c r="AB68" s="441"/>
      <c r="AC68" s="450"/>
      <c r="AD68" s="440"/>
      <c r="AE68" s="441"/>
      <c r="AF68" s="441"/>
      <c r="AG68" s="441"/>
      <c r="AH68" s="441"/>
      <c r="AI68" s="441"/>
      <c r="AJ68" s="441"/>
      <c r="AK68" s="450"/>
      <c r="AL68" s="494"/>
      <c r="AM68" s="495"/>
      <c r="AN68" s="495"/>
      <c r="AO68" s="495"/>
      <c r="AP68" s="495"/>
      <c r="AQ68" s="495"/>
      <c r="AR68" s="496"/>
      <c r="AS68" s="440"/>
      <c r="AT68" s="441"/>
      <c r="AU68" s="441"/>
      <c r="AV68" s="441"/>
      <c r="AW68" s="441"/>
      <c r="AX68" s="441"/>
      <c r="AY68" s="450"/>
      <c r="AZ68" s="462"/>
      <c r="BA68" s="463"/>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29.25" hidden="1" customHeight="1">
      <c r="A69" s="435"/>
      <c r="B69" s="36"/>
      <c r="C69" s="199" t="str">
        <f t="shared" ca="1" si="2"/>
        <v/>
      </c>
      <c r="D69" s="479"/>
      <c r="E69" s="480"/>
      <c r="F69" s="480"/>
      <c r="G69" s="480"/>
      <c r="H69" s="480"/>
      <c r="I69" s="480"/>
      <c r="J69" s="480"/>
      <c r="K69" s="440"/>
      <c r="L69" s="441"/>
      <c r="M69" s="441"/>
      <c r="N69" s="441"/>
      <c r="O69" s="441"/>
      <c r="P69" s="441"/>
      <c r="Q69" s="441"/>
      <c r="R69" s="444"/>
      <c r="S69" s="445"/>
      <c r="T69" s="444"/>
      <c r="U69" s="445"/>
      <c r="V69" s="440"/>
      <c r="W69" s="441"/>
      <c r="X69" s="441"/>
      <c r="Y69" s="441"/>
      <c r="Z69" s="441"/>
      <c r="AA69" s="441"/>
      <c r="AB69" s="441"/>
      <c r="AC69" s="450"/>
      <c r="AD69" s="440"/>
      <c r="AE69" s="441"/>
      <c r="AF69" s="441"/>
      <c r="AG69" s="441"/>
      <c r="AH69" s="441"/>
      <c r="AI69" s="441"/>
      <c r="AJ69" s="441"/>
      <c r="AK69" s="450"/>
      <c r="AL69" s="494"/>
      <c r="AM69" s="495"/>
      <c r="AN69" s="495"/>
      <c r="AO69" s="495"/>
      <c r="AP69" s="495"/>
      <c r="AQ69" s="495"/>
      <c r="AR69" s="496"/>
      <c r="AS69" s="440"/>
      <c r="AT69" s="441"/>
      <c r="AU69" s="441"/>
      <c r="AV69" s="441"/>
      <c r="AW69" s="441"/>
      <c r="AX69" s="441"/>
      <c r="AY69" s="450"/>
      <c r="AZ69" s="462"/>
      <c r="BA69" s="463"/>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53" hidden="1" customHeight="1">
      <c r="A70" s="436"/>
      <c r="B70" s="37"/>
      <c r="C70" s="200" t="str">
        <f t="shared" ca="1" si="2"/>
        <v/>
      </c>
      <c r="D70" s="481"/>
      <c r="E70" s="482"/>
      <c r="F70" s="482"/>
      <c r="G70" s="482"/>
      <c r="H70" s="482"/>
      <c r="I70" s="482"/>
      <c r="J70" s="482"/>
      <c r="K70" s="409"/>
      <c r="L70" s="410"/>
      <c r="M70" s="410"/>
      <c r="N70" s="410"/>
      <c r="O70" s="410"/>
      <c r="P70" s="410"/>
      <c r="Q70" s="410"/>
      <c r="R70" s="446"/>
      <c r="S70" s="447"/>
      <c r="T70" s="446"/>
      <c r="U70" s="447"/>
      <c r="V70" s="409"/>
      <c r="W70" s="410"/>
      <c r="X70" s="410"/>
      <c r="Y70" s="410"/>
      <c r="Z70" s="410"/>
      <c r="AA70" s="410"/>
      <c r="AB70" s="410"/>
      <c r="AC70" s="411"/>
      <c r="AD70" s="409"/>
      <c r="AE70" s="410"/>
      <c r="AF70" s="410"/>
      <c r="AG70" s="410"/>
      <c r="AH70" s="410"/>
      <c r="AI70" s="410"/>
      <c r="AJ70" s="410"/>
      <c r="AK70" s="411"/>
      <c r="AL70" s="497"/>
      <c r="AM70" s="498"/>
      <c r="AN70" s="498"/>
      <c r="AO70" s="498"/>
      <c r="AP70" s="498"/>
      <c r="AQ70" s="498"/>
      <c r="AR70" s="499"/>
      <c r="AS70" s="409"/>
      <c r="AT70" s="410"/>
      <c r="AU70" s="410"/>
      <c r="AV70" s="410"/>
      <c r="AW70" s="410"/>
      <c r="AX70" s="410"/>
      <c r="AY70" s="411"/>
      <c r="AZ70" s="464"/>
      <c r="BA70" s="465"/>
      <c r="BB70" s="62">
        <v>6</v>
      </c>
      <c r="BC70" s="426"/>
      <c r="BD70" s="427"/>
      <c r="BE70" s="427"/>
      <c r="BF70" s="428"/>
      <c r="BG70" s="429"/>
      <c r="BH70" s="430"/>
      <c r="BI70" s="196"/>
      <c r="BJ70" s="474"/>
      <c r="BK70" s="475"/>
      <c r="BL70" s="475"/>
      <c r="BM70" s="475"/>
      <c r="BN70" s="475"/>
      <c r="BO70" s="476"/>
      <c r="BP70" s="474"/>
      <c r="BQ70" s="475"/>
      <c r="BR70" s="475"/>
      <c r="BS70" s="475"/>
      <c r="BT70" s="475"/>
      <c r="BU70" s="476"/>
      <c r="BV70" s="474"/>
      <c r="BW70" s="475"/>
      <c r="BX70" s="475"/>
      <c r="BY70" s="475"/>
      <c r="BZ70" s="475"/>
      <c r="CA70" s="476"/>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5" hidden="1" customHeight="1">
      <c r="A71" s="434">
        <v>11</v>
      </c>
      <c r="B71" s="36"/>
      <c r="C71" s="198" t="str">
        <f t="shared" ca="1" si="2"/>
        <v/>
      </c>
      <c r="D71" s="477"/>
      <c r="E71" s="478"/>
      <c r="F71" s="478"/>
      <c r="G71" s="478"/>
      <c r="H71" s="478"/>
      <c r="I71" s="478"/>
      <c r="J71" s="478"/>
      <c r="K71" s="438" t="s">
        <v>213</v>
      </c>
      <c r="L71" s="439"/>
      <c r="M71" s="439"/>
      <c r="N71" s="439"/>
      <c r="O71" s="439"/>
      <c r="P71" s="439"/>
      <c r="Q71" s="439"/>
      <c r="R71" s="442" t="s">
        <v>186</v>
      </c>
      <c r="S71" s="443"/>
      <c r="T71" s="442"/>
      <c r="U71" s="443"/>
      <c r="V71" s="438" t="s">
        <v>191</v>
      </c>
      <c r="W71" s="439"/>
      <c r="X71" s="439"/>
      <c r="Y71" s="439"/>
      <c r="Z71" s="439"/>
      <c r="AA71" s="439"/>
      <c r="AB71" s="439"/>
      <c r="AC71" s="449"/>
      <c r="AD71" s="438" t="s">
        <v>214</v>
      </c>
      <c r="AE71" s="439"/>
      <c r="AF71" s="439"/>
      <c r="AG71" s="439"/>
      <c r="AH71" s="439"/>
      <c r="AI71" s="439"/>
      <c r="AJ71" s="439"/>
      <c r="AK71" s="449"/>
      <c r="AL71" s="451" t="s">
        <v>215</v>
      </c>
      <c r="AM71" s="492"/>
      <c r="AN71" s="492"/>
      <c r="AO71" s="492"/>
      <c r="AP71" s="492"/>
      <c r="AQ71" s="492"/>
      <c r="AR71" s="493"/>
      <c r="AS71" s="438" t="s">
        <v>212</v>
      </c>
      <c r="AT71" s="439"/>
      <c r="AU71" s="439"/>
      <c r="AV71" s="439"/>
      <c r="AW71" s="439"/>
      <c r="AX71" s="439"/>
      <c r="AY71" s="449"/>
      <c r="AZ71" s="460"/>
      <c r="BA71" s="461"/>
      <c r="BB71" s="60">
        <v>1</v>
      </c>
      <c r="BC71" s="466"/>
      <c r="BD71" s="467"/>
      <c r="BE71" s="467"/>
      <c r="BF71" s="468"/>
      <c r="BG71" s="469"/>
      <c r="BH71" s="470"/>
      <c r="BI71" s="194"/>
      <c r="BJ71" s="471"/>
      <c r="BK71" s="472"/>
      <c r="BL71" s="472"/>
      <c r="BM71" s="472"/>
      <c r="BN71" s="472"/>
      <c r="BO71" s="473"/>
      <c r="BP71" s="471"/>
      <c r="BQ71" s="472"/>
      <c r="BR71" s="472"/>
      <c r="BS71" s="472"/>
      <c r="BT71" s="472"/>
      <c r="BU71" s="473"/>
      <c r="BV71" s="471"/>
      <c r="BW71" s="472"/>
      <c r="BX71" s="472"/>
      <c r="BY71" s="472"/>
      <c r="BZ71" s="472"/>
      <c r="CA71" s="473"/>
      <c r="CB71" s="466"/>
      <c r="CC71" s="467"/>
      <c r="CD71" s="467"/>
      <c r="CE71" s="468"/>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5" hidden="1">
      <c r="A72" s="435"/>
      <c r="B72" s="36"/>
      <c r="C72" s="199" t="str">
        <f t="shared" ca="1" si="2"/>
        <v/>
      </c>
      <c r="D72" s="479"/>
      <c r="E72" s="480"/>
      <c r="F72" s="480"/>
      <c r="G72" s="480"/>
      <c r="H72" s="480"/>
      <c r="I72" s="480"/>
      <c r="J72" s="480"/>
      <c r="K72" s="440"/>
      <c r="L72" s="441"/>
      <c r="M72" s="441"/>
      <c r="N72" s="441"/>
      <c r="O72" s="441"/>
      <c r="P72" s="441"/>
      <c r="Q72" s="441"/>
      <c r="R72" s="444"/>
      <c r="S72" s="445"/>
      <c r="T72" s="444"/>
      <c r="U72" s="445"/>
      <c r="V72" s="440"/>
      <c r="W72" s="441"/>
      <c r="X72" s="441"/>
      <c r="Y72" s="441"/>
      <c r="Z72" s="441"/>
      <c r="AA72" s="441"/>
      <c r="AB72" s="441"/>
      <c r="AC72" s="450"/>
      <c r="AD72" s="440"/>
      <c r="AE72" s="441"/>
      <c r="AF72" s="441"/>
      <c r="AG72" s="441"/>
      <c r="AH72" s="441"/>
      <c r="AI72" s="441"/>
      <c r="AJ72" s="441"/>
      <c r="AK72" s="450"/>
      <c r="AL72" s="494"/>
      <c r="AM72" s="495"/>
      <c r="AN72" s="495"/>
      <c r="AO72" s="495"/>
      <c r="AP72" s="495"/>
      <c r="AQ72" s="495"/>
      <c r="AR72" s="496"/>
      <c r="AS72" s="440"/>
      <c r="AT72" s="441"/>
      <c r="AU72" s="441"/>
      <c r="AV72" s="441"/>
      <c r="AW72" s="441"/>
      <c r="AX72" s="441"/>
      <c r="AY72" s="450"/>
      <c r="AZ72" s="462"/>
      <c r="BA72" s="463"/>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5" hidden="1">
      <c r="A73" s="435"/>
      <c r="B73" s="36"/>
      <c r="C73" s="199" t="str">
        <f t="shared" ca="1" si="2"/>
        <v/>
      </c>
      <c r="D73" s="479"/>
      <c r="E73" s="480"/>
      <c r="F73" s="480"/>
      <c r="G73" s="480"/>
      <c r="H73" s="480"/>
      <c r="I73" s="480"/>
      <c r="J73" s="480"/>
      <c r="K73" s="440"/>
      <c r="L73" s="441"/>
      <c r="M73" s="441"/>
      <c r="N73" s="441"/>
      <c r="O73" s="441"/>
      <c r="P73" s="441"/>
      <c r="Q73" s="441"/>
      <c r="R73" s="444"/>
      <c r="S73" s="445"/>
      <c r="T73" s="444"/>
      <c r="U73" s="445"/>
      <c r="V73" s="440"/>
      <c r="W73" s="441"/>
      <c r="X73" s="441"/>
      <c r="Y73" s="441"/>
      <c r="Z73" s="441"/>
      <c r="AA73" s="441"/>
      <c r="AB73" s="441"/>
      <c r="AC73" s="450"/>
      <c r="AD73" s="440"/>
      <c r="AE73" s="441"/>
      <c r="AF73" s="441"/>
      <c r="AG73" s="441"/>
      <c r="AH73" s="441"/>
      <c r="AI73" s="441"/>
      <c r="AJ73" s="441"/>
      <c r="AK73" s="450"/>
      <c r="AL73" s="494"/>
      <c r="AM73" s="495"/>
      <c r="AN73" s="495"/>
      <c r="AO73" s="495"/>
      <c r="AP73" s="495"/>
      <c r="AQ73" s="495"/>
      <c r="AR73" s="496"/>
      <c r="AS73" s="440"/>
      <c r="AT73" s="441"/>
      <c r="AU73" s="441"/>
      <c r="AV73" s="441"/>
      <c r="AW73" s="441"/>
      <c r="AX73" s="441"/>
      <c r="AY73" s="450"/>
      <c r="AZ73" s="462"/>
      <c r="BA73" s="463"/>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5" hidden="1">
      <c r="A74" s="435"/>
      <c r="B74" s="36"/>
      <c r="C74" s="199" t="str">
        <f t="shared" ca="1" si="2"/>
        <v/>
      </c>
      <c r="D74" s="479"/>
      <c r="E74" s="480"/>
      <c r="F74" s="480"/>
      <c r="G74" s="480"/>
      <c r="H74" s="480"/>
      <c r="I74" s="480"/>
      <c r="J74" s="480"/>
      <c r="K74" s="440"/>
      <c r="L74" s="441"/>
      <c r="M74" s="441"/>
      <c r="N74" s="441"/>
      <c r="O74" s="441"/>
      <c r="P74" s="441"/>
      <c r="Q74" s="441"/>
      <c r="R74" s="444"/>
      <c r="S74" s="445"/>
      <c r="T74" s="444"/>
      <c r="U74" s="445"/>
      <c r="V74" s="440"/>
      <c r="W74" s="441"/>
      <c r="X74" s="441"/>
      <c r="Y74" s="441"/>
      <c r="Z74" s="441"/>
      <c r="AA74" s="441"/>
      <c r="AB74" s="441"/>
      <c r="AC74" s="450"/>
      <c r="AD74" s="440"/>
      <c r="AE74" s="441"/>
      <c r="AF74" s="441"/>
      <c r="AG74" s="441"/>
      <c r="AH74" s="441"/>
      <c r="AI74" s="441"/>
      <c r="AJ74" s="441"/>
      <c r="AK74" s="450"/>
      <c r="AL74" s="494"/>
      <c r="AM74" s="495"/>
      <c r="AN74" s="495"/>
      <c r="AO74" s="495"/>
      <c r="AP74" s="495"/>
      <c r="AQ74" s="495"/>
      <c r="AR74" s="496"/>
      <c r="AS74" s="440"/>
      <c r="AT74" s="441"/>
      <c r="AU74" s="441"/>
      <c r="AV74" s="441"/>
      <c r="AW74" s="441"/>
      <c r="AX74" s="441"/>
      <c r="AY74" s="450"/>
      <c r="AZ74" s="462"/>
      <c r="BA74" s="463"/>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5" hidden="1">
      <c r="A75" s="435"/>
      <c r="B75" s="36"/>
      <c r="C75" s="199" t="str">
        <f t="shared" ca="1" si="2"/>
        <v/>
      </c>
      <c r="D75" s="479"/>
      <c r="E75" s="480"/>
      <c r="F75" s="480"/>
      <c r="G75" s="480"/>
      <c r="H75" s="480"/>
      <c r="I75" s="480"/>
      <c r="J75" s="480"/>
      <c r="K75" s="440"/>
      <c r="L75" s="441"/>
      <c r="M75" s="441"/>
      <c r="N75" s="441"/>
      <c r="O75" s="441"/>
      <c r="P75" s="441"/>
      <c r="Q75" s="441"/>
      <c r="R75" s="444"/>
      <c r="S75" s="445"/>
      <c r="T75" s="444"/>
      <c r="U75" s="445"/>
      <c r="V75" s="440"/>
      <c r="W75" s="441"/>
      <c r="X75" s="441"/>
      <c r="Y75" s="441"/>
      <c r="Z75" s="441"/>
      <c r="AA75" s="441"/>
      <c r="AB75" s="441"/>
      <c r="AC75" s="450"/>
      <c r="AD75" s="440"/>
      <c r="AE75" s="441"/>
      <c r="AF75" s="441"/>
      <c r="AG75" s="441"/>
      <c r="AH75" s="441"/>
      <c r="AI75" s="441"/>
      <c r="AJ75" s="441"/>
      <c r="AK75" s="450"/>
      <c r="AL75" s="494"/>
      <c r="AM75" s="495"/>
      <c r="AN75" s="495"/>
      <c r="AO75" s="495"/>
      <c r="AP75" s="495"/>
      <c r="AQ75" s="495"/>
      <c r="AR75" s="496"/>
      <c r="AS75" s="440"/>
      <c r="AT75" s="441"/>
      <c r="AU75" s="441"/>
      <c r="AV75" s="441"/>
      <c r="AW75" s="441"/>
      <c r="AX75" s="441"/>
      <c r="AY75" s="450"/>
      <c r="AZ75" s="462"/>
      <c r="BA75" s="463"/>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5" hidden="1">
      <c r="A76" s="436"/>
      <c r="B76" s="37"/>
      <c r="C76" s="200" t="str">
        <f t="shared" ca="1" si="2"/>
        <v/>
      </c>
      <c r="D76" s="481"/>
      <c r="E76" s="482"/>
      <c r="F76" s="482"/>
      <c r="G76" s="482"/>
      <c r="H76" s="482"/>
      <c r="I76" s="482"/>
      <c r="J76" s="482"/>
      <c r="K76" s="409"/>
      <c r="L76" s="410"/>
      <c r="M76" s="410"/>
      <c r="N76" s="410"/>
      <c r="O76" s="410"/>
      <c r="P76" s="410"/>
      <c r="Q76" s="410"/>
      <c r="R76" s="446"/>
      <c r="S76" s="447"/>
      <c r="T76" s="446"/>
      <c r="U76" s="447"/>
      <c r="V76" s="409"/>
      <c r="W76" s="410"/>
      <c r="X76" s="410"/>
      <c r="Y76" s="410"/>
      <c r="Z76" s="410"/>
      <c r="AA76" s="410"/>
      <c r="AB76" s="410"/>
      <c r="AC76" s="411"/>
      <c r="AD76" s="409"/>
      <c r="AE76" s="410"/>
      <c r="AF76" s="410"/>
      <c r="AG76" s="410"/>
      <c r="AH76" s="410"/>
      <c r="AI76" s="410"/>
      <c r="AJ76" s="410"/>
      <c r="AK76" s="411"/>
      <c r="AL76" s="497"/>
      <c r="AM76" s="498"/>
      <c r="AN76" s="498"/>
      <c r="AO76" s="498"/>
      <c r="AP76" s="498"/>
      <c r="AQ76" s="498"/>
      <c r="AR76" s="499"/>
      <c r="AS76" s="409"/>
      <c r="AT76" s="410"/>
      <c r="AU76" s="410"/>
      <c r="AV76" s="410"/>
      <c r="AW76" s="410"/>
      <c r="AX76" s="410"/>
      <c r="AY76" s="411"/>
      <c r="AZ76" s="464"/>
      <c r="BA76" s="465"/>
      <c r="BB76" s="62">
        <v>6</v>
      </c>
      <c r="BC76" s="426"/>
      <c r="BD76" s="427"/>
      <c r="BE76" s="427"/>
      <c r="BF76" s="428"/>
      <c r="BG76" s="429"/>
      <c r="BH76" s="430"/>
      <c r="BI76" s="196"/>
      <c r="BJ76" s="474"/>
      <c r="BK76" s="475"/>
      <c r="BL76" s="475"/>
      <c r="BM76" s="475"/>
      <c r="BN76" s="475"/>
      <c r="BO76" s="476"/>
      <c r="BP76" s="474"/>
      <c r="BQ76" s="475"/>
      <c r="BR76" s="475"/>
      <c r="BS76" s="475"/>
      <c r="BT76" s="475"/>
      <c r="BU76" s="476"/>
      <c r="BV76" s="474"/>
      <c r="BW76" s="475"/>
      <c r="BX76" s="475"/>
      <c r="BY76" s="475"/>
      <c r="BZ76" s="475"/>
      <c r="CA76" s="476"/>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5" hidden="1">
      <c r="A77" s="434">
        <v>12</v>
      </c>
      <c r="B77" s="36"/>
      <c r="C77" s="198" t="str">
        <f t="shared" ca="1" si="2"/>
        <v/>
      </c>
      <c r="D77" s="477"/>
      <c r="E77" s="478"/>
      <c r="F77" s="478"/>
      <c r="G77" s="478"/>
      <c r="H77" s="478"/>
      <c r="I77" s="478"/>
      <c r="J77" s="478"/>
      <c r="K77" s="438" t="s">
        <v>216</v>
      </c>
      <c r="L77" s="439"/>
      <c r="M77" s="439"/>
      <c r="N77" s="439"/>
      <c r="O77" s="439"/>
      <c r="P77" s="439"/>
      <c r="Q77" s="439"/>
      <c r="R77" s="442" t="s">
        <v>186</v>
      </c>
      <c r="S77" s="443"/>
      <c r="T77" s="442"/>
      <c r="U77" s="443"/>
      <c r="V77" s="438" t="s">
        <v>191</v>
      </c>
      <c r="W77" s="439"/>
      <c r="X77" s="439"/>
      <c r="Y77" s="439"/>
      <c r="Z77" s="439"/>
      <c r="AA77" s="439"/>
      <c r="AB77" s="439"/>
      <c r="AC77" s="449"/>
      <c r="AD77" s="438"/>
      <c r="AE77" s="439"/>
      <c r="AF77" s="439"/>
      <c r="AG77" s="439"/>
      <c r="AH77" s="439"/>
      <c r="AI77" s="439"/>
      <c r="AJ77" s="439"/>
      <c r="AK77" s="449"/>
      <c r="AL77" s="491"/>
      <c r="AM77" s="492"/>
      <c r="AN77" s="492"/>
      <c r="AO77" s="492"/>
      <c r="AP77" s="492"/>
      <c r="AQ77" s="492"/>
      <c r="AR77" s="493"/>
      <c r="AS77" s="500"/>
      <c r="AT77" s="483"/>
      <c r="AU77" s="483"/>
      <c r="AV77" s="483"/>
      <c r="AW77" s="483"/>
      <c r="AX77" s="483"/>
      <c r="AY77" s="484"/>
      <c r="AZ77" s="460"/>
      <c r="BA77" s="461"/>
      <c r="BB77" s="60">
        <v>1</v>
      </c>
      <c r="BC77" s="466"/>
      <c r="BD77" s="467"/>
      <c r="BE77" s="467"/>
      <c r="BF77" s="468"/>
      <c r="BG77" s="469"/>
      <c r="BH77" s="470"/>
      <c r="BI77" s="194"/>
      <c r="BJ77" s="471"/>
      <c r="BK77" s="472"/>
      <c r="BL77" s="472"/>
      <c r="BM77" s="472"/>
      <c r="BN77" s="472"/>
      <c r="BO77" s="473"/>
      <c r="BP77" s="471"/>
      <c r="BQ77" s="472"/>
      <c r="BR77" s="472"/>
      <c r="BS77" s="472"/>
      <c r="BT77" s="472"/>
      <c r="BU77" s="473"/>
      <c r="BV77" s="471"/>
      <c r="BW77" s="472"/>
      <c r="BX77" s="472"/>
      <c r="BY77" s="472"/>
      <c r="BZ77" s="472"/>
      <c r="CA77" s="473"/>
      <c r="CB77" s="466"/>
      <c r="CC77" s="467"/>
      <c r="CD77" s="467"/>
      <c r="CE77" s="468"/>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5" hidden="1">
      <c r="A78" s="435"/>
      <c r="B78" s="36"/>
      <c r="C78" s="199" t="str">
        <f t="shared" ca="1" si="2"/>
        <v/>
      </c>
      <c r="D78" s="479"/>
      <c r="E78" s="480"/>
      <c r="F78" s="480"/>
      <c r="G78" s="480"/>
      <c r="H78" s="480"/>
      <c r="I78" s="480"/>
      <c r="J78" s="480"/>
      <c r="K78" s="440"/>
      <c r="L78" s="441"/>
      <c r="M78" s="441"/>
      <c r="N78" s="441"/>
      <c r="O78" s="441"/>
      <c r="P78" s="441"/>
      <c r="Q78" s="441"/>
      <c r="R78" s="444"/>
      <c r="S78" s="445"/>
      <c r="T78" s="444"/>
      <c r="U78" s="445"/>
      <c r="V78" s="440"/>
      <c r="W78" s="441"/>
      <c r="X78" s="441"/>
      <c r="Y78" s="441"/>
      <c r="Z78" s="441"/>
      <c r="AA78" s="441"/>
      <c r="AB78" s="441"/>
      <c r="AC78" s="450"/>
      <c r="AD78" s="440"/>
      <c r="AE78" s="441"/>
      <c r="AF78" s="441"/>
      <c r="AG78" s="441"/>
      <c r="AH78" s="441"/>
      <c r="AI78" s="441"/>
      <c r="AJ78" s="441"/>
      <c r="AK78" s="450"/>
      <c r="AL78" s="494"/>
      <c r="AM78" s="495"/>
      <c r="AN78" s="495"/>
      <c r="AO78" s="495"/>
      <c r="AP78" s="495"/>
      <c r="AQ78" s="495"/>
      <c r="AR78" s="496"/>
      <c r="AS78" s="485"/>
      <c r="AT78" s="486"/>
      <c r="AU78" s="486"/>
      <c r="AV78" s="486"/>
      <c r="AW78" s="486"/>
      <c r="AX78" s="486"/>
      <c r="AY78" s="487"/>
      <c r="AZ78" s="462"/>
      <c r="BA78" s="463"/>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5" hidden="1">
      <c r="A79" s="435"/>
      <c r="B79" s="36"/>
      <c r="C79" s="199" t="str">
        <f t="shared" ca="1" si="2"/>
        <v/>
      </c>
      <c r="D79" s="479"/>
      <c r="E79" s="480"/>
      <c r="F79" s="480"/>
      <c r="G79" s="480"/>
      <c r="H79" s="480"/>
      <c r="I79" s="480"/>
      <c r="J79" s="480"/>
      <c r="K79" s="440"/>
      <c r="L79" s="441"/>
      <c r="M79" s="441"/>
      <c r="N79" s="441"/>
      <c r="O79" s="441"/>
      <c r="P79" s="441"/>
      <c r="Q79" s="441"/>
      <c r="R79" s="444"/>
      <c r="S79" s="445"/>
      <c r="T79" s="444"/>
      <c r="U79" s="445"/>
      <c r="V79" s="440"/>
      <c r="W79" s="441"/>
      <c r="X79" s="441"/>
      <c r="Y79" s="441"/>
      <c r="Z79" s="441"/>
      <c r="AA79" s="441"/>
      <c r="AB79" s="441"/>
      <c r="AC79" s="450"/>
      <c r="AD79" s="440"/>
      <c r="AE79" s="441"/>
      <c r="AF79" s="441"/>
      <c r="AG79" s="441"/>
      <c r="AH79" s="441"/>
      <c r="AI79" s="441"/>
      <c r="AJ79" s="441"/>
      <c r="AK79" s="450"/>
      <c r="AL79" s="494"/>
      <c r="AM79" s="495"/>
      <c r="AN79" s="495"/>
      <c r="AO79" s="495"/>
      <c r="AP79" s="495"/>
      <c r="AQ79" s="495"/>
      <c r="AR79" s="496"/>
      <c r="AS79" s="485"/>
      <c r="AT79" s="486"/>
      <c r="AU79" s="486"/>
      <c r="AV79" s="486"/>
      <c r="AW79" s="486"/>
      <c r="AX79" s="486"/>
      <c r="AY79" s="487"/>
      <c r="AZ79" s="462"/>
      <c r="BA79" s="463"/>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5" hidden="1">
      <c r="A80" s="435"/>
      <c r="B80" s="36"/>
      <c r="C80" s="199" t="str">
        <f t="shared" ca="1" si="2"/>
        <v/>
      </c>
      <c r="D80" s="479"/>
      <c r="E80" s="480"/>
      <c r="F80" s="480"/>
      <c r="G80" s="480"/>
      <c r="H80" s="480"/>
      <c r="I80" s="480"/>
      <c r="J80" s="480"/>
      <c r="K80" s="440"/>
      <c r="L80" s="441"/>
      <c r="M80" s="441"/>
      <c r="N80" s="441"/>
      <c r="O80" s="441"/>
      <c r="P80" s="441"/>
      <c r="Q80" s="441"/>
      <c r="R80" s="444"/>
      <c r="S80" s="445"/>
      <c r="T80" s="444"/>
      <c r="U80" s="445"/>
      <c r="V80" s="440"/>
      <c r="W80" s="441"/>
      <c r="X80" s="441"/>
      <c r="Y80" s="441"/>
      <c r="Z80" s="441"/>
      <c r="AA80" s="441"/>
      <c r="AB80" s="441"/>
      <c r="AC80" s="450"/>
      <c r="AD80" s="440"/>
      <c r="AE80" s="441"/>
      <c r="AF80" s="441"/>
      <c r="AG80" s="441"/>
      <c r="AH80" s="441"/>
      <c r="AI80" s="441"/>
      <c r="AJ80" s="441"/>
      <c r="AK80" s="450"/>
      <c r="AL80" s="494"/>
      <c r="AM80" s="495"/>
      <c r="AN80" s="495"/>
      <c r="AO80" s="495"/>
      <c r="AP80" s="495"/>
      <c r="AQ80" s="495"/>
      <c r="AR80" s="496"/>
      <c r="AS80" s="485"/>
      <c r="AT80" s="486"/>
      <c r="AU80" s="486"/>
      <c r="AV80" s="486"/>
      <c r="AW80" s="486"/>
      <c r="AX80" s="486"/>
      <c r="AY80" s="487"/>
      <c r="AZ80" s="462"/>
      <c r="BA80" s="463"/>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5" hidden="1">
      <c r="A81" s="435"/>
      <c r="B81" s="36"/>
      <c r="C81" s="199" t="str">
        <f t="shared" ca="1" si="2"/>
        <v/>
      </c>
      <c r="D81" s="479"/>
      <c r="E81" s="480"/>
      <c r="F81" s="480"/>
      <c r="G81" s="480"/>
      <c r="H81" s="480"/>
      <c r="I81" s="480"/>
      <c r="J81" s="480"/>
      <c r="K81" s="440"/>
      <c r="L81" s="441"/>
      <c r="M81" s="441"/>
      <c r="N81" s="441"/>
      <c r="O81" s="441"/>
      <c r="P81" s="441"/>
      <c r="Q81" s="441"/>
      <c r="R81" s="444"/>
      <c r="S81" s="445"/>
      <c r="T81" s="444"/>
      <c r="U81" s="445"/>
      <c r="V81" s="440"/>
      <c r="W81" s="441"/>
      <c r="X81" s="441"/>
      <c r="Y81" s="441"/>
      <c r="Z81" s="441"/>
      <c r="AA81" s="441"/>
      <c r="AB81" s="441"/>
      <c r="AC81" s="450"/>
      <c r="AD81" s="440"/>
      <c r="AE81" s="441"/>
      <c r="AF81" s="441"/>
      <c r="AG81" s="441"/>
      <c r="AH81" s="441"/>
      <c r="AI81" s="441"/>
      <c r="AJ81" s="441"/>
      <c r="AK81" s="450"/>
      <c r="AL81" s="494"/>
      <c r="AM81" s="495"/>
      <c r="AN81" s="495"/>
      <c r="AO81" s="495"/>
      <c r="AP81" s="495"/>
      <c r="AQ81" s="495"/>
      <c r="AR81" s="496"/>
      <c r="AS81" s="485"/>
      <c r="AT81" s="486"/>
      <c r="AU81" s="486"/>
      <c r="AV81" s="486"/>
      <c r="AW81" s="486"/>
      <c r="AX81" s="486"/>
      <c r="AY81" s="487"/>
      <c r="AZ81" s="462"/>
      <c r="BA81" s="463"/>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5" hidden="1">
      <c r="A82" s="436"/>
      <c r="B82" s="37"/>
      <c r="C82" s="200" t="str">
        <f t="shared" ref="C82:C181" ca="1" si="3">IF(AND(OFFSET($K82,-($BB82-1),0)&lt;&gt;"",OFFSET($R82,-($BB82-1),0)&lt;&gt;"x"),"●","")</f>
        <v/>
      </c>
      <c r="D82" s="481"/>
      <c r="E82" s="482"/>
      <c r="F82" s="482"/>
      <c r="G82" s="482"/>
      <c r="H82" s="482"/>
      <c r="I82" s="482"/>
      <c r="J82" s="482"/>
      <c r="K82" s="409"/>
      <c r="L82" s="410"/>
      <c r="M82" s="410"/>
      <c r="N82" s="410"/>
      <c r="O82" s="410"/>
      <c r="P82" s="410"/>
      <c r="Q82" s="410"/>
      <c r="R82" s="446"/>
      <c r="S82" s="447"/>
      <c r="T82" s="446"/>
      <c r="U82" s="447"/>
      <c r="V82" s="409"/>
      <c r="W82" s="410"/>
      <c r="X82" s="410"/>
      <c r="Y82" s="410"/>
      <c r="Z82" s="410"/>
      <c r="AA82" s="410"/>
      <c r="AB82" s="410"/>
      <c r="AC82" s="411"/>
      <c r="AD82" s="409"/>
      <c r="AE82" s="410"/>
      <c r="AF82" s="410"/>
      <c r="AG82" s="410"/>
      <c r="AH82" s="410"/>
      <c r="AI82" s="410"/>
      <c r="AJ82" s="410"/>
      <c r="AK82" s="411"/>
      <c r="AL82" s="497"/>
      <c r="AM82" s="498"/>
      <c r="AN82" s="498"/>
      <c r="AO82" s="498"/>
      <c r="AP82" s="498"/>
      <c r="AQ82" s="498"/>
      <c r="AR82" s="499"/>
      <c r="AS82" s="488"/>
      <c r="AT82" s="489"/>
      <c r="AU82" s="489"/>
      <c r="AV82" s="489"/>
      <c r="AW82" s="489"/>
      <c r="AX82" s="489"/>
      <c r="AY82" s="490"/>
      <c r="AZ82" s="464"/>
      <c r="BA82" s="465"/>
      <c r="BB82" s="62">
        <v>6</v>
      </c>
      <c r="BC82" s="426"/>
      <c r="BD82" s="427"/>
      <c r="BE82" s="427"/>
      <c r="BF82" s="428"/>
      <c r="BG82" s="429"/>
      <c r="BH82" s="430"/>
      <c r="BI82" s="196"/>
      <c r="BJ82" s="474"/>
      <c r="BK82" s="475"/>
      <c r="BL82" s="475"/>
      <c r="BM82" s="475"/>
      <c r="BN82" s="475"/>
      <c r="BO82" s="476"/>
      <c r="BP82" s="474"/>
      <c r="BQ82" s="475"/>
      <c r="BR82" s="475"/>
      <c r="BS82" s="475"/>
      <c r="BT82" s="475"/>
      <c r="BU82" s="476"/>
      <c r="BV82" s="474"/>
      <c r="BW82" s="475"/>
      <c r="BX82" s="475"/>
      <c r="BY82" s="475"/>
      <c r="BZ82" s="475"/>
      <c r="CA82" s="476"/>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5" hidden="1">
      <c r="A83" s="434">
        <v>13</v>
      </c>
      <c r="B83" s="36"/>
      <c r="C83" s="198" t="str">
        <f t="shared" ca="1" si="3"/>
        <v/>
      </c>
      <c r="D83" s="477" t="s">
        <v>217</v>
      </c>
      <c r="E83" s="478"/>
      <c r="F83" s="478"/>
      <c r="G83" s="478"/>
      <c r="H83" s="478"/>
      <c r="I83" s="478"/>
      <c r="J83" s="478"/>
      <c r="K83" s="438" t="s">
        <v>218</v>
      </c>
      <c r="L83" s="439"/>
      <c r="M83" s="439"/>
      <c r="N83" s="439"/>
      <c r="O83" s="439"/>
      <c r="P83" s="439"/>
      <c r="Q83" s="439"/>
      <c r="R83" s="442" t="s">
        <v>186</v>
      </c>
      <c r="S83" s="443"/>
      <c r="T83" s="442"/>
      <c r="U83" s="443"/>
      <c r="V83" s="438" t="s">
        <v>191</v>
      </c>
      <c r="W83" s="439"/>
      <c r="X83" s="439"/>
      <c r="Y83" s="439"/>
      <c r="Z83" s="439"/>
      <c r="AA83" s="439"/>
      <c r="AB83" s="439"/>
      <c r="AC83" s="449"/>
      <c r="AD83" s="438"/>
      <c r="AE83" s="439"/>
      <c r="AF83" s="439"/>
      <c r="AG83" s="439"/>
      <c r="AH83" s="439"/>
      <c r="AI83" s="439"/>
      <c r="AJ83" s="439"/>
      <c r="AK83" s="449"/>
      <c r="AL83" s="491"/>
      <c r="AM83" s="492"/>
      <c r="AN83" s="492"/>
      <c r="AO83" s="492"/>
      <c r="AP83" s="492"/>
      <c r="AQ83" s="492"/>
      <c r="AR83" s="493"/>
      <c r="AS83" s="500"/>
      <c r="AT83" s="483"/>
      <c r="AU83" s="483"/>
      <c r="AV83" s="483"/>
      <c r="AW83" s="483"/>
      <c r="AX83" s="483"/>
      <c r="AY83" s="484"/>
      <c r="AZ83" s="460"/>
      <c r="BA83" s="461"/>
      <c r="BB83" s="60">
        <v>1</v>
      </c>
      <c r="BC83" s="466"/>
      <c r="BD83" s="467"/>
      <c r="BE83" s="467"/>
      <c r="BF83" s="468"/>
      <c r="BG83" s="469"/>
      <c r="BH83" s="470"/>
      <c r="BI83" s="194"/>
      <c r="BJ83" s="471"/>
      <c r="BK83" s="472"/>
      <c r="BL83" s="472"/>
      <c r="BM83" s="472"/>
      <c r="BN83" s="472"/>
      <c r="BO83" s="473"/>
      <c r="BP83" s="471"/>
      <c r="BQ83" s="472"/>
      <c r="BR83" s="472"/>
      <c r="BS83" s="472"/>
      <c r="BT83" s="472"/>
      <c r="BU83" s="473"/>
      <c r="BV83" s="471"/>
      <c r="BW83" s="472"/>
      <c r="BX83" s="472"/>
      <c r="BY83" s="472"/>
      <c r="BZ83" s="472"/>
      <c r="CA83" s="473"/>
      <c r="CB83" s="466"/>
      <c r="CC83" s="467"/>
      <c r="CD83" s="467"/>
      <c r="CE83" s="468"/>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5" hidden="1">
      <c r="A84" s="435"/>
      <c r="B84" s="36"/>
      <c r="C84" s="199" t="str">
        <f t="shared" ca="1" si="3"/>
        <v/>
      </c>
      <c r="D84" s="479"/>
      <c r="E84" s="480"/>
      <c r="F84" s="480"/>
      <c r="G84" s="480"/>
      <c r="H84" s="480"/>
      <c r="I84" s="480"/>
      <c r="J84" s="480"/>
      <c r="K84" s="440"/>
      <c r="L84" s="441"/>
      <c r="M84" s="441"/>
      <c r="N84" s="441"/>
      <c r="O84" s="441"/>
      <c r="P84" s="441"/>
      <c r="Q84" s="441"/>
      <c r="R84" s="444"/>
      <c r="S84" s="445"/>
      <c r="T84" s="444"/>
      <c r="U84" s="445"/>
      <c r="V84" s="440"/>
      <c r="W84" s="441"/>
      <c r="X84" s="441"/>
      <c r="Y84" s="441"/>
      <c r="Z84" s="441"/>
      <c r="AA84" s="441"/>
      <c r="AB84" s="441"/>
      <c r="AC84" s="450"/>
      <c r="AD84" s="440"/>
      <c r="AE84" s="441"/>
      <c r="AF84" s="441"/>
      <c r="AG84" s="441"/>
      <c r="AH84" s="441"/>
      <c r="AI84" s="441"/>
      <c r="AJ84" s="441"/>
      <c r="AK84" s="450"/>
      <c r="AL84" s="494"/>
      <c r="AM84" s="495"/>
      <c r="AN84" s="495"/>
      <c r="AO84" s="495"/>
      <c r="AP84" s="495"/>
      <c r="AQ84" s="495"/>
      <c r="AR84" s="496"/>
      <c r="AS84" s="485"/>
      <c r="AT84" s="486"/>
      <c r="AU84" s="486"/>
      <c r="AV84" s="486"/>
      <c r="AW84" s="486"/>
      <c r="AX84" s="486"/>
      <c r="AY84" s="487"/>
      <c r="AZ84" s="462"/>
      <c r="BA84" s="463"/>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5" hidden="1">
      <c r="A85" s="435"/>
      <c r="B85" s="36"/>
      <c r="C85" s="199" t="str">
        <f t="shared" ca="1" si="3"/>
        <v/>
      </c>
      <c r="D85" s="479"/>
      <c r="E85" s="480"/>
      <c r="F85" s="480"/>
      <c r="G85" s="480"/>
      <c r="H85" s="480"/>
      <c r="I85" s="480"/>
      <c r="J85" s="480"/>
      <c r="K85" s="440"/>
      <c r="L85" s="441"/>
      <c r="M85" s="441"/>
      <c r="N85" s="441"/>
      <c r="O85" s="441"/>
      <c r="P85" s="441"/>
      <c r="Q85" s="441"/>
      <c r="R85" s="444"/>
      <c r="S85" s="445"/>
      <c r="T85" s="444"/>
      <c r="U85" s="445"/>
      <c r="V85" s="440"/>
      <c r="W85" s="441"/>
      <c r="X85" s="441"/>
      <c r="Y85" s="441"/>
      <c r="Z85" s="441"/>
      <c r="AA85" s="441"/>
      <c r="AB85" s="441"/>
      <c r="AC85" s="450"/>
      <c r="AD85" s="440"/>
      <c r="AE85" s="441"/>
      <c r="AF85" s="441"/>
      <c r="AG85" s="441"/>
      <c r="AH85" s="441"/>
      <c r="AI85" s="441"/>
      <c r="AJ85" s="441"/>
      <c r="AK85" s="450"/>
      <c r="AL85" s="494"/>
      <c r="AM85" s="495"/>
      <c r="AN85" s="495"/>
      <c r="AO85" s="495"/>
      <c r="AP85" s="495"/>
      <c r="AQ85" s="495"/>
      <c r="AR85" s="496"/>
      <c r="AS85" s="485"/>
      <c r="AT85" s="486"/>
      <c r="AU85" s="486"/>
      <c r="AV85" s="486"/>
      <c r="AW85" s="486"/>
      <c r="AX85" s="486"/>
      <c r="AY85" s="487"/>
      <c r="AZ85" s="462"/>
      <c r="BA85" s="463"/>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5" hidden="1">
      <c r="A86" s="435"/>
      <c r="B86" s="36"/>
      <c r="C86" s="199" t="str">
        <f t="shared" ca="1" si="3"/>
        <v/>
      </c>
      <c r="D86" s="479"/>
      <c r="E86" s="480"/>
      <c r="F86" s="480"/>
      <c r="G86" s="480"/>
      <c r="H86" s="480"/>
      <c r="I86" s="480"/>
      <c r="J86" s="480"/>
      <c r="K86" s="440"/>
      <c r="L86" s="441"/>
      <c r="M86" s="441"/>
      <c r="N86" s="441"/>
      <c r="O86" s="441"/>
      <c r="P86" s="441"/>
      <c r="Q86" s="441"/>
      <c r="R86" s="444"/>
      <c r="S86" s="445"/>
      <c r="T86" s="444"/>
      <c r="U86" s="445"/>
      <c r="V86" s="440"/>
      <c r="W86" s="441"/>
      <c r="X86" s="441"/>
      <c r="Y86" s="441"/>
      <c r="Z86" s="441"/>
      <c r="AA86" s="441"/>
      <c r="AB86" s="441"/>
      <c r="AC86" s="450"/>
      <c r="AD86" s="440"/>
      <c r="AE86" s="441"/>
      <c r="AF86" s="441"/>
      <c r="AG86" s="441"/>
      <c r="AH86" s="441"/>
      <c r="AI86" s="441"/>
      <c r="AJ86" s="441"/>
      <c r="AK86" s="450"/>
      <c r="AL86" s="494"/>
      <c r="AM86" s="495"/>
      <c r="AN86" s="495"/>
      <c r="AO86" s="495"/>
      <c r="AP86" s="495"/>
      <c r="AQ86" s="495"/>
      <c r="AR86" s="496"/>
      <c r="AS86" s="485"/>
      <c r="AT86" s="486"/>
      <c r="AU86" s="486"/>
      <c r="AV86" s="486"/>
      <c r="AW86" s="486"/>
      <c r="AX86" s="486"/>
      <c r="AY86" s="487"/>
      <c r="AZ86" s="462"/>
      <c r="BA86" s="463"/>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5" hidden="1">
      <c r="A87" s="435"/>
      <c r="B87" s="36"/>
      <c r="C87" s="199" t="str">
        <f t="shared" ca="1" si="3"/>
        <v/>
      </c>
      <c r="D87" s="479"/>
      <c r="E87" s="480"/>
      <c r="F87" s="480"/>
      <c r="G87" s="480"/>
      <c r="H87" s="480"/>
      <c r="I87" s="480"/>
      <c r="J87" s="480"/>
      <c r="K87" s="440"/>
      <c r="L87" s="441"/>
      <c r="M87" s="441"/>
      <c r="N87" s="441"/>
      <c r="O87" s="441"/>
      <c r="P87" s="441"/>
      <c r="Q87" s="441"/>
      <c r="R87" s="444"/>
      <c r="S87" s="445"/>
      <c r="T87" s="444"/>
      <c r="U87" s="445"/>
      <c r="V87" s="440"/>
      <c r="W87" s="441"/>
      <c r="X87" s="441"/>
      <c r="Y87" s="441"/>
      <c r="Z87" s="441"/>
      <c r="AA87" s="441"/>
      <c r="AB87" s="441"/>
      <c r="AC87" s="450"/>
      <c r="AD87" s="440"/>
      <c r="AE87" s="441"/>
      <c r="AF87" s="441"/>
      <c r="AG87" s="441"/>
      <c r="AH87" s="441"/>
      <c r="AI87" s="441"/>
      <c r="AJ87" s="441"/>
      <c r="AK87" s="450"/>
      <c r="AL87" s="494"/>
      <c r="AM87" s="495"/>
      <c r="AN87" s="495"/>
      <c r="AO87" s="495"/>
      <c r="AP87" s="495"/>
      <c r="AQ87" s="495"/>
      <c r="AR87" s="496"/>
      <c r="AS87" s="485"/>
      <c r="AT87" s="486"/>
      <c r="AU87" s="486"/>
      <c r="AV87" s="486"/>
      <c r="AW87" s="486"/>
      <c r="AX87" s="486"/>
      <c r="AY87" s="487"/>
      <c r="AZ87" s="462"/>
      <c r="BA87" s="463"/>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5" hidden="1">
      <c r="A88" s="436"/>
      <c r="B88" s="37"/>
      <c r="C88" s="200" t="str">
        <f t="shared" ca="1" si="3"/>
        <v/>
      </c>
      <c r="D88" s="481"/>
      <c r="E88" s="482"/>
      <c r="F88" s="482"/>
      <c r="G88" s="482"/>
      <c r="H88" s="482"/>
      <c r="I88" s="482"/>
      <c r="J88" s="482"/>
      <c r="K88" s="409"/>
      <c r="L88" s="410"/>
      <c r="M88" s="410"/>
      <c r="N88" s="410"/>
      <c r="O88" s="410"/>
      <c r="P88" s="410"/>
      <c r="Q88" s="410"/>
      <c r="R88" s="446"/>
      <c r="S88" s="447"/>
      <c r="T88" s="446"/>
      <c r="U88" s="447"/>
      <c r="V88" s="409"/>
      <c r="W88" s="410"/>
      <c r="X88" s="410"/>
      <c r="Y88" s="410"/>
      <c r="Z88" s="410"/>
      <c r="AA88" s="410"/>
      <c r="AB88" s="410"/>
      <c r="AC88" s="411"/>
      <c r="AD88" s="409"/>
      <c r="AE88" s="410"/>
      <c r="AF88" s="410"/>
      <c r="AG88" s="410"/>
      <c r="AH88" s="410"/>
      <c r="AI88" s="410"/>
      <c r="AJ88" s="410"/>
      <c r="AK88" s="411"/>
      <c r="AL88" s="497"/>
      <c r="AM88" s="498"/>
      <c r="AN88" s="498"/>
      <c r="AO88" s="498"/>
      <c r="AP88" s="498"/>
      <c r="AQ88" s="498"/>
      <c r="AR88" s="499"/>
      <c r="AS88" s="488"/>
      <c r="AT88" s="489"/>
      <c r="AU88" s="489"/>
      <c r="AV88" s="489"/>
      <c r="AW88" s="489"/>
      <c r="AX88" s="489"/>
      <c r="AY88" s="490"/>
      <c r="AZ88" s="464"/>
      <c r="BA88" s="465"/>
      <c r="BB88" s="62">
        <v>6</v>
      </c>
      <c r="BC88" s="426"/>
      <c r="BD88" s="427"/>
      <c r="BE88" s="427"/>
      <c r="BF88" s="428"/>
      <c r="BG88" s="429"/>
      <c r="BH88" s="430"/>
      <c r="BI88" s="196"/>
      <c r="BJ88" s="474"/>
      <c r="BK88" s="475"/>
      <c r="BL88" s="475"/>
      <c r="BM88" s="475"/>
      <c r="BN88" s="475"/>
      <c r="BO88" s="476"/>
      <c r="BP88" s="474"/>
      <c r="BQ88" s="475"/>
      <c r="BR88" s="475"/>
      <c r="BS88" s="475"/>
      <c r="BT88" s="475"/>
      <c r="BU88" s="476"/>
      <c r="BV88" s="474"/>
      <c r="BW88" s="475"/>
      <c r="BX88" s="475"/>
      <c r="BY88" s="475"/>
      <c r="BZ88" s="475"/>
      <c r="CA88" s="476"/>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5" hidden="1" customHeight="1">
      <c r="A89" s="434">
        <v>14</v>
      </c>
      <c r="B89" s="36"/>
      <c r="C89" s="198" t="str">
        <f t="shared" ca="1" si="3"/>
        <v/>
      </c>
      <c r="D89" s="477"/>
      <c r="E89" s="478"/>
      <c r="F89" s="478"/>
      <c r="G89" s="478"/>
      <c r="H89" s="478"/>
      <c r="I89" s="478"/>
      <c r="J89" s="478"/>
      <c r="K89" s="438" t="s">
        <v>219</v>
      </c>
      <c r="L89" s="439"/>
      <c r="M89" s="439"/>
      <c r="N89" s="439"/>
      <c r="O89" s="439"/>
      <c r="P89" s="439"/>
      <c r="Q89" s="439"/>
      <c r="R89" s="442" t="s">
        <v>186</v>
      </c>
      <c r="S89" s="443"/>
      <c r="T89" s="442"/>
      <c r="U89" s="443"/>
      <c r="V89" s="438" t="s">
        <v>191</v>
      </c>
      <c r="W89" s="439"/>
      <c r="X89" s="439"/>
      <c r="Y89" s="439"/>
      <c r="Z89" s="439"/>
      <c r="AA89" s="439"/>
      <c r="AB89" s="439"/>
      <c r="AC89" s="449"/>
      <c r="AD89" s="438" t="s">
        <v>220</v>
      </c>
      <c r="AE89" s="439"/>
      <c r="AF89" s="439"/>
      <c r="AG89" s="439"/>
      <c r="AH89" s="439"/>
      <c r="AI89" s="439"/>
      <c r="AJ89" s="439"/>
      <c r="AK89" s="449"/>
      <c r="AL89" s="438" t="s">
        <v>221</v>
      </c>
      <c r="AM89" s="439"/>
      <c r="AN89" s="439"/>
      <c r="AO89" s="439"/>
      <c r="AP89" s="439"/>
      <c r="AQ89" s="439"/>
      <c r="AR89" s="449"/>
      <c r="AS89" s="438" t="s">
        <v>222</v>
      </c>
      <c r="AT89" s="439"/>
      <c r="AU89" s="439"/>
      <c r="AV89" s="439"/>
      <c r="AW89" s="439"/>
      <c r="AX89" s="439"/>
      <c r="AY89" s="449"/>
      <c r="AZ89" s="460"/>
      <c r="BA89" s="461"/>
      <c r="BB89" s="60">
        <v>1</v>
      </c>
      <c r="BC89" s="466"/>
      <c r="BD89" s="467"/>
      <c r="BE89" s="467"/>
      <c r="BF89" s="468"/>
      <c r="BG89" s="469"/>
      <c r="BH89" s="470"/>
      <c r="BI89" s="194"/>
      <c r="BJ89" s="471"/>
      <c r="BK89" s="472"/>
      <c r="BL89" s="472"/>
      <c r="BM89" s="472"/>
      <c r="BN89" s="472"/>
      <c r="BO89" s="473"/>
      <c r="BP89" s="471"/>
      <c r="BQ89" s="472"/>
      <c r="BR89" s="472"/>
      <c r="BS89" s="472"/>
      <c r="BT89" s="472"/>
      <c r="BU89" s="473"/>
      <c r="BV89" s="471"/>
      <c r="BW89" s="472"/>
      <c r="BX89" s="472"/>
      <c r="BY89" s="472"/>
      <c r="BZ89" s="472"/>
      <c r="CA89" s="473"/>
      <c r="CB89" s="466"/>
      <c r="CC89" s="467"/>
      <c r="CD89" s="467"/>
      <c r="CE89" s="468"/>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5" hidden="1">
      <c r="A90" s="435"/>
      <c r="B90" s="36"/>
      <c r="C90" s="199" t="str">
        <f t="shared" ca="1" si="3"/>
        <v/>
      </c>
      <c r="D90" s="479"/>
      <c r="E90" s="480"/>
      <c r="F90" s="480"/>
      <c r="G90" s="480"/>
      <c r="H90" s="480"/>
      <c r="I90" s="480"/>
      <c r="J90" s="480"/>
      <c r="K90" s="440"/>
      <c r="L90" s="441"/>
      <c r="M90" s="441"/>
      <c r="N90" s="441"/>
      <c r="O90" s="441"/>
      <c r="P90" s="441"/>
      <c r="Q90" s="441"/>
      <c r="R90" s="444"/>
      <c r="S90" s="445"/>
      <c r="T90" s="444"/>
      <c r="U90" s="445"/>
      <c r="V90" s="440"/>
      <c r="W90" s="441"/>
      <c r="X90" s="441"/>
      <c r="Y90" s="441"/>
      <c r="Z90" s="441"/>
      <c r="AA90" s="441"/>
      <c r="AB90" s="441"/>
      <c r="AC90" s="450"/>
      <c r="AD90" s="440"/>
      <c r="AE90" s="441"/>
      <c r="AF90" s="441"/>
      <c r="AG90" s="441"/>
      <c r="AH90" s="441"/>
      <c r="AI90" s="441"/>
      <c r="AJ90" s="441"/>
      <c r="AK90" s="450"/>
      <c r="AL90" s="440"/>
      <c r="AM90" s="441"/>
      <c r="AN90" s="441"/>
      <c r="AO90" s="441"/>
      <c r="AP90" s="441"/>
      <c r="AQ90" s="441"/>
      <c r="AR90" s="450"/>
      <c r="AS90" s="440"/>
      <c r="AT90" s="441"/>
      <c r="AU90" s="441"/>
      <c r="AV90" s="441"/>
      <c r="AW90" s="441"/>
      <c r="AX90" s="441"/>
      <c r="AY90" s="450"/>
      <c r="AZ90" s="462"/>
      <c r="BA90" s="463"/>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5" hidden="1">
      <c r="A91" s="435"/>
      <c r="B91" s="36"/>
      <c r="C91" s="199" t="str">
        <f t="shared" ca="1" si="3"/>
        <v/>
      </c>
      <c r="D91" s="479"/>
      <c r="E91" s="480"/>
      <c r="F91" s="480"/>
      <c r="G91" s="480"/>
      <c r="H91" s="480"/>
      <c r="I91" s="480"/>
      <c r="J91" s="480"/>
      <c r="K91" s="440"/>
      <c r="L91" s="441"/>
      <c r="M91" s="441"/>
      <c r="N91" s="441"/>
      <c r="O91" s="441"/>
      <c r="P91" s="441"/>
      <c r="Q91" s="441"/>
      <c r="R91" s="444"/>
      <c r="S91" s="445"/>
      <c r="T91" s="444"/>
      <c r="U91" s="445"/>
      <c r="V91" s="440"/>
      <c r="W91" s="441"/>
      <c r="X91" s="441"/>
      <c r="Y91" s="441"/>
      <c r="Z91" s="441"/>
      <c r="AA91" s="441"/>
      <c r="AB91" s="441"/>
      <c r="AC91" s="450"/>
      <c r="AD91" s="440"/>
      <c r="AE91" s="441"/>
      <c r="AF91" s="441"/>
      <c r="AG91" s="441"/>
      <c r="AH91" s="441"/>
      <c r="AI91" s="441"/>
      <c r="AJ91" s="441"/>
      <c r="AK91" s="450"/>
      <c r="AL91" s="440"/>
      <c r="AM91" s="441"/>
      <c r="AN91" s="441"/>
      <c r="AO91" s="441"/>
      <c r="AP91" s="441"/>
      <c r="AQ91" s="441"/>
      <c r="AR91" s="450"/>
      <c r="AS91" s="440"/>
      <c r="AT91" s="441"/>
      <c r="AU91" s="441"/>
      <c r="AV91" s="441"/>
      <c r="AW91" s="441"/>
      <c r="AX91" s="441"/>
      <c r="AY91" s="450"/>
      <c r="AZ91" s="462"/>
      <c r="BA91" s="463"/>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5" hidden="1">
      <c r="A92" s="435"/>
      <c r="B92" s="36"/>
      <c r="C92" s="199" t="str">
        <f t="shared" ca="1" si="3"/>
        <v/>
      </c>
      <c r="D92" s="479"/>
      <c r="E92" s="480"/>
      <c r="F92" s="480"/>
      <c r="G92" s="480"/>
      <c r="H92" s="480"/>
      <c r="I92" s="480"/>
      <c r="J92" s="480"/>
      <c r="K92" s="440"/>
      <c r="L92" s="441"/>
      <c r="M92" s="441"/>
      <c r="N92" s="441"/>
      <c r="O92" s="441"/>
      <c r="P92" s="441"/>
      <c r="Q92" s="441"/>
      <c r="R92" s="444"/>
      <c r="S92" s="445"/>
      <c r="T92" s="444"/>
      <c r="U92" s="445"/>
      <c r="V92" s="440"/>
      <c r="W92" s="441"/>
      <c r="X92" s="441"/>
      <c r="Y92" s="441"/>
      <c r="Z92" s="441"/>
      <c r="AA92" s="441"/>
      <c r="AB92" s="441"/>
      <c r="AC92" s="450"/>
      <c r="AD92" s="440"/>
      <c r="AE92" s="441"/>
      <c r="AF92" s="441"/>
      <c r="AG92" s="441"/>
      <c r="AH92" s="441"/>
      <c r="AI92" s="441"/>
      <c r="AJ92" s="441"/>
      <c r="AK92" s="450"/>
      <c r="AL92" s="440"/>
      <c r="AM92" s="441"/>
      <c r="AN92" s="441"/>
      <c r="AO92" s="441"/>
      <c r="AP92" s="441"/>
      <c r="AQ92" s="441"/>
      <c r="AR92" s="450"/>
      <c r="AS92" s="440"/>
      <c r="AT92" s="441"/>
      <c r="AU92" s="441"/>
      <c r="AV92" s="441"/>
      <c r="AW92" s="441"/>
      <c r="AX92" s="441"/>
      <c r="AY92" s="450"/>
      <c r="AZ92" s="462"/>
      <c r="BA92" s="463"/>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5" hidden="1">
      <c r="A93" s="435"/>
      <c r="B93" s="36"/>
      <c r="C93" s="199" t="str">
        <f t="shared" ca="1" si="3"/>
        <v/>
      </c>
      <c r="D93" s="479"/>
      <c r="E93" s="480"/>
      <c r="F93" s="480"/>
      <c r="G93" s="480"/>
      <c r="H93" s="480"/>
      <c r="I93" s="480"/>
      <c r="J93" s="480"/>
      <c r="K93" s="440"/>
      <c r="L93" s="441"/>
      <c r="M93" s="441"/>
      <c r="N93" s="441"/>
      <c r="O93" s="441"/>
      <c r="P93" s="441"/>
      <c r="Q93" s="441"/>
      <c r="R93" s="444"/>
      <c r="S93" s="445"/>
      <c r="T93" s="444"/>
      <c r="U93" s="445"/>
      <c r="V93" s="440"/>
      <c r="W93" s="441"/>
      <c r="X93" s="441"/>
      <c r="Y93" s="441"/>
      <c r="Z93" s="441"/>
      <c r="AA93" s="441"/>
      <c r="AB93" s="441"/>
      <c r="AC93" s="450"/>
      <c r="AD93" s="440"/>
      <c r="AE93" s="441"/>
      <c r="AF93" s="441"/>
      <c r="AG93" s="441"/>
      <c r="AH93" s="441"/>
      <c r="AI93" s="441"/>
      <c r="AJ93" s="441"/>
      <c r="AK93" s="450"/>
      <c r="AL93" s="440"/>
      <c r="AM93" s="441"/>
      <c r="AN93" s="441"/>
      <c r="AO93" s="441"/>
      <c r="AP93" s="441"/>
      <c r="AQ93" s="441"/>
      <c r="AR93" s="450"/>
      <c r="AS93" s="440"/>
      <c r="AT93" s="441"/>
      <c r="AU93" s="441"/>
      <c r="AV93" s="441"/>
      <c r="AW93" s="441"/>
      <c r="AX93" s="441"/>
      <c r="AY93" s="450"/>
      <c r="AZ93" s="462"/>
      <c r="BA93" s="463"/>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96.75" hidden="1" customHeight="1">
      <c r="A94" s="436"/>
      <c r="B94" s="37"/>
      <c r="C94" s="200" t="str">
        <f t="shared" ca="1" si="3"/>
        <v/>
      </c>
      <c r="D94" s="481"/>
      <c r="E94" s="482"/>
      <c r="F94" s="482"/>
      <c r="G94" s="482"/>
      <c r="H94" s="482"/>
      <c r="I94" s="482"/>
      <c r="J94" s="482"/>
      <c r="K94" s="409"/>
      <c r="L94" s="410"/>
      <c r="M94" s="410"/>
      <c r="N94" s="410"/>
      <c r="O94" s="410"/>
      <c r="P94" s="410"/>
      <c r="Q94" s="410"/>
      <c r="R94" s="446"/>
      <c r="S94" s="447"/>
      <c r="T94" s="446"/>
      <c r="U94" s="447"/>
      <c r="V94" s="409"/>
      <c r="W94" s="410"/>
      <c r="X94" s="410"/>
      <c r="Y94" s="410"/>
      <c r="Z94" s="410"/>
      <c r="AA94" s="410"/>
      <c r="AB94" s="410"/>
      <c r="AC94" s="411"/>
      <c r="AD94" s="409"/>
      <c r="AE94" s="410"/>
      <c r="AF94" s="410"/>
      <c r="AG94" s="410"/>
      <c r="AH94" s="410"/>
      <c r="AI94" s="410"/>
      <c r="AJ94" s="410"/>
      <c r="AK94" s="411"/>
      <c r="AL94" s="409"/>
      <c r="AM94" s="410"/>
      <c r="AN94" s="410"/>
      <c r="AO94" s="410"/>
      <c r="AP94" s="410"/>
      <c r="AQ94" s="410"/>
      <c r="AR94" s="411"/>
      <c r="AS94" s="409"/>
      <c r="AT94" s="410"/>
      <c r="AU94" s="410"/>
      <c r="AV94" s="410"/>
      <c r="AW94" s="410"/>
      <c r="AX94" s="410"/>
      <c r="AY94" s="411"/>
      <c r="AZ94" s="464"/>
      <c r="BA94" s="465"/>
      <c r="BB94" s="62">
        <v>6</v>
      </c>
      <c r="BC94" s="426"/>
      <c r="BD94" s="427"/>
      <c r="BE94" s="427"/>
      <c r="BF94" s="428"/>
      <c r="BG94" s="429"/>
      <c r="BH94" s="430"/>
      <c r="BI94" s="196"/>
      <c r="BJ94" s="474"/>
      <c r="BK94" s="475"/>
      <c r="BL94" s="475"/>
      <c r="BM94" s="475"/>
      <c r="BN94" s="475"/>
      <c r="BO94" s="476"/>
      <c r="BP94" s="474"/>
      <c r="BQ94" s="475"/>
      <c r="BR94" s="475"/>
      <c r="BS94" s="475"/>
      <c r="BT94" s="475"/>
      <c r="BU94" s="476"/>
      <c r="BV94" s="474"/>
      <c r="BW94" s="475"/>
      <c r="BX94" s="475"/>
      <c r="BY94" s="475"/>
      <c r="BZ94" s="475"/>
      <c r="CA94" s="476"/>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29.1" hidden="1" customHeight="1">
      <c r="A95" s="434">
        <v>15</v>
      </c>
      <c r="B95" s="36"/>
      <c r="C95" s="198" t="str">
        <f t="shared" ref="C95:C118" ca="1" si="4">IF(AND(OFFSET($K95,-($BB95-1),0)&lt;&gt;"",OFFSET($R95,-($BB95-1),0)&lt;&gt;"x"),"●","")</f>
        <v/>
      </c>
      <c r="D95" s="437" t="s">
        <v>223</v>
      </c>
      <c r="E95" s="437"/>
      <c r="F95" s="437"/>
      <c r="G95" s="437"/>
      <c r="H95" s="437"/>
      <c r="I95" s="437"/>
      <c r="J95" s="437"/>
      <c r="K95" s="438" t="s">
        <v>224</v>
      </c>
      <c r="L95" s="439"/>
      <c r="M95" s="439"/>
      <c r="N95" s="439"/>
      <c r="O95" s="439"/>
      <c r="P95" s="439"/>
      <c r="Q95" s="439"/>
      <c r="R95" s="442" t="s">
        <v>186</v>
      </c>
      <c r="S95" s="443"/>
      <c r="T95" s="442"/>
      <c r="U95" s="443"/>
      <c r="V95" s="438" t="s">
        <v>191</v>
      </c>
      <c r="W95" s="439"/>
      <c r="X95" s="439"/>
      <c r="Y95" s="439"/>
      <c r="Z95" s="439"/>
      <c r="AA95" s="439"/>
      <c r="AB95" s="439"/>
      <c r="AC95" s="449"/>
      <c r="AD95" s="438" t="s">
        <v>225</v>
      </c>
      <c r="AE95" s="439"/>
      <c r="AF95" s="439"/>
      <c r="AG95" s="439"/>
      <c r="AH95" s="439"/>
      <c r="AI95" s="439"/>
      <c r="AJ95" s="439"/>
      <c r="AK95" s="449"/>
      <c r="AL95" s="451" t="s">
        <v>226</v>
      </c>
      <c r="AM95" s="492"/>
      <c r="AN95" s="492"/>
      <c r="AO95" s="492"/>
      <c r="AP95" s="492"/>
      <c r="AQ95" s="492"/>
      <c r="AR95" s="493"/>
      <c r="AS95" s="438" t="s">
        <v>212</v>
      </c>
      <c r="AT95" s="439"/>
      <c r="AU95" s="439"/>
      <c r="AV95" s="439"/>
      <c r="AW95" s="439"/>
      <c r="AX95" s="439"/>
      <c r="AY95" s="449"/>
      <c r="AZ95" s="460"/>
      <c r="BA95" s="461"/>
      <c r="BB95" s="60">
        <v>1</v>
      </c>
      <c r="BC95" s="466"/>
      <c r="BD95" s="467"/>
      <c r="BE95" s="467"/>
      <c r="BF95" s="468"/>
      <c r="BG95" s="469"/>
      <c r="BH95" s="470"/>
      <c r="BI95" s="194"/>
      <c r="BJ95" s="471"/>
      <c r="BK95" s="472"/>
      <c r="BL95" s="472"/>
      <c r="BM95" s="472"/>
      <c r="BN95" s="472"/>
      <c r="BO95" s="473"/>
      <c r="BP95" s="471"/>
      <c r="BQ95" s="472"/>
      <c r="BR95" s="472"/>
      <c r="BS95" s="472"/>
      <c r="BT95" s="472"/>
      <c r="BU95" s="473"/>
      <c r="BV95" s="471"/>
      <c r="BW95" s="472"/>
      <c r="BX95" s="472"/>
      <c r="BY95" s="472"/>
      <c r="BZ95" s="472"/>
      <c r="CA95" s="473"/>
      <c r="CB95" s="466"/>
      <c r="CC95" s="467"/>
      <c r="CD95" s="467"/>
      <c r="CE95" s="468"/>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29.1" hidden="1" customHeight="1">
      <c r="A96" s="435"/>
      <c r="B96" s="36"/>
      <c r="C96" s="199" t="str">
        <f t="shared" ca="1" si="4"/>
        <v/>
      </c>
      <c r="D96" s="437"/>
      <c r="E96" s="437"/>
      <c r="F96" s="437"/>
      <c r="G96" s="437"/>
      <c r="H96" s="437"/>
      <c r="I96" s="437"/>
      <c r="J96" s="437"/>
      <c r="K96" s="440"/>
      <c r="L96" s="441"/>
      <c r="M96" s="441"/>
      <c r="N96" s="441"/>
      <c r="O96" s="441"/>
      <c r="P96" s="441"/>
      <c r="Q96" s="441"/>
      <c r="R96" s="444"/>
      <c r="S96" s="445"/>
      <c r="T96" s="444"/>
      <c r="U96" s="445"/>
      <c r="V96" s="440"/>
      <c r="W96" s="441"/>
      <c r="X96" s="441"/>
      <c r="Y96" s="441"/>
      <c r="Z96" s="441"/>
      <c r="AA96" s="441"/>
      <c r="AB96" s="441"/>
      <c r="AC96" s="450"/>
      <c r="AD96" s="440"/>
      <c r="AE96" s="441"/>
      <c r="AF96" s="441"/>
      <c r="AG96" s="441"/>
      <c r="AH96" s="441"/>
      <c r="AI96" s="441"/>
      <c r="AJ96" s="441"/>
      <c r="AK96" s="450"/>
      <c r="AL96" s="494"/>
      <c r="AM96" s="495"/>
      <c r="AN96" s="495"/>
      <c r="AO96" s="495"/>
      <c r="AP96" s="495"/>
      <c r="AQ96" s="495"/>
      <c r="AR96" s="496"/>
      <c r="AS96" s="440"/>
      <c r="AT96" s="441"/>
      <c r="AU96" s="441"/>
      <c r="AV96" s="441"/>
      <c r="AW96" s="441"/>
      <c r="AX96" s="441"/>
      <c r="AY96" s="450"/>
      <c r="AZ96" s="462"/>
      <c r="BA96" s="463"/>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29.1" hidden="1" customHeight="1">
      <c r="A97" s="435"/>
      <c r="B97" s="36"/>
      <c r="C97" s="199" t="str">
        <f t="shared" ca="1" si="4"/>
        <v/>
      </c>
      <c r="D97" s="437"/>
      <c r="E97" s="437"/>
      <c r="F97" s="437"/>
      <c r="G97" s="437"/>
      <c r="H97" s="437"/>
      <c r="I97" s="437"/>
      <c r="J97" s="437"/>
      <c r="K97" s="440"/>
      <c r="L97" s="441"/>
      <c r="M97" s="441"/>
      <c r="N97" s="441"/>
      <c r="O97" s="441"/>
      <c r="P97" s="441"/>
      <c r="Q97" s="441"/>
      <c r="R97" s="444"/>
      <c r="S97" s="445"/>
      <c r="T97" s="444"/>
      <c r="U97" s="445"/>
      <c r="V97" s="440"/>
      <c r="W97" s="441"/>
      <c r="X97" s="441"/>
      <c r="Y97" s="441"/>
      <c r="Z97" s="441"/>
      <c r="AA97" s="441"/>
      <c r="AB97" s="441"/>
      <c r="AC97" s="450"/>
      <c r="AD97" s="440"/>
      <c r="AE97" s="441"/>
      <c r="AF97" s="441"/>
      <c r="AG97" s="441"/>
      <c r="AH97" s="441"/>
      <c r="AI97" s="441"/>
      <c r="AJ97" s="441"/>
      <c r="AK97" s="450"/>
      <c r="AL97" s="494"/>
      <c r="AM97" s="495"/>
      <c r="AN97" s="495"/>
      <c r="AO97" s="495"/>
      <c r="AP97" s="495"/>
      <c r="AQ97" s="495"/>
      <c r="AR97" s="496"/>
      <c r="AS97" s="440"/>
      <c r="AT97" s="441"/>
      <c r="AU97" s="441"/>
      <c r="AV97" s="441"/>
      <c r="AW97" s="441"/>
      <c r="AX97" s="441"/>
      <c r="AY97" s="450"/>
      <c r="AZ97" s="462"/>
      <c r="BA97" s="463"/>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29.1" hidden="1" customHeight="1">
      <c r="A98" s="435"/>
      <c r="B98" s="36"/>
      <c r="C98" s="199" t="str">
        <f t="shared" ca="1" si="4"/>
        <v/>
      </c>
      <c r="D98" s="437"/>
      <c r="E98" s="437"/>
      <c r="F98" s="437"/>
      <c r="G98" s="437"/>
      <c r="H98" s="437"/>
      <c r="I98" s="437"/>
      <c r="J98" s="437"/>
      <c r="K98" s="440"/>
      <c r="L98" s="441"/>
      <c r="M98" s="441"/>
      <c r="N98" s="441"/>
      <c r="O98" s="441"/>
      <c r="P98" s="441"/>
      <c r="Q98" s="441"/>
      <c r="R98" s="444"/>
      <c r="S98" s="445"/>
      <c r="T98" s="444"/>
      <c r="U98" s="445"/>
      <c r="V98" s="440"/>
      <c r="W98" s="441"/>
      <c r="X98" s="441"/>
      <c r="Y98" s="441"/>
      <c r="Z98" s="441"/>
      <c r="AA98" s="441"/>
      <c r="AB98" s="441"/>
      <c r="AC98" s="450"/>
      <c r="AD98" s="440"/>
      <c r="AE98" s="441"/>
      <c r="AF98" s="441"/>
      <c r="AG98" s="441"/>
      <c r="AH98" s="441"/>
      <c r="AI98" s="441"/>
      <c r="AJ98" s="441"/>
      <c r="AK98" s="450"/>
      <c r="AL98" s="494"/>
      <c r="AM98" s="495"/>
      <c r="AN98" s="495"/>
      <c r="AO98" s="495"/>
      <c r="AP98" s="495"/>
      <c r="AQ98" s="495"/>
      <c r="AR98" s="496"/>
      <c r="AS98" s="440"/>
      <c r="AT98" s="441"/>
      <c r="AU98" s="441"/>
      <c r="AV98" s="441"/>
      <c r="AW98" s="441"/>
      <c r="AX98" s="441"/>
      <c r="AY98" s="450"/>
      <c r="AZ98" s="462"/>
      <c r="BA98" s="463"/>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29.1" hidden="1" customHeight="1">
      <c r="A99" s="435"/>
      <c r="B99" s="36"/>
      <c r="C99" s="199" t="str">
        <f t="shared" ca="1" si="4"/>
        <v/>
      </c>
      <c r="D99" s="437"/>
      <c r="E99" s="437"/>
      <c r="F99" s="437"/>
      <c r="G99" s="437"/>
      <c r="H99" s="437"/>
      <c r="I99" s="437"/>
      <c r="J99" s="437"/>
      <c r="K99" s="440"/>
      <c r="L99" s="441"/>
      <c r="M99" s="441"/>
      <c r="N99" s="441"/>
      <c r="O99" s="441"/>
      <c r="P99" s="441"/>
      <c r="Q99" s="441"/>
      <c r="R99" s="444"/>
      <c r="S99" s="445"/>
      <c r="T99" s="444"/>
      <c r="U99" s="445"/>
      <c r="V99" s="440"/>
      <c r="W99" s="441"/>
      <c r="X99" s="441"/>
      <c r="Y99" s="441"/>
      <c r="Z99" s="441"/>
      <c r="AA99" s="441"/>
      <c r="AB99" s="441"/>
      <c r="AC99" s="450"/>
      <c r="AD99" s="440"/>
      <c r="AE99" s="441"/>
      <c r="AF99" s="441"/>
      <c r="AG99" s="441"/>
      <c r="AH99" s="441"/>
      <c r="AI99" s="441"/>
      <c r="AJ99" s="441"/>
      <c r="AK99" s="450"/>
      <c r="AL99" s="494"/>
      <c r="AM99" s="495"/>
      <c r="AN99" s="495"/>
      <c r="AO99" s="495"/>
      <c r="AP99" s="495"/>
      <c r="AQ99" s="495"/>
      <c r="AR99" s="496"/>
      <c r="AS99" s="440"/>
      <c r="AT99" s="441"/>
      <c r="AU99" s="441"/>
      <c r="AV99" s="441"/>
      <c r="AW99" s="441"/>
      <c r="AX99" s="441"/>
      <c r="AY99" s="450"/>
      <c r="AZ99" s="462"/>
      <c r="BA99" s="463"/>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25.5" hidden="1" customHeight="1">
      <c r="A100" s="436"/>
      <c r="B100" s="36"/>
      <c r="C100" s="239" t="str">
        <f t="shared" ca="1" si="4"/>
        <v/>
      </c>
      <c r="D100" s="437"/>
      <c r="E100" s="437"/>
      <c r="F100" s="437"/>
      <c r="G100" s="437"/>
      <c r="H100" s="437"/>
      <c r="I100" s="437"/>
      <c r="J100" s="437"/>
      <c r="K100" s="409"/>
      <c r="L100" s="410"/>
      <c r="M100" s="410"/>
      <c r="N100" s="410"/>
      <c r="O100" s="410"/>
      <c r="P100" s="410"/>
      <c r="Q100" s="410"/>
      <c r="R100" s="446"/>
      <c r="S100" s="447"/>
      <c r="T100" s="446"/>
      <c r="U100" s="447"/>
      <c r="V100" s="409"/>
      <c r="W100" s="410"/>
      <c r="X100" s="410"/>
      <c r="Y100" s="410"/>
      <c r="Z100" s="410"/>
      <c r="AA100" s="410"/>
      <c r="AB100" s="410"/>
      <c r="AC100" s="411"/>
      <c r="AD100" s="409"/>
      <c r="AE100" s="410"/>
      <c r="AF100" s="410"/>
      <c r="AG100" s="410"/>
      <c r="AH100" s="410"/>
      <c r="AI100" s="410"/>
      <c r="AJ100" s="410"/>
      <c r="AK100" s="411"/>
      <c r="AL100" s="497"/>
      <c r="AM100" s="498"/>
      <c r="AN100" s="498"/>
      <c r="AO100" s="498"/>
      <c r="AP100" s="498"/>
      <c r="AQ100" s="498"/>
      <c r="AR100" s="499"/>
      <c r="AS100" s="409"/>
      <c r="AT100" s="410"/>
      <c r="AU100" s="410"/>
      <c r="AV100" s="410"/>
      <c r="AW100" s="410"/>
      <c r="AX100" s="410"/>
      <c r="AY100" s="411"/>
      <c r="AZ100" s="464"/>
      <c r="BA100" s="465"/>
      <c r="BB100" s="62">
        <v>6</v>
      </c>
      <c r="BC100" s="426"/>
      <c r="BD100" s="427"/>
      <c r="BE100" s="427"/>
      <c r="BF100" s="428"/>
      <c r="BG100" s="429"/>
      <c r="BH100" s="430"/>
      <c r="BI100" s="196"/>
      <c r="BJ100" s="474"/>
      <c r="BK100" s="475"/>
      <c r="BL100" s="475"/>
      <c r="BM100" s="475"/>
      <c r="BN100" s="475"/>
      <c r="BO100" s="476"/>
      <c r="BP100" s="474"/>
      <c r="BQ100" s="475"/>
      <c r="BR100" s="475"/>
      <c r="BS100" s="475"/>
      <c r="BT100" s="475"/>
      <c r="BU100" s="476"/>
      <c r="BV100" s="474"/>
      <c r="BW100" s="475"/>
      <c r="BX100" s="475"/>
      <c r="BY100" s="475"/>
      <c r="BZ100" s="475"/>
      <c r="CA100" s="476"/>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5">
      <c r="A101" s="434">
        <v>16</v>
      </c>
      <c r="B101" s="36"/>
      <c r="C101" s="198" t="str">
        <f t="shared" ca="1" si="4"/>
        <v/>
      </c>
      <c r="D101" s="437" t="s">
        <v>223</v>
      </c>
      <c r="E101" s="437"/>
      <c r="F101" s="437"/>
      <c r="G101" s="437"/>
      <c r="H101" s="437"/>
      <c r="I101" s="437"/>
      <c r="J101" s="437"/>
      <c r="K101" s="438" t="s">
        <v>227</v>
      </c>
      <c r="L101" s="439"/>
      <c r="M101" s="439"/>
      <c r="N101" s="439"/>
      <c r="O101" s="439"/>
      <c r="P101" s="439"/>
      <c r="Q101" s="439"/>
      <c r="R101" s="442" t="s">
        <v>186</v>
      </c>
      <c r="S101" s="443"/>
      <c r="T101" s="442"/>
      <c r="U101" s="443"/>
      <c r="V101" s="438" t="s">
        <v>191</v>
      </c>
      <c r="W101" s="439"/>
      <c r="X101" s="439"/>
      <c r="Y101" s="439"/>
      <c r="Z101" s="439"/>
      <c r="AA101" s="439"/>
      <c r="AB101" s="439"/>
      <c r="AC101" s="449"/>
      <c r="AD101" s="438" t="s">
        <v>228</v>
      </c>
      <c r="AE101" s="439"/>
      <c r="AF101" s="439"/>
      <c r="AG101" s="439"/>
      <c r="AH101" s="439"/>
      <c r="AI101" s="439"/>
      <c r="AJ101" s="439"/>
      <c r="AK101" s="449"/>
      <c r="AL101" s="451" t="s">
        <v>226</v>
      </c>
      <c r="AM101" s="492"/>
      <c r="AN101" s="492"/>
      <c r="AO101" s="492"/>
      <c r="AP101" s="492"/>
      <c r="AQ101" s="492"/>
      <c r="AR101" s="493"/>
      <c r="AS101" s="438" t="s">
        <v>212</v>
      </c>
      <c r="AT101" s="439"/>
      <c r="AU101" s="439"/>
      <c r="AV101" s="439"/>
      <c r="AW101" s="439"/>
      <c r="AX101" s="439"/>
      <c r="AY101" s="449"/>
      <c r="AZ101" s="460"/>
      <c r="BA101" s="461"/>
      <c r="BB101" s="60">
        <v>1</v>
      </c>
      <c r="BC101" s="466"/>
      <c r="BD101" s="467"/>
      <c r="BE101" s="467"/>
      <c r="BF101" s="468"/>
      <c r="BG101" s="469"/>
      <c r="BH101" s="470"/>
      <c r="BI101" s="194"/>
      <c r="BJ101" s="471"/>
      <c r="BK101" s="472"/>
      <c r="BL101" s="472"/>
      <c r="BM101" s="472"/>
      <c r="BN101" s="472"/>
      <c r="BO101" s="473"/>
      <c r="BP101" s="471"/>
      <c r="BQ101" s="472"/>
      <c r="BR101" s="472"/>
      <c r="BS101" s="472"/>
      <c r="BT101" s="472"/>
      <c r="BU101" s="473"/>
      <c r="BV101" s="471"/>
      <c r="BW101" s="472"/>
      <c r="BX101" s="472"/>
      <c r="BY101" s="472"/>
      <c r="BZ101" s="472"/>
      <c r="CA101" s="473"/>
      <c r="CB101" s="466"/>
      <c r="CC101" s="467"/>
      <c r="CD101" s="467"/>
      <c r="CE101" s="468"/>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5">
      <c r="A102" s="435"/>
      <c r="B102" s="36"/>
      <c r="C102" s="199" t="str">
        <f t="shared" ca="1" si="4"/>
        <v/>
      </c>
      <c r="D102" s="437"/>
      <c r="E102" s="437"/>
      <c r="F102" s="437"/>
      <c r="G102" s="437"/>
      <c r="H102" s="437"/>
      <c r="I102" s="437"/>
      <c r="J102" s="437"/>
      <c r="K102" s="440"/>
      <c r="L102" s="441"/>
      <c r="M102" s="441"/>
      <c r="N102" s="441"/>
      <c r="O102" s="441"/>
      <c r="P102" s="441"/>
      <c r="Q102" s="441"/>
      <c r="R102" s="444"/>
      <c r="S102" s="445"/>
      <c r="T102" s="444"/>
      <c r="U102" s="445"/>
      <c r="V102" s="440"/>
      <c r="W102" s="441"/>
      <c r="X102" s="441"/>
      <c r="Y102" s="441"/>
      <c r="Z102" s="441"/>
      <c r="AA102" s="441"/>
      <c r="AB102" s="441"/>
      <c r="AC102" s="450"/>
      <c r="AD102" s="440"/>
      <c r="AE102" s="441"/>
      <c r="AF102" s="441"/>
      <c r="AG102" s="441"/>
      <c r="AH102" s="441"/>
      <c r="AI102" s="441"/>
      <c r="AJ102" s="441"/>
      <c r="AK102" s="450"/>
      <c r="AL102" s="494"/>
      <c r="AM102" s="495"/>
      <c r="AN102" s="495"/>
      <c r="AO102" s="495"/>
      <c r="AP102" s="495"/>
      <c r="AQ102" s="495"/>
      <c r="AR102" s="496"/>
      <c r="AS102" s="440"/>
      <c r="AT102" s="441"/>
      <c r="AU102" s="441"/>
      <c r="AV102" s="441"/>
      <c r="AW102" s="441"/>
      <c r="AX102" s="441"/>
      <c r="AY102" s="450"/>
      <c r="AZ102" s="462"/>
      <c r="BA102" s="463"/>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5">
      <c r="A103" s="435"/>
      <c r="B103" s="36"/>
      <c r="C103" s="199" t="str">
        <f t="shared" ca="1" si="4"/>
        <v/>
      </c>
      <c r="D103" s="437"/>
      <c r="E103" s="437"/>
      <c r="F103" s="437"/>
      <c r="G103" s="437"/>
      <c r="H103" s="437"/>
      <c r="I103" s="437"/>
      <c r="J103" s="437"/>
      <c r="K103" s="440"/>
      <c r="L103" s="441"/>
      <c r="M103" s="441"/>
      <c r="N103" s="441"/>
      <c r="O103" s="441"/>
      <c r="P103" s="441"/>
      <c r="Q103" s="441"/>
      <c r="R103" s="444"/>
      <c r="S103" s="445"/>
      <c r="T103" s="444"/>
      <c r="U103" s="445"/>
      <c r="V103" s="440"/>
      <c r="W103" s="441"/>
      <c r="X103" s="441"/>
      <c r="Y103" s="441"/>
      <c r="Z103" s="441"/>
      <c r="AA103" s="441"/>
      <c r="AB103" s="441"/>
      <c r="AC103" s="450"/>
      <c r="AD103" s="440"/>
      <c r="AE103" s="441"/>
      <c r="AF103" s="441"/>
      <c r="AG103" s="441"/>
      <c r="AH103" s="441"/>
      <c r="AI103" s="441"/>
      <c r="AJ103" s="441"/>
      <c r="AK103" s="450"/>
      <c r="AL103" s="494"/>
      <c r="AM103" s="495"/>
      <c r="AN103" s="495"/>
      <c r="AO103" s="495"/>
      <c r="AP103" s="495"/>
      <c r="AQ103" s="495"/>
      <c r="AR103" s="496"/>
      <c r="AS103" s="440"/>
      <c r="AT103" s="441"/>
      <c r="AU103" s="441"/>
      <c r="AV103" s="441"/>
      <c r="AW103" s="441"/>
      <c r="AX103" s="441"/>
      <c r="AY103" s="450"/>
      <c r="AZ103" s="462"/>
      <c r="BA103" s="463"/>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46.15" customHeight="1">
      <c r="A104" s="435"/>
      <c r="B104" s="36"/>
      <c r="C104" s="199" t="str">
        <f t="shared" ca="1" si="4"/>
        <v/>
      </c>
      <c r="D104" s="437"/>
      <c r="E104" s="437"/>
      <c r="F104" s="437"/>
      <c r="G104" s="437"/>
      <c r="H104" s="437"/>
      <c r="I104" s="437"/>
      <c r="J104" s="437"/>
      <c r="K104" s="440"/>
      <c r="L104" s="441"/>
      <c r="M104" s="441"/>
      <c r="N104" s="441"/>
      <c r="O104" s="441"/>
      <c r="P104" s="441"/>
      <c r="Q104" s="441"/>
      <c r="R104" s="444"/>
      <c r="S104" s="445"/>
      <c r="T104" s="444"/>
      <c r="U104" s="445"/>
      <c r="V104" s="440"/>
      <c r="W104" s="441"/>
      <c r="X104" s="441"/>
      <c r="Y104" s="441"/>
      <c r="Z104" s="441"/>
      <c r="AA104" s="441"/>
      <c r="AB104" s="441"/>
      <c r="AC104" s="450"/>
      <c r="AD104" s="440"/>
      <c r="AE104" s="441"/>
      <c r="AF104" s="441"/>
      <c r="AG104" s="441"/>
      <c r="AH104" s="441"/>
      <c r="AI104" s="441"/>
      <c r="AJ104" s="441"/>
      <c r="AK104" s="450"/>
      <c r="AL104" s="494"/>
      <c r="AM104" s="495"/>
      <c r="AN104" s="495"/>
      <c r="AO104" s="495"/>
      <c r="AP104" s="495"/>
      <c r="AQ104" s="495"/>
      <c r="AR104" s="496"/>
      <c r="AS104" s="440"/>
      <c r="AT104" s="441"/>
      <c r="AU104" s="441"/>
      <c r="AV104" s="441"/>
      <c r="AW104" s="441"/>
      <c r="AX104" s="441"/>
      <c r="AY104" s="450"/>
      <c r="AZ104" s="462"/>
      <c r="BA104" s="463"/>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149999999999999" hidden="1" customHeight="1">
      <c r="A105" s="435"/>
      <c r="B105" s="36"/>
      <c r="C105" s="199" t="str">
        <f t="shared" ca="1" si="4"/>
        <v/>
      </c>
      <c r="D105" s="437"/>
      <c r="E105" s="437"/>
      <c r="F105" s="437"/>
      <c r="G105" s="437"/>
      <c r="H105" s="437"/>
      <c r="I105" s="437"/>
      <c r="J105" s="437"/>
      <c r="K105" s="440"/>
      <c r="L105" s="441"/>
      <c r="M105" s="441"/>
      <c r="N105" s="441"/>
      <c r="O105" s="441"/>
      <c r="P105" s="441"/>
      <c r="Q105" s="441"/>
      <c r="R105" s="444"/>
      <c r="S105" s="445"/>
      <c r="T105" s="444"/>
      <c r="U105" s="445"/>
      <c r="V105" s="440"/>
      <c r="W105" s="441"/>
      <c r="X105" s="441"/>
      <c r="Y105" s="441"/>
      <c r="Z105" s="441"/>
      <c r="AA105" s="441"/>
      <c r="AB105" s="441"/>
      <c r="AC105" s="450"/>
      <c r="AD105" s="440"/>
      <c r="AE105" s="441"/>
      <c r="AF105" s="441"/>
      <c r="AG105" s="441"/>
      <c r="AH105" s="441"/>
      <c r="AI105" s="441"/>
      <c r="AJ105" s="441"/>
      <c r="AK105" s="450"/>
      <c r="AL105" s="494"/>
      <c r="AM105" s="495"/>
      <c r="AN105" s="495"/>
      <c r="AO105" s="495"/>
      <c r="AP105" s="495"/>
      <c r="AQ105" s="495"/>
      <c r="AR105" s="496"/>
      <c r="AS105" s="440"/>
      <c r="AT105" s="441"/>
      <c r="AU105" s="441"/>
      <c r="AV105" s="441"/>
      <c r="AW105" s="441"/>
      <c r="AX105" s="441"/>
      <c r="AY105" s="450"/>
      <c r="AZ105" s="462"/>
      <c r="BA105" s="463"/>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149999999999999" hidden="1" customHeight="1">
      <c r="A106" s="436"/>
      <c r="B106" s="36"/>
      <c r="C106" s="239" t="str">
        <f t="shared" ca="1" si="4"/>
        <v/>
      </c>
      <c r="D106" s="437"/>
      <c r="E106" s="437"/>
      <c r="F106" s="437"/>
      <c r="G106" s="437"/>
      <c r="H106" s="437"/>
      <c r="I106" s="437"/>
      <c r="J106" s="437"/>
      <c r="K106" s="409"/>
      <c r="L106" s="410"/>
      <c r="M106" s="410"/>
      <c r="N106" s="410"/>
      <c r="O106" s="410"/>
      <c r="P106" s="410"/>
      <c r="Q106" s="410"/>
      <c r="R106" s="446"/>
      <c r="S106" s="447"/>
      <c r="T106" s="446"/>
      <c r="U106" s="447"/>
      <c r="V106" s="409"/>
      <c r="W106" s="410"/>
      <c r="X106" s="410"/>
      <c r="Y106" s="410"/>
      <c r="Z106" s="410"/>
      <c r="AA106" s="410"/>
      <c r="AB106" s="410"/>
      <c r="AC106" s="411"/>
      <c r="AD106" s="409"/>
      <c r="AE106" s="410"/>
      <c r="AF106" s="410"/>
      <c r="AG106" s="410"/>
      <c r="AH106" s="410"/>
      <c r="AI106" s="410"/>
      <c r="AJ106" s="410"/>
      <c r="AK106" s="411"/>
      <c r="AL106" s="497"/>
      <c r="AM106" s="498"/>
      <c r="AN106" s="498"/>
      <c r="AO106" s="498"/>
      <c r="AP106" s="498"/>
      <c r="AQ106" s="498"/>
      <c r="AR106" s="499"/>
      <c r="AS106" s="409"/>
      <c r="AT106" s="410"/>
      <c r="AU106" s="410"/>
      <c r="AV106" s="410"/>
      <c r="AW106" s="410"/>
      <c r="AX106" s="410"/>
      <c r="AY106" s="411"/>
      <c r="AZ106" s="464"/>
      <c r="BA106" s="465"/>
      <c r="BB106" s="62">
        <v>6</v>
      </c>
      <c r="BC106" s="426"/>
      <c r="BD106" s="427"/>
      <c r="BE106" s="427"/>
      <c r="BF106" s="428"/>
      <c r="BG106" s="429"/>
      <c r="BH106" s="430"/>
      <c r="BI106" s="196"/>
      <c r="BJ106" s="474"/>
      <c r="BK106" s="475"/>
      <c r="BL106" s="475"/>
      <c r="BM106" s="475"/>
      <c r="BN106" s="475"/>
      <c r="BO106" s="476"/>
      <c r="BP106" s="474"/>
      <c r="BQ106" s="475"/>
      <c r="BR106" s="475"/>
      <c r="BS106" s="475"/>
      <c r="BT106" s="475"/>
      <c r="BU106" s="476"/>
      <c r="BV106" s="474"/>
      <c r="BW106" s="475"/>
      <c r="BX106" s="475"/>
      <c r="BY106" s="475"/>
      <c r="BZ106" s="475"/>
      <c r="CA106" s="476"/>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149999999999999" hidden="1" customHeight="1">
      <c r="A107" s="434">
        <v>17</v>
      </c>
      <c r="B107" s="36"/>
      <c r="C107" s="238" t="str">
        <f t="shared" ca="1" si="4"/>
        <v/>
      </c>
      <c r="D107" s="437"/>
      <c r="E107" s="437"/>
      <c r="F107" s="437"/>
      <c r="G107" s="437"/>
      <c r="H107" s="437"/>
      <c r="I107" s="437"/>
      <c r="J107" s="437"/>
      <c r="K107" s="438" t="s">
        <v>229</v>
      </c>
      <c r="L107" s="439"/>
      <c r="M107" s="439"/>
      <c r="N107" s="439"/>
      <c r="O107" s="439"/>
      <c r="P107" s="439"/>
      <c r="Q107" s="439"/>
      <c r="R107" s="442" t="s">
        <v>186</v>
      </c>
      <c r="S107" s="443"/>
      <c r="T107" s="442"/>
      <c r="U107" s="443"/>
      <c r="V107" s="438" t="s">
        <v>191</v>
      </c>
      <c r="W107" s="439"/>
      <c r="X107" s="439"/>
      <c r="Y107" s="439"/>
      <c r="Z107" s="439"/>
      <c r="AA107" s="439"/>
      <c r="AB107" s="439"/>
      <c r="AC107" s="449"/>
      <c r="AD107" s="438" t="s">
        <v>230</v>
      </c>
      <c r="AE107" s="439"/>
      <c r="AF107" s="439"/>
      <c r="AG107" s="439"/>
      <c r="AH107" s="439"/>
      <c r="AI107" s="439"/>
      <c r="AJ107" s="439"/>
      <c r="AK107" s="449"/>
      <c r="AL107" s="451" t="s">
        <v>231</v>
      </c>
      <c r="AM107" s="452"/>
      <c r="AN107" s="452"/>
      <c r="AO107" s="452"/>
      <c r="AP107" s="452"/>
      <c r="AQ107" s="452"/>
      <c r="AR107" s="453"/>
      <c r="AS107" s="438" t="s">
        <v>232</v>
      </c>
      <c r="AT107" s="439"/>
      <c r="AU107" s="439"/>
      <c r="AV107" s="439"/>
      <c r="AW107" s="439"/>
      <c r="AX107" s="439"/>
      <c r="AY107" s="449"/>
      <c r="AZ107" s="460"/>
      <c r="BA107" s="461"/>
      <c r="BB107" s="60">
        <v>1</v>
      </c>
      <c r="BC107" s="466"/>
      <c r="BD107" s="467"/>
      <c r="BE107" s="467"/>
      <c r="BF107" s="468"/>
      <c r="BG107" s="469"/>
      <c r="BH107" s="470"/>
      <c r="BI107" s="194"/>
      <c r="BJ107" s="471"/>
      <c r="BK107" s="472"/>
      <c r="BL107" s="472"/>
      <c r="BM107" s="472"/>
      <c r="BN107" s="472"/>
      <c r="BO107" s="473"/>
      <c r="BP107" s="471"/>
      <c r="BQ107" s="472"/>
      <c r="BR107" s="472"/>
      <c r="BS107" s="472"/>
      <c r="BT107" s="472"/>
      <c r="BU107" s="473"/>
      <c r="BV107" s="471"/>
      <c r="BW107" s="472"/>
      <c r="BX107" s="472"/>
      <c r="BY107" s="472"/>
      <c r="BZ107" s="472"/>
      <c r="CA107" s="473"/>
      <c r="CB107" s="466"/>
      <c r="CC107" s="467"/>
      <c r="CD107" s="467"/>
      <c r="CE107" s="468"/>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5" hidden="1">
      <c r="A108" s="435"/>
      <c r="B108" s="36"/>
      <c r="C108" s="238" t="str">
        <f t="shared" ca="1" si="4"/>
        <v/>
      </c>
      <c r="D108" s="437"/>
      <c r="E108" s="437"/>
      <c r="F108" s="437"/>
      <c r="G108" s="437"/>
      <c r="H108" s="437"/>
      <c r="I108" s="437"/>
      <c r="J108" s="437"/>
      <c r="K108" s="440"/>
      <c r="L108" s="441"/>
      <c r="M108" s="441"/>
      <c r="N108" s="441"/>
      <c r="O108" s="441"/>
      <c r="P108" s="441"/>
      <c r="Q108" s="441"/>
      <c r="R108" s="444"/>
      <c r="S108" s="445"/>
      <c r="T108" s="444"/>
      <c r="U108" s="445"/>
      <c r="V108" s="440"/>
      <c r="W108" s="441"/>
      <c r="X108" s="441"/>
      <c r="Y108" s="441"/>
      <c r="Z108" s="441"/>
      <c r="AA108" s="441"/>
      <c r="AB108" s="441"/>
      <c r="AC108" s="450"/>
      <c r="AD108" s="440"/>
      <c r="AE108" s="441"/>
      <c r="AF108" s="441"/>
      <c r="AG108" s="441"/>
      <c r="AH108" s="441"/>
      <c r="AI108" s="441"/>
      <c r="AJ108" s="441"/>
      <c r="AK108" s="450"/>
      <c r="AL108" s="454"/>
      <c r="AM108" s="455"/>
      <c r="AN108" s="455"/>
      <c r="AO108" s="455"/>
      <c r="AP108" s="455"/>
      <c r="AQ108" s="455"/>
      <c r="AR108" s="456"/>
      <c r="AS108" s="440"/>
      <c r="AT108" s="441"/>
      <c r="AU108" s="441"/>
      <c r="AV108" s="441"/>
      <c r="AW108" s="441"/>
      <c r="AX108" s="441"/>
      <c r="AY108" s="450"/>
      <c r="AZ108" s="462"/>
      <c r="BA108" s="463"/>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5" hidden="1">
      <c r="A109" s="435"/>
      <c r="B109" s="36"/>
      <c r="C109" s="238" t="str">
        <f t="shared" ca="1" si="4"/>
        <v/>
      </c>
      <c r="D109" s="437"/>
      <c r="E109" s="437"/>
      <c r="F109" s="437"/>
      <c r="G109" s="437"/>
      <c r="H109" s="437"/>
      <c r="I109" s="437"/>
      <c r="J109" s="437"/>
      <c r="K109" s="440"/>
      <c r="L109" s="441"/>
      <c r="M109" s="441"/>
      <c r="N109" s="441"/>
      <c r="O109" s="441"/>
      <c r="P109" s="441"/>
      <c r="Q109" s="441"/>
      <c r="R109" s="444"/>
      <c r="S109" s="445"/>
      <c r="T109" s="444"/>
      <c r="U109" s="445"/>
      <c r="V109" s="440"/>
      <c r="W109" s="441"/>
      <c r="X109" s="441"/>
      <c r="Y109" s="441"/>
      <c r="Z109" s="441"/>
      <c r="AA109" s="441"/>
      <c r="AB109" s="441"/>
      <c r="AC109" s="450"/>
      <c r="AD109" s="440"/>
      <c r="AE109" s="441"/>
      <c r="AF109" s="441"/>
      <c r="AG109" s="441"/>
      <c r="AH109" s="441"/>
      <c r="AI109" s="441"/>
      <c r="AJ109" s="441"/>
      <c r="AK109" s="450"/>
      <c r="AL109" s="454"/>
      <c r="AM109" s="455"/>
      <c r="AN109" s="455"/>
      <c r="AO109" s="455"/>
      <c r="AP109" s="455"/>
      <c r="AQ109" s="455"/>
      <c r="AR109" s="456"/>
      <c r="AS109" s="440"/>
      <c r="AT109" s="441"/>
      <c r="AU109" s="441"/>
      <c r="AV109" s="441"/>
      <c r="AW109" s="441"/>
      <c r="AX109" s="441"/>
      <c r="AY109" s="450"/>
      <c r="AZ109" s="462"/>
      <c r="BA109" s="463"/>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5" hidden="1">
      <c r="A110" s="435"/>
      <c r="B110" s="36"/>
      <c r="C110" s="238" t="str">
        <f t="shared" ca="1" si="4"/>
        <v/>
      </c>
      <c r="D110" s="437"/>
      <c r="E110" s="437"/>
      <c r="F110" s="437"/>
      <c r="G110" s="437"/>
      <c r="H110" s="437"/>
      <c r="I110" s="437"/>
      <c r="J110" s="437"/>
      <c r="K110" s="440"/>
      <c r="L110" s="441"/>
      <c r="M110" s="441"/>
      <c r="N110" s="441"/>
      <c r="O110" s="441"/>
      <c r="P110" s="441"/>
      <c r="Q110" s="441"/>
      <c r="R110" s="444"/>
      <c r="S110" s="445"/>
      <c r="T110" s="444"/>
      <c r="U110" s="445"/>
      <c r="V110" s="440"/>
      <c r="W110" s="441"/>
      <c r="X110" s="441"/>
      <c r="Y110" s="441"/>
      <c r="Z110" s="441"/>
      <c r="AA110" s="441"/>
      <c r="AB110" s="441"/>
      <c r="AC110" s="450"/>
      <c r="AD110" s="440"/>
      <c r="AE110" s="441"/>
      <c r="AF110" s="441"/>
      <c r="AG110" s="441"/>
      <c r="AH110" s="441"/>
      <c r="AI110" s="441"/>
      <c r="AJ110" s="441"/>
      <c r="AK110" s="450"/>
      <c r="AL110" s="454"/>
      <c r="AM110" s="455"/>
      <c r="AN110" s="455"/>
      <c r="AO110" s="455"/>
      <c r="AP110" s="455"/>
      <c r="AQ110" s="455"/>
      <c r="AR110" s="456"/>
      <c r="AS110" s="440"/>
      <c r="AT110" s="441"/>
      <c r="AU110" s="441"/>
      <c r="AV110" s="441"/>
      <c r="AW110" s="441"/>
      <c r="AX110" s="441"/>
      <c r="AY110" s="450"/>
      <c r="AZ110" s="462"/>
      <c r="BA110" s="463"/>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5" hidden="1">
      <c r="A111" s="435"/>
      <c r="B111" s="36"/>
      <c r="C111" s="238" t="str">
        <f t="shared" ca="1" si="4"/>
        <v/>
      </c>
      <c r="D111" s="437"/>
      <c r="E111" s="437"/>
      <c r="F111" s="437"/>
      <c r="G111" s="437"/>
      <c r="H111" s="437"/>
      <c r="I111" s="437"/>
      <c r="J111" s="437"/>
      <c r="K111" s="440"/>
      <c r="L111" s="441"/>
      <c r="M111" s="441"/>
      <c r="N111" s="441"/>
      <c r="O111" s="441"/>
      <c r="P111" s="441"/>
      <c r="Q111" s="441"/>
      <c r="R111" s="444"/>
      <c r="S111" s="445"/>
      <c r="T111" s="444"/>
      <c r="U111" s="445"/>
      <c r="V111" s="440"/>
      <c r="W111" s="441"/>
      <c r="X111" s="441"/>
      <c r="Y111" s="441"/>
      <c r="Z111" s="441"/>
      <c r="AA111" s="441"/>
      <c r="AB111" s="441"/>
      <c r="AC111" s="450"/>
      <c r="AD111" s="440"/>
      <c r="AE111" s="441"/>
      <c r="AF111" s="441"/>
      <c r="AG111" s="441"/>
      <c r="AH111" s="441"/>
      <c r="AI111" s="441"/>
      <c r="AJ111" s="441"/>
      <c r="AK111" s="450"/>
      <c r="AL111" s="454"/>
      <c r="AM111" s="455"/>
      <c r="AN111" s="455"/>
      <c r="AO111" s="455"/>
      <c r="AP111" s="455"/>
      <c r="AQ111" s="455"/>
      <c r="AR111" s="456"/>
      <c r="AS111" s="440"/>
      <c r="AT111" s="441"/>
      <c r="AU111" s="441"/>
      <c r="AV111" s="441"/>
      <c r="AW111" s="441"/>
      <c r="AX111" s="441"/>
      <c r="AY111" s="450"/>
      <c r="AZ111" s="462"/>
      <c r="BA111" s="463"/>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149999999999999" hidden="1" customHeight="1">
      <c r="A112" s="436"/>
      <c r="B112" s="36"/>
      <c r="C112" s="238" t="str">
        <f t="shared" ca="1" si="4"/>
        <v/>
      </c>
      <c r="D112" s="437"/>
      <c r="E112" s="437"/>
      <c r="F112" s="437"/>
      <c r="G112" s="437"/>
      <c r="H112" s="437"/>
      <c r="I112" s="437"/>
      <c r="J112" s="437"/>
      <c r="K112" s="409"/>
      <c r="L112" s="410"/>
      <c r="M112" s="410"/>
      <c r="N112" s="410"/>
      <c r="O112" s="410"/>
      <c r="P112" s="410"/>
      <c r="Q112" s="410"/>
      <c r="R112" s="446"/>
      <c r="S112" s="447"/>
      <c r="T112" s="446"/>
      <c r="U112" s="447"/>
      <c r="V112" s="409"/>
      <c r="W112" s="410"/>
      <c r="X112" s="410"/>
      <c r="Y112" s="410"/>
      <c r="Z112" s="410"/>
      <c r="AA112" s="410"/>
      <c r="AB112" s="410"/>
      <c r="AC112" s="411"/>
      <c r="AD112" s="409"/>
      <c r="AE112" s="410"/>
      <c r="AF112" s="410"/>
      <c r="AG112" s="410"/>
      <c r="AH112" s="410"/>
      <c r="AI112" s="410"/>
      <c r="AJ112" s="410"/>
      <c r="AK112" s="411"/>
      <c r="AL112" s="457"/>
      <c r="AM112" s="458"/>
      <c r="AN112" s="458"/>
      <c r="AO112" s="458"/>
      <c r="AP112" s="458"/>
      <c r="AQ112" s="458"/>
      <c r="AR112" s="459"/>
      <c r="AS112" s="409"/>
      <c r="AT112" s="410"/>
      <c r="AU112" s="410"/>
      <c r="AV112" s="410"/>
      <c r="AW112" s="410"/>
      <c r="AX112" s="410"/>
      <c r="AY112" s="411"/>
      <c r="AZ112" s="464"/>
      <c r="BA112" s="465"/>
      <c r="BB112" s="62">
        <v>6</v>
      </c>
      <c r="BC112" s="426"/>
      <c r="BD112" s="427"/>
      <c r="BE112" s="427"/>
      <c r="BF112" s="428"/>
      <c r="BG112" s="429"/>
      <c r="BH112" s="430"/>
      <c r="BI112" s="196"/>
      <c r="BJ112" s="474"/>
      <c r="BK112" s="475"/>
      <c r="BL112" s="475"/>
      <c r="BM112" s="475"/>
      <c r="BN112" s="475"/>
      <c r="BO112" s="476"/>
      <c r="BP112" s="474"/>
      <c r="BQ112" s="475"/>
      <c r="BR112" s="475"/>
      <c r="BS112" s="475"/>
      <c r="BT112" s="475"/>
      <c r="BU112" s="476"/>
      <c r="BV112" s="474"/>
      <c r="BW112" s="475"/>
      <c r="BX112" s="475"/>
      <c r="BY112" s="475"/>
      <c r="BZ112" s="475"/>
      <c r="CA112" s="476"/>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149999999999999" hidden="1" customHeight="1">
      <c r="A113" s="434">
        <v>18</v>
      </c>
      <c r="B113" s="36"/>
      <c r="C113" s="240" t="str">
        <f t="shared" ca="1" si="4"/>
        <v/>
      </c>
      <c r="D113" s="437"/>
      <c r="E113" s="437"/>
      <c r="F113" s="437"/>
      <c r="G113" s="437"/>
      <c r="H113" s="437"/>
      <c r="I113" s="437"/>
      <c r="J113" s="437"/>
      <c r="K113" s="438" t="s">
        <v>233</v>
      </c>
      <c r="L113" s="439"/>
      <c r="M113" s="439"/>
      <c r="N113" s="439"/>
      <c r="O113" s="439"/>
      <c r="P113" s="439"/>
      <c r="Q113" s="439"/>
      <c r="R113" s="442" t="s">
        <v>186</v>
      </c>
      <c r="S113" s="443"/>
      <c r="T113" s="442"/>
      <c r="U113" s="443"/>
      <c r="V113" s="438" t="s">
        <v>191</v>
      </c>
      <c r="W113" s="439"/>
      <c r="X113" s="439"/>
      <c r="Y113" s="439"/>
      <c r="Z113" s="439"/>
      <c r="AA113" s="439"/>
      <c r="AB113" s="439"/>
      <c r="AC113" s="449"/>
      <c r="AD113" s="438" t="s">
        <v>234</v>
      </c>
      <c r="AE113" s="439"/>
      <c r="AF113" s="439"/>
      <c r="AG113" s="439"/>
      <c r="AH113" s="439"/>
      <c r="AI113" s="439"/>
      <c r="AJ113" s="439"/>
      <c r="AK113" s="449"/>
      <c r="AL113" s="451" t="s">
        <v>231</v>
      </c>
      <c r="AM113" s="452"/>
      <c r="AN113" s="452"/>
      <c r="AO113" s="452"/>
      <c r="AP113" s="452"/>
      <c r="AQ113" s="452"/>
      <c r="AR113" s="453"/>
      <c r="AS113" s="438" t="s">
        <v>235</v>
      </c>
      <c r="AT113" s="439"/>
      <c r="AU113" s="439"/>
      <c r="AV113" s="439"/>
      <c r="AW113" s="439"/>
      <c r="AX113" s="439"/>
      <c r="AY113" s="449"/>
      <c r="AZ113" s="460"/>
      <c r="BA113" s="461"/>
      <c r="BB113" s="60">
        <v>1</v>
      </c>
      <c r="BC113" s="466"/>
      <c r="BD113" s="467"/>
      <c r="BE113" s="467"/>
      <c r="BF113" s="468"/>
      <c r="BG113" s="469"/>
      <c r="BH113" s="470"/>
      <c r="BI113" s="194"/>
      <c r="BJ113" s="471"/>
      <c r="BK113" s="472"/>
      <c r="BL113" s="472"/>
      <c r="BM113" s="472"/>
      <c r="BN113" s="472"/>
      <c r="BO113" s="473"/>
      <c r="BP113" s="471"/>
      <c r="BQ113" s="472"/>
      <c r="BR113" s="472"/>
      <c r="BS113" s="472"/>
      <c r="BT113" s="472"/>
      <c r="BU113" s="473"/>
      <c r="BV113" s="471"/>
      <c r="BW113" s="472"/>
      <c r="BX113" s="472"/>
      <c r="BY113" s="472"/>
      <c r="BZ113" s="472"/>
      <c r="CA113" s="473"/>
      <c r="CB113" s="466"/>
      <c r="CC113" s="467"/>
      <c r="CD113" s="467"/>
      <c r="CE113" s="468"/>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5" hidden="1">
      <c r="A114" s="435"/>
      <c r="B114" s="36"/>
      <c r="C114" s="199" t="str">
        <f t="shared" ca="1" si="4"/>
        <v/>
      </c>
      <c r="D114" s="437"/>
      <c r="E114" s="437"/>
      <c r="F114" s="437"/>
      <c r="G114" s="437"/>
      <c r="H114" s="437"/>
      <c r="I114" s="437"/>
      <c r="J114" s="437"/>
      <c r="K114" s="440"/>
      <c r="L114" s="441"/>
      <c r="M114" s="441"/>
      <c r="N114" s="441"/>
      <c r="O114" s="441"/>
      <c r="P114" s="441"/>
      <c r="Q114" s="441"/>
      <c r="R114" s="444"/>
      <c r="S114" s="445"/>
      <c r="T114" s="444"/>
      <c r="U114" s="445"/>
      <c r="V114" s="440"/>
      <c r="W114" s="441"/>
      <c r="X114" s="441"/>
      <c r="Y114" s="441"/>
      <c r="Z114" s="441"/>
      <c r="AA114" s="441"/>
      <c r="AB114" s="441"/>
      <c r="AC114" s="450"/>
      <c r="AD114" s="440"/>
      <c r="AE114" s="441"/>
      <c r="AF114" s="441"/>
      <c r="AG114" s="441"/>
      <c r="AH114" s="441"/>
      <c r="AI114" s="441"/>
      <c r="AJ114" s="441"/>
      <c r="AK114" s="450"/>
      <c r="AL114" s="454"/>
      <c r="AM114" s="455"/>
      <c r="AN114" s="455"/>
      <c r="AO114" s="455"/>
      <c r="AP114" s="455"/>
      <c r="AQ114" s="455"/>
      <c r="AR114" s="456"/>
      <c r="AS114" s="440"/>
      <c r="AT114" s="441"/>
      <c r="AU114" s="441"/>
      <c r="AV114" s="441"/>
      <c r="AW114" s="441"/>
      <c r="AX114" s="441"/>
      <c r="AY114" s="450"/>
      <c r="AZ114" s="462"/>
      <c r="BA114" s="463"/>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5" hidden="1">
      <c r="A115" s="435"/>
      <c r="B115" s="36"/>
      <c r="C115" s="199" t="str">
        <f t="shared" ca="1" si="4"/>
        <v/>
      </c>
      <c r="D115" s="437"/>
      <c r="E115" s="437"/>
      <c r="F115" s="437"/>
      <c r="G115" s="437"/>
      <c r="H115" s="437"/>
      <c r="I115" s="437"/>
      <c r="J115" s="437"/>
      <c r="K115" s="440"/>
      <c r="L115" s="441"/>
      <c r="M115" s="441"/>
      <c r="N115" s="441"/>
      <c r="O115" s="441"/>
      <c r="P115" s="441"/>
      <c r="Q115" s="441"/>
      <c r="R115" s="444"/>
      <c r="S115" s="445"/>
      <c r="T115" s="444"/>
      <c r="U115" s="445"/>
      <c r="V115" s="440"/>
      <c r="W115" s="441"/>
      <c r="X115" s="441"/>
      <c r="Y115" s="441"/>
      <c r="Z115" s="441"/>
      <c r="AA115" s="441"/>
      <c r="AB115" s="441"/>
      <c r="AC115" s="450"/>
      <c r="AD115" s="440"/>
      <c r="AE115" s="441"/>
      <c r="AF115" s="441"/>
      <c r="AG115" s="441"/>
      <c r="AH115" s="441"/>
      <c r="AI115" s="441"/>
      <c r="AJ115" s="441"/>
      <c r="AK115" s="450"/>
      <c r="AL115" s="454"/>
      <c r="AM115" s="455"/>
      <c r="AN115" s="455"/>
      <c r="AO115" s="455"/>
      <c r="AP115" s="455"/>
      <c r="AQ115" s="455"/>
      <c r="AR115" s="456"/>
      <c r="AS115" s="440"/>
      <c r="AT115" s="441"/>
      <c r="AU115" s="441"/>
      <c r="AV115" s="441"/>
      <c r="AW115" s="441"/>
      <c r="AX115" s="441"/>
      <c r="AY115" s="450"/>
      <c r="AZ115" s="462"/>
      <c r="BA115" s="463"/>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5" hidden="1">
      <c r="A116" s="435"/>
      <c r="B116" s="36"/>
      <c r="C116" s="199" t="str">
        <f t="shared" ca="1" si="4"/>
        <v/>
      </c>
      <c r="D116" s="437"/>
      <c r="E116" s="437"/>
      <c r="F116" s="437"/>
      <c r="G116" s="437"/>
      <c r="H116" s="437"/>
      <c r="I116" s="437"/>
      <c r="J116" s="437"/>
      <c r="K116" s="440"/>
      <c r="L116" s="441"/>
      <c r="M116" s="441"/>
      <c r="N116" s="441"/>
      <c r="O116" s="441"/>
      <c r="P116" s="441"/>
      <c r="Q116" s="441"/>
      <c r="R116" s="444"/>
      <c r="S116" s="445"/>
      <c r="T116" s="444"/>
      <c r="U116" s="445"/>
      <c r="V116" s="440"/>
      <c r="W116" s="441"/>
      <c r="X116" s="441"/>
      <c r="Y116" s="441"/>
      <c r="Z116" s="441"/>
      <c r="AA116" s="441"/>
      <c r="AB116" s="441"/>
      <c r="AC116" s="450"/>
      <c r="AD116" s="440"/>
      <c r="AE116" s="441"/>
      <c r="AF116" s="441"/>
      <c r="AG116" s="441"/>
      <c r="AH116" s="441"/>
      <c r="AI116" s="441"/>
      <c r="AJ116" s="441"/>
      <c r="AK116" s="450"/>
      <c r="AL116" s="454"/>
      <c r="AM116" s="455"/>
      <c r="AN116" s="455"/>
      <c r="AO116" s="455"/>
      <c r="AP116" s="455"/>
      <c r="AQ116" s="455"/>
      <c r="AR116" s="456"/>
      <c r="AS116" s="440"/>
      <c r="AT116" s="441"/>
      <c r="AU116" s="441"/>
      <c r="AV116" s="441"/>
      <c r="AW116" s="441"/>
      <c r="AX116" s="441"/>
      <c r="AY116" s="450"/>
      <c r="AZ116" s="462"/>
      <c r="BA116" s="463"/>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5" hidden="1">
      <c r="A117" s="435"/>
      <c r="B117" s="36"/>
      <c r="C117" s="199" t="str">
        <f t="shared" ca="1" si="4"/>
        <v/>
      </c>
      <c r="D117" s="437"/>
      <c r="E117" s="437"/>
      <c r="F117" s="437"/>
      <c r="G117" s="437"/>
      <c r="H117" s="437"/>
      <c r="I117" s="437"/>
      <c r="J117" s="437"/>
      <c r="K117" s="440"/>
      <c r="L117" s="441"/>
      <c r="M117" s="441"/>
      <c r="N117" s="441"/>
      <c r="O117" s="441"/>
      <c r="P117" s="441"/>
      <c r="Q117" s="441"/>
      <c r="R117" s="444"/>
      <c r="S117" s="445"/>
      <c r="T117" s="444"/>
      <c r="U117" s="445"/>
      <c r="V117" s="440"/>
      <c r="W117" s="441"/>
      <c r="X117" s="441"/>
      <c r="Y117" s="441"/>
      <c r="Z117" s="441"/>
      <c r="AA117" s="441"/>
      <c r="AB117" s="441"/>
      <c r="AC117" s="450"/>
      <c r="AD117" s="440"/>
      <c r="AE117" s="441"/>
      <c r="AF117" s="441"/>
      <c r="AG117" s="441"/>
      <c r="AH117" s="441"/>
      <c r="AI117" s="441"/>
      <c r="AJ117" s="441"/>
      <c r="AK117" s="450"/>
      <c r="AL117" s="454"/>
      <c r="AM117" s="455"/>
      <c r="AN117" s="455"/>
      <c r="AO117" s="455"/>
      <c r="AP117" s="455"/>
      <c r="AQ117" s="455"/>
      <c r="AR117" s="456"/>
      <c r="AS117" s="440"/>
      <c r="AT117" s="441"/>
      <c r="AU117" s="441"/>
      <c r="AV117" s="441"/>
      <c r="AW117" s="441"/>
      <c r="AX117" s="441"/>
      <c r="AY117" s="450"/>
      <c r="AZ117" s="462"/>
      <c r="BA117" s="463"/>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149999999999999" hidden="1" customHeight="1">
      <c r="A118" s="436"/>
      <c r="B118" s="37"/>
      <c r="C118" s="200" t="str">
        <f t="shared" ca="1" si="4"/>
        <v/>
      </c>
      <c r="D118" s="437"/>
      <c r="E118" s="437"/>
      <c r="F118" s="437"/>
      <c r="G118" s="437"/>
      <c r="H118" s="437"/>
      <c r="I118" s="437"/>
      <c r="J118" s="437"/>
      <c r="K118" s="409"/>
      <c r="L118" s="410"/>
      <c r="M118" s="410"/>
      <c r="N118" s="410"/>
      <c r="O118" s="410"/>
      <c r="P118" s="410"/>
      <c r="Q118" s="410"/>
      <c r="R118" s="446"/>
      <c r="S118" s="447"/>
      <c r="T118" s="446"/>
      <c r="U118" s="447"/>
      <c r="V118" s="409"/>
      <c r="W118" s="410"/>
      <c r="X118" s="410"/>
      <c r="Y118" s="410"/>
      <c r="Z118" s="410"/>
      <c r="AA118" s="410"/>
      <c r="AB118" s="410"/>
      <c r="AC118" s="411"/>
      <c r="AD118" s="409"/>
      <c r="AE118" s="410"/>
      <c r="AF118" s="410"/>
      <c r="AG118" s="410"/>
      <c r="AH118" s="410"/>
      <c r="AI118" s="410"/>
      <c r="AJ118" s="410"/>
      <c r="AK118" s="411"/>
      <c r="AL118" s="457"/>
      <c r="AM118" s="458"/>
      <c r="AN118" s="458"/>
      <c r="AO118" s="458"/>
      <c r="AP118" s="458"/>
      <c r="AQ118" s="458"/>
      <c r="AR118" s="459"/>
      <c r="AS118" s="409"/>
      <c r="AT118" s="410"/>
      <c r="AU118" s="410"/>
      <c r="AV118" s="410"/>
      <c r="AW118" s="410"/>
      <c r="AX118" s="410"/>
      <c r="AY118" s="411"/>
      <c r="AZ118" s="464"/>
      <c r="BA118" s="465"/>
      <c r="BB118" s="62">
        <v>6</v>
      </c>
      <c r="BC118" s="426"/>
      <c r="BD118" s="427"/>
      <c r="BE118" s="427"/>
      <c r="BF118" s="428"/>
      <c r="BG118" s="429"/>
      <c r="BH118" s="430"/>
      <c r="BI118" s="196"/>
      <c r="BJ118" s="474"/>
      <c r="BK118" s="475"/>
      <c r="BL118" s="475"/>
      <c r="BM118" s="475"/>
      <c r="BN118" s="475"/>
      <c r="BO118" s="476"/>
      <c r="BP118" s="474"/>
      <c r="BQ118" s="475"/>
      <c r="BR118" s="475"/>
      <c r="BS118" s="475"/>
      <c r="BT118" s="475"/>
      <c r="BU118" s="476"/>
      <c r="BV118" s="474"/>
      <c r="BW118" s="475"/>
      <c r="BX118" s="475"/>
      <c r="BY118" s="475"/>
      <c r="BZ118" s="475"/>
      <c r="CA118" s="476"/>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5" hidden="1">
      <c r="A119" s="434">
        <v>19</v>
      </c>
      <c r="B119" s="36"/>
      <c r="C119" s="198" t="str">
        <f t="shared" ca="1" si="3"/>
        <v/>
      </c>
      <c r="D119" s="477"/>
      <c r="E119" s="478"/>
      <c r="F119" s="478"/>
      <c r="G119" s="478"/>
      <c r="H119" s="478"/>
      <c r="I119" s="478"/>
      <c r="J119" s="478"/>
      <c r="K119" s="438" t="s">
        <v>236</v>
      </c>
      <c r="L119" s="439"/>
      <c r="M119" s="439"/>
      <c r="N119" s="439"/>
      <c r="O119" s="439"/>
      <c r="P119" s="439"/>
      <c r="Q119" s="439"/>
      <c r="R119" s="442" t="s">
        <v>186</v>
      </c>
      <c r="S119" s="443"/>
      <c r="T119" s="442"/>
      <c r="U119" s="443"/>
      <c r="V119" s="438"/>
      <c r="W119" s="439"/>
      <c r="X119" s="439"/>
      <c r="Y119" s="439"/>
      <c r="Z119" s="439"/>
      <c r="AA119" s="439"/>
      <c r="AB119" s="439"/>
      <c r="AC119" s="439"/>
      <c r="AD119" s="438"/>
      <c r="AE119" s="439"/>
      <c r="AF119" s="439"/>
      <c r="AG119" s="439"/>
      <c r="AH119" s="439"/>
      <c r="AI119" s="439"/>
      <c r="AJ119" s="439"/>
      <c r="AK119" s="449"/>
      <c r="AL119" s="491"/>
      <c r="AM119" s="492"/>
      <c r="AN119" s="492"/>
      <c r="AO119" s="492"/>
      <c r="AP119" s="492"/>
      <c r="AQ119" s="492"/>
      <c r="AR119" s="493"/>
      <c r="AS119" s="500"/>
      <c r="AT119" s="483"/>
      <c r="AU119" s="483"/>
      <c r="AV119" s="483"/>
      <c r="AW119" s="483"/>
      <c r="AX119" s="483"/>
      <c r="AY119" s="484"/>
      <c r="AZ119" s="460"/>
      <c r="BA119" s="461"/>
      <c r="BB119" s="60">
        <v>1</v>
      </c>
      <c r="BC119" s="466"/>
      <c r="BD119" s="467"/>
      <c r="BE119" s="467"/>
      <c r="BF119" s="468"/>
      <c r="BG119" s="469"/>
      <c r="BH119" s="470"/>
      <c r="BI119" s="194"/>
      <c r="BJ119" s="471"/>
      <c r="BK119" s="472"/>
      <c r="BL119" s="472"/>
      <c r="BM119" s="472"/>
      <c r="BN119" s="472"/>
      <c r="BO119" s="473"/>
      <c r="BP119" s="471"/>
      <c r="BQ119" s="472"/>
      <c r="BR119" s="472"/>
      <c r="BS119" s="472"/>
      <c r="BT119" s="472"/>
      <c r="BU119" s="473"/>
      <c r="BV119" s="471"/>
      <c r="BW119" s="472"/>
      <c r="BX119" s="472"/>
      <c r="BY119" s="472"/>
      <c r="BZ119" s="472"/>
      <c r="CA119" s="473"/>
      <c r="CB119" s="466"/>
      <c r="CC119" s="467"/>
      <c r="CD119" s="467"/>
      <c r="CE119" s="468"/>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c r="DA119" s="197"/>
    </row>
    <row r="120" spans="1:105" ht="16.5" hidden="1">
      <c r="A120" s="435"/>
      <c r="B120" s="36"/>
      <c r="C120" s="199" t="str">
        <f t="shared" ca="1" si="3"/>
        <v/>
      </c>
      <c r="D120" s="479"/>
      <c r="E120" s="480"/>
      <c r="F120" s="480"/>
      <c r="G120" s="480"/>
      <c r="H120" s="480"/>
      <c r="I120" s="480"/>
      <c r="J120" s="480"/>
      <c r="K120" s="440"/>
      <c r="L120" s="441"/>
      <c r="M120" s="441"/>
      <c r="N120" s="441"/>
      <c r="O120" s="441"/>
      <c r="P120" s="441"/>
      <c r="Q120" s="441"/>
      <c r="R120" s="444"/>
      <c r="S120" s="445"/>
      <c r="T120" s="444"/>
      <c r="U120" s="445"/>
      <c r="V120" s="440"/>
      <c r="W120" s="441"/>
      <c r="X120" s="441"/>
      <c r="Y120" s="441"/>
      <c r="Z120" s="441"/>
      <c r="AA120" s="441"/>
      <c r="AB120" s="441"/>
      <c r="AC120" s="441"/>
      <c r="AD120" s="440"/>
      <c r="AE120" s="441"/>
      <c r="AF120" s="441"/>
      <c r="AG120" s="441"/>
      <c r="AH120" s="441"/>
      <c r="AI120" s="441"/>
      <c r="AJ120" s="441"/>
      <c r="AK120" s="450"/>
      <c r="AL120" s="494"/>
      <c r="AM120" s="495"/>
      <c r="AN120" s="495"/>
      <c r="AO120" s="495"/>
      <c r="AP120" s="495"/>
      <c r="AQ120" s="495"/>
      <c r="AR120" s="496"/>
      <c r="AS120" s="485"/>
      <c r="AT120" s="486"/>
      <c r="AU120" s="486"/>
      <c r="AV120" s="486"/>
      <c r="AW120" s="486"/>
      <c r="AX120" s="486"/>
      <c r="AY120" s="487"/>
      <c r="AZ120" s="462"/>
      <c r="BA120" s="463"/>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c r="DA120" s="197"/>
    </row>
    <row r="121" spans="1:105" ht="16.5" hidden="1">
      <c r="A121" s="435"/>
      <c r="B121" s="36"/>
      <c r="C121" s="199" t="str">
        <f t="shared" ca="1" si="3"/>
        <v/>
      </c>
      <c r="D121" s="479"/>
      <c r="E121" s="480"/>
      <c r="F121" s="480"/>
      <c r="G121" s="480"/>
      <c r="H121" s="480"/>
      <c r="I121" s="480"/>
      <c r="J121" s="480"/>
      <c r="K121" s="440"/>
      <c r="L121" s="441"/>
      <c r="M121" s="441"/>
      <c r="N121" s="441"/>
      <c r="O121" s="441"/>
      <c r="P121" s="441"/>
      <c r="Q121" s="441"/>
      <c r="R121" s="444"/>
      <c r="S121" s="445"/>
      <c r="T121" s="444"/>
      <c r="U121" s="445"/>
      <c r="V121" s="440"/>
      <c r="W121" s="441"/>
      <c r="X121" s="441"/>
      <c r="Y121" s="441"/>
      <c r="Z121" s="441"/>
      <c r="AA121" s="441"/>
      <c r="AB121" s="441"/>
      <c r="AC121" s="441"/>
      <c r="AD121" s="440"/>
      <c r="AE121" s="441"/>
      <c r="AF121" s="441"/>
      <c r="AG121" s="441"/>
      <c r="AH121" s="441"/>
      <c r="AI121" s="441"/>
      <c r="AJ121" s="441"/>
      <c r="AK121" s="450"/>
      <c r="AL121" s="494"/>
      <c r="AM121" s="495"/>
      <c r="AN121" s="495"/>
      <c r="AO121" s="495"/>
      <c r="AP121" s="495"/>
      <c r="AQ121" s="495"/>
      <c r="AR121" s="496"/>
      <c r="AS121" s="485"/>
      <c r="AT121" s="486"/>
      <c r="AU121" s="486"/>
      <c r="AV121" s="486"/>
      <c r="AW121" s="486"/>
      <c r="AX121" s="486"/>
      <c r="AY121" s="487"/>
      <c r="AZ121" s="462"/>
      <c r="BA121" s="463"/>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c r="DA121" s="197"/>
    </row>
    <row r="122" spans="1:105" ht="16.5" hidden="1">
      <c r="A122" s="435"/>
      <c r="B122" s="36"/>
      <c r="C122" s="199" t="str">
        <f t="shared" ca="1" si="3"/>
        <v/>
      </c>
      <c r="D122" s="479"/>
      <c r="E122" s="480"/>
      <c r="F122" s="480"/>
      <c r="G122" s="480"/>
      <c r="H122" s="480"/>
      <c r="I122" s="480"/>
      <c r="J122" s="480"/>
      <c r="K122" s="440"/>
      <c r="L122" s="441"/>
      <c r="M122" s="441"/>
      <c r="N122" s="441"/>
      <c r="O122" s="441"/>
      <c r="P122" s="441"/>
      <c r="Q122" s="441"/>
      <c r="R122" s="444"/>
      <c r="S122" s="445"/>
      <c r="T122" s="444"/>
      <c r="U122" s="445"/>
      <c r="V122" s="440"/>
      <c r="W122" s="441"/>
      <c r="X122" s="441"/>
      <c r="Y122" s="441"/>
      <c r="Z122" s="441"/>
      <c r="AA122" s="441"/>
      <c r="AB122" s="441"/>
      <c r="AC122" s="441"/>
      <c r="AD122" s="440"/>
      <c r="AE122" s="441"/>
      <c r="AF122" s="441"/>
      <c r="AG122" s="441"/>
      <c r="AH122" s="441"/>
      <c r="AI122" s="441"/>
      <c r="AJ122" s="441"/>
      <c r="AK122" s="450"/>
      <c r="AL122" s="494"/>
      <c r="AM122" s="495"/>
      <c r="AN122" s="495"/>
      <c r="AO122" s="495"/>
      <c r="AP122" s="495"/>
      <c r="AQ122" s="495"/>
      <c r="AR122" s="496"/>
      <c r="AS122" s="485"/>
      <c r="AT122" s="486"/>
      <c r="AU122" s="486"/>
      <c r="AV122" s="486"/>
      <c r="AW122" s="486"/>
      <c r="AX122" s="486"/>
      <c r="AY122" s="487"/>
      <c r="AZ122" s="462"/>
      <c r="BA122" s="463"/>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c r="DA122" s="197"/>
    </row>
    <row r="123" spans="1:105" ht="16.5" hidden="1">
      <c r="A123" s="435"/>
      <c r="B123" s="36"/>
      <c r="C123" s="199" t="str">
        <f t="shared" ca="1" si="3"/>
        <v/>
      </c>
      <c r="D123" s="479"/>
      <c r="E123" s="480"/>
      <c r="F123" s="480"/>
      <c r="G123" s="480"/>
      <c r="H123" s="480"/>
      <c r="I123" s="480"/>
      <c r="J123" s="480"/>
      <c r="K123" s="440"/>
      <c r="L123" s="441"/>
      <c r="M123" s="441"/>
      <c r="N123" s="441"/>
      <c r="O123" s="441"/>
      <c r="P123" s="441"/>
      <c r="Q123" s="441"/>
      <c r="R123" s="444"/>
      <c r="S123" s="445"/>
      <c r="T123" s="444"/>
      <c r="U123" s="445"/>
      <c r="V123" s="440"/>
      <c r="W123" s="441"/>
      <c r="X123" s="441"/>
      <c r="Y123" s="441"/>
      <c r="Z123" s="441"/>
      <c r="AA123" s="441"/>
      <c r="AB123" s="441"/>
      <c r="AC123" s="441"/>
      <c r="AD123" s="440"/>
      <c r="AE123" s="441"/>
      <c r="AF123" s="441"/>
      <c r="AG123" s="441"/>
      <c r="AH123" s="441"/>
      <c r="AI123" s="441"/>
      <c r="AJ123" s="441"/>
      <c r="AK123" s="450"/>
      <c r="AL123" s="494"/>
      <c r="AM123" s="495"/>
      <c r="AN123" s="495"/>
      <c r="AO123" s="495"/>
      <c r="AP123" s="495"/>
      <c r="AQ123" s="495"/>
      <c r="AR123" s="496"/>
      <c r="AS123" s="485"/>
      <c r="AT123" s="486"/>
      <c r="AU123" s="486"/>
      <c r="AV123" s="486"/>
      <c r="AW123" s="486"/>
      <c r="AX123" s="486"/>
      <c r="AY123" s="487"/>
      <c r="AZ123" s="462"/>
      <c r="BA123" s="463"/>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c r="DA123" s="197"/>
    </row>
    <row r="124" spans="1:105" ht="16.5" hidden="1">
      <c r="A124" s="436"/>
      <c r="B124" s="37"/>
      <c r="C124" s="200" t="str">
        <f t="shared" ca="1" si="3"/>
        <v/>
      </c>
      <c r="D124" s="481"/>
      <c r="E124" s="482"/>
      <c r="F124" s="482"/>
      <c r="G124" s="482"/>
      <c r="H124" s="482"/>
      <c r="I124" s="482"/>
      <c r="J124" s="482"/>
      <c r="K124" s="409"/>
      <c r="L124" s="410"/>
      <c r="M124" s="410"/>
      <c r="N124" s="410"/>
      <c r="O124" s="410"/>
      <c r="P124" s="410"/>
      <c r="Q124" s="410"/>
      <c r="R124" s="446"/>
      <c r="S124" s="447"/>
      <c r="T124" s="446"/>
      <c r="U124" s="447"/>
      <c r="V124" s="409"/>
      <c r="W124" s="410"/>
      <c r="X124" s="410"/>
      <c r="Y124" s="410"/>
      <c r="Z124" s="410"/>
      <c r="AA124" s="410"/>
      <c r="AB124" s="410"/>
      <c r="AC124" s="410"/>
      <c r="AD124" s="409"/>
      <c r="AE124" s="410"/>
      <c r="AF124" s="410"/>
      <c r="AG124" s="410"/>
      <c r="AH124" s="410"/>
      <c r="AI124" s="410"/>
      <c r="AJ124" s="410"/>
      <c r="AK124" s="411"/>
      <c r="AL124" s="497"/>
      <c r="AM124" s="498"/>
      <c r="AN124" s="498"/>
      <c r="AO124" s="498"/>
      <c r="AP124" s="498"/>
      <c r="AQ124" s="498"/>
      <c r="AR124" s="499"/>
      <c r="AS124" s="488"/>
      <c r="AT124" s="489"/>
      <c r="AU124" s="489"/>
      <c r="AV124" s="489"/>
      <c r="AW124" s="489"/>
      <c r="AX124" s="489"/>
      <c r="AY124" s="490"/>
      <c r="AZ124" s="464"/>
      <c r="BA124" s="465"/>
      <c r="BB124" s="62">
        <v>6</v>
      </c>
      <c r="BC124" s="426"/>
      <c r="BD124" s="427"/>
      <c r="BE124" s="427"/>
      <c r="BF124" s="428"/>
      <c r="BG124" s="429"/>
      <c r="BH124" s="430"/>
      <c r="BI124" s="196"/>
      <c r="BJ124" s="474"/>
      <c r="BK124" s="475"/>
      <c r="BL124" s="475"/>
      <c r="BM124" s="475"/>
      <c r="BN124" s="475"/>
      <c r="BO124" s="476"/>
      <c r="BP124" s="474"/>
      <c r="BQ124" s="475"/>
      <c r="BR124" s="475"/>
      <c r="BS124" s="475"/>
      <c r="BT124" s="475"/>
      <c r="BU124" s="476"/>
      <c r="BV124" s="474"/>
      <c r="BW124" s="475"/>
      <c r="BX124" s="475"/>
      <c r="BY124" s="475"/>
      <c r="BZ124" s="475"/>
      <c r="CA124" s="476"/>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c r="DA124" s="197"/>
    </row>
    <row r="125" spans="1:105" ht="16.5" hidden="1">
      <c r="A125" s="434">
        <v>20</v>
      </c>
      <c r="B125" s="36"/>
      <c r="C125" s="198" t="str">
        <f t="shared" ca="1" si="3"/>
        <v/>
      </c>
      <c r="D125" s="477"/>
      <c r="E125" s="478"/>
      <c r="F125" s="478"/>
      <c r="G125" s="478"/>
      <c r="H125" s="478"/>
      <c r="I125" s="478"/>
      <c r="J125" s="478"/>
      <c r="K125" s="438" t="s">
        <v>237</v>
      </c>
      <c r="L125" s="439"/>
      <c r="M125" s="439"/>
      <c r="N125" s="439"/>
      <c r="O125" s="439"/>
      <c r="P125" s="439"/>
      <c r="Q125" s="439"/>
      <c r="R125" s="442" t="s">
        <v>186</v>
      </c>
      <c r="S125" s="443"/>
      <c r="T125" s="442"/>
      <c r="U125" s="443"/>
      <c r="V125" s="438"/>
      <c r="W125" s="439"/>
      <c r="X125" s="439"/>
      <c r="Y125" s="439"/>
      <c r="Z125" s="439"/>
      <c r="AA125" s="439"/>
      <c r="AB125" s="439"/>
      <c r="AC125" s="439"/>
      <c r="AD125" s="438"/>
      <c r="AE125" s="439"/>
      <c r="AF125" s="439"/>
      <c r="AG125" s="439"/>
      <c r="AH125" s="439"/>
      <c r="AI125" s="439"/>
      <c r="AJ125" s="439"/>
      <c r="AK125" s="449"/>
      <c r="AL125" s="491"/>
      <c r="AM125" s="492"/>
      <c r="AN125" s="492"/>
      <c r="AO125" s="492"/>
      <c r="AP125" s="492"/>
      <c r="AQ125" s="492"/>
      <c r="AR125" s="493"/>
      <c r="AS125" s="500"/>
      <c r="AT125" s="483"/>
      <c r="AU125" s="483"/>
      <c r="AV125" s="483"/>
      <c r="AW125" s="483"/>
      <c r="AX125" s="483"/>
      <c r="AY125" s="484"/>
      <c r="AZ125" s="460"/>
      <c r="BA125" s="461"/>
      <c r="BB125" s="60">
        <v>1</v>
      </c>
      <c r="BC125" s="466"/>
      <c r="BD125" s="467"/>
      <c r="BE125" s="467"/>
      <c r="BF125" s="468"/>
      <c r="BG125" s="469"/>
      <c r="BH125" s="470"/>
      <c r="BI125" s="194"/>
      <c r="BJ125" s="471"/>
      <c r="BK125" s="472"/>
      <c r="BL125" s="472"/>
      <c r="BM125" s="472"/>
      <c r="BN125" s="472"/>
      <c r="BO125" s="473"/>
      <c r="BP125" s="471"/>
      <c r="BQ125" s="472"/>
      <c r="BR125" s="472"/>
      <c r="BS125" s="472"/>
      <c r="BT125" s="472"/>
      <c r="BU125" s="473"/>
      <c r="BV125" s="471"/>
      <c r="BW125" s="472"/>
      <c r="BX125" s="472"/>
      <c r="BY125" s="472"/>
      <c r="BZ125" s="472"/>
      <c r="CA125" s="473"/>
      <c r="CB125" s="466"/>
      <c r="CC125" s="467"/>
      <c r="CD125" s="467"/>
      <c r="CE125" s="468"/>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c r="DA125" s="197"/>
    </row>
    <row r="126" spans="1:105" ht="16.5" hidden="1">
      <c r="A126" s="435"/>
      <c r="B126" s="36"/>
      <c r="C126" s="199" t="str">
        <f t="shared" ca="1" si="3"/>
        <v/>
      </c>
      <c r="D126" s="479"/>
      <c r="E126" s="480"/>
      <c r="F126" s="480"/>
      <c r="G126" s="480"/>
      <c r="H126" s="480"/>
      <c r="I126" s="480"/>
      <c r="J126" s="480"/>
      <c r="K126" s="440"/>
      <c r="L126" s="441"/>
      <c r="M126" s="441"/>
      <c r="N126" s="441"/>
      <c r="O126" s="441"/>
      <c r="P126" s="441"/>
      <c r="Q126" s="441"/>
      <c r="R126" s="444"/>
      <c r="S126" s="445"/>
      <c r="T126" s="444"/>
      <c r="U126" s="445"/>
      <c r="V126" s="440"/>
      <c r="W126" s="441"/>
      <c r="X126" s="441"/>
      <c r="Y126" s="441"/>
      <c r="Z126" s="441"/>
      <c r="AA126" s="441"/>
      <c r="AB126" s="441"/>
      <c r="AC126" s="441"/>
      <c r="AD126" s="440"/>
      <c r="AE126" s="441"/>
      <c r="AF126" s="441"/>
      <c r="AG126" s="441"/>
      <c r="AH126" s="441"/>
      <c r="AI126" s="441"/>
      <c r="AJ126" s="441"/>
      <c r="AK126" s="450"/>
      <c r="AL126" s="494"/>
      <c r="AM126" s="495"/>
      <c r="AN126" s="495"/>
      <c r="AO126" s="495"/>
      <c r="AP126" s="495"/>
      <c r="AQ126" s="495"/>
      <c r="AR126" s="496"/>
      <c r="AS126" s="485"/>
      <c r="AT126" s="486"/>
      <c r="AU126" s="486"/>
      <c r="AV126" s="486"/>
      <c r="AW126" s="486"/>
      <c r="AX126" s="486"/>
      <c r="AY126" s="487"/>
      <c r="AZ126" s="462"/>
      <c r="BA126" s="463"/>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c r="DA126" s="197"/>
    </row>
    <row r="127" spans="1:105" ht="16.5" hidden="1">
      <c r="A127" s="435"/>
      <c r="B127" s="36"/>
      <c r="C127" s="199" t="str">
        <f t="shared" ca="1" si="3"/>
        <v/>
      </c>
      <c r="D127" s="479"/>
      <c r="E127" s="480"/>
      <c r="F127" s="480"/>
      <c r="G127" s="480"/>
      <c r="H127" s="480"/>
      <c r="I127" s="480"/>
      <c r="J127" s="480"/>
      <c r="K127" s="440"/>
      <c r="L127" s="441"/>
      <c r="M127" s="441"/>
      <c r="N127" s="441"/>
      <c r="O127" s="441"/>
      <c r="P127" s="441"/>
      <c r="Q127" s="441"/>
      <c r="R127" s="444"/>
      <c r="S127" s="445"/>
      <c r="T127" s="444"/>
      <c r="U127" s="445"/>
      <c r="V127" s="440"/>
      <c r="W127" s="441"/>
      <c r="X127" s="441"/>
      <c r="Y127" s="441"/>
      <c r="Z127" s="441"/>
      <c r="AA127" s="441"/>
      <c r="AB127" s="441"/>
      <c r="AC127" s="441"/>
      <c r="AD127" s="440"/>
      <c r="AE127" s="441"/>
      <c r="AF127" s="441"/>
      <c r="AG127" s="441"/>
      <c r="AH127" s="441"/>
      <c r="AI127" s="441"/>
      <c r="AJ127" s="441"/>
      <c r="AK127" s="450"/>
      <c r="AL127" s="494"/>
      <c r="AM127" s="495"/>
      <c r="AN127" s="495"/>
      <c r="AO127" s="495"/>
      <c r="AP127" s="495"/>
      <c r="AQ127" s="495"/>
      <c r="AR127" s="496"/>
      <c r="AS127" s="485"/>
      <c r="AT127" s="486"/>
      <c r="AU127" s="486"/>
      <c r="AV127" s="486"/>
      <c r="AW127" s="486"/>
      <c r="AX127" s="486"/>
      <c r="AY127" s="487"/>
      <c r="AZ127" s="462"/>
      <c r="BA127" s="463"/>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c r="DA127" s="197"/>
    </row>
    <row r="128" spans="1:105" ht="16.5" hidden="1">
      <c r="A128" s="435"/>
      <c r="B128" s="36"/>
      <c r="C128" s="199" t="str">
        <f t="shared" ca="1" si="3"/>
        <v/>
      </c>
      <c r="D128" s="479"/>
      <c r="E128" s="480"/>
      <c r="F128" s="480"/>
      <c r="G128" s="480"/>
      <c r="H128" s="480"/>
      <c r="I128" s="480"/>
      <c r="J128" s="480"/>
      <c r="K128" s="440"/>
      <c r="L128" s="441"/>
      <c r="M128" s="441"/>
      <c r="N128" s="441"/>
      <c r="O128" s="441"/>
      <c r="P128" s="441"/>
      <c r="Q128" s="441"/>
      <c r="R128" s="444"/>
      <c r="S128" s="445"/>
      <c r="T128" s="444"/>
      <c r="U128" s="445"/>
      <c r="V128" s="440"/>
      <c r="W128" s="441"/>
      <c r="X128" s="441"/>
      <c r="Y128" s="441"/>
      <c r="Z128" s="441"/>
      <c r="AA128" s="441"/>
      <c r="AB128" s="441"/>
      <c r="AC128" s="441"/>
      <c r="AD128" s="440"/>
      <c r="AE128" s="441"/>
      <c r="AF128" s="441"/>
      <c r="AG128" s="441"/>
      <c r="AH128" s="441"/>
      <c r="AI128" s="441"/>
      <c r="AJ128" s="441"/>
      <c r="AK128" s="450"/>
      <c r="AL128" s="494"/>
      <c r="AM128" s="495"/>
      <c r="AN128" s="495"/>
      <c r="AO128" s="495"/>
      <c r="AP128" s="495"/>
      <c r="AQ128" s="495"/>
      <c r="AR128" s="496"/>
      <c r="AS128" s="485"/>
      <c r="AT128" s="486"/>
      <c r="AU128" s="486"/>
      <c r="AV128" s="486"/>
      <c r="AW128" s="486"/>
      <c r="AX128" s="486"/>
      <c r="AY128" s="487"/>
      <c r="AZ128" s="462"/>
      <c r="BA128" s="463"/>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c r="DA128" s="197"/>
    </row>
    <row r="129" spans="1:105" ht="16.5" hidden="1">
      <c r="A129" s="435"/>
      <c r="B129" s="36"/>
      <c r="C129" s="199" t="str">
        <f t="shared" ca="1" si="3"/>
        <v/>
      </c>
      <c r="D129" s="479"/>
      <c r="E129" s="480"/>
      <c r="F129" s="480"/>
      <c r="G129" s="480"/>
      <c r="H129" s="480"/>
      <c r="I129" s="480"/>
      <c r="J129" s="480"/>
      <c r="K129" s="440"/>
      <c r="L129" s="441"/>
      <c r="M129" s="441"/>
      <c r="N129" s="441"/>
      <c r="O129" s="441"/>
      <c r="P129" s="441"/>
      <c r="Q129" s="441"/>
      <c r="R129" s="444"/>
      <c r="S129" s="445"/>
      <c r="T129" s="444"/>
      <c r="U129" s="445"/>
      <c r="V129" s="440"/>
      <c r="W129" s="441"/>
      <c r="X129" s="441"/>
      <c r="Y129" s="441"/>
      <c r="Z129" s="441"/>
      <c r="AA129" s="441"/>
      <c r="AB129" s="441"/>
      <c r="AC129" s="441"/>
      <c r="AD129" s="440"/>
      <c r="AE129" s="441"/>
      <c r="AF129" s="441"/>
      <c r="AG129" s="441"/>
      <c r="AH129" s="441"/>
      <c r="AI129" s="441"/>
      <c r="AJ129" s="441"/>
      <c r="AK129" s="450"/>
      <c r="AL129" s="494"/>
      <c r="AM129" s="495"/>
      <c r="AN129" s="495"/>
      <c r="AO129" s="495"/>
      <c r="AP129" s="495"/>
      <c r="AQ129" s="495"/>
      <c r="AR129" s="496"/>
      <c r="AS129" s="485"/>
      <c r="AT129" s="486"/>
      <c r="AU129" s="486"/>
      <c r="AV129" s="486"/>
      <c r="AW129" s="486"/>
      <c r="AX129" s="486"/>
      <c r="AY129" s="487"/>
      <c r="AZ129" s="462"/>
      <c r="BA129" s="463"/>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c r="DA129" s="197"/>
    </row>
    <row r="130" spans="1:105" ht="16.5" hidden="1">
      <c r="A130" s="436"/>
      <c r="B130" s="37"/>
      <c r="C130" s="200" t="str">
        <f t="shared" ca="1" si="3"/>
        <v/>
      </c>
      <c r="D130" s="481"/>
      <c r="E130" s="482"/>
      <c r="F130" s="482"/>
      <c r="G130" s="482"/>
      <c r="H130" s="482"/>
      <c r="I130" s="482"/>
      <c r="J130" s="482"/>
      <c r="K130" s="409"/>
      <c r="L130" s="410"/>
      <c r="M130" s="410"/>
      <c r="N130" s="410"/>
      <c r="O130" s="410"/>
      <c r="P130" s="410"/>
      <c r="Q130" s="410"/>
      <c r="R130" s="446"/>
      <c r="S130" s="447"/>
      <c r="T130" s="446"/>
      <c r="U130" s="447"/>
      <c r="V130" s="409"/>
      <c r="W130" s="410"/>
      <c r="X130" s="410"/>
      <c r="Y130" s="410"/>
      <c r="Z130" s="410"/>
      <c r="AA130" s="410"/>
      <c r="AB130" s="410"/>
      <c r="AC130" s="410"/>
      <c r="AD130" s="409"/>
      <c r="AE130" s="410"/>
      <c r="AF130" s="410"/>
      <c r="AG130" s="410"/>
      <c r="AH130" s="410"/>
      <c r="AI130" s="410"/>
      <c r="AJ130" s="410"/>
      <c r="AK130" s="411"/>
      <c r="AL130" s="497"/>
      <c r="AM130" s="498"/>
      <c r="AN130" s="498"/>
      <c r="AO130" s="498"/>
      <c r="AP130" s="498"/>
      <c r="AQ130" s="498"/>
      <c r="AR130" s="499"/>
      <c r="AS130" s="488"/>
      <c r="AT130" s="489"/>
      <c r="AU130" s="489"/>
      <c r="AV130" s="489"/>
      <c r="AW130" s="489"/>
      <c r="AX130" s="489"/>
      <c r="AY130" s="490"/>
      <c r="AZ130" s="464"/>
      <c r="BA130" s="465"/>
      <c r="BB130" s="62">
        <v>6</v>
      </c>
      <c r="BC130" s="426"/>
      <c r="BD130" s="427"/>
      <c r="BE130" s="427"/>
      <c r="BF130" s="428"/>
      <c r="BG130" s="429"/>
      <c r="BH130" s="430"/>
      <c r="BI130" s="196"/>
      <c r="BJ130" s="474"/>
      <c r="BK130" s="475"/>
      <c r="BL130" s="475"/>
      <c r="BM130" s="475"/>
      <c r="BN130" s="475"/>
      <c r="BO130" s="476"/>
      <c r="BP130" s="474"/>
      <c r="BQ130" s="475"/>
      <c r="BR130" s="475"/>
      <c r="BS130" s="475"/>
      <c r="BT130" s="475"/>
      <c r="BU130" s="476"/>
      <c r="BV130" s="474"/>
      <c r="BW130" s="475"/>
      <c r="BX130" s="475"/>
      <c r="BY130" s="475"/>
      <c r="BZ130" s="475"/>
      <c r="CA130" s="476"/>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c r="DA130" s="197"/>
    </row>
    <row r="131" spans="1:105" ht="16.5" hidden="1">
      <c r="A131" s="434">
        <v>21</v>
      </c>
      <c r="B131" s="36"/>
      <c r="C131" s="198" t="str">
        <f t="shared" ca="1" si="3"/>
        <v/>
      </c>
      <c r="D131" s="477"/>
      <c r="E131" s="478"/>
      <c r="F131" s="478"/>
      <c r="G131" s="478"/>
      <c r="H131" s="478"/>
      <c r="I131" s="478"/>
      <c r="J131" s="478"/>
      <c r="K131" s="438" t="s">
        <v>238</v>
      </c>
      <c r="L131" s="439"/>
      <c r="M131" s="439"/>
      <c r="N131" s="439"/>
      <c r="O131" s="439"/>
      <c r="P131" s="439"/>
      <c r="Q131" s="439"/>
      <c r="R131" s="442" t="s">
        <v>186</v>
      </c>
      <c r="S131" s="443"/>
      <c r="T131" s="442"/>
      <c r="U131" s="443"/>
      <c r="V131" s="438"/>
      <c r="W131" s="439"/>
      <c r="X131" s="439"/>
      <c r="Y131" s="439"/>
      <c r="Z131" s="439"/>
      <c r="AA131" s="439"/>
      <c r="AB131" s="439"/>
      <c r="AC131" s="439"/>
      <c r="AD131" s="438"/>
      <c r="AE131" s="439"/>
      <c r="AF131" s="439"/>
      <c r="AG131" s="439"/>
      <c r="AH131" s="439"/>
      <c r="AI131" s="439"/>
      <c r="AJ131" s="439"/>
      <c r="AK131" s="449"/>
      <c r="AL131" s="491"/>
      <c r="AM131" s="492"/>
      <c r="AN131" s="492"/>
      <c r="AO131" s="492"/>
      <c r="AP131" s="492"/>
      <c r="AQ131" s="492"/>
      <c r="AR131" s="493"/>
      <c r="AS131" s="500"/>
      <c r="AT131" s="483"/>
      <c r="AU131" s="483"/>
      <c r="AV131" s="483"/>
      <c r="AW131" s="483"/>
      <c r="AX131" s="483"/>
      <c r="AY131" s="484"/>
      <c r="AZ131" s="460"/>
      <c r="BA131" s="461"/>
      <c r="BB131" s="60">
        <v>1</v>
      </c>
      <c r="BC131" s="466"/>
      <c r="BD131" s="467"/>
      <c r="BE131" s="467"/>
      <c r="BF131" s="468"/>
      <c r="BG131" s="469"/>
      <c r="BH131" s="470"/>
      <c r="BI131" s="194"/>
      <c r="BJ131" s="471"/>
      <c r="BK131" s="472"/>
      <c r="BL131" s="472"/>
      <c r="BM131" s="472"/>
      <c r="BN131" s="472"/>
      <c r="BO131" s="473"/>
      <c r="BP131" s="471"/>
      <c r="BQ131" s="472"/>
      <c r="BR131" s="472"/>
      <c r="BS131" s="472"/>
      <c r="BT131" s="472"/>
      <c r="BU131" s="473"/>
      <c r="BV131" s="471"/>
      <c r="BW131" s="472"/>
      <c r="BX131" s="472"/>
      <c r="BY131" s="472"/>
      <c r="BZ131" s="472"/>
      <c r="CA131" s="473"/>
      <c r="CB131" s="466"/>
      <c r="CC131" s="467"/>
      <c r="CD131" s="467"/>
      <c r="CE131" s="468"/>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c r="DA131" s="197"/>
    </row>
    <row r="132" spans="1:105" ht="16.5" hidden="1">
      <c r="A132" s="435"/>
      <c r="B132" s="36"/>
      <c r="C132" s="199" t="str">
        <f t="shared" ca="1" si="3"/>
        <v/>
      </c>
      <c r="D132" s="479"/>
      <c r="E132" s="480"/>
      <c r="F132" s="480"/>
      <c r="G132" s="480"/>
      <c r="H132" s="480"/>
      <c r="I132" s="480"/>
      <c r="J132" s="480"/>
      <c r="K132" s="440"/>
      <c r="L132" s="441"/>
      <c r="M132" s="441"/>
      <c r="N132" s="441"/>
      <c r="O132" s="441"/>
      <c r="P132" s="441"/>
      <c r="Q132" s="441"/>
      <c r="R132" s="444"/>
      <c r="S132" s="445"/>
      <c r="T132" s="444"/>
      <c r="U132" s="445"/>
      <c r="V132" s="440"/>
      <c r="W132" s="441"/>
      <c r="X132" s="441"/>
      <c r="Y132" s="441"/>
      <c r="Z132" s="441"/>
      <c r="AA132" s="441"/>
      <c r="AB132" s="441"/>
      <c r="AC132" s="441"/>
      <c r="AD132" s="440"/>
      <c r="AE132" s="441"/>
      <c r="AF132" s="441"/>
      <c r="AG132" s="441"/>
      <c r="AH132" s="441"/>
      <c r="AI132" s="441"/>
      <c r="AJ132" s="441"/>
      <c r="AK132" s="450"/>
      <c r="AL132" s="494"/>
      <c r="AM132" s="495"/>
      <c r="AN132" s="495"/>
      <c r="AO132" s="495"/>
      <c r="AP132" s="495"/>
      <c r="AQ132" s="495"/>
      <c r="AR132" s="496"/>
      <c r="AS132" s="485"/>
      <c r="AT132" s="486"/>
      <c r="AU132" s="486"/>
      <c r="AV132" s="486"/>
      <c r="AW132" s="486"/>
      <c r="AX132" s="486"/>
      <c r="AY132" s="487"/>
      <c r="AZ132" s="462"/>
      <c r="BA132" s="463"/>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c r="DA132" s="197"/>
    </row>
    <row r="133" spans="1:105" ht="16.5" hidden="1">
      <c r="A133" s="435"/>
      <c r="B133" s="36"/>
      <c r="C133" s="199" t="str">
        <f t="shared" ca="1" si="3"/>
        <v/>
      </c>
      <c r="D133" s="479"/>
      <c r="E133" s="480"/>
      <c r="F133" s="480"/>
      <c r="G133" s="480"/>
      <c r="H133" s="480"/>
      <c r="I133" s="480"/>
      <c r="J133" s="480"/>
      <c r="K133" s="440"/>
      <c r="L133" s="441"/>
      <c r="M133" s="441"/>
      <c r="N133" s="441"/>
      <c r="O133" s="441"/>
      <c r="P133" s="441"/>
      <c r="Q133" s="441"/>
      <c r="R133" s="444"/>
      <c r="S133" s="445"/>
      <c r="T133" s="444"/>
      <c r="U133" s="445"/>
      <c r="V133" s="440"/>
      <c r="W133" s="441"/>
      <c r="X133" s="441"/>
      <c r="Y133" s="441"/>
      <c r="Z133" s="441"/>
      <c r="AA133" s="441"/>
      <c r="AB133" s="441"/>
      <c r="AC133" s="441"/>
      <c r="AD133" s="440"/>
      <c r="AE133" s="441"/>
      <c r="AF133" s="441"/>
      <c r="AG133" s="441"/>
      <c r="AH133" s="441"/>
      <c r="AI133" s="441"/>
      <c r="AJ133" s="441"/>
      <c r="AK133" s="450"/>
      <c r="AL133" s="494"/>
      <c r="AM133" s="495"/>
      <c r="AN133" s="495"/>
      <c r="AO133" s="495"/>
      <c r="AP133" s="495"/>
      <c r="AQ133" s="495"/>
      <c r="AR133" s="496"/>
      <c r="AS133" s="485"/>
      <c r="AT133" s="486"/>
      <c r="AU133" s="486"/>
      <c r="AV133" s="486"/>
      <c r="AW133" s="486"/>
      <c r="AX133" s="486"/>
      <c r="AY133" s="487"/>
      <c r="AZ133" s="462"/>
      <c r="BA133" s="463"/>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c r="DA133" s="197"/>
    </row>
    <row r="134" spans="1:105" ht="16.5" hidden="1">
      <c r="A134" s="435"/>
      <c r="B134" s="36"/>
      <c r="C134" s="199" t="str">
        <f t="shared" ca="1" si="3"/>
        <v/>
      </c>
      <c r="D134" s="479"/>
      <c r="E134" s="480"/>
      <c r="F134" s="480"/>
      <c r="G134" s="480"/>
      <c r="H134" s="480"/>
      <c r="I134" s="480"/>
      <c r="J134" s="480"/>
      <c r="K134" s="440"/>
      <c r="L134" s="441"/>
      <c r="M134" s="441"/>
      <c r="N134" s="441"/>
      <c r="O134" s="441"/>
      <c r="P134" s="441"/>
      <c r="Q134" s="441"/>
      <c r="R134" s="444"/>
      <c r="S134" s="445"/>
      <c r="T134" s="444"/>
      <c r="U134" s="445"/>
      <c r="V134" s="440"/>
      <c r="W134" s="441"/>
      <c r="X134" s="441"/>
      <c r="Y134" s="441"/>
      <c r="Z134" s="441"/>
      <c r="AA134" s="441"/>
      <c r="AB134" s="441"/>
      <c r="AC134" s="441"/>
      <c r="AD134" s="440"/>
      <c r="AE134" s="441"/>
      <c r="AF134" s="441"/>
      <c r="AG134" s="441"/>
      <c r="AH134" s="441"/>
      <c r="AI134" s="441"/>
      <c r="AJ134" s="441"/>
      <c r="AK134" s="450"/>
      <c r="AL134" s="494"/>
      <c r="AM134" s="495"/>
      <c r="AN134" s="495"/>
      <c r="AO134" s="495"/>
      <c r="AP134" s="495"/>
      <c r="AQ134" s="495"/>
      <c r="AR134" s="496"/>
      <c r="AS134" s="485"/>
      <c r="AT134" s="486"/>
      <c r="AU134" s="486"/>
      <c r="AV134" s="486"/>
      <c r="AW134" s="486"/>
      <c r="AX134" s="486"/>
      <c r="AY134" s="487"/>
      <c r="AZ134" s="462"/>
      <c r="BA134" s="463"/>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c r="DA134" s="197"/>
    </row>
    <row r="135" spans="1:105" ht="16.5" hidden="1">
      <c r="A135" s="435"/>
      <c r="B135" s="36"/>
      <c r="C135" s="199" t="str">
        <f t="shared" ca="1" si="3"/>
        <v/>
      </c>
      <c r="D135" s="479"/>
      <c r="E135" s="480"/>
      <c r="F135" s="480"/>
      <c r="G135" s="480"/>
      <c r="H135" s="480"/>
      <c r="I135" s="480"/>
      <c r="J135" s="480"/>
      <c r="K135" s="440"/>
      <c r="L135" s="441"/>
      <c r="M135" s="441"/>
      <c r="N135" s="441"/>
      <c r="O135" s="441"/>
      <c r="P135" s="441"/>
      <c r="Q135" s="441"/>
      <c r="R135" s="444"/>
      <c r="S135" s="445"/>
      <c r="T135" s="444"/>
      <c r="U135" s="445"/>
      <c r="V135" s="440"/>
      <c r="W135" s="441"/>
      <c r="X135" s="441"/>
      <c r="Y135" s="441"/>
      <c r="Z135" s="441"/>
      <c r="AA135" s="441"/>
      <c r="AB135" s="441"/>
      <c r="AC135" s="441"/>
      <c r="AD135" s="440"/>
      <c r="AE135" s="441"/>
      <c r="AF135" s="441"/>
      <c r="AG135" s="441"/>
      <c r="AH135" s="441"/>
      <c r="AI135" s="441"/>
      <c r="AJ135" s="441"/>
      <c r="AK135" s="450"/>
      <c r="AL135" s="494"/>
      <c r="AM135" s="495"/>
      <c r="AN135" s="495"/>
      <c r="AO135" s="495"/>
      <c r="AP135" s="495"/>
      <c r="AQ135" s="495"/>
      <c r="AR135" s="496"/>
      <c r="AS135" s="485"/>
      <c r="AT135" s="486"/>
      <c r="AU135" s="486"/>
      <c r="AV135" s="486"/>
      <c r="AW135" s="486"/>
      <c r="AX135" s="486"/>
      <c r="AY135" s="487"/>
      <c r="AZ135" s="462"/>
      <c r="BA135" s="463"/>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c r="DA135" s="197"/>
    </row>
    <row r="136" spans="1:105" ht="16.5" hidden="1">
      <c r="A136" s="436"/>
      <c r="B136" s="37"/>
      <c r="C136" s="200" t="str">
        <f t="shared" ca="1" si="3"/>
        <v/>
      </c>
      <c r="D136" s="481"/>
      <c r="E136" s="482"/>
      <c r="F136" s="482"/>
      <c r="G136" s="482"/>
      <c r="H136" s="482"/>
      <c r="I136" s="482"/>
      <c r="J136" s="482"/>
      <c r="K136" s="409"/>
      <c r="L136" s="410"/>
      <c r="M136" s="410"/>
      <c r="N136" s="410"/>
      <c r="O136" s="410"/>
      <c r="P136" s="410"/>
      <c r="Q136" s="410"/>
      <c r="R136" s="446"/>
      <c r="S136" s="447"/>
      <c r="T136" s="446"/>
      <c r="U136" s="447"/>
      <c r="V136" s="409"/>
      <c r="W136" s="410"/>
      <c r="X136" s="410"/>
      <c r="Y136" s="410"/>
      <c r="Z136" s="410"/>
      <c r="AA136" s="410"/>
      <c r="AB136" s="410"/>
      <c r="AC136" s="410"/>
      <c r="AD136" s="409"/>
      <c r="AE136" s="410"/>
      <c r="AF136" s="410"/>
      <c r="AG136" s="410"/>
      <c r="AH136" s="410"/>
      <c r="AI136" s="410"/>
      <c r="AJ136" s="410"/>
      <c r="AK136" s="411"/>
      <c r="AL136" s="497"/>
      <c r="AM136" s="498"/>
      <c r="AN136" s="498"/>
      <c r="AO136" s="498"/>
      <c r="AP136" s="498"/>
      <c r="AQ136" s="498"/>
      <c r="AR136" s="499"/>
      <c r="AS136" s="488"/>
      <c r="AT136" s="489"/>
      <c r="AU136" s="489"/>
      <c r="AV136" s="489"/>
      <c r="AW136" s="489"/>
      <c r="AX136" s="489"/>
      <c r="AY136" s="490"/>
      <c r="AZ136" s="464"/>
      <c r="BA136" s="465"/>
      <c r="BB136" s="62">
        <v>6</v>
      </c>
      <c r="BC136" s="426"/>
      <c r="BD136" s="427"/>
      <c r="BE136" s="427"/>
      <c r="BF136" s="428"/>
      <c r="BG136" s="429"/>
      <c r="BH136" s="430"/>
      <c r="BI136" s="196"/>
      <c r="BJ136" s="474"/>
      <c r="BK136" s="475"/>
      <c r="BL136" s="475"/>
      <c r="BM136" s="475"/>
      <c r="BN136" s="475"/>
      <c r="BO136" s="476"/>
      <c r="BP136" s="474"/>
      <c r="BQ136" s="475"/>
      <c r="BR136" s="475"/>
      <c r="BS136" s="475"/>
      <c r="BT136" s="475"/>
      <c r="BU136" s="476"/>
      <c r="BV136" s="474"/>
      <c r="BW136" s="475"/>
      <c r="BX136" s="475"/>
      <c r="BY136" s="475"/>
      <c r="BZ136" s="475"/>
      <c r="CA136" s="476"/>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c r="DA136" s="197"/>
    </row>
    <row r="137" spans="1:105" ht="15.95" customHeight="1">
      <c r="A137" s="434">
        <v>22</v>
      </c>
      <c r="B137" s="36"/>
      <c r="C137" s="198" t="str">
        <f t="shared" ca="1" si="3"/>
        <v>●</v>
      </c>
      <c r="D137" s="477"/>
      <c r="E137" s="478"/>
      <c r="F137" s="478"/>
      <c r="G137" s="478"/>
      <c r="H137" s="478"/>
      <c r="I137" s="478"/>
      <c r="J137" s="478"/>
      <c r="K137" s="438" t="s">
        <v>239</v>
      </c>
      <c r="L137" s="439"/>
      <c r="M137" s="439"/>
      <c r="N137" s="439"/>
      <c r="O137" s="439"/>
      <c r="P137" s="439"/>
      <c r="Q137" s="439"/>
      <c r="R137" s="442"/>
      <c r="S137" s="443"/>
      <c r="T137" s="442"/>
      <c r="U137" s="443"/>
      <c r="V137" s="438" t="s">
        <v>240</v>
      </c>
      <c r="W137" s="439"/>
      <c r="X137" s="439"/>
      <c r="Y137" s="439"/>
      <c r="Z137" s="439"/>
      <c r="AA137" s="439"/>
      <c r="AB137" s="439"/>
      <c r="AC137" s="439"/>
      <c r="AD137" s="438" t="s">
        <v>241</v>
      </c>
      <c r="AE137" s="439"/>
      <c r="AF137" s="439"/>
      <c r="AG137" s="439"/>
      <c r="AH137" s="439"/>
      <c r="AI137" s="439"/>
      <c r="AJ137" s="439"/>
      <c r="AK137" s="449"/>
      <c r="AL137" s="491" t="s">
        <v>242</v>
      </c>
      <c r="AM137" s="492"/>
      <c r="AN137" s="492"/>
      <c r="AO137" s="492"/>
      <c r="AP137" s="492"/>
      <c r="AQ137" s="492"/>
      <c r="AR137" s="493"/>
      <c r="AS137" s="438" t="s">
        <v>243</v>
      </c>
      <c r="AT137" s="439"/>
      <c r="AU137" s="439"/>
      <c r="AV137" s="439"/>
      <c r="AW137" s="439"/>
      <c r="AX137" s="439"/>
      <c r="AY137" s="449"/>
      <c r="AZ137" s="460" t="s">
        <v>54</v>
      </c>
      <c r="BA137" s="461"/>
      <c r="BB137" s="60">
        <v>1</v>
      </c>
      <c r="BC137" s="466">
        <v>45877</v>
      </c>
      <c r="BD137" s="467"/>
      <c r="BE137" s="467"/>
      <c r="BF137" s="468"/>
      <c r="BG137" s="469" t="s">
        <v>195</v>
      </c>
      <c r="BH137" s="470"/>
      <c r="BI137" s="194"/>
      <c r="BJ137" s="471"/>
      <c r="BK137" s="472"/>
      <c r="BL137" s="472"/>
      <c r="BM137" s="472"/>
      <c r="BN137" s="472"/>
      <c r="BO137" s="473"/>
      <c r="BP137" s="471"/>
      <c r="BQ137" s="472"/>
      <c r="BR137" s="472"/>
      <c r="BS137" s="472"/>
      <c r="BT137" s="472"/>
      <c r="BU137" s="473"/>
      <c r="BV137" s="471"/>
      <c r="BW137" s="472"/>
      <c r="BX137" s="472"/>
      <c r="BY137" s="472"/>
      <c r="BZ137" s="472"/>
      <c r="CA137" s="473"/>
      <c r="CB137" s="466">
        <v>45877</v>
      </c>
      <c r="CC137" s="467"/>
      <c r="CD137" s="467"/>
      <c r="CE137" s="468"/>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c r="DA137" s="197"/>
    </row>
    <row r="138" spans="1:105" ht="16.5">
      <c r="A138" s="435"/>
      <c r="B138" s="36"/>
      <c r="C138" s="199" t="str">
        <f t="shared" ca="1" si="3"/>
        <v>●</v>
      </c>
      <c r="D138" s="479"/>
      <c r="E138" s="480"/>
      <c r="F138" s="480"/>
      <c r="G138" s="480"/>
      <c r="H138" s="480"/>
      <c r="I138" s="480"/>
      <c r="J138" s="480"/>
      <c r="K138" s="440"/>
      <c r="L138" s="441"/>
      <c r="M138" s="441"/>
      <c r="N138" s="441"/>
      <c r="O138" s="441"/>
      <c r="P138" s="441"/>
      <c r="Q138" s="441"/>
      <c r="R138" s="444"/>
      <c r="S138" s="445"/>
      <c r="T138" s="444"/>
      <c r="U138" s="445"/>
      <c r="V138" s="440"/>
      <c r="W138" s="441"/>
      <c r="X138" s="441"/>
      <c r="Y138" s="441"/>
      <c r="Z138" s="441"/>
      <c r="AA138" s="441"/>
      <c r="AB138" s="441"/>
      <c r="AC138" s="441"/>
      <c r="AD138" s="440"/>
      <c r="AE138" s="441"/>
      <c r="AF138" s="441"/>
      <c r="AG138" s="441"/>
      <c r="AH138" s="441"/>
      <c r="AI138" s="441"/>
      <c r="AJ138" s="441"/>
      <c r="AK138" s="450"/>
      <c r="AL138" s="494"/>
      <c r="AM138" s="495"/>
      <c r="AN138" s="495"/>
      <c r="AO138" s="495"/>
      <c r="AP138" s="495"/>
      <c r="AQ138" s="495"/>
      <c r="AR138" s="496"/>
      <c r="AS138" s="440"/>
      <c r="AT138" s="441"/>
      <c r="AU138" s="441"/>
      <c r="AV138" s="441"/>
      <c r="AW138" s="441"/>
      <c r="AX138" s="441"/>
      <c r="AY138" s="450"/>
      <c r="AZ138" s="462"/>
      <c r="BA138" s="463"/>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c r="DA138" s="197"/>
    </row>
    <row r="139" spans="1:105" ht="16.5">
      <c r="A139" s="435"/>
      <c r="B139" s="36"/>
      <c r="C139" s="199" t="str">
        <f t="shared" ca="1" si="3"/>
        <v>●</v>
      </c>
      <c r="D139" s="479"/>
      <c r="E139" s="480"/>
      <c r="F139" s="480"/>
      <c r="G139" s="480"/>
      <c r="H139" s="480"/>
      <c r="I139" s="480"/>
      <c r="J139" s="480"/>
      <c r="K139" s="440"/>
      <c r="L139" s="441"/>
      <c r="M139" s="441"/>
      <c r="N139" s="441"/>
      <c r="O139" s="441"/>
      <c r="P139" s="441"/>
      <c r="Q139" s="441"/>
      <c r="R139" s="444"/>
      <c r="S139" s="445"/>
      <c r="T139" s="444"/>
      <c r="U139" s="445"/>
      <c r="V139" s="440"/>
      <c r="W139" s="441"/>
      <c r="X139" s="441"/>
      <c r="Y139" s="441"/>
      <c r="Z139" s="441"/>
      <c r="AA139" s="441"/>
      <c r="AB139" s="441"/>
      <c r="AC139" s="441"/>
      <c r="AD139" s="440"/>
      <c r="AE139" s="441"/>
      <c r="AF139" s="441"/>
      <c r="AG139" s="441"/>
      <c r="AH139" s="441"/>
      <c r="AI139" s="441"/>
      <c r="AJ139" s="441"/>
      <c r="AK139" s="450"/>
      <c r="AL139" s="494"/>
      <c r="AM139" s="495"/>
      <c r="AN139" s="495"/>
      <c r="AO139" s="495"/>
      <c r="AP139" s="495"/>
      <c r="AQ139" s="495"/>
      <c r="AR139" s="496"/>
      <c r="AS139" s="440"/>
      <c r="AT139" s="441"/>
      <c r="AU139" s="441"/>
      <c r="AV139" s="441"/>
      <c r="AW139" s="441"/>
      <c r="AX139" s="441"/>
      <c r="AY139" s="450"/>
      <c r="AZ139" s="462"/>
      <c r="BA139" s="463"/>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c r="DA139" s="197"/>
    </row>
    <row r="140" spans="1:105" ht="16.5">
      <c r="A140" s="435"/>
      <c r="B140" s="36"/>
      <c r="C140" s="199" t="str">
        <f t="shared" ca="1" si="3"/>
        <v>●</v>
      </c>
      <c r="D140" s="479"/>
      <c r="E140" s="480"/>
      <c r="F140" s="480"/>
      <c r="G140" s="480"/>
      <c r="H140" s="480"/>
      <c r="I140" s="480"/>
      <c r="J140" s="480"/>
      <c r="K140" s="440"/>
      <c r="L140" s="441"/>
      <c r="M140" s="441"/>
      <c r="N140" s="441"/>
      <c r="O140" s="441"/>
      <c r="P140" s="441"/>
      <c r="Q140" s="441"/>
      <c r="R140" s="444"/>
      <c r="S140" s="445"/>
      <c r="T140" s="444"/>
      <c r="U140" s="445"/>
      <c r="V140" s="440"/>
      <c r="W140" s="441"/>
      <c r="X140" s="441"/>
      <c r="Y140" s="441"/>
      <c r="Z140" s="441"/>
      <c r="AA140" s="441"/>
      <c r="AB140" s="441"/>
      <c r="AC140" s="441"/>
      <c r="AD140" s="440"/>
      <c r="AE140" s="441"/>
      <c r="AF140" s="441"/>
      <c r="AG140" s="441"/>
      <c r="AH140" s="441"/>
      <c r="AI140" s="441"/>
      <c r="AJ140" s="441"/>
      <c r="AK140" s="450"/>
      <c r="AL140" s="494"/>
      <c r="AM140" s="495"/>
      <c r="AN140" s="495"/>
      <c r="AO140" s="495"/>
      <c r="AP140" s="495"/>
      <c r="AQ140" s="495"/>
      <c r="AR140" s="496"/>
      <c r="AS140" s="440"/>
      <c r="AT140" s="441"/>
      <c r="AU140" s="441"/>
      <c r="AV140" s="441"/>
      <c r="AW140" s="441"/>
      <c r="AX140" s="441"/>
      <c r="AY140" s="450"/>
      <c r="AZ140" s="462"/>
      <c r="BA140" s="463"/>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c r="DA140" s="197"/>
    </row>
    <row r="141" spans="1:105" ht="16.5">
      <c r="A141" s="435"/>
      <c r="B141" s="36"/>
      <c r="C141" s="199" t="str">
        <f t="shared" ca="1" si="3"/>
        <v>●</v>
      </c>
      <c r="D141" s="479"/>
      <c r="E141" s="480"/>
      <c r="F141" s="480"/>
      <c r="G141" s="480"/>
      <c r="H141" s="480"/>
      <c r="I141" s="480"/>
      <c r="J141" s="480"/>
      <c r="K141" s="440"/>
      <c r="L141" s="441"/>
      <c r="M141" s="441"/>
      <c r="N141" s="441"/>
      <c r="O141" s="441"/>
      <c r="P141" s="441"/>
      <c r="Q141" s="441"/>
      <c r="R141" s="444"/>
      <c r="S141" s="445"/>
      <c r="T141" s="444"/>
      <c r="U141" s="445"/>
      <c r="V141" s="440"/>
      <c r="W141" s="441"/>
      <c r="X141" s="441"/>
      <c r="Y141" s="441"/>
      <c r="Z141" s="441"/>
      <c r="AA141" s="441"/>
      <c r="AB141" s="441"/>
      <c r="AC141" s="441"/>
      <c r="AD141" s="440"/>
      <c r="AE141" s="441"/>
      <c r="AF141" s="441"/>
      <c r="AG141" s="441"/>
      <c r="AH141" s="441"/>
      <c r="AI141" s="441"/>
      <c r="AJ141" s="441"/>
      <c r="AK141" s="450"/>
      <c r="AL141" s="494"/>
      <c r="AM141" s="495"/>
      <c r="AN141" s="495"/>
      <c r="AO141" s="495"/>
      <c r="AP141" s="495"/>
      <c r="AQ141" s="495"/>
      <c r="AR141" s="496"/>
      <c r="AS141" s="440"/>
      <c r="AT141" s="441"/>
      <c r="AU141" s="441"/>
      <c r="AV141" s="441"/>
      <c r="AW141" s="441"/>
      <c r="AX141" s="441"/>
      <c r="AY141" s="450"/>
      <c r="AZ141" s="462"/>
      <c r="BA141" s="463"/>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c r="DA141" s="197"/>
    </row>
    <row r="142" spans="1:105" ht="16.5">
      <c r="A142" s="436"/>
      <c r="B142" s="37"/>
      <c r="C142" s="200" t="str">
        <f t="shared" ca="1" si="3"/>
        <v>●</v>
      </c>
      <c r="D142" s="481"/>
      <c r="E142" s="482"/>
      <c r="F142" s="482"/>
      <c r="G142" s="482"/>
      <c r="H142" s="482"/>
      <c r="I142" s="482"/>
      <c r="J142" s="482"/>
      <c r="K142" s="409"/>
      <c r="L142" s="410"/>
      <c r="M142" s="410"/>
      <c r="N142" s="410"/>
      <c r="O142" s="410"/>
      <c r="P142" s="410"/>
      <c r="Q142" s="410"/>
      <c r="R142" s="446"/>
      <c r="S142" s="447"/>
      <c r="T142" s="446"/>
      <c r="U142" s="447"/>
      <c r="V142" s="409"/>
      <c r="W142" s="410"/>
      <c r="X142" s="410"/>
      <c r="Y142" s="410"/>
      <c r="Z142" s="410"/>
      <c r="AA142" s="410"/>
      <c r="AB142" s="410"/>
      <c r="AC142" s="410"/>
      <c r="AD142" s="409"/>
      <c r="AE142" s="410"/>
      <c r="AF142" s="410"/>
      <c r="AG142" s="410"/>
      <c r="AH142" s="410"/>
      <c r="AI142" s="410"/>
      <c r="AJ142" s="410"/>
      <c r="AK142" s="411"/>
      <c r="AL142" s="497"/>
      <c r="AM142" s="498"/>
      <c r="AN142" s="498"/>
      <c r="AO142" s="498"/>
      <c r="AP142" s="498"/>
      <c r="AQ142" s="498"/>
      <c r="AR142" s="499"/>
      <c r="AS142" s="409"/>
      <c r="AT142" s="410"/>
      <c r="AU142" s="410"/>
      <c r="AV142" s="410"/>
      <c r="AW142" s="410"/>
      <c r="AX142" s="410"/>
      <c r="AY142" s="411"/>
      <c r="AZ142" s="464"/>
      <c r="BA142" s="465"/>
      <c r="BB142" s="62">
        <v>6</v>
      </c>
      <c r="BC142" s="426"/>
      <c r="BD142" s="427"/>
      <c r="BE142" s="427"/>
      <c r="BF142" s="428"/>
      <c r="BG142" s="429"/>
      <c r="BH142" s="430"/>
      <c r="BI142" s="196"/>
      <c r="BJ142" s="474"/>
      <c r="BK142" s="475"/>
      <c r="BL142" s="475"/>
      <c r="BM142" s="475"/>
      <c r="BN142" s="475"/>
      <c r="BO142" s="476"/>
      <c r="BP142" s="474"/>
      <c r="BQ142" s="475"/>
      <c r="BR142" s="475"/>
      <c r="BS142" s="475"/>
      <c r="BT142" s="475"/>
      <c r="BU142" s="476"/>
      <c r="BV142" s="474"/>
      <c r="BW142" s="475"/>
      <c r="BX142" s="475"/>
      <c r="BY142" s="475"/>
      <c r="BZ142" s="475"/>
      <c r="CA142" s="476"/>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c r="DA142" s="197"/>
    </row>
    <row r="143" spans="1:105" ht="15.95" customHeight="1">
      <c r="A143" s="434">
        <v>23</v>
      </c>
      <c r="B143" s="36"/>
      <c r="C143" s="198" t="str">
        <f t="shared" ca="1" si="3"/>
        <v>●</v>
      </c>
      <c r="D143" s="477"/>
      <c r="E143" s="478"/>
      <c r="F143" s="478"/>
      <c r="G143" s="478"/>
      <c r="H143" s="478"/>
      <c r="I143" s="478"/>
      <c r="J143" s="478"/>
      <c r="K143" s="438" t="s">
        <v>244</v>
      </c>
      <c r="L143" s="439"/>
      <c r="M143" s="439"/>
      <c r="N143" s="439"/>
      <c r="O143" s="439"/>
      <c r="P143" s="439"/>
      <c r="Q143" s="439"/>
      <c r="R143" s="442"/>
      <c r="S143" s="443"/>
      <c r="T143" s="442"/>
      <c r="U143" s="443"/>
      <c r="V143" s="438" t="s">
        <v>245</v>
      </c>
      <c r="W143" s="439"/>
      <c r="X143" s="439"/>
      <c r="Y143" s="439"/>
      <c r="Z143" s="439"/>
      <c r="AA143" s="439"/>
      <c r="AB143" s="439"/>
      <c r="AC143" s="439"/>
      <c r="AD143" s="438" t="s">
        <v>241</v>
      </c>
      <c r="AE143" s="439"/>
      <c r="AF143" s="439"/>
      <c r="AG143" s="439"/>
      <c r="AH143" s="439"/>
      <c r="AI143" s="439"/>
      <c r="AJ143" s="439"/>
      <c r="AK143" s="449"/>
      <c r="AL143" s="491" t="s">
        <v>242</v>
      </c>
      <c r="AM143" s="492"/>
      <c r="AN143" s="492"/>
      <c r="AO143" s="492"/>
      <c r="AP143" s="492"/>
      <c r="AQ143" s="492"/>
      <c r="AR143" s="493"/>
      <c r="AS143" s="438" t="s">
        <v>243</v>
      </c>
      <c r="AT143" s="439"/>
      <c r="AU143" s="439"/>
      <c r="AV143" s="439"/>
      <c r="AW143" s="439"/>
      <c r="AX143" s="439"/>
      <c r="AY143" s="449"/>
      <c r="AZ143" s="460" t="s">
        <v>54</v>
      </c>
      <c r="BA143" s="461"/>
      <c r="BB143" s="60">
        <v>1</v>
      </c>
      <c r="BC143" s="466">
        <v>45877</v>
      </c>
      <c r="BD143" s="467"/>
      <c r="BE143" s="467"/>
      <c r="BF143" s="468"/>
      <c r="BG143" s="469" t="s">
        <v>195</v>
      </c>
      <c r="BH143" s="470"/>
      <c r="BI143" s="194"/>
      <c r="BJ143" s="471"/>
      <c r="BK143" s="472"/>
      <c r="BL143" s="472"/>
      <c r="BM143" s="472"/>
      <c r="BN143" s="472"/>
      <c r="BO143" s="473"/>
      <c r="BP143" s="471"/>
      <c r="BQ143" s="472"/>
      <c r="BR143" s="472"/>
      <c r="BS143" s="472"/>
      <c r="BT143" s="472"/>
      <c r="BU143" s="473"/>
      <c r="BV143" s="471"/>
      <c r="BW143" s="472"/>
      <c r="BX143" s="472"/>
      <c r="BY143" s="472"/>
      <c r="BZ143" s="472"/>
      <c r="CA143" s="473"/>
      <c r="CB143" s="466">
        <v>45877</v>
      </c>
      <c r="CC143" s="467"/>
      <c r="CD143" s="467"/>
      <c r="CE143" s="468"/>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c r="DA143" s="197"/>
    </row>
    <row r="144" spans="1:105" ht="16.5">
      <c r="A144" s="435"/>
      <c r="B144" s="36"/>
      <c r="C144" s="199" t="str">
        <f t="shared" ca="1" si="3"/>
        <v>●</v>
      </c>
      <c r="D144" s="479"/>
      <c r="E144" s="480"/>
      <c r="F144" s="480"/>
      <c r="G144" s="480"/>
      <c r="H144" s="480"/>
      <c r="I144" s="480"/>
      <c r="J144" s="480"/>
      <c r="K144" s="440"/>
      <c r="L144" s="441"/>
      <c r="M144" s="441"/>
      <c r="N144" s="441"/>
      <c r="O144" s="441"/>
      <c r="P144" s="441"/>
      <c r="Q144" s="441"/>
      <c r="R144" s="444"/>
      <c r="S144" s="445"/>
      <c r="T144" s="444"/>
      <c r="U144" s="445"/>
      <c r="V144" s="440"/>
      <c r="W144" s="441"/>
      <c r="X144" s="441"/>
      <c r="Y144" s="441"/>
      <c r="Z144" s="441"/>
      <c r="AA144" s="441"/>
      <c r="AB144" s="441"/>
      <c r="AC144" s="441"/>
      <c r="AD144" s="440"/>
      <c r="AE144" s="441"/>
      <c r="AF144" s="441"/>
      <c r="AG144" s="441"/>
      <c r="AH144" s="441"/>
      <c r="AI144" s="441"/>
      <c r="AJ144" s="441"/>
      <c r="AK144" s="450"/>
      <c r="AL144" s="494"/>
      <c r="AM144" s="495"/>
      <c r="AN144" s="495"/>
      <c r="AO144" s="495"/>
      <c r="AP144" s="495"/>
      <c r="AQ144" s="495"/>
      <c r="AR144" s="496"/>
      <c r="AS144" s="440"/>
      <c r="AT144" s="441"/>
      <c r="AU144" s="441"/>
      <c r="AV144" s="441"/>
      <c r="AW144" s="441"/>
      <c r="AX144" s="441"/>
      <c r="AY144" s="450"/>
      <c r="AZ144" s="462"/>
      <c r="BA144" s="463"/>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c r="DA144" s="197"/>
    </row>
    <row r="145" spans="1:105" ht="16.5">
      <c r="A145" s="435"/>
      <c r="B145" s="36"/>
      <c r="C145" s="199" t="str">
        <f t="shared" ca="1" si="3"/>
        <v>●</v>
      </c>
      <c r="D145" s="479"/>
      <c r="E145" s="480"/>
      <c r="F145" s="480"/>
      <c r="G145" s="480"/>
      <c r="H145" s="480"/>
      <c r="I145" s="480"/>
      <c r="J145" s="480"/>
      <c r="K145" s="440"/>
      <c r="L145" s="441"/>
      <c r="M145" s="441"/>
      <c r="N145" s="441"/>
      <c r="O145" s="441"/>
      <c r="P145" s="441"/>
      <c r="Q145" s="441"/>
      <c r="R145" s="444"/>
      <c r="S145" s="445"/>
      <c r="T145" s="444"/>
      <c r="U145" s="445"/>
      <c r="V145" s="440"/>
      <c r="W145" s="441"/>
      <c r="X145" s="441"/>
      <c r="Y145" s="441"/>
      <c r="Z145" s="441"/>
      <c r="AA145" s="441"/>
      <c r="AB145" s="441"/>
      <c r="AC145" s="441"/>
      <c r="AD145" s="440"/>
      <c r="AE145" s="441"/>
      <c r="AF145" s="441"/>
      <c r="AG145" s="441"/>
      <c r="AH145" s="441"/>
      <c r="AI145" s="441"/>
      <c r="AJ145" s="441"/>
      <c r="AK145" s="450"/>
      <c r="AL145" s="494"/>
      <c r="AM145" s="495"/>
      <c r="AN145" s="495"/>
      <c r="AO145" s="495"/>
      <c r="AP145" s="495"/>
      <c r="AQ145" s="495"/>
      <c r="AR145" s="496"/>
      <c r="AS145" s="440"/>
      <c r="AT145" s="441"/>
      <c r="AU145" s="441"/>
      <c r="AV145" s="441"/>
      <c r="AW145" s="441"/>
      <c r="AX145" s="441"/>
      <c r="AY145" s="450"/>
      <c r="AZ145" s="462"/>
      <c r="BA145" s="463"/>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c r="DA145" s="197"/>
    </row>
    <row r="146" spans="1:105" ht="16.5">
      <c r="A146" s="435"/>
      <c r="B146" s="36"/>
      <c r="C146" s="199" t="str">
        <f t="shared" ca="1" si="3"/>
        <v>●</v>
      </c>
      <c r="D146" s="479"/>
      <c r="E146" s="480"/>
      <c r="F146" s="480"/>
      <c r="G146" s="480"/>
      <c r="H146" s="480"/>
      <c r="I146" s="480"/>
      <c r="J146" s="480"/>
      <c r="K146" s="440"/>
      <c r="L146" s="441"/>
      <c r="M146" s="441"/>
      <c r="N146" s="441"/>
      <c r="O146" s="441"/>
      <c r="P146" s="441"/>
      <c r="Q146" s="441"/>
      <c r="R146" s="444"/>
      <c r="S146" s="445"/>
      <c r="T146" s="444"/>
      <c r="U146" s="445"/>
      <c r="V146" s="440"/>
      <c r="W146" s="441"/>
      <c r="X146" s="441"/>
      <c r="Y146" s="441"/>
      <c r="Z146" s="441"/>
      <c r="AA146" s="441"/>
      <c r="AB146" s="441"/>
      <c r="AC146" s="441"/>
      <c r="AD146" s="440"/>
      <c r="AE146" s="441"/>
      <c r="AF146" s="441"/>
      <c r="AG146" s="441"/>
      <c r="AH146" s="441"/>
      <c r="AI146" s="441"/>
      <c r="AJ146" s="441"/>
      <c r="AK146" s="450"/>
      <c r="AL146" s="494"/>
      <c r="AM146" s="495"/>
      <c r="AN146" s="495"/>
      <c r="AO146" s="495"/>
      <c r="AP146" s="495"/>
      <c r="AQ146" s="495"/>
      <c r="AR146" s="496"/>
      <c r="AS146" s="440"/>
      <c r="AT146" s="441"/>
      <c r="AU146" s="441"/>
      <c r="AV146" s="441"/>
      <c r="AW146" s="441"/>
      <c r="AX146" s="441"/>
      <c r="AY146" s="450"/>
      <c r="AZ146" s="462"/>
      <c r="BA146" s="463"/>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c r="DA146" s="197"/>
    </row>
    <row r="147" spans="1:105" ht="16.5">
      <c r="A147" s="435"/>
      <c r="B147" s="36"/>
      <c r="C147" s="199" t="str">
        <f t="shared" ca="1" si="3"/>
        <v>●</v>
      </c>
      <c r="D147" s="479"/>
      <c r="E147" s="480"/>
      <c r="F147" s="480"/>
      <c r="G147" s="480"/>
      <c r="H147" s="480"/>
      <c r="I147" s="480"/>
      <c r="J147" s="480"/>
      <c r="K147" s="440"/>
      <c r="L147" s="441"/>
      <c r="M147" s="441"/>
      <c r="N147" s="441"/>
      <c r="O147" s="441"/>
      <c r="P147" s="441"/>
      <c r="Q147" s="441"/>
      <c r="R147" s="444"/>
      <c r="S147" s="445"/>
      <c r="T147" s="444"/>
      <c r="U147" s="445"/>
      <c r="V147" s="440"/>
      <c r="W147" s="441"/>
      <c r="X147" s="441"/>
      <c r="Y147" s="441"/>
      <c r="Z147" s="441"/>
      <c r="AA147" s="441"/>
      <c r="AB147" s="441"/>
      <c r="AC147" s="441"/>
      <c r="AD147" s="440"/>
      <c r="AE147" s="441"/>
      <c r="AF147" s="441"/>
      <c r="AG147" s="441"/>
      <c r="AH147" s="441"/>
      <c r="AI147" s="441"/>
      <c r="AJ147" s="441"/>
      <c r="AK147" s="450"/>
      <c r="AL147" s="494"/>
      <c r="AM147" s="495"/>
      <c r="AN147" s="495"/>
      <c r="AO147" s="495"/>
      <c r="AP147" s="495"/>
      <c r="AQ147" s="495"/>
      <c r="AR147" s="496"/>
      <c r="AS147" s="440"/>
      <c r="AT147" s="441"/>
      <c r="AU147" s="441"/>
      <c r="AV147" s="441"/>
      <c r="AW147" s="441"/>
      <c r="AX147" s="441"/>
      <c r="AY147" s="450"/>
      <c r="AZ147" s="462"/>
      <c r="BA147" s="463"/>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c r="DA147" s="197"/>
    </row>
    <row r="148" spans="1:105" ht="16.5">
      <c r="A148" s="436"/>
      <c r="B148" s="37"/>
      <c r="C148" s="200" t="str">
        <f t="shared" ca="1" si="3"/>
        <v>●</v>
      </c>
      <c r="D148" s="481"/>
      <c r="E148" s="482"/>
      <c r="F148" s="482"/>
      <c r="G148" s="482"/>
      <c r="H148" s="482"/>
      <c r="I148" s="482"/>
      <c r="J148" s="482"/>
      <c r="K148" s="409"/>
      <c r="L148" s="410"/>
      <c r="M148" s="410"/>
      <c r="N148" s="410"/>
      <c r="O148" s="410"/>
      <c r="P148" s="410"/>
      <c r="Q148" s="410"/>
      <c r="R148" s="446"/>
      <c r="S148" s="447"/>
      <c r="T148" s="446"/>
      <c r="U148" s="447"/>
      <c r="V148" s="409"/>
      <c r="W148" s="410"/>
      <c r="X148" s="410"/>
      <c r="Y148" s="410"/>
      <c r="Z148" s="410"/>
      <c r="AA148" s="410"/>
      <c r="AB148" s="410"/>
      <c r="AC148" s="410"/>
      <c r="AD148" s="409"/>
      <c r="AE148" s="410"/>
      <c r="AF148" s="410"/>
      <c r="AG148" s="410"/>
      <c r="AH148" s="410"/>
      <c r="AI148" s="410"/>
      <c r="AJ148" s="410"/>
      <c r="AK148" s="411"/>
      <c r="AL148" s="497"/>
      <c r="AM148" s="498"/>
      <c r="AN148" s="498"/>
      <c r="AO148" s="498"/>
      <c r="AP148" s="498"/>
      <c r="AQ148" s="498"/>
      <c r="AR148" s="499"/>
      <c r="AS148" s="409"/>
      <c r="AT148" s="410"/>
      <c r="AU148" s="410"/>
      <c r="AV148" s="410"/>
      <c r="AW148" s="410"/>
      <c r="AX148" s="410"/>
      <c r="AY148" s="411"/>
      <c r="AZ148" s="464"/>
      <c r="BA148" s="465"/>
      <c r="BB148" s="62">
        <v>6</v>
      </c>
      <c r="BC148" s="426"/>
      <c r="BD148" s="427"/>
      <c r="BE148" s="427"/>
      <c r="BF148" s="428"/>
      <c r="BG148" s="429"/>
      <c r="BH148" s="430"/>
      <c r="BI148" s="196"/>
      <c r="BJ148" s="474"/>
      <c r="BK148" s="475"/>
      <c r="BL148" s="475"/>
      <c r="BM148" s="475"/>
      <c r="BN148" s="475"/>
      <c r="BO148" s="476"/>
      <c r="BP148" s="474"/>
      <c r="BQ148" s="475"/>
      <c r="BR148" s="475"/>
      <c r="BS148" s="475"/>
      <c r="BT148" s="475"/>
      <c r="BU148" s="476"/>
      <c r="BV148" s="474"/>
      <c r="BW148" s="475"/>
      <c r="BX148" s="475"/>
      <c r="BY148" s="475"/>
      <c r="BZ148" s="475"/>
      <c r="CA148" s="476"/>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c r="DA148" s="197"/>
    </row>
    <row r="149" spans="1:105" ht="15.95" hidden="1" customHeight="1">
      <c r="A149" s="434">
        <v>24</v>
      </c>
      <c r="B149" s="36"/>
      <c r="C149" s="198" t="str">
        <f t="shared" ca="1" si="3"/>
        <v/>
      </c>
      <c r="D149" s="477"/>
      <c r="E149" s="478"/>
      <c r="F149" s="478"/>
      <c r="G149" s="478"/>
      <c r="H149" s="478"/>
      <c r="I149" s="478"/>
      <c r="J149" s="478"/>
      <c r="K149" s="438" t="s">
        <v>246</v>
      </c>
      <c r="L149" s="439"/>
      <c r="M149" s="439"/>
      <c r="N149" s="439"/>
      <c r="O149" s="439"/>
      <c r="P149" s="439"/>
      <c r="Q149" s="439"/>
      <c r="R149" s="442" t="s">
        <v>186</v>
      </c>
      <c r="S149" s="443"/>
      <c r="T149" s="442"/>
      <c r="U149" s="443"/>
      <c r="V149" s="448" t="s">
        <v>247</v>
      </c>
      <c r="W149" s="448"/>
      <c r="X149" s="448"/>
      <c r="Y149" s="448"/>
      <c r="Z149" s="448"/>
      <c r="AA149" s="448"/>
      <c r="AB149" s="448"/>
      <c r="AC149" s="448"/>
      <c r="AD149" s="438" t="s">
        <v>248</v>
      </c>
      <c r="AE149" s="439"/>
      <c r="AF149" s="439"/>
      <c r="AG149" s="439"/>
      <c r="AH149" s="439"/>
      <c r="AI149" s="439"/>
      <c r="AJ149" s="439"/>
      <c r="AK149" s="449"/>
      <c r="AL149" s="491" t="s">
        <v>242</v>
      </c>
      <c r="AM149" s="492"/>
      <c r="AN149" s="492"/>
      <c r="AO149" s="492"/>
      <c r="AP149" s="492"/>
      <c r="AQ149" s="492"/>
      <c r="AR149" s="493"/>
      <c r="AS149" s="438" t="s">
        <v>249</v>
      </c>
      <c r="AT149" s="439"/>
      <c r="AU149" s="439"/>
      <c r="AV149" s="439"/>
      <c r="AW149" s="439"/>
      <c r="AX149" s="439"/>
      <c r="AY149" s="449"/>
      <c r="AZ149" s="460"/>
      <c r="BA149" s="461"/>
      <c r="BB149" s="60">
        <v>1</v>
      </c>
      <c r="BC149" s="466"/>
      <c r="BD149" s="467"/>
      <c r="BE149" s="467"/>
      <c r="BF149" s="468"/>
      <c r="BG149" s="469"/>
      <c r="BH149" s="470"/>
      <c r="BI149" s="194"/>
      <c r="BJ149" s="471"/>
      <c r="BK149" s="472"/>
      <c r="BL149" s="472"/>
      <c r="BM149" s="472"/>
      <c r="BN149" s="472"/>
      <c r="BO149" s="473"/>
      <c r="BP149" s="471"/>
      <c r="BQ149" s="472"/>
      <c r="BR149" s="472"/>
      <c r="BS149" s="472"/>
      <c r="BT149" s="472"/>
      <c r="BU149" s="473"/>
      <c r="BV149" s="471"/>
      <c r="BW149" s="472"/>
      <c r="BX149" s="472"/>
      <c r="BY149" s="472"/>
      <c r="BZ149" s="472"/>
      <c r="CA149" s="473"/>
      <c r="CB149" s="466"/>
      <c r="CC149" s="467"/>
      <c r="CD149" s="467"/>
      <c r="CE149" s="468"/>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c r="DA149" s="197"/>
    </row>
    <row r="150" spans="1:105" ht="16.5" hidden="1">
      <c r="A150" s="435"/>
      <c r="B150" s="36"/>
      <c r="C150" s="199" t="str">
        <f t="shared" ca="1" si="3"/>
        <v/>
      </c>
      <c r="D150" s="479"/>
      <c r="E150" s="480"/>
      <c r="F150" s="480"/>
      <c r="G150" s="480"/>
      <c r="H150" s="480"/>
      <c r="I150" s="480"/>
      <c r="J150" s="480"/>
      <c r="K150" s="440"/>
      <c r="L150" s="441"/>
      <c r="M150" s="441"/>
      <c r="N150" s="441"/>
      <c r="O150" s="441"/>
      <c r="P150" s="441"/>
      <c r="Q150" s="441"/>
      <c r="R150" s="444"/>
      <c r="S150" s="445"/>
      <c r="T150" s="444"/>
      <c r="U150" s="445"/>
      <c r="V150" s="448"/>
      <c r="W150" s="448"/>
      <c r="X150" s="448"/>
      <c r="Y150" s="448"/>
      <c r="Z150" s="448"/>
      <c r="AA150" s="448"/>
      <c r="AB150" s="448"/>
      <c r="AC150" s="448"/>
      <c r="AD150" s="440"/>
      <c r="AE150" s="441"/>
      <c r="AF150" s="441"/>
      <c r="AG150" s="441"/>
      <c r="AH150" s="441"/>
      <c r="AI150" s="441"/>
      <c r="AJ150" s="441"/>
      <c r="AK150" s="450"/>
      <c r="AL150" s="494"/>
      <c r="AM150" s="495"/>
      <c r="AN150" s="495"/>
      <c r="AO150" s="495"/>
      <c r="AP150" s="495"/>
      <c r="AQ150" s="495"/>
      <c r="AR150" s="496"/>
      <c r="AS150" s="440"/>
      <c r="AT150" s="441"/>
      <c r="AU150" s="441"/>
      <c r="AV150" s="441"/>
      <c r="AW150" s="441"/>
      <c r="AX150" s="441"/>
      <c r="AY150" s="450"/>
      <c r="AZ150" s="462"/>
      <c r="BA150" s="463"/>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c r="DA150" s="197"/>
    </row>
    <row r="151" spans="1:105" ht="16.5" hidden="1">
      <c r="A151" s="435"/>
      <c r="B151" s="36"/>
      <c r="C151" s="199" t="str">
        <f t="shared" ca="1" si="3"/>
        <v/>
      </c>
      <c r="D151" s="479"/>
      <c r="E151" s="480"/>
      <c r="F151" s="480"/>
      <c r="G151" s="480"/>
      <c r="H151" s="480"/>
      <c r="I151" s="480"/>
      <c r="J151" s="480"/>
      <c r="K151" s="440"/>
      <c r="L151" s="441"/>
      <c r="M151" s="441"/>
      <c r="N151" s="441"/>
      <c r="O151" s="441"/>
      <c r="P151" s="441"/>
      <c r="Q151" s="441"/>
      <c r="R151" s="444"/>
      <c r="S151" s="445"/>
      <c r="T151" s="444"/>
      <c r="U151" s="445"/>
      <c r="V151" s="448"/>
      <c r="W151" s="448"/>
      <c r="X151" s="448"/>
      <c r="Y151" s="448"/>
      <c r="Z151" s="448"/>
      <c r="AA151" s="448"/>
      <c r="AB151" s="448"/>
      <c r="AC151" s="448"/>
      <c r="AD151" s="440"/>
      <c r="AE151" s="441"/>
      <c r="AF151" s="441"/>
      <c r="AG151" s="441"/>
      <c r="AH151" s="441"/>
      <c r="AI151" s="441"/>
      <c r="AJ151" s="441"/>
      <c r="AK151" s="450"/>
      <c r="AL151" s="494"/>
      <c r="AM151" s="495"/>
      <c r="AN151" s="495"/>
      <c r="AO151" s="495"/>
      <c r="AP151" s="495"/>
      <c r="AQ151" s="495"/>
      <c r="AR151" s="496"/>
      <c r="AS151" s="440"/>
      <c r="AT151" s="441"/>
      <c r="AU151" s="441"/>
      <c r="AV151" s="441"/>
      <c r="AW151" s="441"/>
      <c r="AX151" s="441"/>
      <c r="AY151" s="450"/>
      <c r="AZ151" s="462"/>
      <c r="BA151" s="463"/>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c r="DA151" s="197"/>
    </row>
    <row r="152" spans="1:105" ht="16.5" hidden="1">
      <c r="A152" s="435"/>
      <c r="B152" s="36"/>
      <c r="C152" s="199" t="str">
        <f t="shared" ca="1" si="3"/>
        <v/>
      </c>
      <c r="D152" s="479"/>
      <c r="E152" s="480"/>
      <c r="F152" s="480"/>
      <c r="G152" s="480"/>
      <c r="H152" s="480"/>
      <c r="I152" s="480"/>
      <c r="J152" s="480"/>
      <c r="K152" s="440"/>
      <c r="L152" s="441"/>
      <c r="M152" s="441"/>
      <c r="N152" s="441"/>
      <c r="O152" s="441"/>
      <c r="P152" s="441"/>
      <c r="Q152" s="441"/>
      <c r="R152" s="444"/>
      <c r="S152" s="445"/>
      <c r="T152" s="444"/>
      <c r="U152" s="445"/>
      <c r="V152" s="448"/>
      <c r="W152" s="448"/>
      <c r="X152" s="448"/>
      <c r="Y152" s="448"/>
      <c r="Z152" s="448"/>
      <c r="AA152" s="448"/>
      <c r="AB152" s="448"/>
      <c r="AC152" s="448"/>
      <c r="AD152" s="440"/>
      <c r="AE152" s="441"/>
      <c r="AF152" s="441"/>
      <c r="AG152" s="441"/>
      <c r="AH152" s="441"/>
      <c r="AI152" s="441"/>
      <c r="AJ152" s="441"/>
      <c r="AK152" s="450"/>
      <c r="AL152" s="494"/>
      <c r="AM152" s="495"/>
      <c r="AN152" s="495"/>
      <c r="AO152" s="495"/>
      <c r="AP152" s="495"/>
      <c r="AQ152" s="495"/>
      <c r="AR152" s="496"/>
      <c r="AS152" s="440"/>
      <c r="AT152" s="441"/>
      <c r="AU152" s="441"/>
      <c r="AV152" s="441"/>
      <c r="AW152" s="441"/>
      <c r="AX152" s="441"/>
      <c r="AY152" s="450"/>
      <c r="AZ152" s="462"/>
      <c r="BA152" s="463"/>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c r="DA152" s="197"/>
    </row>
    <row r="153" spans="1:105" ht="16.5" hidden="1">
      <c r="A153" s="435"/>
      <c r="B153" s="36"/>
      <c r="C153" s="199" t="str">
        <f t="shared" ca="1" si="3"/>
        <v/>
      </c>
      <c r="D153" s="479"/>
      <c r="E153" s="480"/>
      <c r="F153" s="480"/>
      <c r="G153" s="480"/>
      <c r="H153" s="480"/>
      <c r="I153" s="480"/>
      <c r="J153" s="480"/>
      <c r="K153" s="440"/>
      <c r="L153" s="441"/>
      <c r="M153" s="441"/>
      <c r="N153" s="441"/>
      <c r="O153" s="441"/>
      <c r="P153" s="441"/>
      <c r="Q153" s="441"/>
      <c r="R153" s="444"/>
      <c r="S153" s="445"/>
      <c r="T153" s="444"/>
      <c r="U153" s="445"/>
      <c r="V153" s="448"/>
      <c r="W153" s="448"/>
      <c r="X153" s="448"/>
      <c r="Y153" s="448"/>
      <c r="Z153" s="448"/>
      <c r="AA153" s="448"/>
      <c r="AB153" s="448"/>
      <c r="AC153" s="448"/>
      <c r="AD153" s="440"/>
      <c r="AE153" s="441"/>
      <c r="AF153" s="441"/>
      <c r="AG153" s="441"/>
      <c r="AH153" s="441"/>
      <c r="AI153" s="441"/>
      <c r="AJ153" s="441"/>
      <c r="AK153" s="450"/>
      <c r="AL153" s="494"/>
      <c r="AM153" s="495"/>
      <c r="AN153" s="495"/>
      <c r="AO153" s="495"/>
      <c r="AP153" s="495"/>
      <c r="AQ153" s="495"/>
      <c r="AR153" s="496"/>
      <c r="AS153" s="440"/>
      <c r="AT153" s="441"/>
      <c r="AU153" s="441"/>
      <c r="AV153" s="441"/>
      <c r="AW153" s="441"/>
      <c r="AX153" s="441"/>
      <c r="AY153" s="450"/>
      <c r="AZ153" s="462"/>
      <c r="BA153" s="463"/>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c r="DA153" s="197"/>
    </row>
    <row r="154" spans="1:105" ht="45" hidden="1" customHeight="1">
      <c r="A154" s="436"/>
      <c r="B154" s="37"/>
      <c r="C154" s="200" t="str">
        <f t="shared" ca="1" si="3"/>
        <v/>
      </c>
      <c r="D154" s="481"/>
      <c r="E154" s="482"/>
      <c r="F154" s="482"/>
      <c r="G154" s="482"/>
      <c r="H154" s="482"/>
      <c r="I154" s="482"/>
      <c r="J154" s="482"/>
      <c r="K154" s="409"/>
      <c r="L154" s="410"/>
      <c r="M154" s="410"/>
      <c r="N154" s="410"/>
      <c r="O154" s="410"/>
      <c r="P154" s="410"/>
      <c r="Q154" s="410"/>
      <c r="R154" s="446"/>
      <c r="S154" s="447"/>
      <c r="T154" s="446"/>
      <c r="U154" s="447"/>
      <c r="V154" s="448"/>
      <c r="W154" s="448"/>
      <c r="X154" s="448"/>
      <c r="Y154" s="448"/>
      <c r="Z154" s="448"/>
      <c r="AA154" s="448"/>
      <c r="AB154" s="448"/>
      <c r="AC154" s="448"/>
      <c r="AD154" s="409"/>
      <c r="AE154" s="410"/>
      <c r="AF154" s="410"/>
      <c r="AG154" s="410"/>
      <c r="AH154" s="410"/>
      <c r="AI154" s="410"/>
      <c r="AJ154" s="410"/>
      <c r="AK154" s="411"/>
      <c r="AL154" s="497"/>
      <c r="AM154" s="498"/>
      <c r="AN154" s="498"/>
      <c r="AO154" s="498"/>
      <c r="AP154" s="498"/>
      <c r="AQ154" s="498"/>
      <c r="AR154" s="499"/>
      <c r="AS154" s="409"/>
      <c r="AT154" s="410"/>
      <c r="AU154" s="410"/>
      <c r="AV154" s="410"/>
      <c r="AW154" s="410"/>
      <c r="AX154" s="410"/>
      <c r="AY154" s="411"/>
      <c r="AZ154" s="464"/>
      <c r="BA154" s="465"/>
      <c r="BB154" s="62">
        <v>6</v>
      </c>
      <c r="BC154" s="426"/>
      <c r="BD154" s="427"/>
      <c r="BE154" s="427"/>
      <c r="BF154" s="428"/>
      <c r="BG154" s="429"/>
      <c r="BH154" s="430"/>
      <c r="BI154" s="196"/>
      <c r="BJ154" s="474"/>
      <c r="BK154" s="475"/>
      <c r="BL154" s="475"/>
      <c r="BM154" s="475"/>
      <c r="BN154" s="475"/>
      <c r="BO154" s="476"/>
      <c r="BP154" s="474"/>
      <c r="BQ154" s="475"/>
      <c r="BR154" s="475"/>
      <c r="BS154" s="475"/>
      <c r="BT154" s="475"/>
      <c r="BU154" s="476"/>
      <c r="BV154" s="474"/>
      <c r="BW154" s="475"/>
      <c r="BX154" s="475"/>
      <c r="BY154" s="475"/>
      <c r="BZ154" s="475"/>
      <c r="CA154" s="476"/>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c r="DA154" s="197"/>
    </row>
    <row r="155" spans="1:105" ht="15.95" hidden="1" customHeight="1">
      <c r="A155" s="434">
        <v>25</v>
      </c>
      <c r="B155" s="36"/>
      <c r="C155" s="198" t="str">
        <f t="shared" ca="1" si="3"/>
        <v/>
      </c>
      <c r="D155" s="477"/>
      <c r="E155" s="478"/>
      <c r="F155" s="478"/>
      <c r="G155" s="478"/>
      <c r="H155" s="478"/>
      <c r="I155" s="478"/>
      <c r="J155" s="478"/>
      <c r="K155" s="438" t="s">
        <v>250</v>
      </c>
      <c r="L155" s="439"/>
      <c r="M155" s="439"/>
      <c r="N155" s="439"/>
      <c r="O155" s="439"/>
      <c r="P155" s="439"/>
      <c r="Q155" s="439"/>
      <c r="R155" s="442" t="s">
        <v>186</v>
      </c>
      <c r="S155" s="443"/>
      <c r="T155" s="442"/>
      <c r="U155" s="443"/>
      <c r="V155" s="438" t="s">
        <v>251</v>
      </c>
      <c r="W155" s="439"/>
      <c r="X155" s="439"/>
      <c r="Y155" s="439"/>
      <c r="Z155" s="439"/>
      <c r="AA155" s="439"/>
      <c r="AB155" s="439"/>
      <c r="AC155" s="439"/>
      <c r="AD155" s="438" t="s">
        <v>252</v>
      </c>
      <c r="AE155" s="439"/>
      <c r="AF155" s="439"/>
      <c r="AG155" s="439"/>
      <c r="AH155" s="439"/>
      <c r="AI155" s="439"/>
      <c r="AJ155" s="439"/>
      <c r="AK155" s="449"/>
      <c r="AL155" s="491" t="s">
        <v>242</v>
      </c>
      <c r="AM155" s="492"/>
      <c r="AN155" s="492"/>
      <c r="AO155" s="492"/>
      <c r="AP155" s="492"/>
      <c r="AQ155" s="492"/>
      <c r="AR155" s="493"/>
      <c r="AS155" s="438" t="s">
        <v>249</v>
      </c>
      <c r="AT155" s="439"/>
      <c r="AU155" s="439"/>
      <c r="AV155" s="439"/>
      <c r="AW155" s="439"/>
      <c r="AX155" s="439"/>
      <c r="AY155" s="449"/>
      <c r="AZ155" s="460"/>
      <c r="BA155" s="461"/>
      <c r="BB155" s="60">
        <v>1</v>
      </c>
      <c r="BC155" s="466"/>
      <c r="BD155" s="467"/>
      <c r="BE155" s="467"/>
      <c r="BF155" s="468"/>
      <c r="BG155" s="469"/>
      <c r="BH155" s="470"/>
      <c r="BI155" s="194"/>
      <c r="BJ155" s="471"/>
      <c r="BK155" s="472"/>
      <c r="BL155" s="472"/>
      <c r="BM155" s="472"/>
      <c r="BN155" s="472"/>
      <c r="BO155" s="473"/>
      <c r="BP155" s="471"/>
      <c r="BQ155" s="472"/>
      <c r="BR155" s="472"/>
      <c r="BS155" s="472"/>
      <c r="BT155" s="472"/>
      <c r="BU155" s="473"/>
      <c r="BV155" s="471"/>
      <c r="BW155" s="472"/>
      <c r="BX155" s="472"/>
      <c r="BY155" s="472"/>
      <c r="BZ155" s="472"/>
      <c r="CA155" s="473"/>
      <c r="CB155" s="466"/>
      <c r="CC155" s="467"/>
      <c r="CD155" s="467"/>
      <c r="CE155" s="468"/>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5" ht="16.5" hidden="1">
      <c r="A156" s="435"/>
      <c r="B156" s="36"/>
      <c r="C156" s="199" t="str">
        <f t="shared" ca="1" si="3"/>
        <v/>
      </c>
      <c r="D156" s="479"/>
      <c r="E156" s="480"/>
      <c r="F156" s="480"/>
      <c r="G156" s="480"/>
      <c r="H156" s="480"/>
      <c r="I156" s="480"/>
      <c r="J156" s="480"/>
      <c r="K156" s="440"/>
      <c r="L156" s="441"/>
      <c r="M156" s="441"/>
      <c r="N156" s="441"/>
      <c r="O156" s="441"/>
      <c r="P156" s="441"/>
      <c r="Q156" s="441"/>
      <c r="R156" s="444"/>
      <c r="S156" s="445"/>
      <c r="T156" s="444"/>
      <c r="U156" s="445"/>
      <c r="V156" s="440"/>
      <c r="W156" s="441"/>
      <c r="X156" s="441"/>
      <c r="Y156" s="441"/>
      <c r="Z156" s="441"/>
      <c r="AA156" s="441"/>
      <c r="AB156" s="441"/>
      <c r="AC156" s="441"/>
      <c r="AD156" s="440"/>
      <c r="AE156" s="441"/>
      <c r="AF156" s="441"/>
      <c r="AG156" s="441"/>
      <c r="AH156" s="441"/>
      <c r="AI156" s="441"/>
      <c r="AJ156" s="441"/>
      <c r="AK156" s="450"/>
      <c r="AL156" s="494"/>
      <c r="AM156" s="495"/>
      <c r="AN156" s="495"/>
      <c r="AO156" s="495"/>
      <c r="AP156" s="495"/>
      <c r="AQ156" s="495"/>
      <c r="AR156" s="496"/>
      <c r="AS156" s="440"/>
      <c r="AT156" s="441"/>
      <c r="AU156" s="441"/>
      <c r="AV156" s="441"/>
      <c r="AW156" s="441"/>
      <c r="AX156" s="441"/>
      <c r="AY156" s="450"/>
      <c r="AZ156" s="462"/>
      <c r="BA156" s="463"/>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5" ht="16.5" hidden="1">
      <c r="A157" s="435"/>
      <c r="B157" s="36"/>
      <c r="C157" s="199" t="str">
        <f t="shared" ca="1" si="3"/>
        <v/>
      </c>
      <c r="D157" s="479"/>
      <c r="E157" s="480"/>
      <c r="F157" s="480"/>
      <c r="G157" s="480"/>
      <c r="H157" s="480"/>
      <c r="I157" s="480"/>
      <c r="J157" s="480"/>
      <c r="K157" s="440"/>
      <c r="L157" s="441"/>
      <c r="M157" s="441"/>
      <c r="N157" s="441"/>
      <c r="O157" s="441"/>
      <c r="P157" s="441"/>
      <c r="Q157" s="441"/>
      <c r="R157" s="444"/>
      <c r="S157" s="445"/>
      <c r="T157" s="444"/>
      <c r="U157" s="445"/>
      <c r="V157" s="440"/>
      <c r="W157" s="441"/>
      <c r="X157" s="441"/>
      <c r="Y157" s="441"/>
      <c r="Z157" s="441"/>
      <c r="AA157" s="441"/>
      <c r="AB157" s="441"/>
      <c r="AC157" s="441"/>
      <c r="AD157" s="440"/>
      <c r="AE157" s="441"/>
      <c r="AF157" s="441"/>
      <c r="AG157" s="441"/>
      <c r="AH157" s="441"/>
      <c r="AI157" s="441"/>
      <c r="AJ157" s="441"/>
      <c r="AK157" s="450"/>
      <c r="AL157" s="494"/>
      <c r="AM157" s="495"/>
      <c r="AN157" s="495"/>
      <c r="AO157" s="495"/>
      <c r="AP157" s="495"/>
      <c r="AQ157" s="495"/>
      <c r="AR157" s="496"/>
      <c r="AS157" s="440"/>
      <c r="AT157" s="441"/>
      <c r="AU157" s="441"/>
      <c r="AV157" s="441"/>
      <c r="AW157" s="441"/>
      <c r="AX157" s="441"/>
      <c r="AY157" s="450"/>
      <c r="AZ157" s="462"/>
      <c r="BA157" s="463"/>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5" ht="16.5" hidden="1">
      <c r="A158" s="435"/>
      <c r="B158" s="36"/>
      <c r="C158" s="199" t="str">
        <f t="shared" ca="1" si="3"/>
        <v/>
      </c>
      <c r="D158" s="479"/>
      <c r="E158" s="480"/>
      <c r="F158" s="480"/>
      <c r="G158" s="480"/>
      <c r="H158" s="480"/>
      <c r="I158" s="480"/>
      <c r="J158" s="480"/>
      <c r="K158" s="440"/>
      <c r="L158" s="441"/>
      <c r="M158" s="441"/>
      <c r="N158" s="441"/>
      <c r="O158" s="441"/>
      <c r="P158" s="441"/>
      <c r="Q158" s="441"/>
      <c r="R158" s="444"/>
      <c r="S158" s="445"/>
      <c r="T158" s="444"/>
      <c r="U158" s="445"/>
      <c r="V158" s="440"/>
      <c r="W158" s="441"/>
      <c r="X158" s="441"/>
      <c r="Y158" s="441"/>
      <c r="Z158" s="441"/>
      <c r="AA158" s="441"/>
      <c r="AB158" s="441"/>
      <c r="AC158" s="441"/>
      <c r="AD158" s="440"/>
      <c r="AE158" s="441"/>
      <c r="AF158" s="441"/>
      <c r="AG158" s="441"/>
      <c r="AH158" s="441"/>
      <c r="AI158" s="441"/>
      <c r="AJ158" s="441"/>
      <c r="AK158" s="450"/>
      <c r="AL158" s="494"/>
      <c r="AM158" s="495"/>
      <c r="AN158" s="495"/>
      <c r="AO158" s="495"/>
      <c r="AP158" s="495"/>
      <c r="AQ158" s="495"/>
      <c r="AR158" s="496"/>
      <c r="AS158" s="440"/>
      <c r="AT158" s="441"/>
      <c r="AU158" s="441"/>
      <c r="AV158" s="441"/>
      <c r="AW158" s="441"/>
      <c r="AX158" s="441"/>
      <c r="AY158" s="450"/>
      <c r="AZ158" s="462"/>
      <c r="BA158" s="463"/>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5" ht="16.5" hidden="1">
      <c r="A159" s="435"/>
      <c r="B159" s="36"/>
      <c r="C159" s="199" t="str">
        <f t="shared" ca="1" si="3"/>
        <v/>
      </c>
      <c r="D159" s="479"/>
      <c r="E159" s="480"/>
      <c r="F159" s="480"/>
      <c r="G159" s="480"/>
      <c r="H159" s="480"/>
      <c r="I159" s="480"/>
      <c r="J159" s="480"/>
      <c r="K159" s="440"/>
      <c r="L159" s="441"/>
      <c r="M159" s="441"/>
      <c r="N159" s="441"/>
      <c r="O159" s="441"/>
      <c r="P159" s="441"/>
      <c r="Q159" s="441"/>
      <c r="R159" s="444"/>
      <c r="S159" s="445"/>
      <c r="T159" s="444"/>
      <c r="U159" s="445"/>
      <c r="V159" s="440"/>
      <c r="W159" s="441"/>
      <c r="X159" s="441"/>
      <c r="Y159" s="441"/>
      <c r="Z159" s="441"/>
      <c r="AA159" s="441"/>
      <c r="AB159" s="441"/>
      <c r="AC159" s="441"/>
      <c r="AD159" s="440"/>
      <c r="AE159" s="441"/>
      <c r="AF159" s="441"/>
      <c r="AG159" s="441"/>
      <c r="AH159" s="441"/>
      <c r="AI159" s="441"/>
      <c r="AJ159" s="441"/>
      <c r="AK159" s="450"/>
      <c r="AL159" s="494"/>
      <c r="AM159" s="495"/>
      <c r="AN159" s="495"/>
      <c r="AO159" s="495"/>
      <c r="AP159" s="495"/>
      <c r="AQ159" s="495"/>
      <c r="AR159" s="496"/>
      <c r="AS159" s="440"/>
      <c r="AT159" s="441"/>
      <c r="AU159" s="441"/>
      <c r="AV159" s="441"/>
      <c r="AW159" s="441"/>
      <c r="AX159" s="441"/>
      <c r="AY159" s="450"/>
      <c r="AZ159" s="462"/>
      <c r="BA159" s="463"/>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5" ht="16.5" hidden="1">
      <c r="A160" s="436"/>
      <c r="B160" s="37"/>
      <c r="C160" s="200" t="str">
        <f t="shared" ca="1" si="3"/>
        <v/>
      </c>
      <c r="D160" s="481"/>
      <c r="E160" s="482"/>
      <c r="F160" s="482"/>
      <c r="G160" s="482"/>
      <c r="H160" s="482"/>
      <c r="I160" s="482"/>
      <c r="J160" s="482"/>
      <c r="K160" s="409"/>
      <c r="L160" s="410"/>
      <c r="M160" s="410"/>
      <c r="N160" s="410"/>
      <c r="O160" s="410"/>
      <c r="P160" s="410"/>
      <c r="Q160" s="410"/>
      <c r="R160" s="446"/>
      <c r="S160" s="447"/>
      <c r="T160" s="446"/>
      <c r="U160" s="447"/>
      <c r="V160" s="409"/>
      <c r="W160" s="410"/>
      <c r="X160" s="410"/>
      <c r="Y160" s="410"/>
      <c r="Z160" s="410"/>
      <c r="AA160" s="410"/>
      <c r="AB160" s="410"/>
      <c r="AC160" s="410"/>
      <c r="AD160" s="409"/>
      <c r="AE160" s="410"/>
      <c r="AF160" s="410"/>
      <c r="AG160" s="410"/>
      <c r="AH160" s="410"/>
      <c r="AI160" s="410"/>
      <c r="AJ160" s="410"/>
      <c r="AK160" s="411"/>
      <c r="AL160" s="497"/>
      <c r="AM160" s="498"/>
      <c r="AN160" s="498"/>
      <c r="AO160" s="498"/>
      <c r="AP160" s="498"/>
      <c r="AQ160" s="498"/>
      <c r="AR160" s="499"/>
      <c r="AS160" s="409"/>
      <c r="AT160" s="410"/>
      <c r="AU160" s="410"/>
      <c r="AV160" s="410"/>
      <c r="AW160" s="410"/>
      <c r="AX160" s="410"/>
      <c r="AY160" s="411"/>
      <c r="AZ160" s="464"/>
      <c r="BA160" s="465"/>
      <c r="BB160" s="62">
        <v>6</v>
      </c>
      <c r="BC160" s="426"/>
      <c r="BD160" s="427"/>
      <c r="BE160" s="427"/>
      <c r="BF160" s="428"/>
      <c r="BG160" s="429"/>
      <c r="BH160" s="430"/>
      <c r="BI160" s="196"/>
      <c r="BJ160" s="474"/>
      <c r="BK160" s="475"/>
      <c r="BL160" s="475"/>
      <c r="BM160" s="475"/>
      <c r="BN160" s="475"/>
      <c r="BO160" s="476"/>
      <c r="BP160" s="474"/>
      <c r="BQ160" s="475"/>
      <c r="BR160" s="475"/>
      <c r="BS160" s="475"/>
      <c r="BT160" s="475"/>
      <c r="BU160" s="476"/>
      <c r="BV160" s="474"/>
      <c r="BW160" s="475"/>
      <c r="BX160" s="475"/>
      <c r="BY160" s="475"/>
      <c r="BZ160" s="475"/>
      <c r="CA160" s="476"/>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5.95" hidden="1" customHeight="1">
      <c r="A161" s="434">
        <v>26</v>
      </c>
      <c r="B161" s="36"/>
      <c r="C161" s="198" t="str">
        <f t="shared" ca="1" si="3"/>
        <v/>
      </c>
      <c r="D161" s="477"/>
      <c r="E161" s="478"/>
      <c r="F161" s="478"/>
      <c r="G161" s="478"/>
      <c r="H161" s="478"/>
      <c r="I161" s="478"/>
      <c r="J161" s="478"/>
      <c r="K161" s="438" t="s">
        <v>250</v>
      </c>
      <c r="L161" s="439"/>
      <c r="M161" s="439"/>
      <c r="N161" s="439"/>
      <c r="O161" s="439"/>
      <c r="P161" s="439"/>
      <c r="Q161" s="439"/>
      <c r="R161" s="442" t="s">
        <v>186</v>
      </c>
      <c r="S161" s="443"/>
      <c r="T161" s="442"/>
      <c r="U161" s="443"/>
      <c r="V161" s="438" t="s">
        <v>251</v>
      </c>
      <c r="W161" s="439"/>
      <c r="X161" s="439"/>
      <c r="Y161" s="439"/>
      <c r="Z161" s="439"/>
      <c r="AA161" s="439"/>
      <c r="AB161" s="439"/>
      <c r="AC161" s="439"/>
      <c r="AD161" s="438" t="s">
        <v>252</v>
      </c>
      <c r="AE161" s="439"/>
      <c r="AF161" s="439"/>
      <c r="AG161" s="439"/>
      <c r="AH161" s="439"/>
      <c r="AI161" s="439"/>
      <c r="AJ161" s="439"/>
      <c r="AK161" s="449"/>
      <c r="AL161" s="491" t="s">
        <v>242</v>
      </c>
      <c r="AM161" s="492"/>
      <c r="AN161" s="492"/>
      <c r="AO161" s="492"/>
      <c r="AP161" s="492"/>
      <c r="AQ161" s="492"/>
      <c r="AR161" s="493"/>
      <c r="AS161" s="438" t="s">
        <v>249</v>
      </c>
      <c r="AT161" s="439"/>
      <c r="AU161" s="439"/>
      <c r="AV161" s="439"/>
      <c r="AW161" s="439"/>
      <c r="AX161" s="439"/>
      <c r="AY161" s="449"/>
      <c r="AZ161" s="460"/>
      <c r="BA161" s="461"/>
      <c r="BB161" s="60">
        <v>1</v>
      </c>
      <c r="BC161" s="466"/>
      <c r="BD161" s="467"/>
      <c r="BE161" s="467"/>
      <c r="BF161" s="468"/>
      <c r="BG161" s="469"/>
      <c r="BH161" s="470"/>
      <c r="BI161" s="194"/>
      <c r="BJ161" s="471"/>
      <c r="BK161" s="472"/>
      <c r="BL161" s="472"/>
      <c r="BM161" s="472"/>
      <c r="BN161" s="472"/>
      <c r="BO161" s="473"/>
      <c r="BP161" s="471"/>
      <c r="BQ161" s="472"/>
      <c r="BR161" s="472"/>
      <c r="BS161" s="472"/>
      <c r="BT161" s="472"/>
      <c r="BU161" s="473"/>
      <c r="BV161" s="471"/>
      <c r="BW161" s="472"/>
      <c r="BX161" s="472"/>
      <c r="BY161" s="472"/>
      <c r="BZ161" s="472"/>
      <c r="CA161" s="473"/>
      <c r="CB161" s="466"/>
      <c r="CC161" s="467"/>
      <c r="CD161" s="467"/>
      <c r="CE161" s="468"/>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5" hidden="1">
      <c r="A162" s="435"/>
      <c r="B162" s="36"/>
      <c r="C162" s="199" t="str">
        <f t="shared" ca="1" si="3"/>
        <v/>
      </c>
      <c r="D162" s="479"/>
      <c r="E162" s="480"/>
      <c r="F162" s="480"/>
      <c r="G162" s="480"/>
      <c r="H162" s="480"/>
      <c r="I162" s="480"/>
      <c r="J162" s="480"/>
      <c r="K162" s="440"/>
      <c r="L162" s="441"/>
      <c r="M162" s="441"/>
      <c r="N162" s="441"/>
      <c r="O162" s="441"/>
      <c r="P162" s="441"/>
      <c r="Q162" s="441"/>
      <c r="R162" s="444"/>
      <c r="S162" s="445"/>
      <c r="T162" s="444"/>
      <c r="U162" s="445"/>
      <c r="V162" s="440"/>
      <c r="W162" s="441"/>
      <c r="X162" s="441"/>
      <c r="Y162" s="441"/>
      <c r="Z162" s="441"/>
      <c r="AA162" s="441"/>
      <c r="AB162" s="441"/>
      <c r="AC162" s="441"/>
      <c r="AD162" s="440"/>
      <c r="AE162" s="441"/>
      <c r="AF162" s="441"/>
      <c r="AG162" s="441"/>
      <c r="AH162" s="441"/>
      <c r="AI162" s="441"/>
      <c r="AJ162" s="441"/>
      <c r="AK162" s="450"/>
      <c r="AL162" s="494"/>
      <c r="AM162" s="495"/>
      <c r="AN162" s="495"/>
      <c r="AO162" s="495"/>
      <c r="AP162" s="495"/>
      <c r="AQ162" s="495"/>
      <c r="AR162" s="496"/>
      <c r="AS162" s="440"/>
      <c r="AT162" s="441"/>
      <c r="AU162" s="441"/>
      <c r="AV162" s="441"/>
      <c r="AW162" s="441"/>
      <c r="AX162" s="441"/>
      <c r="AY162" s="450"/>
      <c r="AZ162" s="462"/>
      <c r="BA162" s="463"/>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5" hidden="1">
      <c r="A163" s="435"/>
      <c r="B163" s="36"/>
      <c r="C163" s="199" t="str">
        <f t="shared" ca="1" si="3"/>
        <v/>
      </c>
      <c r="D163" s="479"/>
      <c r="E163" s="480"/>
      <c r="F163" s="480"/>
      <c r="G163" s="480"/>
      <c r="H163" s="480"/>
      <c r="I163" s="480"/>
      <c r="J163" s="480"/>
      <c r="K163" s="440"/>
      <c r="L163" s="441"/>
      <c r="M163" s="441"/>
      <c r="N163" s="441"/>
      <c r="O163" s="441"/>
      <c r="P163" s="441"/>
      <c r="Q163" s="441"/>
      <c r="R163" s="444"/>
      <c r="S163" s="445"/>
      <c r="T163" s="444"/>
      <c r="U163" s="445"/>
      <c r="V163" s="440"/>
      <c r="W163" s="441"/>
      <c r="X163" s="441"/>
      <c r="Y163" s="441"/>
      <c r="Z163" s="441"/>
      <c r="AA163" s="441"/>
      <c r="AB163" s="441"/>
      <c r="AC163" s="441"/>
      <c r="AD163" s="440"/>
      <c r="AE163" s="441"/>
      <c r="AF163" s="441"/>
      <c r="AG163" s="441"/>
      <c r="AH163" s="441"/>
      <c r="AI163" s="441"/>
      <c r="AJ163" s="441"/>
      <c r="AK163" s="450"/>
      <c r="AL163" s="494"/>
      <c r="AM163" s="495"/>
      <c r="AN163" s="495"/>
      <c r="AO163" s="495"/>
      <c r="AP163" s="495"/>
      <c r="AQ163" s="495"/>
      <c r="AR163" s="496"/>
      <c r="AS163" s="440"/>
      <c r="AT163" s="441"/>
      <c r="AU163" s="441"/>
      <c r="AV163" s="441"/>
      <c r="AW163" s="441"/>
      <c r="AX163" s="441"/>
      <c r="AY163" s="450"/>
      <c r="AZ163" s="462"/>
      <c r="BA163" s="463"/>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5" hidden="1">
      <c r="A164" s="435"/>
      <c r="B164" s="36"/>
      <c r="C164" s="199" t="str">
        <f t="shared" ca="1" si="3"/>
        <v/>
      </c>
      <c r="D164" s="479"/>
      <c r="E164" s="480"/>
      <c r="F164" s="480"/>
      <c r="G164" s="480"/>
      <c r="H164" s="480"/>
      <c r="I164" s="480"/>
      <c r="J164" s="480"/>
      <c r="K164" s="440"/>
      <c r="L164" s="441"/>
      <c r="M164" s="441"/>
      <c r="N164" s="441"/>
      <c r="O164" s="441"/>
      <c r="P164" s="441"/>
      <c r="Q164" s="441"/>
      <c r="R164" s="444"/>
      <c r="S164" s="445"/>
      <c r="T164" s="444"/>
      <c r="U164" s="445"/>
      <c r="V164" s="440"/>
      <c r="W164" s="441"/>
      <c r="X164" s="441"/>
      <c r="Y164" s="441"/>
      <c r="Z164" s="441"/>
      <c r="AA164" s="441"/>
      <c r="AB164" s="441"/>
      <c r="AC164" s="441"/>
      <c r="AD164" s="440"/>
      <c r="AE164" s="441"/>
      <c r="AF164" s="441"/>
      <c r="AG164" s="441"/>
      <c r="AH164" s="441"/>
      <c r="AI164" s="441"/>
      <c r="AJ164" s="441"/>
      <c r="AK164" s="450"/>
      <c r="AL164" s="494"/>
      <c r="AM164" s="495"/>
      <c r="AN164" s="495"/>
      <c r="AO164" s="495"/>
      <c r="AP164" s="495"/>
      <c r="AQ164" s="495"/>
      <c r="AR164" s="496"/>
      <c r="AS164" s="440"/>
      <c r="AT164" s="441"/>
      <c r="AU164" s="441"/>
      <c r="AV164" s="441"/>
      <c r="AW164" s="441"/>
      <c r="AX164" s="441"/>
      <c r="AY164" s="450"/>
      <c r="AZ164" s="462"/>
      <c r="BA164" s="463"/>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5" hidden="1">
      <c r="A165" s="435"/>
      <c r="B165" s="36"/>
      <c r="C165" s="199" t="str">
        <f t="shared" ca="1" si="3"/>
        <v/>
      </c>
      <c r="D165" s="479"/>
      <c r="E165" s="480"/>
      <c r="F165" s="480"/>
      <c r="G165" s="480"/>
      <c r="H165" s="480"/>
      <c r="I165" s="480"/>
      <c r="J165" s="480"/>
      <c r="K165" s="440"/>
      <c r="L165" s="441"/>
      <c r="M165" s="441"/>
      <c r="N165" s="441"/>
      <c r="O165" s="441"/>
      <c r="P165" s="441"/>
      <c r="Q165" s="441"/>
      <c r="R165" s="444"/>
      <c r="S165" s="445"/>
      <c r="T165" s="444"/>
      <c r="U165" s="445"/>
      <c r="V165" s="440"/>
      <c r="W165" s="441"/>
      <c r="X165" s="441"/>
      <c r="Y165" s="441"/>
      <c r="Z165" s="441"/>
      <c r="AA165" s="441"/>
      <c r="AB165" s="441"/>
      <c r="AC165" s="441"/>
      <c r="AD165" s="440"/>
      <c r="AE165" s="441"/>
      <c r="AF165" s="441"/>
      <c r="AG165" s="441"/>
      <c r="AH165" s="441"/>
      <c r="AI165" s="441"/>
      <c r="AJ165" s="441"/>
      <c r="AK165" s="450"/>
      <c r="AL165" s="494"/>
      <c r="AM165" s="495"/>
      <c r="AN165" s="495"/>
      <c r="AO165" s="495"/>
      <c r="AP165" s="495"/>
      <c r="AQ165" s="495"/>
      <c r="AR165" s="496"/>
      <c r="AS165" s="440"/>
      <c r="AT165" s="441"/>
      <c r="AU165" s="441"/>
      <c r="AV165" s="441"/>
      <c r="AW165" s="441"/>
      <c r="AX165" s="441"/>
      <c r="AY165" s="450"/>
      <c r="AZ165" s="462"/>
      <c r="BA165" s="463"/>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5" hidden="1">
      <c r="A166" s="436"/>
      <c r="B166" s="37"/>
      <c r="C166" s="200" t="str">
        <f t="shared" ca="1" si="3"/>
        <v/>
      </c>
      <c r="D166" s="481"/>
      <c r="E166" s="482"/>
      <c r="F166" s="482"/>
      <c r="G166" s="482"/>
      <c r="H166" s="482"/>
      <c r="I166" s="482"/>
      <c r="J166" s="482"/>
      <c r="K166" s="409"/>
      <c r="L166" s="410"/>
      <c r="M166" s="410"/>
      <c r="N166" s="410"/>
      <c r="O166" s="410"/>
      <c r="P166" s="410"/>
      <c r="Q166" s="410"/>
      <c r="R166" s="446"/>
      <c r="S166" s="447"/>
      <c r="T166" s="446"/>
      <c r="U166" s="447"/>
      <c r="V166" s="409"/>
      <c r="W166" s="410"/>
      <c r="X166" s="410"/>
      <c r="Y166" s="410"/>
      <c r="Z166" s="410"/>
      <c r="AA166" s="410"/>
      <c r="AB166" s="410"/>
      <c r="AC166" s="410"/>
      <c r="AD166" s="409"/>
      <c r="AE166" s="410"/>
      <c r="AF166" s="410"/>
      <c r="AG166" s="410"/>
      <c r="AH166" s="410"/>
      <c r="AI166" s="410"/>
      <c r="AJ166" s="410"/>
      <c r="AK166" s="411"/>
      <c r="AL166" s="497"/>
      <c r="AM166" s="498"/>
      <c r="AN166" s="498"/>
      <c r="AO166" s="498"/>
      <c r="AP166" s="498"/>
      <c r="AQ166" s="498"/>
      <c r="AR166" s="499"/>
      <c r="AS166" s="409"/>
      <c r="AT166" s="410"/>
      <c r="AU166" s="410"/>
      <c r="AV166" s="410"/>
      <c r="AW166" s="410"/>
      <c r="AX166" s="410"/>
      <c r="AY166" s="411"/>
      <c r="AZ166" s="464"/>
      <c r="BA166" s="465"/>
      <c r="BB166" s="62">
        <v>6</v>
      </c>
      <c r="BC166" s="426"/>
      <c r="BD166" s="427"/>
      <c r="BE166" s="427"/>
      <c r="BF166" s="428"/>
      <c r="BG166" s="429"/>
      <c r="BH166" s="430"/>
      <c r="BI166" s="196"/>
      <c r="BJ166" s="474"/>
      <c r="BK166" s="475"/>
      <c r="BL166" s="475"/>
      <c r="BM166" s="475"/>
      <c r="BN166" s="475"/>
      <c r="BO166" s="476"/>
      <c r="BP166" s="474"/>
      <c r="BQ166" s="475"/>
      <c r="BR166" s="475"/>
      <c r="BS166" s="475"/>
      <c r="BT166" s="475"/>
      <c r="BU166" s="476"/>
      <c r="BV166" s="474"/>
      <c r="BW166" s="475"/>
      <c r="BX166" s="475"/>
      <c r="BY166" s="475"/>
      <c r="BZ166" s="475"/>
      <c r="CA166" s="476"/>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5" hidden="1">
      <c r="A167" s="434">
        <v>27</v>
      </c>
      <c r="B167" s="36"/>
      <c r="C167" s="198" t="str">
        <f t="shared" ca="1" si="3"/>
        <v/>
      </c>
      <c r="D167" s="477" t="s">
        <v>253</v>
      </c>
      <c r="E167" s="478"/>
      <c r="F167" s="478"/>
      <c r="G167" s="478"/>
      <c r="H167" s="478"/>
      <c r="I167" s="478"/>
      <c r="J167" s="478"/>
      <c r="K167" s="438" t="s">
        <v>254</v>
      </c>
      <c r="L167" s="439"/>
      <c r="M167" s="439"/>
      <c r="N167" s="439"/>
      <c r="O167" s="439"/>
      <c r="P167" s="439"/>
      <c r="Q167" s="439"/>
      <c r="R167" s="442" t="s">
        <v>186</v>
      </c>
      <c r="S167" s="443"/>
      <c r="T167" s="442"/>
      <c r="U167" s="443"/>
      <c r="V167" s="438"/>
      <c r="W167" s="439"/>
      <c r="X167" s="439"/>
      <c r="Y167" s="439"/>
      <c r="Z167" s="439"/>
      <c r="AA167" s="439"/>
      <c r="AB167" s="439"/>
      <c r="AC167" s="439"/>
      <c r="AD167" s="438"/>
      <c r="AE167" s="439"/>
      <c r="AF167" s="439"/>
      <c r="AG167" s="439"/>
      <c r="AH167" s="439"/>
      <c r="AI167" s="439"/>
      <c r="AJ167" s="439"/>
      <c r="AK167" s="449"/>
      <c r="AL167" s="491"/>
      <c r="AM167" s="492"/>
      <c r="AN167" s="492"/>
      <c r="AO167" s="492"/>
      <c r="AP167" s="492"/>
      <c r="AQ167" s="492"/>
      <c r="AR167" s="493"/>
      <c r="AS167" s="500"/>
      <c r="AT167" s="483"/>
      <c r="AU167" s="483"/>
      <c r="AV167" s="483"/>
      <c r="AW167" s="483"/>
      <c r="AX167" s="483"/>
      <c r="AY167" s="484"/>
      <c r="AZ167" s="460"/>
      <c r="BA167" s="461"/>
      <c r="BB167" s="60">
        <v>1</v>
      </c>
      <c r="BC167" s="466"/>
      <c r="BD167" s="467"/>
      <c r="BE167" s="467"/>
      <c r="BF167" s="468"/>
      <c r="BG167" s="469"/>
      <c r="BH167" s="470"/>
      <c r="BI167" s="194"/>
      <c r="BJ167" s="471"/>
      <c r="BK167" s="472"/>
      <c r="BL167" s="472"/>
      <c r="BM167" s="472"/>
      <c r="BN167" s="472"/>
      <c r="BO167" s="473"/>
      <c r="BP167" s="471"/>
      <c r="BQ167" s="472"/>
      <c r="BR167" s="472"/>
      <c r="BS167" s="472"/>
      <c r="BT167" s="472"/>
      <c r="BU167" s="473"/>
      <c r="BV167" s="471"/>
      <c r="BW167" s="472"/>
      <c r="BX167" s="472"/>
      <c r="BY167" s="472"/>
      <c r="BZ167" s="472"/>
      <c r="CA167" s="473"/>
      <c r="CB167" s="466"/>
      <c r="CC167" s="467"/>
      <c r="CD167" s="467"/>
      <c r="CE167" s="468"/>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5" hidden="1">
      <c r="A168" s="435"/>
      <c r="B168" s="36"/>
      <c r="C168" s="199" t="str">
        <f t="shared" ca="1" si="3"/>
        <v/>
      </c>
      <c r="D168" s="479"/>
      <c r="E168" s="480"/>
      <c r="F168" s="480"/>
      <c r="G168" s="480"/>
      <c r="H168" s="480"/>
      <c r="I168" s="480"/>
      <c r="J168" s="480"/>
      <c r="K168" s="440"/>
      <c r="L168" s="441"/>
      <c r="M168" s="441"/>
      <c r="N168" s="441"/>
      <c r="O168" s="441"/>
      <c r="P168" s="441"/>
      <c r="Q168" s="441"/>
      <c r="R168" s="444"/>
      <c r="S168" s="445"/>
      <c r="T168" s="444"/>
      <c r="U168" s="445"/>
      <c r="V168" s="440"/>
      <c r="W168" s="441"/>
      <c r="X168" s="441"/>
      <c r="Y168" s="441"/>
      <c r="Z168" s="441"/>
      <c r="AA168" s="441"/>
      <c r="AB168" s="441"/>
      <c r="AC168" s="441"/>
      <c r="AD168" s="440"/>
      <c r="AE168" s="441"/>
      <c r="AF168" s="441"/>
      <c r="AG168" s="441"/>
      <c r="AH168" s="441"/>
      <c r="AI168" s="441"/>
      <c r="AJ168" s="441"/>
      <c r="AK168" s="450"/>
      <c r="AL168" s="494"/>
      <c r="AM168" s="495"/>
      <c r="AN168" s="495"/>
      <c r="AO168" s="495"/>
      <c r="AP168" s="495"/>
      <c r="AQ168" s="495"/>
      <c r="AR168" s="496"/>
      <c r="AS168" s="485"/>
      <c r="AT168" s="486"/>
      <c r="AU168" s="486"/>
      <c r="AV168" s="486"/>
      <c r="AW168" s="486"/>
      <c r="AX168" s="486"/>
      <c r="AY168" s="487"/>
      <c r="AZ168" s="462"/>
      <c r="BA168" s="463"/>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5" hidden="1">
      <c r="A169" s="435"/>
      <c r="B169" s="36"/>
      <c r="C169" s="199" t="str">
        <f t="shared" ca="1" si="3"/>
        <v/>
      </c>
      <c r="D169" s="479"/>
      <c r="E169" s="480"/>
      <c r="F169" s="480"/>
      <c r="G169" s="480"/>
      <c r="H169" s="480"/>
      <c r="I169" s="480"/>
      <c r="J169" s="480"/>
      <c r="K169" s="440"/>
      <c r="L169" s="441"/>
      <c r="M169" s="441"/>
      <c r="N169" s="441"/>
      <c r="O169" s="441"/>
      <c r="P169" s="441"/>
      <c r="Q169" s="441"/>
      <c r="R169" s="444"/>
      <c r="S169" s="445"/>
      <c r="T169" s="444"/>
      <c r="U169" s="445"/>
      <c r="V169" s="440"/>
      <c r="W169" s="441"/>
      <c r="X169" s="441"/>
      <c r="Y169" s="441"/>
      <c r="Z169" s="441"/>
      <c r="AA169" s="441"/>
      <c r="AB169" s="441"/>
      <c r="AC169" s="441"/>
      <c r="AD169" s="440"/>
      <c r="AE169" s="441"/>
      <c r="AF169" s="441"/>
      <c r="AG169" s="441"/>
      <c r="AH169" s="441"/>
      <c r="AI169" s="441"/>
      <c r="AJ169" s="441"/>
      <c r="AK169" s="450"/>
      <c r="AL169" s="494"/>
      <c r="AM169" s="495"/>
      <c r="AN169" s="495"/>
      <c r="AO169" s="495"/>
      <c r="AP169" s="495"/>
      <c r="AQ169" s="495"/>
      <c r="AR169" s="496"/>
      <c r="AS169" s="485"/>
      <c r="AT169" s="486"/>
      <c r="AU169" s="486"/>
      <c r="AV169" s="486"/>
      <c r="AW169" s="486"/>
      <c r="AX169" s="486"/>
      <c r="AY169" s="487"/>
      <c r="AZ169" s="462"/>
      <c r="BA169" s="463"/>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5" hidden="1">
      <c r="A170" s="435"/>
      <c r="B170" s="36"/>
      <c r="C170" s="199" t="str">
        <f t="shared" ca="1" si="3"/>
        <v/>
      </c>
      <c r="D170" s="479"/>
      <c r="E170" s="480"/>
      <c r="F170" s="480"/>
      <c r="G170" s="480"/>
      <c r="H170" s="480"/>
      <c r="I170" s="480"/>
      <c r="J170" s="480"/>
      <c r="K170" s="440"/>
      <c r="L170" s="441"/>
      <c r="M170" s="441"/>
      <c r="N170" s="441"/>
      <c r="O170" s="441"/>
      <c r="P170" s="441"/>
      <c r="Q170" s="441"/>
      <c r="R170" s="444"/>
      <c r="S170" s="445"/>
      <c r="T170" s="444"/>
      <c r="U170" s="445"/>
      <c r="V170" s="440"/>
      <c r="W170" s="441"/>
      <c r="X170" s="441"/>
      <c r="Y170" s="441"/>
      <c r="Z170" s="441"/>
      <c r="AA170" s="441"/>
      <c r="AB170" s="441"/>
      <c r="AC170" s="441"/>
      <c r="AD170" s="440"/>
      <c r="AE170" s="441"/>
      <c r="AF170" s="441"/>
      <c r="AG170" s="441"/>
      <c r="AH170" s="441"/>
      <c r="AI170" s="441"/>
      <c r="AJ170" s="441"/>
      <c r="AK170" s="450"/>
      <c r="AL170" s="494"/>
      <c r="AM170" s="495"/>
      <c r="AN170" s="495"/>
      <c r="AO170" s="495"/>
      <c r="AP170" s="495"/>
      <c r="AQ170" s="495"/>
      <c r="AR170" s="496"/>
      <c r="AS170" s="485"/>
      <c r="AT170" s="486"/>
      <c r="AU170" s="486"/>
      <c r="AV170" s="486"/>
      <c r="AW170" s="486"/>
      <c r="AX170" s="486"/>
      <c r="AY170" s="487"/>
      <c r="AZ170" s="462"/>
      <c r="BA170" s="463"/>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5" hidden="1">
      <c r="A171" s="435"/>
      <c r="B171" s="36"/>
      <c r="C171" s="199" t="str">
        <f t="shared" ca="1" si="3"/>
        <v/>
      </c>
      <c r="D171" s="479"/>
      <c r="E171" s="480"/>
      <c r="F171" s="480"/>
      <c r="G171" s="480"/>
      <c r="H171" s="480"/>
      <c r="I171" s="480"/>
      <c r="J171" s="480"/>
      <c r="K171" s="440"/>
      <c r="L171" s="441"/>
      <c r="M171" s="441"/>
      <c r="N171" s="441"/>
      <c r="O171" s="441"/>
      <c r="P171" s="441"/>
      <c r="Q171" s="441"/>
      <c r="R171" s="444"/>
      <c r="S171" s="445"/>
      <c r="T171" s="444"/>
      <c r="U171" s="445"/>
      <c r="V171" s="440"/>
      <c r="W171" s="441"/>
      <c r="X171" s="441"/>
      <c r="Y171" s="441"/>
      <c r="Z171" s="441"/>
      <c r="AA171" s="441"/>
      <c r="AB171" s="441"/>
      <c r="AC171" s="441"/>
      <c r="AD171" s="440"/>
      <c r="AE171" s="441"/>
      <c r="AF171" s="441"/>
      <c r="AG171" s="441"/>
      <c r="AH171" s="441"/>
      <c r="AI171" s="441"/>
      <c r="AJ171" s="441"/>
      <c r="AK171" s="450"/>
      <c r="AL171" s="494"/>
      <c r="AM171" s="495"/>
      <c r="AN171" s="495"/>
      <c r="AO171" s="495"/>
      <c r="AP171" s="495"/>
      <c r="AQ171" s="495"/>
      <c r="AR171" s="496"/>
      <c r="AS171" s="485"/>
      <c r="AT171" s="486"/>
      <c r="AU171" s="486"/>
      <c r="AV171" s="486"/>
      <c r="AW171" s="486"/>
      <c r="AX171" s="486"/>
      <c r="AY171" s="487"/>
      <c r="AZ171" s="462"/>
      <c r="BA171" s="463"/>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5" hidden="1">
      <c r="A172" s="436"/>
      <c r="B172" s="37"/>
      <c r="C172" s="200" t="str">
        <f t="shared" ca="1" si="3"/>
        <v/>
      </c>
      <c r="D172" s="481"/>
      <c r="E172" s="482"/>
      <c r="F172" s="482"/>
      <c r="G172" s="482"/>
      <c r="H172" s="482"/>
      <c r="I172" s="482"/>
      <c r="J172" s="482"/>
      <c r="K172" s="409"/>
      <c r="L172" s="410"/>
      <c r="M172" s="410"/>
      <c r="N172" s="410"/>
      <c r="O172" s="410"/>
      <c r="P172" s="410"/>
      <c r="Q172" s="410"/>
      <c r="R172" s="446"/>
      <c r="S172" s="447"/>
      <c r="T172" s="446"/>
      <c r="U172" s="447"/>
      <c r="V172" s="409"/>
      <c r="W172" s="410"/>
      <c r="X172" s="410"/>
      <c r="Y172" s="410"/>
      <c r="Z172" s="410"/>
      <c r="AA172" s="410"/>
      <c r="AB172" s="410"/>
      <c r="AC172" s="410"/>
      <c r="AD172" s="409"/>
      <c r="AE172" s="410"/>
      <c r="AF172" s="410"/>
      <c r="AG172" s="410"/>
      <c r="AH172" s="410"/>
      <c r="AI172" s="410"/>
      <c r="AJ172" s="410"/>
      <c r="AK172" s="411"/>
      <c r="AL172" s="497"/>
      <c r="AM172" s="498"/>
      <c r="AN172" s="498"/>
      <c r="AO172" s="498"/>
      <c r="AP172" s="498"/>
      <c r="AQ172" s="498"/>
      <c r="AR172" s="499"/>
      <c r="AS172" s="488"/>
      <c r="AT172" s="489"/>
      <c r="AU172" s="489"/>
      <c r="AV172" s="489"/>
      <c r="AW172" s="489"/>
      <c r="AX172" s="489"/>
      <c r="AY172" s="490"/>
      <c r="AZ172" s="464"/>
      <c r="BA172" s="465"/>
      <c r="BB172" s="62">
        <v>6</v>
      </c>
      <c r="BC172" s="426"/>
      <c r="BD172" s="427"/>
      <c r="BE172" s="427"/>
      <c r="BF172" s="428"/>
      <c r="BG172" s="429"/>
      <c r="BH172" s="430"/>
      <c r="BI172" s="196"/>
      <c r="BJ172" s="474"/>
      <c r="BK172" s="475"/>
      <c r="BL172" s="475"/>
      <c r="BM172" s="475"/>
      <c r="BN172" s="475"/>
      <c r="BO172" s="476"/>
      <c r="BP172" s="474"/>
      <c r="BQ172" s="475"/>
      <c r="BR172" s="475"/>
      <c r="BS172" s="475"/>
      <c r="BT172" s="475"/>
      <c r="BU172" s="476"/>
      <c r="BV172" s="474"/>
      <c r="BW172" s="475"/>
      <c r="BX172" s="475"/>
      <c r="BY172" s="475"/>
      <c r="BZ172" s="475"/>
      <c r="CA172" s="476"/>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5" hidden="1">
      <c r="A173" s="434">
        <v>28</v>
      </c>
      <c r="B173" s="36"/>
      <c r="C173" s="198" t="str">
        <f t="shared" ca="1" si="3"/>
        <v/>
      </c>
      <c r="D173" s="477"/>
      <c r="E173" s="478"/>
      <c r="F173" s="478"/>
      <c r="G173" s="478"/>
      <c r="H173" s="478"/>
      <c r="I173" s="478"/>
      <c r="J173" s="478"/>
      <c r="K173" s="438" t="s">
        <v>255</v>
      </c>
      <c r="L173" s="439"/>
      <c r="M173" s="439"/>
      <c r="N173" s="439"/>
      <c r="O173" s="439"/>
      <c r="P173" s="439"/>
      <c r="Q173" s="439"/>
      <c r="R173" s="442" t="s">
        <v>186</v>
      </c>
      <c r="S173" s="443"/>
      <c r="T173" s="442"/>
      <c r="U173" s="443"/>
      <c r="V173" s="438"/>
      <c r="W173" s="439"/>
      <c r="X173" s="439"/>
      <c r="Y173" s="439"/>
      <c r="Z173" s="439"/>
      <c r="AA173" s="439"/>
      <c r="AB173" s="439"/>
      <c r="AC173" s="439"/>
      <c r="AD173" s="438"/>
      <c r="AE173" s="439"/>
      <c r="AF173" s="439"/>
      <c r="AG173" s="439"/>
      <c r="AH173" s="439"/>
      <c r="AI173" s="439"/>
      <c r="AJ173" s="439"/>
      <c r="AK173" s="449"/>
      <c r="AL173" s="491"/>
      <c r="AM173" s="492"/>
      <c r="AN173" s="492"/>
      <c r="AO173" s="492"/>
      <c r="AP173" s="492"/>
      <c r="AQ173" s="492"/>
      <c r="AR173" s="493"/>
      <c r="AS173" s="500"/>
      <c r="AT173" s="483"/>
      <c r="AU173" s="483"/>
      <c r="AV173" s="483"/>
      <c r="AW173" s="483"/>
      <c r="AX173" s="483"/>
      <c r="AY173" s="484"/>
      <c r="AZ173" s="460"/>
      <c r="BA173" s="461"/>
      <c r="BB173" s="60">
        <v>1</v>
      </c>
      <c r="BC173" s="466"/>
      <c r="BD173" s="467"/>
      <c r="BE173" s="467"/>
      <c r="BF173" s="468"/>
      <c r="BG173" s="469"/>
      <c r="BH173" s="470"/>
      <c r="BI173" s="194"/>
      <c r="BJ173" s="471"/>
      <c r="BK173" s="472"/>
      <c r="BL173" s="472"/>
      <c r="BM173" s="472"/>
      <c r="BN173" s="472"/>
      <c r="BO173" s="473"/>
      <c r="BP173" s="471"/>
      <c r="BQ173" s="472"/>
      <c r="BR173" s="472"/>
      <c r="BS173" s="472"/>
      <c r="BT173" s="472"/>
      <c r="BU173" s="473"/>
      <c r="BV173" s="471"/>
      <c r="BW173" s="472"/>
      <c r="BX173" s="472"/>
      <c r="BY173" s="472"/>
      <c r="BZ173" s="472"/>
      <c r="CA173" s="473"/>
      <c r="CB173" s="466"/>
      <c r="CC173" s="467"/>
      <c r="CD173" s="467"/>
      <c r="CE173" s="468"/>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5" hidden="1">
      <c r="A174" s="435"/>
      <c r="B174" s="36"/>
      <c r="C174" s="199" t="str">
        <f t="shared" ca="1" si="3"/>
        <v/>
      </c>
      <c r="D174" s="479"/>
      <c r="E174" s="480"/>
      <c r="F174" s="480"/>
      <c r="G174" s="480"/>
      <c r="H174" s="480"/>
      <c r="I174" s="480"/>
      <c r="J174" s="480"/>
      <c r="K174" s="440"/>
      <c r="L174" s="441"/>
      <c r="M174" s="441"/>
      <c r="N174" s="441"/>
      <c r="O174" s="441"/>
      <c r="P174" s="441"/>
      <c r="Q174" s="441"/>
      <c r="R174" s="444"/>
      <c r="S174" s="445"/>
      <c r="T174" s="444"/>
      <c r="U174" s="445"/>
      <c r="V174" s="440"/>
      <c r="W174" s="441"/>
      <c r="X174" s="441"/>
      <c r="Y174" s="441"/>
      <c r="Z174" s="441"/>
      <c r="AA174" s="441"/>
      <c r="AB174" s="441"/>
      <c r="AC174" s="441"/>
      <c r="AD174" s="440"/>
      <c r="AE174" s="441"/>
      <c r="AF174" s="441"/>
      <c r="AG174" s="441"/>
      <c r="AH174" s="441"/>
      <c r="AI174" s="441"/>
      <c r="AJ174" s="441"/>
      <c r="AK174" s="450"/>
      <c r="AL174" s="494"/>
      <c r="AM174" s="495"/>
      <c r="AN174" s="495"/>
      <c r="AO174" s="495"/>
      <c r="AP174" s="495"/>
      <c r="AQ174" s="495"/>
      <c r="AR174" s="496"/>
      <c r="AS174" s="485"/>
      <c r="AT174" s="486"/>
      <c r="AU174" s="486"/>
      <c r="AV174" s="486"/>
      <c r="AW174" s="486"/>
      <c r="AX174" s="486"/>
      <c r="AY174" s="487"/>
      <c r="AZ174" s="462"/>
      <c r="BA174" s="463"/>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5" hidden="1">
      <c r="A175" s="435"/>
      <c r="B175" s="36"/>
      <c r="C175" s="199" t="str">
        <f t="shared" ca="1" si="3"/>
        <v/>
      </c>
      <c r="D175" s="479"/>
      <c r="E175" s="480"/>
      <c r="F175" s="480"/>
      <c r="G175" s="480"/>
      <c r="H175" s="480"/>
      <c r="I175" s="480"/>
      <c r="J175" s="480"/>
      <c r="K175" s="440"/>
      <c r="L175" s="441"/>
      <c r="M175" s="441"/>
      <c r="N175" s="441"/>
      <c r="O175" s="441"/>
      <c r="P175" s="441"/>
      <c r="Q175" s="441"/>
      <c r="R175" s="444"/>
      <c r="S175" s="445"/>
      <c r="T175" s="444"/>
      <c r="U175" s="445"/>
      <c r="V175" s="440"/>
      <c r="W175" s="441"/>
      <c r="X175" s="441"/>
      <c r="Y175" s="441"/>
      <c r="Z175" s="441"/>
      <c r="AA175" s="441"/>
      <c r="AB175" s="441"/>
      <c r="AC175" s="441"/>
      <c r="AD175" s="440"/>
      <c r="AE175" s="441"/>
      <c r="AF175" s="441"/>
      <c r="AG175" s="441"/>
      <c r="AH175" s="441"/>
      <c r="AI175" s="441"/>
      <c r="AJ175" s="441"/>
      <c r="AK175" s="450"/>
      <c r="AL175" s="494"/>
      <c r="AM175" s="495"/>
      <c r="AN175" s="495"/>
      <c r="AO175" s="495"/>
      <c r="AP175" s="495"/>
      <c r="AQ175" s="495"/>
      <c r="AR175" s="496"/>
      <c r="AS175" s="485"/>
      <c r="AT175" s="486"/>
      <c r="AU175" s="486"/>
      <c r="AV175" s="486"/>
      <c r="AW175" s="486"/>
      <c r="AX175" s="486"/>
      <c r="AY175" s="487"/>
      <c r="AZ175" s="462"/>
      <c r="BA175" s="463"/>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5" hidden="1">
      <c r="A176" s="435"/>
      <c r="B176" s="36"/>
      <c r="C176" s="199" t="str">
        <f t="shared" ca="1" si="3"/>
        <v/>
      </c>
      <c r="D176" s="479"/>
      <c r="E176" s="480"/>
      <c r="F176" s="480"/>
      <c r="G176" s="480"/>
      <c r="H176" s="480"/>
      <c r="I176" s="480"/>
      <c r="J176" s="480"/>
      <c r="K176" s="440"/>
      <c r="L176" s="441"/>
      <c r="M176" s="441"/>
      <c r="N176" s="441"/>
      <c r="O176" s="441"/>
      <c r="P176" s="441"/>
      <c r="Q176" s="441"/>
      <c r="R176" s="444"/>
      <c r="S176" s="445"/>
      <c r="T176" s="444"/>
      <c r="U176" s="445"/>
      <c r="V176" s="440"/>
      <c r="W176" s="441"/>
      <c r="X176" s="441"/>
      <c r="Y176" s="441"/>
      <c r="Z176" s="441"/>
      <c r="AA176" s="441"/>
      <c r="AB176" s="441"/>
      <c r="AC176" s="441"/>
      <c r="AD176" s="440"/>
      <c r="AE176" s="441"/>
      <c r="AF176" s="441"/>
      <c r="AG176" s="441"/>
      <c r="AH176" s="441"/>
      <c r="AI176" s="441"/>
      <c r="AJ176" s="441"/>
      <c r="AK176" s="450"/>
      <c r="AL176" s="494"/>
      <c r="AM176" s="495"/>
      <c r="AN176" s="495"/>
      <c r="AO176" s="495"/>
      <c r="AP176" s="495"/>
      <c r="AQ176" s="495"/>
      <c r="AR176" s="496"/>
      <c r="AS176" s="485"/>
      <c r="AT176" s="486"/>
      <c r="AU176" s="486"/>
      <c r="AV176" s="486"/>
      <c r="AW176" s="486"/>
      <c r="AX176" s="486"/>
      <c r="AY176" s="487"/>
      <c r="AZ176" s="462"/>
      <c r="BA176" s="463"/>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5" hidden="1">
      <c r="A177" s="435"/>
      <c r="B177" s="36"/>
      <c r="C177" s="199" t="str">
        <f t="shared" ca="1" si="3"/>
        <v/>
      </c>
      <c r="D177" s="479"/>
      <c r="E177" s="480"/>
      <c r="F177" s="480"/>
      <c r="G177" s="480"/>
      <c r="H177" s="480"/>
      <c r="I177" s="480"/>
      <c r="J177" s="480"/>
      <c r="K177" s="440"/>
      <c r="L177" s="441"/>
      <c r="M177" s="441"/>
      <c r="N177" s="441"/>
      <c r="O177" s="441"/>
      <c r="P177" s="441"/>
      <c r="Q177" s="441"/>
      <c r="R177" s="444"/>
      <c r="S177" s="445"/>
      <c r="T177" s="444"/>
      <c r="U177" s="445"/>
      <c r="V177" s="440"/>
      <c r="W177" s="441"/>
      <c r="X177" s="441"/>
      <c r="Y177" s="441"/>
      <c r="Z177" s="441"/>
      <c r="AA177" s="441"/>
      <c r="AB177" s="441"/>
      <c r="AC177" s="441"/>
      <c r="AD177" s="440"/>
      <c r="AE177" s="441"/>
      <c r="AF177" s="441"/>
      <c r="AG177" s="441"/>
      <c r="AH177" s="441"/>
      <c r="AI177" s="441"/>
      <c r="AJ177" s="441"/>
      <c r="AK177" s="450"/>
      <c r="AL177" s="494"/>
      <c r="AM177" s="495"/>
      <c r="AN177" s="495"/>
      <c r="AO177" s="495"/>
      <c r="AP177" s="495"/>
      <c r="AQ177" s="495"/>
      <c r="AR177" s="496"/>
      <c r="AS177" s="485"/>
      <c r="AT177" s="486"/>
      <c r="AU177" s="486"/>
      <c r="AV177" s="486"/>
      <c r="AW177" s="486"/>
      <c r="AX177" s="486"/>
      <c r="AY177" s="487"/>
      <c r="AZ177" s="462"/>
      <c r="BA177" s="463"/>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5" hidden="1">
      <c r="A178" s="436"/>
      <c r="B178" s="37"/>
      <c r="C178" s="200" t="str">
        <f t="shared" ca="1" si="3"/>
        <v/>
      </c>
      <c r="D178" s="481"/>
      <c r="E178" s="482"/>
      <c r="F178" s="482"/>
      <c r="G178" s="482"/>
      <c r="H178" s="482"/>
      <c r="I178" s="482"/>
      <c r="J178" s="482"/>
      <c r="K178" s="409"/>
      <c r="L178" s="410"/>
      <c r="M178" s="410"/>
      <c r="N178" s="410"/>
      <c r="O178" s="410"/>
      <c r="P178" s="410"/>
      <c r="Q178" s="410"/>
      <c r="R178" s="446"/>
      <c r="S178" s="447"/>
      <c r="T178" s="446"/>
      <c r="U178" s="447"/>
      <c r="V178" s="409"/>
      <c r="W178" s="410"/>
      <c r="X178" s="410"/>
      <c r="Y178" s="410"/>
      <c r="Z178" s="410"/>
      <c r="AA178" s="410"/>
      <c r="AB178" s="410"/>
      <c r="AC178" s="410"/>
      <c r="AD178" s="409"/>
      <c r="AE178" s="410"/>
      <c r="AF178" s="410"/>
      <c r="AG178" s="410"/>
      <c r="AH178" s="410"/>
      <c r="AI178" s="410"/>
      <c r="AJ178" s="410"/>
      <c r="AK178" s="411"/>
      <c r="AL178" s="497"/>
      <c r="AM178" s="498"/>
      <c r="AN178" s="498"/>
      <c r="AO178" s="498"/>
      <c r="AP178" s="498"/>
      <c r="AQ178" s="498"/>
      <c r="AR178" s="499"/>
      <c r="AS178" s="488"/>
      <c r="AT178" s="489"/>
      <c r="AU178" s="489"/>
      <c r="AV178" s="489"/>
      <c r="AW178" s="489"/>
      <c r="AX178" s="489"/>
      <c r="AY178" s="490"/>
      <c r="AZ178" s="464"/>
      <c r="BA178" s="465"/>
      <c r="BB178" s="62">
        <v>6</v>
      </c>
      <c r="BC178" s="426"/>
      <c r="BD178" s="427"/>
      <c r="BE178" s="427"/>
      <c r="BF178" s="428"/>
      <c r="BG178" s="429"/>
      <c r="BH178" s="430"/>
      <c r="BI178" s="196"/>
      <c r="BJ178" s="474"/>
      <c r="BK178" s="475"/>
      <c r="BL178" s="475"/>
      <c r="BM178" s="475"/>
      <c r="BN178" s="475"/>
      <c r="BO178" s="476"/>
      <c r="BP178" s="474"/>
      <c r="BQ178" s="475"/>
      <c r="BR178" s="475"/>
      <c r="BS178" s="475"/>
      <c r="BT178" s="475"/>
      <c r="BU178" s="476"/>
      <c r="BV178" s="474"/>
      <c r="BW178" s="475"/>
      <c r="BX178" s="475"/>
      <c r="BY178" s="475"/>
      <c r="BZ178" s="475"/>
      <c r="CA178" s="476"/>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s="241" customFormat="1" ht="16.5" hidden="1">
      <c r="A179" s="434">
        <v>29</v>
      </c>
      <c r="B179" s="233"/>
      <c r="C179" s="234" t="str">
        <f t="shared" ca="1" si="3"/>
        <v/>
      </c>
      <c r="D179" s="510" t="s">
        <v>256</v>
      </c>
      <c r="E179" s="511"/>
      <c r="F179" s="511"/>
      <c r="G179" s="511"/>
      <c r="H179" s="511"/>
      <c r="I179" s="511"/>
      <c r="J179" s="511"/>
      <c r="K179" s="516" t="s">
        <v>257</v>
      </c>
      <c r="L179" s="517"/>
      <c r="M179" s="517"/>
      <c r="N179" s="517"/>
      <c r="O179" s="517"/>
      <c r="P179" s="517"/>
      <c r="Q179" s="517"/>
      <c r="R179" s="442" t="s">
        <v>186</v>
      </c>
      <c r="S179" s="443"/>
      <c r="T179" s="520"/>
      <c r="U179" s="521"/>
      <c r="V179" s="516"/>
      <c r="W179" s="517"/>
      <c r="X179" s="517"/>
      <c r="Y179" s="517"/>
      <c r="Z179" s="517"/>
      <c r="AA179" s="517"/>
      <c r="AB179" s="517"/>
      <c r="AC179" s="517"/>
      <c r="AD179" s="516"/>
      <c r="AE179" s="517"/>
      <c r="AF179" s="517"/>
      <c r="AG179" s="517"/>
      <c r="AH179" s="517"/>
      <c r="AI179" s="517"/>
      <c r="AJ179" s="517"/>
      <c r="AK179" s="526"/>
      <c r="AL179" s="528"/>
      <c r="AM179" s="529"/>
      <c r="AN179" s="529"/>
      <c r="AO179" s="529"/>
      <c r="AP179" s="529"/>
      <c r="AQ179" s="529"/>
      <c r="AR179" s="530"/>
      <c r="AS179" s="516"/>
      <c r="AT179" s="517"/>
      <c r="AU179" s="517"/>
      <c r="AV179" s="517"/>
      <c r="AW179" s="517"/>
      <c r="AX179" s="517"/>
      <c r="AY179" s="526"/>
      <c r="AZ179" s="460"/>
      <c r="BA179" s="461"/>
      <c r="BB179" s="60">
        <v>1</v>
      </c>
      <c r="BC179" s="466"/>
      <c r="BD179" s="467"/>
      <c r="BE179" s="467"/>
      <c r="BF179" s="468"/>
      <c r="BG179" s="469"/>
      <c r="BH179" s="470"/>
      <c r="BI179" s="194"/>
      <c r="BJ179" s="471"/>
      <c r="BK179" s="472"/>
      <c r="BL179" s="472"/>
      <c r="BM179" s="472"/>
      <c r="BN179" s="472"/>
      <c r="BO179" s="473"/>
      <c r="BP179" s="471"/>
      <c r="BQ179" s="472"/>
      <c r="BR179" s="472"/>
      <c r="BS179" s="472"/>
      <c r="BT179" s="472"/>
      <c r="BU179" s="473"/>
      <c r="BV179" s="471"/>
      <c r="BW179" s="472"/>
      <c r="BX179" s="472"/>
      <c r="BY179" s="472"/>
      <c r="BZ179" s="472"/>
      <c r="CA179" s="473"/>
      <c r="CB179" s="466"/>
      <c r="CC179" s="467"/>
      <c r="CD179" s="467"/>
      <c r="CE179" s="468"/>
      <c r="CF179" s="501"/>
      <c r="CG179" s="502"/>
      <c r="CH179" s="502"/>
      <c r="CI179" s="502"/>
      <c r="CJ179" s="503"/>
      <c r="CK179" s="501"/>
      <c r="CL179" s="502"/>
      <c r="CM179" s="502"/>
      <c r="CN179" s="502"/>
      <c r="CO179" s="503"/>
      <c r="CP179" s="501"/>
      <c r="CQ179" s="502"/>
      <c r="CR179" s="502"/>
      <c r="CS179" s="502"/>
      <c r="CT179" s="503"/>
      <c r="CU179" s="507"/>
      <c r="CV179" s="508"/>
      <c r="CW179" s="508"/>
      <c r="CX179" s="508"/>
      <c r="CY179" s="509"/>
    </row>
    <row r="180" spans="1:103" s="241" customFormat="1" ht="16.5" hidden="1">
      <c r="A180" s="435"/>
      <c r="B180" s="233"/>
      <c r="C180" s="235" t="str">
        <f t="shared" ca="1" si="3"/>
        <v/>
      </c>
      <c r="D180" s="512"/>
      <c r="E180" s="513"/>
      <c r="F180" s="513"/>
      <c r="G180" s="513"/>
      <c r="H180" s="513"/>
      <c r="I180" s="513"/>
      <c r="J180" s="513"/>
      <c r="K180" s="518"/>
      <c r="L180" s="519"/>
      <c r="M180" s="519"/>
      <c r="N180" s="519"/>
      <c r="O180" s="519"/>
      <c r="P180" s="519"/>
      <c r="Q180" s="519"/>
      <c r="R180" s="444"/>
      <c r="S180" s="445"/>
      <c r="T180" s="522"/>
      <c r="U180" s="523"/>
      <c r="V180" s="518"/>
      <c r="W180" s="519"/>
      <c r="X180" s="519"/>
      <c r="Y180" s="519"/>
      <c r="Z180" s="519"/>
      <c r="AA180" s="519"/>
      <c r="AB180" s="519"/>
      <c r="AC180" s="519"/>
      <c r="AD180" s="518"/>
      <c r="AE180" s="519"/>
      <c r="AF180" s="519"/>
      <c r="AG180" s="519"/>
      <c r="AH180" s="519"/>
      <c r="AI180" s="519"/>
      <c r="AJ180" s="519"/>
      <c r="AK180" s="527"/>
      <c r="AL180" s="531"/>
      <c r="AM180" s="532"/>
      <c r="AN180" s="532"/>
      <c r="AO180" s="532"/>
      <c r="AP180" s="532"/>
      <c r="AQ180" s="532"/>
      <c r="AR180" s="533"/>
      <c r="AS180" s="518"/>
      <c r="AT180" s="519"/>
      <c r="AU180" s="519"/>
      <c r="AV180" s="519"/>
      <c r="AW180" s="519"/>
      <c r="AX180" s="519"/>
      <c r="AY180" s="527"/>
      <c r="AZ180" s="462"/>
      <c r="BA180" s="463"/>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504"/>
      <c r="CG180" s="505"/>
      <c r="CH180" s="505"/>
      <c r="CI180" s="505"/>
      <c r="CJ180" s="506"/>
      <c r="CK180" s="504"/>
      <c r="CL180" s="505"/>
      <c r="CM180" s="505"/>
      <c r="CN180" s="505"/>
      <c r="CO180" s="506"/>
      <c r="CP180" s="504"/>
      <c r="CQ180" s="505"/>
      <c r="CR180" s="505"/>
      <c r="CS180" s="505"/>
      <c r="CT180" s="506"/>
      <c r="CU180" s="507"/>
      <c r="CV180" s="508"/>
      <c r="CW180" s="508"/>
      <c r="CX180" s="508"/>
      <c r="CY180" s="509"/>
    </row>
    <row r="181" spans="1:103" s="241" customFormat="1" ht="16.5" hidden="1">
      <c r="A181" s="435"/>
      <c r="B181" s="233"/>
      <c r="C181" s="235" t="str">
        <f t="shared" ca="1" si="3"/>
        <v/>
      </c>
      <c r="D181" s="512"/>
      <c r="E181" s="513"/>
      <c r="F181" s="513"/>
      <c r="G181" s="513"/>
      <c r="H181" s="513"/>
      <c r="I181" s="513"/>
      <c r="J181" s="513"/>
      <c r="K181" s="518"/>
      <c r="L181" s="519"/>
      <c r="M181" s="519"/>
      <c r="N181" s="519"/>
      <c r="O181" s="519"/>
      <c r="P181" s="519"/>
      <c r="Q181" s="519"/>
      <c r="R181" s="444"/>
      <c r="S181" s="445"/>
      <c r="T181" s="522"/>
      <c r="U181" s="523"/>
      <c r="V181" s="518"/>
      <c r="W181" s="519"/>
      <c r="X181" s="519"/>
      <c r="Y181" s="519"/>
      <c r="Z181" s="519"/>
      <c r="AA181" s="519"/>
      <c r="AB181" s="519"/>
      <c r="AC181" s="519"/>
      <c r="AD181" s="518"/>
      <c r="AE181" s="519"/>
      <c r="AF181" s="519"/>
      <c r="AG181" s="519"/>
      <c r="AH181" s="519"/>
      <c r="AI181" s="519"/>
      <c r="AJ181" s="519"/>
      <c r="AK181" s="527"/>
      <c r="AL181" s="531"/>
      <c r="AM181" s="532"/>
      <c r="AN181" s="532"/>
      <c r="AO181" s="532"/>
      <c r="AP181" s="532"/>
      <c r="AQ181" s="532"/>
      <c r="AR181" s="533"/>
      <c r="AS181" s="518"/>
      <c r="AT181" s="519"/>
      <c r="AU181" s="519"/>
      <c r="AV181" s="519"/>
      <c r="AW181" s="519"/>
      <c r="AX181" s="519"/>
      <c r="AY181" s="527"/>
      <c r="AZ181" s="462"/>
      <c r="BA181" s="463"/>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504"/>
      <c r="CG181" s="505"/>
      <c r="CH181" s="505"/>
      <c r="CI181" s="505"/>
      <c r="CJ181" s="506"/>
      <c r="CK181" s="504"/>
      <c r="CL181" s="505"/>
      <c r="CM181" s="505"/>
      <c r="CN181" s="505"/>
      <c r="CO181" s="506"/>
      <c r="CP181" s="504"/>
      <c r="CQ181" s="505"/>
      <c r="CR181" s="505"/>
      <c r="CS181" s="505"/>
      <c r="CT181" s="506"/>
      <c r="CU181" s="507"/>
      <c r="CV181" s="508"/>
      <c r="CW181" s="508"/>
      <c r="CX181" s="508"/>
      <c r="CY181" s="509"/>
    </row>
    <row r="182" spans="1:103" s="241" customFormat="1" ht="16.5" hidden="1">
      <c r="A182" s="435"/>
      <c r="B182" s="233"/>
      <c r="C182" s="235" t="str">
        <f t="shared" ref="C182:C323" ca="1" si="5">IF(AND(OFFSET($K182,-($BB182-1),0)&lt;&gt;"",OFFSET($R182,-($BB182-1),0)&lt;&gt;"x"),"●","")</f>
        <v/>
      </c>
      <c r="D182" s="512"/>
      <c r="E182" s="513"/>
      <c r="F182" s="513"/>
      <c r="G182" s="513"/>
      <c r="H182" s="513"/>
      <c r="I182" s="513"/>
      <c r="J182" s="513"/>
      <c r="K182" s="518"/>
      <c r="L182" s="519"/>
      <c r="M182" s="519"/>
      <c r="N182" s="519"/>
      <c r="O182" s="519"/>
      <c r="P182" s="519"/>
      <c r="Q182" s="519"/>
      <c r="R182" s="444"/>
      <c r="S182" s="445"/>
      <c r="T182" s="522"/>
      <c r="U182" s="523"/>
      <c r="V182" s="518"/>
      <c r="W182" s="519"/>
      <c r="X182" s="519"/>
      <c r="Y182" s="519"/>
      <c r="Z182" s="519"/>
      <c r="AA182" s="519"/>
      <c r="AB182" s="519"/>
      <c r="AC182" s="519"/>
      <c r="AD182" s="518"/>
      <c r="AE182" s="519"/>
      <c r="AF182" s="519"/>
      <c r="AG182" s="519"/>
      <c r="AH182" s="519"/>
      <c r="AI182" s="519"/>
      <c r="AJ182" s="519"/>
      <c r="AK182" s="527"/>
      <c r="AL182" s="531"/>
      <c r="AM182" s="532"/>
      <c r="AN182" s="532"/>
      <c r="AO182" s="532"/>
      <c r="AP182" s="532"/>
      <c r="AQ182" s="532"/>
      <c r="AR182" s="533"/>
      <c r="AS182" s="518"/>
      <c r="AT182" s="519"/>
      <c r="AU182" s="519"/>
      <c r="AV182" s="519"/>
      <c r="AW182" s="519"/>
      <c r="AX182" s="519"/>
      <c r="AY182" s="527"/>
      <c r="AZ182" s="462"/>
      <c r="BA182" s="463"/>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504"/>
      <c r="CG182" s="505"/>
      <c r="CH182" s="505"/>
      <c r="CI182" s="505"/>
      <c r="CJ182" s="506"/>
      <c r="CK182" s="504"/>
      <c r="CL182" s="505"/>
      <c r="CM182" s="505"/>
      <c r="CN182" s="505"/>
      <c r="CO182" s="506"/>
      <c r="CP182" s="504"/>
      <c r="CQ182" s="505"/>
      <c r="CR182" s="505"/>
      <c r="CS182" s="505"/>
      <c r="CT182" s="506"/>
      <c r="CU182" s="507"/>
      <c r="CV182" s="508"/>
      <c r="CW182" s="508"/>
      <c r="CX182" s="508"/>
      <c r="CY182" s="509"/>
    </row>
    <row r="183" spans="1:103" s="241" customFormat="1" ht="16.5" hidden="1">
      <c r="A183" s="435"/>
      <c r="B183" s="233"/>
      <c r="C183" s="235" t="str">
        <f t="shared" ca="1" si="5"/>
        <v/>
      </c>
      <c r="D183" s="512"/>
      <c r="E183" s="513"/>
      <c r="F183" s="513"/>
      <c r="G183" s="513"/>
      <c r="H183" s="513"/>
      <c r="I183" s="513"/>
      <c r="J183" s="513"/>
      <c r="K183" s="518"/>
      <c r="L183" s="519"/>
      <c r="M183" s="519"/>
      <c r="N183" s="519"/>
      <c r="O183" s="519"/>
      <c r="P183" s="519"/>
      <c r="Q183" s="519"/>
      <c r="R183" s="444"/>
      <c r="S183" s="445"/>
      <c r="T183" s="522"/>
      <c r="U183" s="523"/>
      <c r="V183" s="518"/>
      <c r="W183" s="519"/>
      <c r="X183" s="519"/>
      <c r="Y183" s="519"/>
      <c r="Z183" s="519"/>
      <c r="AA183" s="519"/>
      <c r="AB183" s="519"/>
      <c r="AC183" s="519"/>
      <c r="AD183" s="518"/>
      <c r="AE183" s="519"/>
      <c r="AF183" s="519"/>
      <c r="AG183" s="519"/>
      <c r="AH183" s="519"/>
      <c r="AI183" s="519"/>
      <c r="AJ183" s="519"/>
      <c r="AK183" s="527"/>
      <c r="AL183" s="531"/>
      <c r="AM183" s="532"/>
      <c r="AN183" s="532"/>
      <c r="AO183" s="532"/>
      <c r="AP183" s="532"/>
      <c r="AQ183" s="532"/>
      <c r="AR183" s="533"/>
      <c r="AS183" s="518"/>
      <c r="AT183" s="519"/>
      <c r="AU183" s="519"/>
      <c r="AV183" s="519"/>
      <c r="AW183" s="519"/>
      <c r="AX183" s="519"/>
      <c r="AY183" s="527"/>
      <c r="AZ183" s="462"/>
      <c r="BA183" s="463"/>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504"/>
      <c r="CG183" s="505"/>
      <c r="CH183" s="505"/>
      <c r="CI183" s="505"/>
      <c r="CJ183" s="506"/>
      <c r="CK183" s="504"/>
      <c r="CL183" s="505"/>
      <c r="CM183" s="505"/>
      <c r="CN183" s="505"/>
      <c r="CO183" s="506"/>
      <c r="CP183" s="504"/>
      <c r="CQ183" s="505"/>
      <c r="CR183" s="505"/>
      <c r="CS183" s="505"/>
      <c r="CT183" s="506"/>
      <c r="CU183" s="507"/>
      <c r="CV183" s="508"/>
      <c r="CW183" s="508"/>
      <c r="CX183" s="508"/>
      <c r="CY183" s="509"/>
    </row>
    <row r="184" spans="1:103" s="241" customFormat="1" ht="16.5" hidden="1">
      <c r="A184" s="436"/>
      <c r="B184" s="236"/>
      <c r="C184" s="237" t="str">
        <f t="shared" ca="1" si="5"/>
        <v/>
      </c>
      <c r="D184" s="514"/>
      <c r="E184" s="515"/>
      <c r="F184" s="515"/>
      <c r="G184" s="515"/>
      <c r="H184" s="515"/>
      <c r="I184" s="515"/>
      <c r="J184" s="515"/>
      <c r="K184" s="501"/>
      <c r="L184" s="502"/>
      <c r="M184" s="502"/>
      <c r="N184" s="502"/>
      <c r="O184" s="502"/>
      <c r="P184" s="502"/>
      <c r="Q184" s="502"/>
      <c r="R184" s="446"/>
      <c r="S184" s="447"/>
      <c r="T184" s="524"/>
      <c r="U184" s="525"/>
      <c r="V184" s="501"/>
      <c r="W184" s="502"/>
      <c r="X184" s="502"/>
      <c r="Y184" s="502"/>
      <c r="Z184" s="502"/>
      <c r="AA184" s="502"/>
      <c r="AB184" s="502"/>
      <c r="AC184" s="502"/>
      <c r="AD184" s="501"/>
      <c r="AE184" s="502"/>
      <c r="AF184" s="502"/>
      <c r="AG184" s="502"/>
      <c r="AH184" s="502"/>
      <c r="AI184" s="502"/>
      <c r="AJ184" s="502"/>
      <c r="AK184" s="503"/>
      <c r="AL184" s="534"/>
      <c r="AM184" s="535"/>
      <c r="AN184" s="535"/>
      <c r="AO184" s="535"/>
      <c r="AP184" s="535"/>
      <c r="AQ184" s="535"/>
      <c r="AR184" s="536"/>
      <c r="AS184" s="501"/>
      <c r="AT184" s="502"/>
      <c r="AU184" s="502"/>
      <c r="AV184" s="502"/>
      <c r="AW184" s="502"/>
      <c r="AX184" s="502"/>
      <c r="AY184" s="503"/>
      <c r="AZ184" s="464"/>
      <c r="BA184" s="465"/>
      <c r="BB184" s="62">
        <v>6</v>
      </c>
      <c r="BC184" s="426"/>
      <c r="BD184" s="427"/>
      <c r="BE184" s="427"/>
      <c r="BF184" s="428"/>
      <c r="BG184" s="429"/>
      <c r="BH184" s="430"/>
      <c r="BI184" s="196"/>
      <c r="BJ184" s="474"/>
      <c r="BK184" s="475"/>
      <c r="BL184" s="475"/>
      <c r="BM184" s="475"/>
      <c r="BN184" s="475"/>
      <c r="BO184" s="476"/>
      <c r="BP184" s="474"/>
      <c r="BQ184" s="475"/>
      <c r="BR184" s="475"/>
      <c r="BS184" s="475"/>
      <c r="BT184" s="475"/>
      <c r="BU184" s="476"/>
      <c r="BV184" s="474"/>
      <c r="BW184" s="475"/>
      <c r="BX184" s="475"/>
      <c r="BY184" s="475"/>
      <c r="BZ184" s="475"/>
      <c r="CA184" s="476"/>
      <c r="CB184" s="426"/>
      <c r="CC184" s="427"/>
      <c r="CD184" s="427"/>
      <c r="CE184" s="428"/>
      <c r="CF184" s="504"/>
      <c r="CG184" s="505"/>
      <c r="CH184" s="505"/>
      <c r="CI184" s="505"/>
      <c r="CJ184" s="506"/>
      <c r="CK184" s="504"/>
      <c r="CL184" s="505"/>
      <c r="CM184" s="505"/>
      <c r="CN184" s="505"/>
      <c r="CO184" s="506"/>
      <c r="CP184" s="504"/>
      <c r="CQ184" s="505"/>
      <c r="CR184" s="505"/>
      <c r="CS184" s="505"/>
      <c r="CT184" s="506"/>
      <c r="CU184" s="507"/>
      <c r="CV184" s="508"/>
      <c r="CW184" s="508"/>
      <c r="CX184" s="508"/>
      <c r="CY184" s="509"/>
    </row>
    <row r="185" spans="1:103" ht="16.5" hidden="1">
      <c r="A185" s="434">
        <v>30</v>
      </c>
      <c r="B185" s="36"/>
      <c r="C185" s="198" t="str">
        <f t="shared" ca="1" si="5"/>
        <v/>
      </c>
      <c r="D185" s="477"/>
      <c r="E185" s="478"/>
      <c r="F185" s="478"/>
      <c r="G185" s="478"/>
      <c r="H185" s="478"/>
      <c r="I185" s="478"/>
      <c r="J185" s="478"/>
      <c r="K185" s="438" t="s">
        <v>258</v>
      </c>
      <c r="L185" s="439"/>
      <c r="M185" s="439"/>
      <c r="N185" s="439"/>
      <c r="O185" s="439"/>
      <c r="P185" s="439"/>
      <c r="Q185" s="439"/>
      <c r="R185" s="442" t="s">
        <v>186</v>
      </c>
      <c r="S185" s="443"/>
      <c r="T185" s="442"/>
      <c r="U185" s="443"/>
      <c r="V185" s="438"/>
      <c r="W185" s="439"/>
      <c r="X185" s="439"/>
      <c r="Y185" s="439"/>
      <c r="Z185" s="439"/>
      <c r="AA185" s="439"/>
      <c r="AB185" s="439"/>
      <c r="AC185" s="439"/>
      <c r="AD185" s="438"/>
      <c r="AE185" s="439"/>
      <c r="AF185" s="439"/>
      <c r="AG185" s="439"/>
      <c r="AH185" s="439"/>
      <c r="AI185" s="439"/>
      <c r="AJ185" s="439"/>
      <c r="AK185" s="449"/>
      <c r="AL185" s="491"/>
      <c r="AM185" s="492"/>
      <c r="AN185" s="492"/>
      <c r="AO185" s="492"/>
      <c r="AP185" s="492"/>
      <c r="AQ185" s="492"/>
      <c r="AR185" s="493"/>
      <c r="AS185" s="500"/>
      <c r="AT185" s="483"/>
      <c r="AU185" s="483"/>
      <c r="AV185" s="483"/>
      <c r="AW185" s="483"/>
      <c r="AX185" s="483"/>
      <c r="AY185" s="484"/>
      <c r="AZ185" s="460"/>
      <c r="BA185" s="461"/>
      <c r="BB185" s="60">
        <v>1</v>
      </c>
      <c r="BC185" s="466"/>
      <c r="BD185" s="467"/>
      <c r="BE185" s="467"/>
      <c r="BF185" s="468"/>
      <c r="BG185" s="469"/>
      <c r="BH185" s="470"/>
      <c r="BI185" s="194"/>
      <c r="BJ185" s="471"/>
      <c r="BK185" s="472"/>
      <c r="BL185" s="472"/>
      <c r="BM185" s="472"/>
      <c r="BN185" s="472"/>
      <c r="BO185" s="473"/>
      <c r="BP185" s="471"/>
      <c r="BQ185" s="472"/>
      <c r="BR185" s="472"/>
      <c r="BS185" s="472"/>
      <c r="BT185" s="472"/>
      <c r="BU185" s="473"/>
      <c r="BV185" s="471"/>
      <c r="BW185" s="472"/>
      <c r="BX185" s="472"/>
      <c r="BY185" s="472"/>
      <c r="BZ185" s="472"/>
      <c r="CA185" s="473"/>
      <c r="CB185" s="466"/>
      <c r="CC185" s="467"/>
      <c r="CD185" s="467"/>
      <c r="CE185" s="468"/>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5" hidden="1">
      <c r="A186" s="435"/>
      <c r="B186" s="36"/>
      <c r="C186" s="199" t="str">
        <f t="shared" ca="1" si="5"/>
        <v/>
      </c>
      <c r="D186" s="479"/>
      <c r="E186" s="480"/>
      <c r="F186" s="480"/>
      <c r="G186" s="480"/>
      <c r="H186" s="480"/>
      <c r="I186" s="480"/>
      <c r="J186" s="480"/>
      <c r="K186" s="440"/>
      <c r="L186" s="441"/>
      <c r="M186" s="441"/>
      <c r="N186" s="441"/>
      <c r="O186" s="441"/>
      <c r="P186" s="441"/>
      <c r="Q186" s="441"/>
      <c r="R186" s="444"/>
      <c r="S186" s="445"/>
      <c r="T186" s="444"/>
      <c r="U186" s="445"/>
      <c r="V186" s="440"/>
      <c r="W186" s="441"/>
      <c r="X186" s="441"/>
      <c r="Y186" s="441"/>
      <c r="Z186" s="441"/>
      <c r="AA186" s="441"/>
      <c r="AB186" s="441"/>
      <c r="AC186" s="441"/>
      <c r="AD186" s="440"/>
      <c r="AE186" s="441"/>
      <c r="AF186" s="441"/>
      <c r="AG186" s="441"/>
      <c r="AH186" s="441"/>
      <c r="AI186" s="441"/>
      <c r="AJ186" s="441"/>
      <c r="AK186" s="450"/>
      <c r="AL186" s="494"/>
      <c r="AM186" s="495"/>
      <c r="AN186" s="495"/>
      <c r="AO186" s="495"/>
      <c r="AP186" s="495"/>
      <c r="AQ186" s="495"/>
      <c r="AR186" s="496"/>
      <c r="AS186" s="485"/>
      <c r="AT186" s="486"/>
      <c r="AU186" s="486"/>
      <c r="AV186" s="486"/>
      <c r="AW186" s="486"/>
      <c r="AX186" s="486"/>
      <c r="AY186" s="487"/>
      <c r="AZ186" s="462"/>
      <c r="BA186" s="463"/>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5" hidden="1">
      <c r="A187" s="435"/>
      <c r="B187" s="36"/>
      <c r="C187" s="199" t="str">
        <f t="shared" ca="1" si="5"/>
        <v/>
      </c>
      <c r="D187" s="479"/>
      <c r="E187" s="480"/>
      <c r="F187" s="480"/>
      <c r="G187" s="480"/>
      <c r="H187" s="480"/>
      <c r="I187" s="480"/>
      <c r="J187" s="480"/>
      <c r="K187" s="440"/>
      <c r="L187" s="441"/>
      <c r="M187" s="441"/>
      <c r="N187" s="441"/>
      <c r="O187" s="441"/>
      <c r="P187" s="441"/>
      <c r="Q187" s="441"/>
      <c r="R187" s="444"/>
      <c r="S187" s="445"/>
      <c r="T187" s="444"/>
      <c r="U187" s="445"/>
      <c r="V187" s="440"/>
      <c r="W187" s="441"/>
      <c r="X187" s="441"/>
      <c r="Y187" s="441"/>
      <c r="Z187" s="441"/>
      <c r="AA187" s="441"/>
      <c r="AB187" s="441"/>
      <c r="AC187" s="441"/>
      <c r="AD187" s="440"/>
      <c r="AE187" s="441"/>
      <c r="AF187" s="441"/>
      <c r="AG187" s="441"/>
      <c r="AH187" s="441"/>
      <c r="AI187" s="441"/>
      <c r="AJ187" s="441"/>
      <c r="AK187" s="450"/>
      <c r="AL187" s="494"/>
      <c r="AM187" s="495"/>
      <c r="AN187" s="495"/>
      <c r="AO187" s="495"/>
      <c r="AP187" s="495"/>
      <c r="AQ187" s="495"/>
      <c r="AR187" s="496"/>
      <c r="AS187" s="485"/>
      <c r="AT187" s="486"/>
      <c r="AU187" s="486"/>
      <c r="AV187" s="486"/>
      <c r="AW187" s="486"/>
      <c r="AX187" s="486"/>
      <c r="AY187" s="487"/>
      <c r="AZ187" s="462"/>
      <c r="BA187" s="463"/>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5" hidden="1">
      <c r="A188" s="435"/>
      <c r="B188" s="36"/>
      <c r="C188" s="199" t="str">
        <f t="shared" ca="1" si="5"/>
        <v/>
      </c>
      <c r="D188" s="479"/>
      <c r="E188" s="480"/>
      <c r="F188" s="480"/>
      <c r="G188" s="480"/>
      <c r="H188" s="480"/>
      <c r="I188" s="480"/>
      <c r="J188" s="480"/>
      <c r="K188" s="440"/>
      <c r="L188" s="441"/>
      <c r="M188" s="441"/>
      <c r="N188" s="441"/>
      <c r="O188" s="441"/>
      <c r="P188" s="441"/>
      <c r="Q188" s="441"/>
      <c r="R188" s="444"/>
      <c r="S188" s="445"/>
      <c r="T188" s="444"/>
      <c r="U188" s="445"/>
      <c r="V188" s="440"/>
      <c r="W188" s="441"/>
      <c r="X188" s="441"/>
      <c r="Y188" s="441"/>
      <c r="Z188" s="441"/>
      <c r="AA188" s="441"/>
      <c r="AB188" s="441"/>
      <c r="AC188" s="441"/>
      <c r="AD188" s="440"/>
      <c r="AE188" s="441"/>
      <c r="AF188" s="441"/>
      <c r="AG188" s="441"/>
      <c r="AH188" s="441"/>
      <c r="AI188" s="441"/>
      <c r="AJ188" s="441"/>
      <c r="AK188" s="450"/>
      <c r="AL188" s="494"/>
      <c r="AM188" s="495"/>
      <c r="AN188" s="495"/>
      <c r="AO188" s="495"/>
      <c r="AP188" s="495"/>
      <c r="AQ188" s="495"/>
      <c r="AR188" s="496"/>
      <c r="AS188" s="485"/>
      <c r="AT188" s="486"/>
      <c r="AU188" s="486"/>
      <c r="AV188" s="486"/>
      <c r="AW188" s="486"/>
      <c r="AX188" s="486"/>
      <c r="AY188" s="487"/>
      <c r="AZ188" s="462"/>
      <c r="BA188" s="463"/>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5" hidden="1">
      <c r="A189" s="435"/>
      <c r="B189" s="36"/>
      <c r="C189" s="199" t="str">
        <f t="shared" ca="1" si="5"/>
        <v/>
      </c>
      <c r="D189" s="479"/>
      <c r="E189" s="480"/>
      <c r="F189" s="480"/>
      <c r="G189" s="480"/>
      <c r="H189" s="480"/>
      <c r="I189" s="480"/>
      <c r="J189" s="480"/>
      <c r="K189" s="440"/>
      <c r="L189" s="441"/>
      <c r="M189" s="441"/>
      <c r="N189" s="441"/>
      <c r="O189" s="441"/>
      <c r="P189" s="441"/>
      <c r="Q189" s="441"/>
      <c r="R189" s="444"/>
      <c r="S189" s="445"/>
      <c r="T189" s="444"/>
      <c r="U189" s="445"/>
      <c r="V189" s="440"/>
      <c r="W189" s="441"/>
      <c r="X189" s="441"/>
      <c r="Y189" s="441"/>
      <c r="Z189" s="441"/>
      <c r="AA189" s="441"/>
      <c r="AB189" s="441"/>
      <c r="AC189" s="441"/>
      <c r="AD189" s="440"/>
      <c r="AE189" s="441"/>
      <c r="AF189" s="441"/>
      <c r="AG189" s="441"/>
      <c r="AH189" s="441"/>
      <c r="AI189" s="441"/>
      <c r="AJ189" s="441"/>
      <c r="AK189" s="450"/>
      <c r="AL189" s="494"/>
      <c r="AM189" s="495"/>
      <c r="AN189" s="495"/>
      <c r="AO189" s="495"/>
      <c r="AP189" s="495"/>
      <c r="AQ189" s="495"/>
      <c r="AR189" s="496"/>
      <c r="AS189" s="485"/>
      <c r="AT189" s="486"/>
      <c r="AU189" s="486"/>
      <c r="AV189" s="486"/>
      <c r="AW189" s="486"/>
      <c r="AX189" s="486"/>
      <c r="AY189" s="487"/>
      <c r="AZ189" s="462"/>
      <c r="BA189" s="463"/>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5" hidden="1">
      <c r="A190" s="436"/>
      <c r="B190" s="37"/>
      <c r="C190" s="200" t="str">
        <f t="shared" ca="1" si="5"/>
        <v/>
      </c>
      <c r="D190" s="481"/>
      <c r="E190" s="482"/>
      <c r="F190" s="482"/>
      <c r="G190" s="482"/>
      <c r="H190" s="482"/>
      <c r="I190" s="482"/>
      <c r="J190" s="482"/>
      <c r="K190" s="409"/>
      <c r="L190" s="410"/>
      <c r="M190" s="410"/>
      <c r="N190" s="410"/>
      <c r="O190" s="410"/>
      <c r="P190" s="410"/>
      <c r="Q190" s="410"/>
      <c r="R190" s="446"/>
      <c r="S190" s="447"/>
      <c r="T190" s="446"/>
      <c r="U190" s="447"/>
      <c r="V190" s="409"/>
      <c r="W190" s="410"/>
      <c r="X190" s="410"/>
      <c r="Y190" s="410"/>
      <c r="Z190" s="410"/>
      <c r="AA190" s="410"/>
      <c r="AB190" s="410"/>
      <c r="AC190" s="410"/>
      <c r="AD190" s="409"/>
      <c r="AE190" s="410"/>
      <c r="AF190" s="410"/>
      <c r="AG190" s="410"/>
      <c r="AH190" s="410"/>
      <c r="AI190" s="410"/>
      <c r="AJ190" s="410"/>
      <c r="AK190" s="411"/>
      <c r="AL190" s="497"/>
      <c r="AM190" s="498"/>
      <c r="AN190" s="498"/>
      <c r="AO190" s="498"/>
      <c r="AP190" s="498"/>
      <c r="AQ190" s="498"/>
      <c r="AR190" s="499"/>
      <c r="AS190" s="488"/>
      <c r="AT190" s="489"/>
      <c r="AU190" s="489"/>
      <c r="AV190" s="489"/>
      <c r="AW190" s="489"/>
      <c r="AX190" s="489"/>
      <c r="AY190" s="490"/>
      <c r="AZ190" s="464"/>
      <c r="BA190" s="465"/>
      <c r="BB190" s="62">
        <v>6</v>
      </c>
      <c r="BC190" s="426"/>
      <c r="BD190" s="427"/>
      <c r="BE190" s="427"/>
      <c r="BF190" s="428"/>
      <c r="BG190" s="429"/>
      <c r="BH190" s="430"/>
      <c r="BI190" s="196"/>
      <c r="BJ190" s="474"/>
      <c r="BK190" s="475"/>
      <c r="BL190" s="475"/>
      <c r="BM190" s="475"/>
      <c r="BN190" s="475"/>
      <c r="BO190" s="476"/>
      <c r="BP190" s="474"/>
      <c r="BQ190" s="475"/>
      <c r="BR190" s="475"/>
      <c r="BS190" s="475"/>
      <c r="BT190" s="475"/>
      <c r="BU190" s="476"/>
      <c r="BV190" s="474"/>
      <c r="BW190" s="475"/>
      <c r="BX190" s="475"/>
      <c r="BY190" s="475"/>
      <c r="BZ190" s="475"/>
      <c r="CA190" s="476"/>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5" hidden="1">
      <c r="A191" s="434">
        <v>31</v>
      </c>
      <c r="B191" s="36"/>
      <c r="C191" s="198" t="str">
        <f t="shared" ca="1" si="5"/>
        <v/>
      </c>
      <c r="D191" s="477"/>
      <c r="E191" s="478"/>
      <c r="F191" s="478"/>
      <c r="G191" s="478"/>
      <c r="H191" s="478"/>
      <c r="I191" s="478"/>
      <c r="J191" s="478"/>
      <c r="K191" s="438" t="s">
        <v>259</v>
      </c>
      <c r="L191" s="439"/>
      <c r="M191" s="439"/>
      <c r="N191" s="439"/>
      <c r="O191" s="439"/>
      <c r="P191" s="439"/>
      <c r="Q191" s="439"/>
      <c r="R191" s="442" t="s">
        <v>186</v>
      </c>
      <c r="S191" s="443"/>
      <c r="T191" s="442"/>
      <c r="U191" s="443"/>
      <c r="V191" s="438"/>
      <c r="W191" s="439"/>
      <c r="X191" s="439"/>
      <c r="Y191" s="439"/>
      <c r="Z191" s="439"/>
      <c r="AA191" s="439"/>
      <c r="AB191" s="439"/>
      <c r="AC191" s="439"/>
      <c r="AD191" s="438"/>
      <c r="AE191" s="439"/>
      <c r="AF191" s="439"/>
      <c r="AG191" s="439"/>
      <c r="AH191" s="439"/>
      <c r="AI191" s="439"/>
      <c r="AJ191" s="439"/>
      <c r="AK191" s="449"/>
      <c r="AL191" s="491"/>
      <c r="AM191" s="492"/>
      <c r="AN191" s="492"/>
      <c r="AO191" s="492"/>
      <c r="AP191" s="492"/>
      <c r="AQ191" s="492"/>
      <c r="AR191" s="493"/>
      <c r="AS191" s="500"/>
      <c r="AT191" s="483"/>
      <c r="AU191" s="483"/>
      <c r="AV191" s="483"/>
      <c r="AW191" s="483"/>
      <c r="AX191" s="483"/>
      <c r="AY191" s="484"/>
      <c r="AZ191" s="460"/>
      <c r="BA191" s="461"/>
      <c r="BB191" s="60">
        <v>1</v>
      </c>
      <c r="BC191" s="466"/>
      <c r="BD191" s="467"/>
      <c r="BE191" s="467"/>
      <c r="BF191" s="468"/>
      <c r="BG191" s="469"/>
      <c r="BH191" s="470"/>
      <c r="BI191" s="194"/>
      <c r="BJ191" s="471"/>
      <c r="BK191" s="472"/>
      <c r="BL191" s="472"/>
      <c r="BM191" s="472"/>
      <c r="BN191" s="472"/>
      <c r="BO191" s="473"/>
      <c r="BP191" s="471"/>
      <c r="BQ191" s="472"/>
      <c r="BR191" s="472"/>
      <c r="BS191" s="472"/>
      <c r="BT191" s="472"/>
      <c r="BU191" s="473"/>
      <c r="BV191" s="471"/>
      <c r="BW191" s="472"/>
      <c r="BX191" s="472"/>
      <c r="BY191" s="472"/>
      <c r="BZ191" s="472"/>
      <c r="CA191" s="473"/>
      <c r="CB191" s="466"/>
      <c r="CC191" s="467"/>
      <c r="CD191" s="467"/>
      <c r="CE191" s="468"/>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5" hidden="1">
      <c r="A192" s="435"/>
      <c r="B192" s="36"/>
      <c r="C192" s="199" t="str">
        <f t="shared" ca="1" si="5"/>
        <v/>
      </c>
      <c r="D192" s="479"/>
      <c r="E192" s="480"/>
      <c r="F192" s="480"/>
      <c r="G192" s="480"/>
      <c r="H192" s="480"/>
      <c r="I192" s="480"/>
      <c r="J192" s="480"/>
      <c r="K192" s="440"/>
      <c r="L192" s="441"/>
      <c r="M192" s="441"/>
      <c r="N192" s="441"/>
      <c r="O192" s="441"/>
      <c r="P192" s="441"/>
      <c r="Q192" s="441"/>
      <c r="R192" s="444"/>
      <c r="S192" s="445"/>
      <c r="T192" s="444"/>
      <c r="U192" s="445"/>
      <c r="V192" s="440"/>
      <c r="W192" s="441"/>
      <c r="X192" s="441"/>
      <c r="Y192" s="441"/>
      <c r="Z192" s="441"/>
      <c r="AA192" s="441"/>
      <c r="AB192" s="441"/>
      <c r="AC192" s="441"/>
      <c r="AD192" s="440"/>
      <c r="AE192" s="441"/>
      <c r="AF192" s="441"/>
      <c r="AG192" s="441"/>
      <c r="AH192" s="441"/>
      <c r="AI192" s="441"/>
      <c r="AJ192" s="441"/>
      <c r="AK192" s="450"/>
      <c r="AL192" s="494"/>
      <c r="AM192" s="495"/>
      <c r="AN192" s="495"/>
      <c r="AO192" s="495"/>
      <c r="AP192" s="495"/>
      <c r="AQ192" s="495"/>
      <c r="AR192" s="496"/>
      <c r="AS192" s="485"/>
      <c r="AT192" s="486"/>
      <c r="AU192" s="486"/>
      <c r="AV192" s="486"/>
      <c r="AW192" s="486"/>
      <c r="AX192" s="486"/>
      <c r="AY192" s="487"/>
      <c r="AZ192" s="462"/>
      <c r="BA192" s="463"/>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5" hidden="1">
      <c r="A193" s="435"/>
      <c r="B193" s="36"/>
      <c r="C193" s="199" t="str">
        <f t="shared" ca="1" si="5"/>
        <v/>
      </c>
      <c r="D193" s="479"/>
      <c r="E193" s="480"/>
      <c r="F193" s="480"/>
      <c r="G193" s="480"/>
      <c r="H193" s="480"/>
      <c r="I193" s="480"/>
      <c r="J193" s="480"/>
      <c r="K193" s="440"/>
      <c r="L193" s="441"/>
      <c r="M193" s="441"/>
      <c r="N193" s="441"/>
      <c r="O193" s="441"/>
      <c r="P193" s="441"/>
      <c r="Q193" s="441"/>
      <c r="R193" s="444"/>
      <c r="S193" s="445"/>
      <c r="T193" s="444"/>
      <c r="U193" s="445"/>
      <c r="V193" s="440"/>
      <c r="W193" s="441"/>
      <c r="X193" s="441"/>
      <c r="Y193" s="441"/>
      <c r="Z193" s="441"/>
      <c r="AA193" s="441"/>
      <c r="AB193" s="441"/>
      <c r="AC193" s="441"/>
      <c r="AD193" s="440"/>
      <c r="AE193" s="441"/>
      <c r="AF193" s="441"/>
      <c r="AG193" s="441"/>
      <c r="AH193" s="441"/>
      <c r="AI193" s="441"/>
      <c r="AJ193" s="441"/>
      <c r="AK193" s="450"/>
      <c r="AL193" s="494"/>
      <c r="AM193" s="495"/>
      <c r="AN193" s="495"/>
      <c r="AO193" s="495"/>
      <c r="AP193" s="495"/>
      <c r="AQ193" s="495"/>
      <c r="AR193" s="496"/>
      <c r="AS193" s="485"/>
      <c r="AT193" s="486"/>
      <c r="AU193" s="486"/>
      <c r="AV193" s="486"/>
      <c r="AW193" s="486"/>
      <c r="AX193" s="486"/>
      <c r="AY193" s="487"/>
      <c r="AZ193" s="462"/>
      <c r="BA193" s="463"/>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5" hidden="1">
      <c r="A194" s="435"/>
      <c r="B194" s="36"/>
      <c r="C194" s="199" t="str">
        <f t="shared" ca="1" si="5"/>
        <v/>
      </c>
      <c r="D194" s="479"/>
      <c r="E194" s="480"/>
      <c r="F194" s="480"/>
      <c r="G194" s="480"/>
      <c r="H194" s="480"/>
      <c r="I194" s="480"/>
      <c r="J194" s="480"/>
      <c r="K194" s="440"/>
      <c r="L194" s="441"/>
      <c r="M194" s="441"/>
      <c r="N194" s="441"/>
      <c r="O194" s="441"/>
      <c r="P194" s="441"/>
      <c r="Q194" s="441"/>
      <c r="R194" s="444"/>
      <c r="S194" s="445"/>
      <c r="T194" s="444"/>
      <c r="U194" s="445"/>
      <c r="V194" s="440"/>
      <c r="W194" s="441"/>
      <c r="X194" s="441"/>
      <c r="Y194" s="441"/>
      <c r="Z194" s="441"/>
      <c r="AA194" s="441"/>
      <c r="AB194" s="441"/>
      <c r="AC194" s="441"/>
      <c r="AD194" s="440"/>
      <c r="AE194" s="441"/>
      <c r="AF194" s="441"/>
      <c r="AG194" s="441"/>
      <c r="AH194" s="441"/>
      <c r="AI194" s="441"/>
      <c r="AJ194" s="441"/>
      <c r="AK194" s="450"/>
      <c r="AL194" s="494"/>
      <c r="AM194" s="495"/>
      <c r="AN194" s="495"/>
      <c r="AO194" s="495"/>
      <c r="AP194" s="495"/>
      <c r="AQ194" s="495"/>
      <c r="AR194" s="496"/>
      <c r="AS194" s="485"/>
      <c r="AT194" s="486"/>
      <c r="AU194" s="486"/>
      <c r="AV194" s="486"/>
      <c r="AW194" s="486"/>
      <c r="AX194" s="486"/>
      <c r="AY194" s="487"/>
      <c r="AZ194" s="462"/>
      <c r="BA194" s="463"/>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5" hidden="1">
      <c r="A195" s="435"/>
      <c r="B195" s="36"/>
      <c r="C195" s="199" t="str">
        <f t="shared" ca="1" si="5"/>
        <v/>
      </c>
      <c r="D195" s="479"/>
      <c r="E195" s="480"/>
      <c r="F195" s="480"/>
      <c r="G195" s="480"/>
      <c r="H195" s="480"/>
      <c r="I195" s="480"/>
      <c r="J195" s="480"/>
      <c r="K195" s="440"/>
      <c r="L195" s="441"/>
      <c r="M195" s="441"/>
      <c r="N195" s="441"/>
      <c r="O195" s="441"/>
      <c r="P195" s="441"/>
      <c r="Q195" s="441"/>
      <c r="R195" s="444"/>
      <c r="S195" s="445"/>
      <c r="T195" s="444"/>
      <c r="U195" s="445"/>
      <c r="V195" s="440"/>
      <c r="W195" s="441"/>
      <c r="X195" s="441"/>
      <c r="Y195" s="441"/>
      <c r="Z195" s="441"/>
      <c r="AA195" s="441"/>
      <c r="AB195" s="441"/>
      <c r="AC195" s="441"/>
      <c r="AD195" s="440"/>
      <c r="AE195" s="441"/>
      <c r="AF195" s="441"/>
      <c r="AG195" s="441"/>
      <c r="AH195" s="441"/>
      <c r="AI195" s="441"/>
      <c r="AJ195" s="441"/>
      <c r="AK195" s="450"/>
      <c r="AL195" s="494"/>
      <c r="AM195" s="495"/>
      <c r="AN195" s="495"/>
      <c r="AO195" s="495"/>
      <c r="AP195" s="495"/>
      <c r="AQ195" s="495"/>
      <c r="AR195" s="496"/>
      <c r="AS195" s="485"/>
      <c r="AT195" s="486"/>
      <c r="AU195" s="486"/>
      <c r="AV195" s="486"/>
      <c r="AW195" s="486"/>
      <c r="AX195" s="486"/>
      <c r="AY195" s="487"/>
      <c r="AZ195" s="462"/>
      <c r="BA195" s="463"/>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5" hidden="1">
      <c r="A196" s="436"/>
      <c r="B196" s="37"/>
      <c r="C196" s="200" t="str">
        <f t="shared" ca="1" si="5"/>
        <v/>
      </c>
      <c r="D196" s="481"/>
      <c r="E196" s="482"/>
      <c r="F196" s="482"/>
      <c r="G196" s="482"/>
      <c r="H196" s="482"/>
      <c r="I196" s="482"/>
      <c r="J196" s="482"/>
      <c r="K196" s="409"/>
      <c r="L196" s="410"/>
      <c r="M196" s="410"/>
      <c r="N196" s="410"/>
      <c r="O196" s="410"/>
      <c r="P196" s="410"/>
      <c r="Q196" s="410"/>
      <c r="R196" s="446"/>
      <c r="S196" s="447"/>
      <c r="T196" s="446"/>
      <c r="U196" s="447"/>
      <c r="V196" s="409"/>
      <c r="W196" s="410"/>
      <c r="X196" s="410"/>
      <c r="Y196" s="410"/>
      <c r="Z196" s="410"/>
      <c r="AA196" s="410"/>
      <c r="AB196" s="410"/>
      <c r="AC196" s="410"/>
      <c r="AD196" s="409"/>
      <c r="AE196" s="410"/>
      <c r="AF196" s="410"/>
      <c r="AG196" s="410"/>
      <c r="AH196" s="410"/>
      <c r="AI196" s="410"/>
      <c r="AJ196" s="410"/>
      <c r="AK196" s="411"/>
      <c r="AL196" s="497"/>
      <c r="AM196" s="498"/>
      <c r="AN196" s="498"/>
      <c r="AO196" s="498"/>
      <c r="AP196" s="498"/>
      <c r="AQ196" s="498"/>
      <c r="AR196" s="499"/>
      <c r="AS196" s="488"/>
      <c r="AT196" s="489"/>
      <c r="AU196" s="489"/>
      <c r="AV196" s="489"/>
      <c r="AW196" s="489"/>
      <c r="AX196" s="489"/>
      <c r="AY196" s="490"/>
      <c r="AZ196" s="464"/>
      <c r="BA196" s="465"/>
      <c r="BB196" s="62">
        <v>6</v>
      </c>
      <c r="BC196" s="426"/>
      <c r="BD196" s="427"/>
      <c r="BE196" s="427"/>
      <c r="BF196" s="428"/>
      <c r="BG196" s="429"/>
      <c r="BH196" s="430"/>
      <c r="BI196" s="196"/>
      <c r="BJ196" s="474"/>
      <c r="BK196" s="475"/>
      <c r="BL196" s="475"/>
      <c r="BM196" s="475"/>
      <c r="BN196" s="475"/>
      <c r="BO196" s="476"/>
      <c r="BP196" s="474"/>
      <c r="BQ196" s="475"/>
      <c r="BR196" s="475"/>
      <c r="BS196" s="475"/>
      <c r="BT196" s="475"/>
      <c r="BU196" s="476"/>
      <c r="BV196" s="474"/>
      <c r="BW196" s="475"/>
      <c r="BX196" s="475"/>
      <c r="BY196" s="475"/>
      <c r="BZ196" s="475"/>
      <c r="CA196" s="476"/>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5" hidden="1">
      <c r="A197" s="434">
        <v>32</v>
      </c>
      <c r="B197" s="36"/>
      <c r="C197" s="198" t="str">
        <f t="shared" ca="1" si="5"/>
        <v/>
      </c>
      <c r="D197" s="477"/>
      <c r="E197" s="478"/>
      <c r="F197" s="478"/>
      <c r="G197" s="478"/>
      <c r="H197" s="478"/>
      <c r="I197" s="478"/>
      <c r="J197" s="478"/>
      <c r="K197" s="438" t="s">
        <v>260</v>
      </c>
      <c r="L197" s="439"/>
      <c r="M197" s="439"/>
      <c r="N197" s="439"/>
      <c r="O197" s="439"/>
      <c r="P197" s="439"/>
      <c r="Q197" s="439"/>
      <c r="R197" s="442" t="s">
        <v>186</v>
      </c>
      <c r="S197" s="443"/>
      <c r="T197" s="442"/>
      <c r="U197" s="443"/>
      <c r="V197" s="438"/>
      <c r="W197" s="439"/>
      <c r="X197" s="439"/>
      <c r="Y197" s="439"/>
      <c r="Z197" s="439"/>
      <c r="AA197" s="439"/>
      <c r="AB197" s="439"/>
      <c r="AC197" s="439"/>
      <c r="AD197" s="438"/>
      <c r="AE197" s="439"/>
      <c r="AF197" s="439"/>
      <c r="AG197" s="439"/>
      <c r="AH197" s="439"/>
      <c r="AI197" s="439"/>
      <c r="AJ197" s="439"/>
      <c r="AK197" s="449"/>
      <c r="AL197" s="491"/>
      <c r="AM197" s="492"/>
      <c r="AN197" s="492"/>
      <c r="AO197" s="492"/>
      <c r="AP197" s="492"/>
      <c r="AQ197" s="492"/>
      <c r="AR197" s="493"/>
      <c r="AS197" s="438"/>
      <c r="AT197" s="439"/>
      <c r="AU197" s="439"/>
      <c r="AV197" s="439"/>
      <c r="AW197" s="439"/>
      <c r="AX197" s="439"/>
      <c r="AY197" s="449"/>
      <c r="AZ197" s="460"/>
      <c r="BA197" s="461"/>
      <c r="BB197" s="60">
        <v>1</v>
      </c>
      <c r="BC197" s="466"/>
      <c r="BD197" s="467"/>
      <c r="BE197" s="467"/>
      <c r="BF197" s="468"/>
      <c r="BG197" s="469"/>
      <c r="BH197" s="470"/>
      <c r="BI197" s="194"/>
      <c r="BJ197" s="471"/>
      <c r="BK197" s="472"/>
      <c r="BL197" s="472"/>
      <c r="BM197" s="472"/>
      <c r="BN197" s="472"/>
      <c r="BO197" s="473"/>
      <c r="BP197" s="471"/>
      <c r="BQ197" s="472"/>
      <c r="BR197" s="472"/>
      <c r="BS197" s="472"/>
      <c r="BT197" s="472"/>
      <c r="BU197" s="473"/>
      <c r="BV197" s="471"/>
      <c r="BW197" s="472"/>
      <c r="BX197" s="472"/>
      <c r="BY197" s="472"/>
      <c r="BZ197" s="472"/>
      <c r="CA197" s="473"/>
      <c r="CB197" s="466"/>
      <c r="CC197" s="467"/>
      <c r="CD197" s="467"/>
      <c r="CE197" s="468"/>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5" hidden="1">
      <c r="A198" s="435"/>
      <c r="B198" s="36"/>
      <c r="C198" s="199" t="str">
        <f t="shared" ca="1" si="5"/>
        <v/>
      </c>
      <c r="D198" s="479"/>
      <c r="E198" s="480"/>
      <c r="F198" s="480"/>
      <c r="G198" s="480"/>
      <c r="H198" s="480"/>
      <c r="I198" s="480"/>
      <c r="J198" s="480"/>
      <c r="K198" s="440"/>
      <c r="L198" s="441"/>
      <c r="M198" s="441"/>
      <c r="N198" s="441"/>
      <c r="O198" s="441"/>
      <c r="P198" s="441"/>
      <c r="Q198" s="441"/>
      <c r="R198" s="444"/>
      <c r="S198" s="445"/>
      <c r="T198" s="444"/>
      <c r="U198" s="445"/>
      <c r="V198" s="440"/>
      <c r="W198" s="441"/>
      <c r="X198" s="441"/>
      <c r="Y198" s="441"/>
      <c r="Z198" s="441"/>
      <c r="AA198" s="441"/>
      <c r="AB198" s="441"/>
      <c r="AC198" s="441"/>
      <c r="AD198" s="440"/>
      <c r="AE198" s="441"/>
      <c r="AF198" s="441"/>
      <c r="AG198" s="441"/>
      <c r="AH198" s="441"/>
      <c r="AI198" s="441"/>
      <c r="AJ198" s="441"/>
      <c r="AK198" s="450"/>
      <c r="AL198" s="494"/>
      <c r="AM198" s="495"/>
      <c r="AN198" s="495"/>
      <c r="AO198" s="495"/>
      <c r="AP198" s="495"/>
      <c r="AQ198" s="495"/>
      <c r="AR198" s="496"/>
      <c r="AS198" s="440"/>
      <c r="AT198" s="441"/>
      <c r="AU198" s="441"/>
      <c r="AV198" s="441"/>
      <c r="AW198" s="441"/>
      <c r="AX198" s="441"/>
      <c r="AY198" s="450"/>
      <c r="AZ198" s="462"/>
      <c r="BA198" s="463"/>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5" hidden="1">
      <c r="A199" s="435"/>
      <c r="B199" s="36"/>
      <c r="C199" s="199" t="str">
        <f t="shared" ca="1" si="5"/>
        <v/>
      </c>
      <c r="D199" s="479"/>
      <c r="E199" s="480"/>
      <c r="F199" s="480"/>
      <c r="G199" s="480"/>
      <c r="H199" s="480"/>
      <c r="I199" s="480"/>
      <c r="J199" s="480"/>
      <c r="K199" s="440"/>
      <c r="L199" s="441"/>
      <c r="M199" s="441"/>
      <c r="N199" s="441"/>
      <c r="O199" s="441"/>
      <c r="P199" s="441"/>
      <c r="Q199" s="441"/>
      <c r="R199" s="444"/>
      <c r="S199" s="445"/>
      <c r="T199" s="444"/>
      <c r="U199" s="445"/>
      <c r="V199" s="440"/>
      <c r="W199" s="441"/>
      <c r="X199" s="441"/>
      <c r="Y199" s="441"/>
      <c r="Z199" s="441"/>
      <c r="AA199" s="441"/>
      <c r="AB199" s="441"/>
      <c r="AC199" s="441"/>
      <c r="AD199" s="440"/>
      <c r="AE199" s="441"/>
      <c r="AF199" s="441"/>
      <c r="AG199" s="441"/>
      <c r="AH199" s="441"/>
      <c r="AI199" s="441"/>
      <c r="AJ199" s="441"/>
      <c r="AK199" s="450"/>
      <c r="AL199" s="494"/>
      <c r="AM199" s="495"/>
      <c r="AN199" s="495"/>
      <c r="AO199" s="495"/>
      <c r="AP199" s="495"/>
      <c r="AQ199" s="495"/>
      <c r="AR199" s="496"/>
      <c r="AS199" s="440"/>
      <c r="AT199" s="441"/>
      <c r="AU199" s="441"/>
      <c r="AV199" s="441"/>
      <c r="AW199" s="441"/>
      <c r="AX199" s="441"/>
      <c r="AY199" s="450"/>
      <c r="AZ199" s="462"/>
      <c r="BA199" s="463"/>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5" hidden="1">
      <c r="A200" s="435"/>
      <c r="B200" s="36"/>
      <c r="C200" s="199" t="str">
        <f t="shared" ca="1" si="5"/>
        <v/>
      </c>
      <c r="D200" s="479"/>
      <c r="E200" s="480"/>
      <c r="F200" s="480"/>
      <c r="G200" s="480"/>
      <c r="H200" s="480"/>
      <c r="I200" s="480"/>
      <c r="J200" s="480"/>
      <c r="K200" s="440"/>
      <c r="L200" s="441"/>
      <c r="M200" s="441"/>
      <c r="N200" s="441"/>
      <c r="O200" s="441"/>
      <c r="P200" s="441"/>
      <c r="Q200" s="441"/>
      <c r="R200" s="444"/>
      <c r="S200" s="445"/>
      <c r="T200" s="444"/>
      <c r="U200" s="445"/>
      <c r="V200" s="440"/>
      <c r="W200" s="441"/>
      <c r="X200" s="441"/>
      <c r="Y200" s="441"/>
      <c r="Z200" s="441"/>
      <c r="AA200" s="441"/>
      <c r="AB200" s="441"/>
      <c r="AC200" s="441"/>
      <c r="AD200" s="440"/>
      <c r="AE200" s="441"/>
      <c r="AF200" s="441"/>
      <c r="AG200" s="441"/>
      <c r="AH200" s="441"/>
      <c r="AI200" s="441"/>
      <c r="AJ200" s="441"/>
      <c r="AK200" s="450"/>
      <c r="AL200" s="494"/>
      <c r="AM200" s="495"/>
      <c r="AN200" s="495"/>
      <c r="AO200" s="495"/>
      <c r="AP200" s="495"/>
      <c r="AQ200" s="495"/>
      <c r="AR200" s="496"/>
      <c r="AS200" s="440"/>
      <c r="AT200" s="441"/>
      <c r="AU200" s="441"/>
      <c r="AV200" s="441"/>
      <c r="AW200" s="441"/>
      <c r="AX200" s="441"/>
      <c r="AY200" s="450"/>
      <c r="AZ200" s="462"/>
      <c r="BA200" s="463"/>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5" hidden="1">
      <c r="A201" s="435"/>
      <c r="B201" s="36"/>
      <c r="C201" s="199" t="str">
        <f t="shared" ca="1" si="5"/>
        <v/>
      </c>
      <c r="D201" s="479"/>
      <c r="E201" s="480"/>
      <c r="F201" s="480"/>
      <c r="G201" s="480"/>
      <c r="H201" s="480"/>
      <c r="I201" s="480"/>
      <c r="J201" s="480"/>
      <c r="K201" s="440"/>
      <c r="L201" s="441"/>
      <c r="M201" s="441"/>
      <c r="N201" s="441"/>
      <c r="O201" s="441"/>
      <c r="P201" s="441"/>
      <c r="Q201" s="441"/>
      <c r="R201" s="444"/>
      <c r="S201" s="445"/>
      <c r="T201" s="444"/>
      <c r="U201" s="445"/>
      <c r="V201" s="440"/>
      <c r="W201" s="441"/>
      <c r="X201" s="441"/>
      <c r="Y201" s="441"/>
      <c r="Z201" s="441"/>
      <c r="AA201" s="441"/>
      <c r="AB201" s="441"/>
      <c r="AC201" s="441"/>
      <c r="AD201" s="440"/>
      <c r="AE201" s="441"/>
      <c r="AF201" s="441"/>
      <c r="AG201" s="441"/>
      <c r="AH201" s="441"/>
      <c r="AI201" s="441"/>
      <c r="AJ201" s="441"/>
      <c r="AK201" s="450"/>
      <c r="AL201" s="494"/>
      <c r="AM201" s="495"/>
      <c r="AN201" s="495"/>
      <c r="AO201" s="495"/>
      <c r="AP201" s="495"/>
      <c r="AQ201" s="495"/>
      <c r="AR201" s="496"/>
      <c r="AS201" s="440"/>
      <c r="AT201" s="441"/>
      <c r="AU201" s="441"/>
      <c r="AV201" s="441"/>
      <c r="AW201" s="441"/>
      <c r="AX201" s="441"/>
      <c r="AY201" s="450"/>
      <c r="AZ201" s="462"/>
      <c r="BA201" s="463"/>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5" hidden="1">
      <c r="A202" s="436"/>
      <c r="B202" s="37"/>
      <c r="C202" s="200" t="str">
        <f t="shared" ca="1" si="5"/>
        <v/>
      </c>
      <c r="D202" s="481"/>
      <c r="E202" s="482"/>
      <c r="F202" s="482"/>
      <c r="G202" s="482"/>
      <c r="H202" s="482"/>
      <c r="I202" s="482"/>
      <c r="J202" s="482"/>
      <c r="K202" s="409"/>
      <c r="L202" s="410"/>
      <c r="M202" s="410"/>
      <c r="N202" s="410"/>
      <c r="O202" s="410"/>
      <c r="P202" s="410"/>
      <c r="Q202" s="410"/>
      <c r="R202" s="446"/>
      <c r="S202" s="447"/>
      <c r="T202" s="446"/>
      <c r="U202" s="447"/>
      <c r="V202" s="409"/>
      <c r="W202" s="410"/>
      <c r="X202" s="410"/>
      <c r="Y202" s="410"/>
      <c r="Z202" s="410"/>
      <c r="AA202" s="410"/>
      <c r="AB202" s="410"/>
      <c r="AC202" s="410"/>
      <c r="AD202" s="409"/>
      <c r="AE202" s="410"/>
      <c r="AF202" s="410"/>
      <c r="AG202" s="410"/>
      <c r="AH202" s="410"/>
      <c r="AI202" s="410"/>
      <c r="AJ202" s="410"/>
      <c r="AK202" s="411"/>
      <c r="AL202" s="497"/>
      <c r="AM202" s="498"/>
      <c r="AN202" s="498"/>
      <c r="AO202" s="498"/>
      <c r="AP202" s="498"/>
      <c r="AQ202" s="498"/>
      <c r="AR202" s="499"/>
      <c r="AS202" s="409"/>
      <c r="AT202" s="410"/>
      <c r="AU202" s="410"/>
      <c r="AV202" s="410"/>
      <c r="AW202" s="410"/>
      <c r="AX202" s="410"/>
      <c r="AY202" s="411"/>
      <c r="AZ202" s="464"/>
      <c r="BA202" s="465"/>
      <c r="BB202" s="62">
        <v>6</v>
      </c>
      <c r="BC202" s="426"/>
      <c r="BD202" s="427"/>
      <c r="BE202" s="427"/>
      <c r="BF202" s="428"/>
      <c r="BG202" s="429"/>
      <c r="BH202" s="430"/>
      <c r="BI202" s="196"/>
      <c r="BJ202" s="474"/>
      <c r="BK202" s="475"/>
      <c r="BL202" s="475"/>
      <c r="BM202" s="475"/>
      <c r="BN202" s="475"/>
      <c r="BO202" s="476"/>
      <c r="BP202" s="474"/>
      <c r="BQ202" s="475"/>
      <c r="BR202" s="475"/>
      <c r="BS202" s="475"/>
      <c r="BT202" s="475"/>
      <c r="BU202" s="476"/>
      <c r="BV202" s="474"/>
      <c r="BW202" s="475"/>
      <c r="BX202" s="475"/>
      <c r="BY202" s="475"/>
      <c r="BZ202" s="475"/>
      <c r="CA202" s="476"/>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5" hidden="1">
      <c r="A203" s="434">
        <v>33</v>
      </c>
      <c r="B203" s="36"/>
      <c r="C203" s="198" t="str">
        <f t="shared" ca="1" si="5"/>
        <v/>
      </c>
      <c r="D203" s="477" t="s">
        <v>261</v>
      </c>
      <c r="E203" s="478"/>
      <c r="F203" s="478"/>
      <c r="G203" s="478"/>
      <c r="H203" s="478"/>
      <c r="I203" s="478"/>
      <c r="J203" s="478"/>
      <c r="K203" s="438" t="s">
        <v>262</v>
      </c>
      <c r="L203" s="439"/>
      <c r="M203" s="439"/>
      <c r="N203" s="439"/>
      <c r="O203" s="439"/>
      <c r="P203" s="439"/>
      <c r="Q203" s="439"/>
      <c r="R203" s="442" t="s">
        <v>186</v>
      </c>
      <c r="S203" s="443"/>
      <c r="T203" s="442"/>
      <c r="U203" s="443"/>
      <c r="V203" s="438"/>
      <c r="W203" s="439"/>
      <c r="X203" s="439"/>
      <c r="Y203" s="439"/>
      <c r="Z203" s="439"/>
      <c r="AA203" s="439"/>
      <c r="AB203" s="439"/>
      <c r="AC203" s="439"/>
      <c r="AD203" s="438"/>
      <c r="AE203" s="439"/>
      <c r="AF203" s="439"/>
      <c r="AG203" s="439"/>
      <c r="AH203" s="439"/>
      <c r="AI203" s="439"/>
      <c r="AJ203" s="439"/>
      <c r="AK203" s="449"/>
      <c r="AL203" s="491"/>
      <c r="AM203" s="492"/>
      <c r="AN203" s="492"/>
      <c r="AO203" s="492"/>
      <c r="AP203" s="492"/>
      <c r="AQ203" s="492"/>
      <c r="AR203" s="493"/>
      <c r="AS203" s="500"/>
      <c r="AT203" s="483"/>
      <c r="AU203" s="483"/>
      <c r="AV203" s="483"/>
      <c r="AW203" s="483"/>
      <c r="AX203" s="483"/>
      <c r="AY203" s="484"/>
      <c r="AZ203" s="460"/>
      <c r="BA203" s="461"/>
      <c r="BB203" s="60">
        <v>1</v>
      </c>
      <c r="BC203" s="466"/>
      <c r="BD203" s="467"/>
      <c r="BE203" s="467"/>
      <c r="BF203" s="468"/>
      <c r="BG203" s="469"/>
      <c r="BH203" s="470"/>
      <c r="BI203" s="194"/>
      <c r="BJ203" s="471"/>
      <c r="BK203" s="472"/>
      <c r="BL203" s="472"/>
      <c r="BM203" s="472"/>
      <c r="BN203" s="472"/>
      <c r="BO203" s="473"/>
      <c r="BP203" s="471"/>
      <c r="BQ203" s="472"/>
      <c r="BR203" s="472"/>
      <c r="BS203" s="472"/>
      <c r="BT203" s="472"/>
      <c r="BU203" s="473"/>
      <c r="BV203" s="471"/>
      <c r="BW203" s="472"/>
      <c r="BX203" s="472"/>
      <c r="BY203" s="472"/>
      <c r="BZ203" s="472"/>
      <c r="CA203" s="473"/>
      <c r="CB203" s="466"/>
      <c r="CC203" s="467"/>
      <c r="CD203" s="467"/>
      <c r="CE203" s="468"/>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5" hidden="1">
      <c r="A204" s="435"/>
      <c r="B204" s="36"/>
      <c r="C204" s="199" t="str">
        <f t="shared" ca="1" si="5"/>
        <v/>
      </c>
      <c r="D204" s="479"/>
      <c r="E204" s="480"/>
      <c r="F204" s="480"/>
      <c r="G204" s="480"/>
      <c r="H204" s="480"/>
      <c r="I204" s="480"/>
      <c r="J204" s="480"/>
      <c r="K204" s="440"/>
      <c r="L204" s="441"/>
      <c r="M204" s="441"/>
      <c r="N204" s="441"/>
      <c r="O204" s="441"/>
      <c r="P204" s="441"/>
      <c r="Q204" s="441"/>
      <c r="R204" s="444"/>
      <c r="S204" s="445"/>
      <c r="T204" s="444"/>
      <c r="U204" s="445"/>
      <c r="V204" s="440"/>
      <c r="W204" s="441"/>
      <c r="X204" s="441"/>
      <c r="Y204" s="441"/>
      <c r="Z204" s="441"/>
      <c r="AA204" s="441"/>
      <c r="AB204" s="441"/>
      <c r="AC204" s="441"/>
      <c r="AD204" s="440"/>
      <c r="AE204" s="441"/>
      <c r="AF204" s="441"/>
      <c r="AG204" s="441"/>
      <c r="AH204" s="441"/>
      <c r="AI204" s="441"/>
      <c r="AJ204" s="441"/>
      <c r="AK204" s="450"/>
      <c r="AL204" s="494"/>
      <c r="AM204" s="495"/>
      <c r="AN204" s="495"/>
      <c r="AO204" s="495"/>
      <c r="AP204" s="495"/>
      <c r="AQ204" s="495"/>
      <c r="AR204" s="496"/>
      <c r="AS204" s="485"/>
      <c r="AT204" s="486"/>
      <c r="AU204" s="486"/>
      <c r="AV204" s="486"/>
      <c r="AW204" s="486"/>
      <c r="AX204" s="486"/>
      <c r="AY204" s="487"/>
      <c r="AZ204" s="462"/>
      <c r="BA204" s="463"/>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5" hidden="1">
      <c r="A205" s="435"/>
      <c r="B205" s="36"/>
      <c r="C205" s="199" t="str">
        <f t="shared" ca="1" si="5"/>
        <v/>
      </c>
      <c r="D205" s="479"/>
      <c r="E205" s="480"/>
      <c r="F205" s="480"/>
      <c r="G205" s="480"/>
      <c r="H205" s="480"/>
      <c r="I205" s="480"/>
      <c r="J205" s="480"/>
      <c r="K205" s="440"/>
      <c r="L205" s="441"/>
      <c r="M205" s="441"/>
      <c r="N205" s="441"/>
      <c r="O205" s="441"/>
      <c r="P205" s="441"/>
      <c r="Q205" s="441"/>
      <c r="R205" s="444"/>
      <c r="S205" s="445"/>
      <c r="T205" s="444"/>
      <c r="U205" s="445"/>
      <c r="V205" s="440"/>
      <c r="W205" s="441"/>
      <c r="X205" s="441"/>
      <c r="Y205" s="441"/>
      <c r="Z205" s="441"/>
      <c r="AA205" s="441"/>
      <c r="AB205" s="441"/>
      <c r="AC205" s="441"/>
      <c r="AD205" s="440"/>
      <c r="AE205" s="441"/>
      <c r="AF205" s="441"/>
      <c r="AG205" s="441"/>
      <c r="AH205" s="441"/>
      <c r="AI205" s="441"/>
      <c r="AJ205" s="441"/>
      <c r="AK205" s="450"/>
      <c r="AL205" s="494"/>
      <c r="AM205" s="495"/>
      <c r="AN205" s="495"/>
      <c r="AO205" s="495"/>
      <c r="AP205" s="495"/>
      <c r="AQ205" s="495"/>
      <c r="AR205" s="496"/>
      <c r="AS205" s="485"/>
      <c r="AT205" s="486"/>
      <c r="AU205" s="486"/>
      <c r="AV205" s="486"/>
      <c r="AW205" s="486"/>
      <c r="AX205" s="486"/>
      <c r="AY205" s="487"/>
      <c r="AZ205" s="462"/>
      <c r="BA205" s="463"/>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5" hidden="1">
      <c r="A206" s="435"/>
      <c r="B206" s="36"/>
      <c r="C206" s="199" t="str">
        <f t="shared" ca="1" si="5"/>
        <v/>
      </c>
      <c r="D206" s="479"/>
      <c r="E206" s="480"/>
      <c r="F206" s="480"/>
      <c r="G206" s="480"/>
      <c r="H206" s="480"/>
      <c r="I206" s="480"/>
      <c r="J206" s="480"/>
      <c r="K206" s="440"/>
      <c r="L206" s="441"/>
      <c r="M206" s="441"/>
      <c r="N206" s="441"/>
      <c r="O206" s="441"/>
      <c r="P206" s="441"/>
      <c r="Q206" s="441"/>
      <c r="R206" s="444"/>
      <c r="S206" s="445"/>
      <c r="T206" s="444"/>
      <c r="U206" s="445"/>
      <c r="V206" s="440"/>
      <c r="W206" s="441"/>
      <c r="X206" s="441"/>
      <c r="Y206" s="441"/>
      <c r="Z206" s="441"/>
      <c r="AA206" s="441"/>
      <c r="AB206" s="441"/>
      <c r="AC206" s="441"/>
      <c r="AD206" s="440"/>
      <c r="AE206" s="441"/>
      <c r="AF206" s="441"/>
      <c r="AG206" s="441"/>
      <c r="AH206" s="441"/>
      <c r="AI206" s="441"/>
      <c r="AJ206" s="441"/>
      <c r="AK206" s="450"/>
      <c r="AL206" s="494"/>
      <c r="AM206" s="495"/>
      <c r="AN206" s="495"/>
      <c r="AO206" s="495"/>
      <c r="AP206" s="495"/>
      <c r="AQ206" s="495"/>
      <c r="AR206" s="496"/>
      <c r="AS206" s="485"/>
      <c r="AT206" s="486"/>
      <c r="AU206" s="486"/>
      <c r="AV206" s="486"/>
      <c r="AW206" s="486"/>
      <c r="AX206" s="486"/>
      <c r="AY206" s="487"/>
      <c r="AZ206" s="462"/>
      <c r="BA206" s="463"/>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5" hidden="1">
      <c r="A207" s="435"/>
      <c r="B207" s="36"/>
      <c r="C207" s="199" t="str">
        <f t="shared" ca="1" si="5"/>
        <v/>
      </c>
      <c r="D207" s="479"/>
      <c r="E207" s="480"/>
      <c r="F207" s="480"/>
      <c r="G207" s="480"/>
      <c r="H207" s="480"/>
      <c r="I207" s="480"/>
      <c r="J207" s="480"/>
      <c r="K207" s="440"/>
      <c r="L207" s="441"/>
      <c r="M207" s="441"/>
      <c r="N207" s="441"/>
      <c r="O207" s="441"/>
      <c r="P207" s="441"/>
      <c r="Q207" s="441"/>
      <c r="R207" s="444"/>
      <c r="S207" s="445"/>
      <c r="T207" s="444"/>
      <c r="U207" s="445"/>
      <c r="V207" s="440"/>
      <c r="W207" s="441"/>
      <c r="X207" s="441"/>
      <c r="Y207" s="441"/>
      <c r="Z207" s="441"/>
      <c r="AA207" s="441"/>
      <c r="AB207" s="441"/>
      <c r="AC207" s="441"/>
      <c r="AD207" s="440"/>
      <c r="AE207" s="441"/>
      <c r="AF207" s="441"/>
      <c r="AG207" s="441"/>
      <c r="AH207" s="441"/>
      <c r="AI207" s="441"/>
      <c r="AJ207" s="441"/>
      <c r="AK207" s="450"/>
      <c r="AL207" s="494"/>
      <c r="AM207" s="495"/>
      <c r="AN207" s="495"/>
      <c r="AO207" s="495"/>
      <c r="AP207" s="495"/>
      <c r="AQ207" s="495"/>
      <c r="AR207" s="496"/>
      <c r="AS207" s="485"/>
      <c r="AT207" s="486"/>
      <c r="AU207" s="486"/>
      <c r="AV207" s="486"/>
      <c r="AW207" s="486"/>
      <c r="AX207" s="486"/>
      <c r="AY207" s="487"/>
      <c r="AZ207" s="462"/>
      <c r="BA207" s="463"/>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5" hidden="1">
      <c r="A208" s="436"/>
      <c r="B208" s="37"/>
      <c r="C208" s="200" t="str">
        <f t="shared" ca="1" si="5"/>
        <v/>
      </c>
      <c r="D208" s="481"/>
      <c r="E208" s="482"/>
      <c r="F208" s="482"/>
      <c r="G208" s="482"/>
      <c r="H208" s="482"/>
      <c r="I208" s="482"/>
      <c r="J208" s="482"/>
      <c r="K208" s="409"/>
      <c r="L208" s="410"/>
      <c r="M208" s="410"/>
      <c r="N208" s="410"/>
      <c r="O208" s="410"/>
      <c r="P208" s="410"/>
      <c r="Q208" s="410"/>
      <c r="R208" s="446"/>
      <c r="S208" s="447"/>
      <c r="T208" s="446"/>
      <c r="U208" s="447"/>
      <c r="V208" s="409"/>
      <c r="W208" s="410"/>
      <c r="X208" s="410"/>
      <c r="Y208" s="410"/>
      <c r="Z208" s="410"/>
      <c r="AA208" s="410"/>
      <c r="AB208" s="410"/>
      <c r="AC208" s="410"/>
      <c r="AD208" s="409"/>
      <c r="AE208" s="410"/>
      <c r="AF208" s="410"/>
      <c r="AG208" s="410"/>
      <c r="AH208" s="410"/>
      <c r="AI208" s="410"/>
      <c r="AJ208" s="410"/>
      <c r="AK208" s="411"/>
      <c r="AL208" s="497"/>
      <c r="AM208" s="498"/>
      <c r="AN208" s="498"/>
      <c r="AO208" s="498"/>
      <c r="AP208" s="498"/>
      <c r="AQ208" s="498"/>
      <c r="AR208" s="499"/>
      <c r="AS208" s="488"/>
      <c r="AT208" s="489"/>
      <c r="AU208" s="489"/>
      <c r="AV208" s="489"/>
      <c r="AW208" s="489"/>
      <c r="AX208" s="489"/>
      <c r="AY208" s="490"/>
      <c r="AZ208" s="464"/>
      <c r="BA208" s="465"/>
      <c r="BB208" s="62">
        <v>6</v>
      </c>
      <c r="BC208" s="426"/>
      <c r="BD208" s="427"/>
      <c r="BE208" s="427"/>
      <c r="BF208" s="428"/>
      <c r="BG208" s="429"/>
      <c r="BH208" s="430"/>
      <c r="BI208" s="196"/>
      <c r="BJ208" s="474"/>
      <c r="BK208" s="475"/>
      <c r="BL208" s="475"/>
      <c r="BM208" s="475"/>
      <c r="BN208" s="475"/>
      <c r="BO208" s="476"/>
      <c r="BP208" s="474"/>
      <c r="BQ208" s="475"/>
      <c r="BR208" s="475"/>
      <c r="BS208" s="475"/>
      <c r="BT208" s="475"/>
      <c r="BU208" s="476"/>
      <c r="BV208" s="474"/>
      <c r="BW208" s="475"/>
      <c r="BX208" s="475"/>
      <c r="BY208" s="475"/>
      <c r="BZ208" s="475"/>
      <c r="CA208" s="476"/>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5" customHeight="1">
      <c r="A209" s="434">
        <v>34</v>
      </c>
      <c r="B209" s="36"/>
      <c r="C209" s="198" t="str">
        <f t="shared" ca="1" si="5"/>
        <v/>
      </c>
      <c r="D209" s="477" t="s">
        <v>263</v>
      </c>
      <c r="E209" s="478"/>
      <c r="F209" s="478"/>
      <c r="G209" s="478"/>
      <c r="H209" s="478"/>
      <c r="I209" s="478"/>
      <c r="J209" s="478"/>
      <c r="K209" s="438" t="s">
        <v>264</v>
      </c>
      <c r="L209" s="439"/>
      <c r="M209" s="439"/>
      <c r="N209" s="439"/>
      <c r="O209" s="439"/>
      <c r="P209" s="439"/>
      <c r="Q209" s="439"/>
      <c r="R209" s="442" t="s">
        <v>186</v>
      </c>
      <c r="S209" s="443"/>
      <c r="T209" s="442"/>
      <c r="U209" s="443"/>
      <c r="V209" s="438" t="s">
        <v>265</v>
      </c>
      <c r="W209" s="439"/>
      <c r="X209" s="439"/>
      <c r="Y209" s="439"/>
      <c r="Z209" s="439"/>
      <c r="AA209" s="439"/>
      <c r="AB209" s="439"/>
      <c r="AC209" s="439"/>
      <c r="AD209" s="438" t="s">
        <v>266</v>
      </c>
      <c r="AE209" s="439"/>
      <c r="AF209" s="439"/>
      <c r="AG209" s="439"/>
      <c r="AH209" s="439"/>
      <c r="AI209" s="439"/>
      <c r="AJ209" s="439"/>
      <c r="AK209" s="449"/>
      <c r="AL209" s="451" t="s">
        <v>267</v>
      </c>
      <c r="AM209" s="452"/>
      <c r="AN209" s="452"/>
      <c r="AO209" s="452"/>
      <c r="AP209" s="452"/>
      <c r="AQ209" s="452"/>
      <c r="AR209" s="453"/>
      <c r="AS209" s="438" t="s">
        <v>268</v>
      </c>
      <c r="AT209" s="439"/>
      <c r="AU209" s="439"/>
      <c r="AV209" s="439"/>
      <c r="AW209" s="439"/>
      <c r="AX209" s="439"/>
      <c r="AY209" s="449"/>
      <c r="AZ209" s="460"/>
      <c r="BA209" s="461"/>
      <c r="BB209" s="60">
        <v>1</v>
      </c>
      <c r="BC209" s="466"/>
      <c r="BD209" s="467"/>
      <c r="BE209" s="467"/>
      <c r="BF209" s="468"/>
      <c r="BG209" s="469"/>
      <c r="BH209" s="470"/>
      <c r="BI209" s="194"/>
      <c r="BJ209" s="471"/>
      <c r="BK209" s="472"/>
      <c r="BL209" s="472"/>
      <c r="BM209" s="472"/>
      <c r="BN209" s="472"/>
      <c r="BO209" s="473"/>
      <c r="BP209" s="471"/>
      <c r="BQ209" s="472"/>
      <c r="BR209" s="472"/>
      <c r="BS209" s="472"/>
      <c r="BT209" s="472"/>
      <c r="BU209" s="473"/>
      <c r="BV209" s="471"/>
      <c r="BW209" s="472"/>
      <c r="BX209" s="472"/>
      <c r="BY209" s="472"/>
      <c r="BZ209" s="472"/>
      <c r="CA209" s="473"/>
      <c r="CB209" s="466"/>
      <c r="CC209" s="467"/>
      <c r="CD209" s="467"/>
      <c r="CE209" s="468"/>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5">
      <c r="A210" s="435"/>
      <c r="B210" s="36"/>
      <c r="C210" s="199" t="str">
        <f t="shared" ca="1" si="5"/>
        <v/>
      </c>
      <c r="D210" s="479"/>
      <c r="E210" s="480"/>
      <c r="F210" s="480"/>
      <c r="G210" s="480"/>
      <c r="H210" s="480"/>
      <c r="I210" s="480"/>
      <c r="J210" s="480"/>
      <c r="K210" s="440"/>
      <c r="L210" s="441"/>
      <c r="M210" s="441"/>
      <c r="N210" s="441"/>
      <c r="O210" s="441"/>
      <c r="P210" s="441"/>
      <c r="Q210" s="441"/>
      <c r="R210" s="444"/>
      <c r="S210" s="445"/>
      <c r="T210" s="444"/>
      <c r="U210" s="445"/>
      <c r="V210" s="440"/>
      <c r="W210" s="441"/>
      <c r="X210" s="441"/>
      <c r="Y210" s="441"/>
      <c r="Z210" s="441"/>
      <c r="AA210" s="441"/>
      <c r="AB210" s="441"/>
      <c r="AC210" s="441"/>
      <c r="AD210" s="440"/>
      <c r="AE210" s="441"/>
      <c r="AF210" s="441"/>
      <c r="AG210" s="441"/>
      <c r="AH210" s="441"/>
      <c r="AI210" s="441"/>
      <c r="AJ210" s="441"/>
      <c r="AK210" s="450"/>
      <c r="AL210" s="454"/>
      <c r="AM210" s="455"/>
      <c r="AN210" s="455"/>
      <c r="AO210" s="455"/>
      <c r="AP210" s="455"/>
      <c r="AQ210" s="455"/>
      <c r="AR210" s="456"/>
      <c r="AS210" s="440"/>
      <c r="AT210" s="441"/>
      <c r="AU210" s="441"/>
      <c r="AV210" s="441"/>
      <c r="AW210" s="441"/>
      <c r="AX210" s="441"/>
      <c r="AY210" s="450"/>
      <c r="AZ210" s="462"/>
      <c r="BA210" s="463"/>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5">
      <c r="A211" s="435"/>
      <c r="B211" s="36"/>
      <c r="C211" s="199" t="str">
        <f t="shared" ca="1" si="5"/>
        <v/>
      </c>
      <c r="D211" s="479"/>
      <c r="E211" s="480"/>
      <c r="F211" s="480"/>
      <c r="G211" s="480"/>
      <c r="H211" s="480"/>
      <c r="I211" s="480"/>
      <c r="J211" s="480"/>
      <c r="K211" s="440"/>
      <c r="L211" s="441"/>
      <c r="M211" s="441"/>
      <c r="N211" s="441"/>
      <c r="O211" s="441"/>
      <c r="P211" s="441"/>
      <c r="Q211" s="441"/>
      <c r="R211" s="444"/>
      <c r="S211" s="445"/>
      <c r="T211" s="444"/>
      <c r="U211" s="445"/>
      <c r="V211" s="440"/>
      <c r="W211" s="441"/>
      <c r="X211" s="441"/>
      <c r="Y211" s="441"/>
      <c r="Z211" s="441"/>
      <c r="AA211" s="441"/>
      <c r="AB211" s="441"/>
      <c r="AC211" s="441"/>
      <c r="AD211" s="440"/>
      <c r="AE211" s="441"/>
      <c r="AF211" s="441"/>
      <c r="AG211" s="441"/>
      <c r="AH211" s="441"/>
      <c r="AI211" s="441"/>
      <c r="AJ211" s="441"/>
      <c r="AK211" s="450"/>
      <c r="AL211" s="454"/>
      <c r="AM211" s="455"/>
      <c r="AN211" s="455"/>
      <c r="AO211" s="455"/>
      <c r="AP211" s="455"/>
      <c r="AQ211" s="455"/>
      <c r="AR211" s="456"/>
      <c r="AS211" s="440"/>
      <c r="AT211" s="441"/>
      <c r="AU211" s="441"/>
      <c r="AV211" s="441"/>
      <c r="AW211" s="441"/>
      <c r="AX211" s="441"/>
      <c r="AY211" s="450"/>
      <c r="AZ211" s="462"/>
      <c r="BA211" s="463"/>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5">
      <c r="A212" s="435"/>
      <c r="B212" s="36"/>
      <c r="C212" s="199" t="str">
        <f t="shared" ca="1" si="5"/>
        <v/>
      </c>
      <c r="D212" s="479"/>
      <c r="E212" s="480"/>
      <c r="F212" s="480"/>
      <c r="G212" s="480"/>
      <c r="H212" s="480"/>
      <c r="I212" s="480"/>
      <c r="J212" s="480"/>
      <c r="K212" s="440"/>
      <c r="L212" s="441"/>
      <c r="M212" s="441"/>
      <c r="N212" s="441"/>
      <c r="O212" s="441"/>
      <c r="P212" s="441"/>
      <c r="Q212" s="441"/>
      <c r="R212" s="444"/>
      <c r="S212" s="445"/>
      <c r="T212" s="444"/>
      <c r="U212" s="445"/>
      <c r="V212" s="440"/>
      <c r="W212" s="441"/>
      <c r="X212" s="441"/>
      <c r="Y212" s="441"/>
      <c r="Z212" s="441"/>
      <c r="AA212" s="441"/>
      <c r="AB212" s="441"/>
      <c r="AC212" s="441"/>
      <c r="AD212" s="440"/>
      <c r="AE212" s="441"/>
      <c r="AF212" s="441"/>
      <c r="AG212" s="441"/>
      <c r="AH212" s="441"/>
      <c r="AI212" s="441"/>
      <c r="AJ212" s="441"/>
      <c r="AK212" s="450"/>
      <c r="AL212" s="454"/>
      <c r="AM212" s="455"/>
      <c r="AN212" s="455"/>
      <c r="AO212" s="455"/>
      <c r="AP212" s="455"/>
      <c r="AQ212" s="455"/>
      <c r="AR212" s="456"/>
      <c r="AS212" s="440"/>
      <c r="AT212" s="441"/>
      <c r="AU212" s="441"/>
      <c r="AV212" s="441"/>
      <c r="AW212" s="441"/>
      <c r="AX212" s="441"/>
      <c r="AY212" s="450"/>
      <c r="AZ212" s="462"/>
      <c r="BA212" s="463"/>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5">
      <c r="A213" s="435"/>
      <c r="B213" s="36"/>
      <c r="C213" s="199" t="str">
        <f t="shared" ca="1" si="5"/>
        <v/>
      </c>
      <c r="D213" s="479"/>
      <c r="E213" s="480"/>
      <c r="F213" s="480"/>
      <c r="G213" s="480"/>
      <c r="H213" s="480"/>
      <c r="I213" s="480"/>
      <c r="J213" s="480"/>
      <c r="K213" s="440"/>
      <c r="L213" s="441"/>
      <c r="M213" s="441"/>
      <c r="N213" s="441"/>
      <c r="O213" s="441"/>
      <c r="P213" s="441"/>
      <c r="Q213" s="441"/>
      <c r="R213" s="444"/>
      <c r="S213" s="445"/>
      <c r="T213" s="444"/>
      <c r="U213" s="445"/>
      <c r="V213" s="440"/>
      <c r="W213" s="441"/>
      <c r="X213" s="441"/>
      <c r="Y213" s="441"/>
      <c r="Z213" s="441"/>
      <c r="AA213" s="441"/>
      <c r="AB213" s="441"/>
      <c r="AC213" s="441"/>
      <c r="AD213" s="440"/>
      <c r="AE213" s="441"/>
      <c r="AF213" s="441"/>
      <c r="AG213" s="441"/>
      <c r="AH213" s="441"/>
      <c r="AI213" s="441"/>
      <c r="AJ213" s="441"/>
      <c r="AK213" s="450"/>
      <c r="AL213" s="454"/>
      <c r="AM213" s="455"/>
      <c r="AN213" s="455"/>
      <c r="AO213" s="455"/>
      <c r="AP213" s="455"/>
      <c r="AQ213" s="455"/>
      <c r="AR213" s="456"/>
      <c r="AS213" s="440"/>
      <c r="AT213" s="441"/>
      <c r="AU213" s="441"/>
      <c r="AV213" s="441"/>
      <c r="AW213" s="441"/>
      <c r="AX213" s="441"/>
      <c r="AY213" s="450"/>
      <c r="AZ213" s="462"/>
      <c r="BA213" s="463"/>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73.5" customHeight="1">
      <c r="A214" s="436"/>
      <c r="B214" s="36"/>
      <c r="C214" s="239" t="str">
        <f t="shared" ca="1" si="5"/>
        <v/>
      </c>
      <c r="D214" s="479"/>
      <c r="E214" s="480"/>
      <c r="F214" s="480"/>
      <c r="G214" s="480"/>
      <c r="H214" s="480"/>
      <c r="I214" s="480"/>
      <c r="J214" s="480"/>
      <c r="K214" s="409"/>
      <c r="L214" s="410"/>
      <c r="M214" s="410"/>
      <c r="N214" s="410"/>
      <c r="O214" s="410"/>
      <c r="P214" s="410"/>
      <c r="Q214" s="410"/>
      <c r="R214" s="446"/>
      <c r="S214" s="447"/>
      <c r="T214" s="446"/>
      <c r="U214" s="447"/>
      <c r="V214" s="409"/>
      <c r="W214" s="410"/>
      <c r="X214" s="410"/>
      <c r="Y214" s="410"/>
      <c r="Z214" s="410"/>
      <c r="AA214" s="410"/>
      <c r="AB214" s="410"/>
      <c r="AC214" s="410"/>
      <c r="AD214" s="409"/>
      <c r="AE214" s="410"/>
      <c r="AF214" s="410"/>
      <c r="AG214" s="410"/>
      <c r="AH214" s="410"/>
      <c r="AI214" s="410"/>
      <c r="AJ214" s="410"/>
      <c r="AK214" s="411"/>
      <c r="AL214" s="457"/>
      <c r="AM214" s="458"/>
      <c r="AN214" s="458"/>
      <c r="AO214" s="458"/>
      <c r="AP214" s="458"/>
      <c r="AQ214" s="458"/>
      <c r="AR214" s="459"/>
      <c r="AS214" s="409"/>
      <c r="AT214" s="410"/>
      <c r="AU214" s="410"/>
      <c r="AV214" s="410"/>
      <c r="AW214" s="410"/>
      <c r="AX214" s="410"/>
      <c r="AY214" s="411"/>
      <c r="AZ214" s="464"/>
      <c r="BA214" s="465"/>
      <c r="BB214" s="62">
        <v>6</v>
      </c>
      <c r="BC214" s="426"/>
      <c r="BD214" s="427"/>
      <c r="BE214" s="427"/>
      <c r="BF214" s="428"/>
      <c r="BG214" s="429"/>
      <c r="BH214" s="430"/>
      <c r="BI214" s="196"/>
      <c r="BJ214" s="474"/>
      <c r="BK214" s="475"/>
      <c r="BL214" s="475"/>
      <c r="BM214" s="475"/>
      <c r="BN214" s="475"/>
      <c r="BO214" s="476"/>
      <c r="BP214" s="474"/>
      <c r="BQ214" s="475"/>
      <c r="BR214" s="475"/>
      <c r="BS214" s="475"/>
      <c r="BT214" s="475"/>
      <c r="BU214" s="476"/>
      <c r="BV214" s="474"/>
      <c r="BW214" s="475"/>
      <c r="BX214" s="475"/>
      <c r="BY214" s="475"/>
      <c r="BZ214" s="475"/>
      <c r="CA214" s="476"/>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5" customHeight="1">
      <c r="A215" s="434">
        <v>35</v>
      </c>
      <c r="B215" s="36"/>
      <c r="C215" s="198" t="str">
        <f t="shared" ca="1" si="5"/>
        <v/>
      </c>
      <c r="D215" s="437"/>
      <c r="E215" s="437"/>
      <c r="F215" s="437"/>
      <c r="G215" s="437"/>
      <c r="H215" s="437"/>
      <c r="I215" s="437"/>
      <c r="J215" s="437"/>
      <c r="K215" s="438" t="s">
        <v>264</v>
      </c>
      <c r="L215" s="439"/>
      <c r="M215" s="439"/>
      <c r="N215" s="439"/>
      <c r="O215" s="439"/>
      <c r="P215" s="439"/>
      <c r="Q215" s="439"/>
      <c r="R215" s="442" t="s">
        <v>186</v>
      </c>
      <c r="S215" s="443"/>
      <c r="T215" s="442"/>
      <c r="U215" s="443"/>
      <c r="V215" s="448" t="s">
        <v>247</v>
      </c>
      <c r="W215" s="448"/>
      <c r="X215" s="448"/>
      <c r="Y215" s="448"/>
      <c r="Z215" s="448"/>
      <c r="AA215" s="448"/>
      <c r="AB215" s="448"/>
      <c r="AC215" s="448"/>
      <c r="AD215" s="438" t="s">
        <v>269</v>
      </c>
      <c r="AE215" s="439"/>
      <c r="AF215" s="439"/>
      <c r="AG215" s="439"/>
      <c r="AH215" s="439"/>
      <c r="AI215" s="439"/>
      <c r="AJ215" s="439"/>
      <c r="AK215" s="449"/>
      <c r="AL215" s="451" t="s">
        <v>267</v>
      </c>
      <c r="AM215" s="452"/>
      <c r="AN215" s="452"/>
      <c r="AO215" s="452"/>
      <c r="AP215" s="452"/>
      <c r="AQ215" s="452"/>
      <c r="AR215" s="453"/>
      <c r="AS215" s="438" t="s">
        <v>268</v>
      </c>
      <c r="AT215" s="439"/>
      <c r="AU215" s="439"/>
      <c r="AV215" s="439"/>
      <c r="AW215" s="439"/>
      <c r="AX215" s="439"/>
      <c r="AY215" s="449"/>
      <c r="AZ215" s="460"/>
      <c r="BA215" s="461"/>
      <c r="BB215" s="60">
        <v>1</v>
      </c>
      <c r="BC215" s="466"/>
      <c r="BD215" s="467"/>
      <c r="BE215" s="467"/>
      <c r="BF215" s="468"/>
      <c r="BG215" s="469"/>
      <c r="BH215" s="470"/>
      <c r="BI215" s="194"/>
      <c r="BJ215" s="471"/>
      <c r="BK215" s="472"/>
      <c r="BL215" s="472"/>
      <c r="BM215" s="472"/>
      <c r="BN215" s="472"/>
      <c r="BO215" s="473"/>
      <c r="BP215" s="471"/>
      <c r="BQ215" s="472"/>
      <c r="BR215" s="472"/>
      <c r="BS215" s="472"/>
      <c r="BT215" s="472"/>
      <c r="BU215" s="473"/>
      <c r="BV215" s="471"/>
      <c r="BW215" s="472"/>
      <c r="BX215" s="472"/>
      <c r="BY215" s="472"/>
      <c r="BZ215" s="472"/>
      <c r="CA215" s="473"/>
      <c r="CB215" s="466"/>
      <c r="CC215" s="467"/>
      <c r="CD215" s="467"/>
      <c r="CE215" s="468"/>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5">
      <c r="A216" s="435"/>
      <c r="B216" s="36"/>
      <c r="C216" s="199" t="str">
        <f t="shared" ca="1" si="5"/>
        <v/>
      </c>
      <c r="D216" s="437"/>
      <c r="E216" s="437"/>
      <c r="F216" s="437"/>
      <c r="G216" s="437"/>
      <c r="H216" s="437"/>
      <c r="I216" s="437"/>
      <c r="J216" s="437"/>
      <c r="K216" s="440"/>
      <c r="L216" s="441"/>
      <c r="M216" s="441"/>
      <c r="N216" s="441"/>
      <c r="O216" s="441"/>
      <c r="P216" s="441"/>
      <c r="Q216" s="441"/>
      <c r="R216" s="444"/>
      <c r="S216" s="445"/>
      <c r="T216" s="444"/>
      <c r="U216" s="445"/>
      <c r="V216" s="448"/>
      <c r="W216" s="448"/>
      <c r="X216" s="448"/>
      <c r="Y216" s="448"/>
      <c r="Z216" s="448"/>
      <c r="AA216" s="448"/>
      <c r="AB216" s="448"/>
      <c r="AC216" s="448"/>
      <c r="AD216" s="440"/>
      <c r="AE216" s="441"/>
      <c r="AF216" s="441"/>
      <c r="AG216" s="441"/>
      <c r="AH216" s="441"/>
      <c r="AI216" s="441"/>
      <c r="AJ216" s="441"/>
      <c r="AK216" s="450"/>
      <c r="AL216" s="454"/>
      <c r="AM216" s="455"/>
      <c r="AN216" s="455"/>
      <c r="AO216" s="455"/>
      <c r="AP216" s="455"/>
      <c r="AQ216" s="455"/>
      <c r="AR216" s="456"/>
      <c r="AS216" s="440"/>
      <c r="AT216" s="441"/>
      <c r="AU216" s="441"/>
      <c r="AV216" s="441"/>
      <c r="AW216" s="441"/>
      <c r="AX216" s="441"/>
      <c r="AY216" s="450"/>
      <c r="AZ216" s="462"/>
      <c r="BA216" s="463"/>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5">
      <c r="A217" s="435"/>
      <c r="B217" s="36"/>
      <c r="C217" s="199" t="str">
        <f t="shared" ca="1" si="5"/>
        <v/>
      </c>
      <c r="D217" s="437"/>
      <c r="E217" s="437"/>
      <c r="F217" s="437"/>
      <c r="G217" s="437"/>
      <c r="H217" s="437"/>
      <c r="I217" s="437"/>
      <c r="J217" s="437"/>
      <c r="K217" s="440"/>
      <c r="L217" s="441"/>
      <c r="M217" s="441"/>
      <c r="N217" s="441"/>
      <c r="O217" s="441"/>
      <c r="P217" s="441"/>
      <c r="Q217" s="441"/>
      <c r="R217" s="444"/>
      <c r="S217" s="445"/>
      <c r="T217" s="444"/>
      <c r="U217" s="445"/>
      <c r="V217" s="448"/>
      <c r="W217" s="448"/>
      <c r="X217" s="448"/>
      <c r="Y217" s="448"/>
      <c r="Z217" s="448"/>
      <c r="AA217" s="448"/>
      <c r="AB217" s="448"/>
      <c r="AC217" s="448"/>
      <c r="AD217" s="440"/>
      <c r="AE217" s="441"/>
      <c r="AF217" s="441"/>
      <c r="AG217" s="441"/>
      <c r="AH217" s="441"/>
      <c r="AI217" s="441"/>
      <c r="AJ217" s="441"/>
      <c r="AK217" s="450"/>
      <c r="AL217" s="454"/>
      <c r="AM217" s="455"/>
      <c r="AN217" s="455"/>
      <c r="AO217" s="455"/>
      <c r="AP217" s="455"/>
      <c r="AQ217" s="455"/>
      <c r="AR217" s="456"/>
      <c r="AS217" s="440"/>
      <c r="AT217" s="441"/>
      <c r="AU217" s="441"/>
      <c r="AV217" s="441"/>
      <c r="AW217" s="441"/>
      <c r="AX217" s="441"/>
      <c r="AY217" s="450"/>
      <c r="AZ217" s="462"/>
      <c r="BA217" s="463"/>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5">
      <c r="A218" s="435"/>
      <c r="B218" s="36"/>
      <c r="C218" s="199" t="str">
        <f t="shared" ca="1" si="5"/>
        <v/>
      </c>
      <c r="D218" s="437"/>
      <c r="E218" s="437"/>
      <c r="F218" s="437"/>
      <c r="G218" s="437"/>
      <c r="H218" s="437"/>
      <c r="I218" s="437"/>
      <c r="J218" s="437"/>
      <c r="K218" s="440"/>
      <c r="L218" s="441"/>
      <c r="M218" s="441"/>
      <c r="N218" s="441"/>
      <c r="O218" s="441"/>
      <c r="P218" s="441"/>
      <c r="Q218" s="441"/>
      <c r="R218" s="444"/>
      <c r="S218" s="445"/>
      <c r="T218" s="444"/>
      <c r="U218" s="445"/>
      <c r="V218" s="448"/>
      <c r="W218" s="448"/>
      <c r="X218" s="448"/>
      <c r="Y218" s="448"/>
      <c r="Z218" s="448"/>
      <c r="AA218" s="448"/>
      <c r="AB218" s="448"/>
      <c r="AC218" s="448"/>
      <c r="AD218" s="440"/>
      <c r="AE218" s="441"/>
      <c r="AF218" s="441"/>
      <c r="AG218" s="441"/>
      <c r="AH218" s="441"/>
      <c r="AI218" s="441"/>
      <c r="AJ218" s="441"/>
      <c r="AK218" s="450"/>
      <c r="AL218" s="454"/>
      <c r="AM218" s="455"/>
      <c r="AN218" s="455"/>
      <c r="AO218" s="455"/>
      <c r="AP218" s="455"/>
      <c r="AQ218" s="455"/>
      <c r="AR218" s="456"/>
      <c r="AS218" s="440"/>
      <c r="AT218" s="441"/>
      <c r="AU218" s="441"/>
      <c r="AV218" s="441"/>
      <c r="AW218" s="441"/>
      <c r="AX218" s="441"/>
      <c r="AY218" s="450"/>
      <c r="AZ218" s="462"/>
      <c r="BA218" s="463"/>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77.25" customHeight="1">
      <c r="A219" s="435"/>
      <c r="B219" s="36"/>
      <c r="C219" s="199" t="str">
        <f t="shared" ca="1" si="5"/>
        <v/>
      </c>
      <c r="D219" s="437"/>
      <c r="E219" s="437"/>
      <c r="F219" s="437"/>
      <c r="G219" s="437"/>
      <c r="H219" s="437"/>
      <c r="I219" s="437"/>
      <c r="J219" s="437"/>
      <c r="K219" s="440"/>
      <c r="L219" s="441"/>
      <c r="M219" s="441"/>
      <c r="N219" s="441"/>
      <c r="O219" s="441"/>
      <c r="P219" s="441"/>
      <c r="Q219" s="441"/>
      <c r="R219" s="444"/>
      <c r="S219" s="445"/>
      <c r="T219" s="444"/>
      <c r="U219" s="445"/>
      <c r="V219" s="448"/>
      <c r="W219" s="448"/>
      <c r="X219" s="448"/>
      <c r="Y219" s="448"/>
      <c r="Z219" s="448"/>
      <c r="AA219" s="448"/>
      <c r="AB219" s="448"/>
      <c r="AC219" s="448"/>
      <c r="AD219" s="440"/>
      <c r="AE219" s="441"/>
      <c r="AF219" s="441"/>
      <c r="AG219" s="441"/>
      <c r="AH219" s="441"/>
      <c r="AI219" s="441"/>
      <c r="AJ219" s="441"/>
      <c r="AK219" s="450"/>
      <c r="AL219" s="454"/>
      <c r="AM219" s="455"/>
      <c r="AN219" s="455"/>
      <c r="AO219" s="455"/>
      <c r="AP219" s="455"/>
      <c r="AQ219" s="455"/>
      <c r="AR219" s="456"/>
      <c r="AS219" s="440"/>
      <c r="AT219" s="441"/>
      <c r="AU219" s="441"/>
      <c r="AV219" s="441"/>
      <c r="AW219" s="441"/>
      <c r="AX219" s="441"/>
      <c r="AY219" s="450"/>
      <c r="AZ219" s="462"/>
      <c r="BA219" s="463"/>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96" hidden="1" customHeight="1">
      <c r="A220" s="436"/>
      <c r="B220" s="36"/>
      <c r="C220" s="239" t="str">
        <f t="shared" ca="1" si="5"/>
        <v/>
      </c>
      <c r="D220" s="437"/>
      <c r="E220" s="437"/>
      <c r="F220" s="437"/>
      <c r="G220" s="437"/>
      <c r="H220" s="437"/>
      <c r="I220" s="437"/>
      <c r="J220" s="437"/>
      <c r="K220" s="409"/>
      <c r="L220" s="410"/>
      <c r="M220" s="410"/>
      <c r="N220" s="410"/>
      <c r="O220" s="410"/>
      <c r="P220" s="410"/>
      <c r="Q220" s="410"/>
      <c r="R220" s="446"/>
      <c r="S220" s="447"/>
      <c r="T220" s="446"/>
      <c r="U220" s="447"/>
      <c r="V220" s="448"/>
      <c r="W220" s="448"/>
      <c r="X220" s="448"/>
      <c r="Y220" s="448"/>
      <c r="Z220" s="448"/>
      <c r="AA220" s="448"/>
      <c r="AB220" s="448"/>
      <c r="AC220" s="448"/>
      <c r="AD220" s="409"/>
      <c r="AE220" s="410"/>
      <c r="AF220" s="410"/>
      <c r="AG220" s="410"/>
      <c r="AH220" s="410"/>
      <c r="AI220" s="410"/>
      <c r="AJ220" s="410"/>
      <c r="AK220" s="411"/>
      <c r="AL220" s="457"/>
      <c r="AM220" s="458"/>
      <c r="AN220" s="458"/>
      <c r="AO220" s="458"/>
      <c r="AP220" s="458"/>
      <c r="AQ220" s="458"/>
      <c r="AR220" s="459"/>
      <c r="AS220" s="409"/>
      <c r="AT220" s="410"/>
      <c r="AU220" s="410"/>
      <c r="AV220" s="410"/>
      <c r="AW220" s="410"/>
      <c r="AX220" s="410"/>
      <c r="AY220" s="411"/>
      <c r="AZ220" s="464"/>
      <c r="BA220" s="465"/>
      <c r="BB220" s="62">
        <v>6</v>
      </c>
      <c r="BC220" s="426"/>
      <c r="BD220" s="427"/>
      <c r="BE220" s="427"/>
      <c r="BF220" s="428"/>
      <c r="BG220" s="429"/>
      <c r="BH220" s="430"/>
      <c r="BI220" s="245"/>
      <c r="BJ220" s="431"/>
      <c r="BK220" s="432"/>
      <c r="BL220" s="432"/>
      <c r="BM220" s="432"/>
      <c r="BN220" s="432"/>
      <c r="BO220" s="433"/>
      <c r="BP220" s="431"/>
      <c r="BQ220" s="432"/>
      <c r="BR220" s="432"/>
      <c r="BS220" s="432"/>
      <c r="BT220" s="432"/>
      <c r="BU220" s="433"/>
      <c r="BV220" s="431"/>
      <c r="BW220" s="432"/>
      <c r="BX220" s="432"/>
      <c r="BY220" s="432"/>
      <c r="BZ220" s="432"/>
      <c r="CA220" s="433"/>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5" customHeight="1">
      <c r="A221" s="434">
        <v>36</v>
      </c>
      <c r="B221" s="36"/>
      <c r="C221" s="240" t="str">
        <f t="shared" ca="1" si="5"/>
        <v>●</v>
      </c>
      <c r="D221" s="437"/>
      <c r="E221" s="437"/>
      <c r="F221" s="437"/>
      <c r="G221" s="437"/>
      <c r="H221" s="437"/>
      <c r="I221" s="437"/>
      <c r="J221" s="437"/>
      <c r="K221" s="438" t="s">
        <v>270</v>
      </c>
      <c r="L221" s="439"/>
      <c r="M221" s="439"/>
      <c r="N221" s="439"/>
      <c r="O221" s="439"/>
      <c r="P221" s="439"/>
      <c r="Q221" s="439"/>
      <c r="R221" s="442"/>
      <c r="S221" s="443"/>
      <c r="T221" s="442"/>
      <c r="U221" s="443"/>
      <c r="V221" s="438" t="s">
        <v>191</v>
      </c>
      <c r="W221" s="439"/>
      <c r="X221" s="439"/>
      <c r="Y221" s="439"/>
      <c r="Z221" s="439"/>
      <c r="AA221" s="439"/>
      <c r="AB221" s="439"/>
      <c r="AC221" s="449"/>
      <c r="AD221" s="438" t="s">
        <v>271</v>
      </c>
      <c r="AE221" s="439"/>
      <c r="AF221" s="439"/>
      <c r="AG221" s="439"/>
      <c r="AH221" s="439"/>
      <c r="AI221" s="439"/>
      <c r="AJ221" s="439"/>
      <c r="AK221" s="449"/>
      <c r="AL221" s="451" t="s">
        <v>272</v>
      </c>
      <c r="AM221" s="452"/>
      <c r="AN221" s="452"/>
      <c r="AO221" s="452"/>
      <c r="AP221" s="452"/>
      <c r="AQ221" s="452"/>
      <c r="AR221" s="453"/>
      <c r="AS221" s="438" t="s">
        <v>273</v>
      </c>
      <c r="AT221" s="439"/>
      <c r="AU221" s="439"/>
      <c r="AV221" s="439"/>
      <c r="AW221" s="439"/>
      <c r="AX221" s="439"/>
      <c r="AY221" s="449"/>
      <c r="AZ221" s="460" t="s">
        <v>54</v>
      </c>
      <c r="BA221" s="461"/>
      <c r="BB221" s="60">
        <v>1</v>
      </c>
      <c r="BC221" s="466">
        <v>45877</v>
      </c>
      <c r="BD221" s="467"/>
      <c r="BE221" s="467"/>
      <c r="BF221" s="468"/>
      <c r="BG221" s="469" t="s">
        <v>195</v>
      </c>
      <c r="BH221" s="470"/>
      <c r="BI221" s="194"/>
      <c r="BJ221" s="471"/>
      <c r="BK221" s="472"/>
      <c r="BL221" s="472"/>
      <c r="BM221" s="472"/>
      <c r="BN221" s="472"/>
      <c r="BO221" s="473"/>
      <c r="BP221" s="471"/>
      <c r="BQ221" s="472"/>
      <c r="BR221" s="472"/>
      <c r="BS221" s="472"/>
      <c r="BT221" s="472"/>
      <c r="BU221" s="473"/>
      <c r="BV221" s="471"/>
      <c r="BW221" s="472"/>
      <c r="BX221" s="472"/>
      <c r="BY221" s="472"/>
      <c r="BZ221" s="472"/>
      <c r="CA221" s="473"/>
      <c r="CB221" s="466">
        <v>45877</v>
      </c>
      <c r="CC221" s="467"/>
      <c r="CD221" s="467"/>
      <c r="CE221" s="468"/>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5">
      <c r="A222" s="435"/>
      <c r="B222" s="36"/>
      <c r="C222" s="199" t="str">
        <f t="shared" ca="1" si="5"/>
        <v>●</v>
      </c>
      <c r="D222" s="437"/>
      <c r="E222" s="437"/>
      <c r="F222" s="437"/>
      <c r="G222" s="437"/>
      <c r="H222" s="437"/>
      <c r="I222" s="437"/>
      <c r="J222" s="437"/>
      <c r="K222" s="440"/>
      <c r="L222" s="441"/>
      <c r="M222" s="441"/>
      <c r="N222" s="441"/>
      <c r="O222" s="441"/>
      <c r="P222" s="441"/>
      <c r="Q222" s="441"/>
      <c r="R222" s="444"/>
      <c r="S222" s="445"/>
      <c r="T222" s="444"/>
      <c r="U222" s="445"/>
      <c r="V222" s="440"/>
      <c r="W222" s="441"/>
      <c r="X222" s="441"/>
      <c r="Y222" s="441"/>
      <c r="Z222" s="441"/>
      <c r="AA222" s="441"/>
      <c r="AB222" s="441"/>
      <c r="AC222" s="450"/>
      <c r="AD222" s="440"/>
      <c r="AE222" s="441"/>
      <c r="AF222" s="441"/>
      <c r="AG222" s="441"/>
      <c r="AH222" s="441"/>
      <c r="AI222" s="441"/>
      <c r="AJ222" s="441"/>
      <c r="AK222" s="450"/>
      <c r="AL222" s="454"/>
      <c r="AM222" s="455"/>
      <c r="AN222" s="455"/>
      <c r="AO222" s="455"/>
      <c r="AP222" s="455"/>
      <c r="AQ222" s="455"/>
      <c r="AR222" s="456"/>
      <c r="AS222" s="440"/>
      <c r="AT222" s="441"/>
      <c r="AU222" s="441"/>
      <c r="AV222" s="441"/>
      <c r="AW222" s="441"/>
      <c r="AX222" s="441"/>
      <c r="AY222" s="450"/>
      <c r="AZ222" s="462"/>
      <c r="BA222" s="463"/>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5">
      <c r="A223" s="435"/>
      <c r="B223" s="36"/>
      <c r="C223" s="199" t="str">
        <f t="shared" ca="1" si="5"/>
        <v>●</v>
      </c>
      <c r="D223" s="437"/>
      <c r="E223" s="437"/>
      <c r="F223" s="437"/>
      <c r="G223" s="437"/>
      <c r="H223" s="437"/>
      <c r="I223" s="437"/>
      <c r="J223" s="437"/>
      <c r="K223" s="440"/>
      <c r="L223" s="441"/>
      <c r="M223" s="441"/>
      <c r="N223" s="441"/>
      <c r="O223" s="441"/>
      <c r="P223" s="441"/>
      <c r="Q223" s="441"/>
      <c r="R223" s="444"/>
      <c r="S223" s="445"/>
      <c r="T223" s="444"/>
      <c r="U223" s="445"/>
      <c r="V223" s="440"/>
      <c r="W223" s="441"/>
      <c r="X223" s="441"/>
      <c r="Y223" s="441"/>
      <c r="Z223" s="441"/>
      <c r="AA223" s="441"/>
      <c r="AB223" s="441"/>
      <c r="AC223" s="450"/>
      <c r="AD223" s="440"/>
      <c r="AE223" s="441"/>
      <c r="AF223" s="441"/>
      <c r="AG223" s="441"/>
      <c r="AH223" s="441"/>
      <c r="AI223" s="441"/>
      <c r="AJ223" s="441"/>
      <c r="AK223" s="450"/>
      <c r="AL223" s="454"/>
      <c r="AM223" s="455"/>
      <c r="AN223" s="455"/>
      <c r="AO223" s="455"/>
      <c r="AP223" s="455"/>
      <c r="AQ223" s="455"/>
      <c r="AR223" s="456"/>
      <c r="AS223" s="440"/>
      <c r="AT223" s="441"/>
      <c r="AU223" s="441"/>
      <c r="AV223" s="441"/>
      <c r="AW223" s="441"/>
      <c r="AX223" s="441"/>
      <c r="AY223" s="450"/>
      <c r="AZ223" s="462"/>
      <c r="BA223" s="463"/>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5">
      <c r="A224" s="435"/>
      <c r="B224" s="36"/>
      <c r="C224" s="199" t="str">
        <f t="shared" ca="1" si="5"/>
        <v>●</v>
      </c>
      <c r="D224" s="437"/>
      <c r="E224" s="437"/>
      <c r="F224" s="437"/>
      <c r="G224" s="437"/>
      <c r="H224" s="437"/>
      <c r="I224" s="437"/>
      <c r="J224" s="437"/>
      <c r="K224" s="440"/>
      <c r="L224" s="441"/>
      <c r="M224" s="441"/>
      <c r="N224" s="441"/>
      <c r="O224" s="441"/>
      <c r="P224" s="441"/>
      <c r="Q224" s="441"/>
      <c r="R224" s="444"/>
      <c r="S224" s="445"/>
      <c r="T224" s="444"/>
      <c r="U224" s="445"/>
      <c r="V224" s="440"/>
      <c r="W224" s="441"/>
      <c r="X224" s="441"/>
      <c r="Y224" s="441"/>
      <c r="Z224" s="441"/>
      <c r="AA224" s="441"/>
      <c r="AB224" s="441"/>
      <c r="AC224" s="450"/>
      <c r="AD224" s="440"/>
      <c r="AE224" s="441"/>
      <c r="AF224" s="441"/>
      <c r="AG224" s="441"/>
      <c r="AH224" s="441"/>
      <c r="AI224" s="441"/>
      <c r="AJ224" s="441"/>
      <c r="AK224" s="450"/>
      <c r="AL224" s="454"/>
      <c r="AM224" s="455"/>
      <c r="AN224" s="455"/>
      <c r="AO224" s="455"/>
      <c r="AP224" s="455"/>
      <c r="AQ224" s="455"/>
      <c r="AR224" s="456"/>
      <c r="AS224" s="440"/>
      <c r="AT224" s="441"/>
      <c r="AU224" s="441"/>
      <c r="AV224" s="441"/>
      <c r="AW224" s="441"/>
      <c r="AX224" s="441"/>
      <c r="AY224" s="450"/>
      <c r="AZ224" s="462"/>
      <c r="BA224" s="463"/>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5">
      <c r="A225" s="435"/>
      <c r="B225" s="36"/>
      <c r="C225" s="199" t="str">
        <f t="shared" ca="1" si="5"/>
        <v>●</v>
      </c>
      <c r="D225" s="437"/>
      <c r="E225" s="437"/>
      <c r="F225" s="437"/>
      <c r="G225" s="437"/>
      <c r="H225" s="437"/>
      <c r="I225" s="437"/>
      <c r="J225" s="437"/>
      <c r="K225" s="440"/>
      <c r="L225" s="441"/>
      <c r="M225" s="441"/>
      <c r="N225" s="441"/>
      <c r="O225" s="441"/>
      <c r="P225" s="441"/>
      <c r="Q225" s="441"/>
      <c r="R225" s="444"/>
      <c r="S225" s="445"/>
      <c r="T225" s="444"/>
      <c r="U225" s="445"/>
      <c r="V225" s="440"/>
      <c r="W225" s="441"/>
      <c r="X225" s="441"/>
      <c r="Y225" s="441"/>
      <c r="Z225" s="441"/>
      <c r="AA225" s="441"/>
      <c r="AB225" s="441"/>
      <c r="AC225" s="450"/>
      <c r="AD225" s="440"/>
      <c r="AE225" s="441"/>
      <c r="AF225" s="441"/>
      <c r="AG225" s="441"/>
      <c r="AH225" s="441"/>
      <c r="AI225" s="441"/>
      <c r="AJ225" s="441"/>
      <c r="AK225" s="450"/>
      <c r="AL225" s="454"/>
      <c r="AM225" s="455"/>
      <c r="AN225" s="455"/>
      <c r="AO225" s="455"/>
      <c r="AP225" s="455"/>
      <c r="AQ225" s="455"/>
      <c r="AR225" s="456"/>
      <c r="AS225" s="440"/>
      <c r="AT225" s="441"/>
      <c r="AU225" s="441"/>
      <c r="AV225" s="441"/>
      <c r="AW225" s="441"/>
      <c r="AX225" s="441"/>
      <c r="AY225" s="450"/>
      <c r="AZ225" s="462"/>
      <c r="BA225" s="463"/>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35.450000000000003" customHeight="1">
      <c r="A226" s="436"/>
      <c r="B226" s="37"/>
      <c r="C226" s="200" t="str">
        <f t="shared" ca="1" si="5"/>
        <v>●</v>
      </c>
      <c r="D226" s="437"/>
      <c r="E226" s="437"/>
      <c r="F226" s="437"/>
      <c r="G226" s="437"/>
      <c r="H226" s="437"/>
      <c r="I226" s="437"/>
      <c r="J226" s="437"/>
      <c r="K226" s="409"/>
      <c r="L226" s="410"/>
      <c r="M226" s="410"/>
      <c r="N226" s="410"/>
      <c r="O226" s="410"/>
      <c r="P226" s="410"/>
      <c r="Q226" s="410"/>
      <c r="R226" s="446"/>
      <c r="S226" s="447"/>
      <c r="T226" s="446"/>
      <c r="U226" s="447"/>
      <c r="V226" s="409"/>
      <c r="W226" s="410"/>
      <c r="X226" s="410"/>
      <c r="Y226" s="410"/>
      <c r="Z226" s="410"/>
      <c r="AA226" s="410"/>
      <c r="AB226" s="410"/>
      <c r="AC226" s="411"/>
      <c r="AD226" s="409"/>
      <c r="AE226" s="410"/>
      <c r="AF226" s="410"/>
      <c r="AG226" s="410"/>
      <c r="AH226" s="410"/>
      <c r="AI226" s="410"/>
      <c r="AJ226" s="410"/>
      <c r="AK226" s="411"/>
      <c r="AL226" s="457"/>
      <c r="AM226" s="458"/>
      <c r="AN226" s="458"/>
      <c r="AO226" s="458"/>
      <c r="AP226" s="458"/>
      <c r="AQ226" s="458"/>
      <c r="AR226" s="459"/>
      <c r="AS226" s="409"/>
      <c r="AT226" s="410"/>
      <c r="AU226" s="410"/>
      <c r="AV226" s="410"/>
      <c r="AW226" s="410"/>
      <c r="AX226" s="410"/>
      <c r="AY226" s="411"/>
      <c r="AZ226" s="464"/>
      <c r="BA226" s="465"/>
      <c r="BB226" s="62">
        <v>6</v>
      </c>
      <c r="BC226" s="426"/>
      <c r="BD226" s="427"/>
      <c r="BE226" s="427"/>
      <c r="BF226" s="428"/>
      <c r="BG226" s="429"/>
      <c r="BH226" s="430"/>
      <c r="BI226" s="196"/>
      <c r="BJ226" s="474"/>
      <c r="BK226" s="475"/>
      <c r="BL226" s="475"/>
      <c r="BM226" s="475"/>
      <c r="BN226" s="475"/>
      <c r="BO226" s="476"/>
      <c r="BP226" s="474"/>
      <c r="BQ226" s="475"/>
      <c r="BR226" s="475"/>
      <c r="BS226" s="475"/>
      <c r="BT226" s="475"/>
      <c r="BU226" s="476"/>
      <c r="BV226" s="474"/>
      <c r="BW226" s="475"/>
      <c r="BX226" s="475"/>
      <c r="BY226" s="475"/>
      <c r="BZ226" s="475"/>
      <c r="CA226" s="476"/>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5" customHeight="1">
      <c r="A227" s="434">
        <v>37</v>
      </c>
      <c r="B227" s="36"/>
      <c r="C227" s="240" t="str">
        <f t="shared" ca="1" si="5"/>
        <v>●</v>
      </c>
      <c r="D227" s="437"/>
      <c r="E227" s="437"/>
      <c r="F227" s="437"/>
      <c r="G227" s="437"/>
      <c r="H227" s="437"/>
      <c r="I227" s="437"/>
      <c r="J227" s="437"/>
      <c r="K227" s="438" t="s">
        <v>274</v>
      </c>
      <c r="L227" s="439"/>
      <c r="M227" s="439"/>
      <c r="N227" s="439"/>
      <c r="O227" s="439"/>
      <c r="P227" s="439"/>
      <c r="Q227" s="439"/>
      <c r="R227" s="442"/>
      <c r="S227" s="443"/>
      <c r="T227" s="442"/>
      <c r="U227" s="443"/>
      <c r="V227" s="438" t="s">
        <v>191</v>
      </c>
      <c r="W227" s="439"/>
      <c r="X227" s="439"/>
      <c r="Y227" s="439"/>
      <c r="Z227" s="439"/>
      <c r="AA227" s="439"/>
      <c r="AB227" s="439"/>
      <c r="AC227" s="449"/>
      <c r="AD227" s="438" t="s">
        <v>271</v>
      </c>
      <c r="AE227" s="439"/>
      <c r="AF227" s="439"/>
      <c r="AG227" s="439"/>
      <c r="AH227" s="439"/>
      <c r="AI227" s="439"/>
      <c r="AJ227" s="439"/>
      <c r="AK227" s="449"/>
      <c r="AL227" s="451" t="s">
        <v>275</v>
      </c>
      <c r="AM227" s="452"/>
      <c r="AN227" s="452"/>
      <c r="AO227" s="452"/>
      <c r="AP227" s="452"/>
      <c r="AQ227" s="452"/>
      <c r="AR227" s="453"/>
      <c r="AS227" s="438" t="s">
        <v>273</v>
      </c>
      <c r="AT227" s="439"/>
      <c r="AU227" s="439"/>
      <c r="AV227" s="439"/>
      <c r="AW227" s="439"/>
      <c r="AX227" s="439"/>
      <c r="AY227" s="449"/>
      <c r="AZ227" s="460" t="s">
        <v>54</v>
      </c>
      <c r="BA227" s="461"/>
      <c r="BB227" s="60">
        <v>1</v>
      </c>
      <c r="BC227" s="466">
        <v>45877</v>
      </c>
      <c r="BD227" s="467"/>
      <c r="BE227" s="467"/>
      <c r="BF227" s="468"/>
      <c r="BG227" s="469" t="s">
        <v>195</v>
      </c>
      <c r="BH227" s="470"/>
      <c r="BI227" s="194"/>
      <c r="BJ227" s="471"/>
      <c r="BK227" s="472"/>
      <c r="BL227" s="472"/>
      <c r="BM227" s="472"/>
      <c r="BN227" s="472"/>
      <c r="BO227" s="473"/>
      <c r="BP227" s="471"/>
      <c r="BQ227" s="472"/>
      <c r="BR227" s="472"/>
      <c r="BS227" s="472"/>
      <c r="BT227" s="472"/>
      <c r="BU227" s="473"/>
      <c r="BV227" s="471"/>
      <c r="BW227" s="472"/>
      <c r="BX227" s="472"/>
      <c r="BY227" s="472"/>
      <c r="BZ227" s="472"/>
      <c r="CA227" s="473"/>
      <c r="CB227" s="466">
        <v>45877</v>
      </c>
      <c r="CC227" s="467"/>
      <c r="CD227" s="467"/>
      <c r="CE227" s="468"/>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5">
      <c r="A228" s="435"/>
      <c r="B228" s="36"/>
      <c r="C228" s="199" t="str">
        <f t="shared" ca="1" si="5"/>
        <v>●</v>
      </c>
      <c r="D228" s="437"/>
      <c r="E228" s="437"/>
      <c r="F228" s="437"/>
      <c r="G228" s="437"/>
      <c r="H228" s="437"/>
      <c r="I228" s="437"/>
      <c r="J228" s="437"/>
      <c r="K228" s="440"/>
      <c r="L228" s="441"/>
      <c r="M228" s="441"/>
      <c r="N228" s="441"/>
      <c r="O228" s="441"/>
      <c r="P228" s="441"/>
      <c r="Q228" s="441"/>
      <c r="R228" s="444"/>
      <c r="S228" s="445"/>
      <c r="T228" s="444"/>
      <c r="U228" s="445"/>
      <c r="V228" s="440"/>
      <c r="W228" s="441"/>
      <c r="X228" s="441"/>
      <c r="Y228" s="441"/>
      <c r="Z228" s="441"/>
      <c r="AA228" s="441"/>
      <c r="AB228" s="441"/>
      <c r="AC228" s="450"/>
      <c r="AD228" s="440"/>
      <c r="AE228" s="441"/>
      <c r="AF228" s="441"/>
      <c r="AG228" s="441"/>
      <c r="AH228" s="441"/>
      <c r="AI228" s="441"/>
      <c r="AJ228" s="441"/>
      <c r="AK228" s="450"/>
      <c r="AL228" s="454"/>
      <c r="AM228" s="455"/>
      <c r="AN228" s="455"/>
      <c r="AO228" s="455"/>
      <c r="AP228" s="455"/>
      <c r="AQ228" s="455"/>
      <c r="AR228" s="456"/>
      <c r="AS228" s="440"/>
      <c r="AT228" s="441"/>
      <c r="AU228" s="441"/>
      <c r="AV228" s="441"/>
      <c r="AW228" s="441"/>
      <c r="AX228" s="441"/>
      <c r="AY228" s="450"/>
      <c r="AZ228" s="462"/>
      <c r="BA228" s="463"/>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5">
      <c r="A229" s="435"/>
      <c r="B229" s="36"/>
      <c r="C229" s="199" t="str">
        <f t="shared" ca="1" si="5"/>
        <v>●</v>
      </c>
      <c r="D229" s="437"/>
      <c r="E229" s="437"/>
      <c r="F229" s="437"/>
      <c r="G229" s="437"/>
      <c r="H229" s="437"/>
      <c r="I229" s="437"/>
      <c r="J229" s="437"/>
      <c r="K229" s="440"/>
      <c r="L229" s="441"/>
      <c r="M229" s="441"/>
      <c r="N229" s="441"/>
      <c r="O229" s="441"/>
      <c r="P229" s="441"/>
      <c r="Q229" s="441"/>
      <c r="R229" s="444"/>
      <c r="S229" s="445"/>
      <c r="T229" s="444"/>
      <c r="U229" s="445"/>
      <c r="V229" s="440"/>
      <c r="W229" s="441"/>
      <c r="X229" s="441"/>
      <c r="Y229" s="441"/>
      <c r="Z229" s="441"/>
      <c r="AA229" s="441"/>
      <c r="AB229" s="441"/>
      <c r="AC229" s="450"/>
      <c r="AD229" s="440"/>
      <c r="AE229" s="441"/>
      <c r="AF229" s="441"/>
      <c r="AG229" s="441"/>
      <c r="AH229" s="441"/>
      <c r="AI229" s="441"/>
      <c r="AJ229" s="441"/>
      <c r="AK229" s="450"/>
      <c r="AL229" s="454"/>
      <c r="AM229" s="455"/>
      <c r="AN229" s="455"/>
      <c r="AO229" s="455"/>
      <c r="AP229" s="455"/>
      <c r="AQ229" s="455"/>
      <c r="AR229" s="456"/>
      <c r="AS229" s="440"/>
      <c r="AT229" s="441"/>
      <c r="AU229" s="441"/>
      <c r="AV229" s="441"/>
      <c r="AW229" s="441"/>
      <c r="AX229" s="441"/>
      <c r="AY229" s="450"/>
      <c r="AZ229" s="462"/>
      <c r="BA229" s="463"/>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5">
      <c r="A230" s="435"/>
      <c r="B230" s="36"/>
      <c r="C230" s="199" t="str">
        <f t="shared" ca="1" si="5"/>
        <v>●</v>
      </c>
      <c r="D230" s="437"/>
      <c r="E230" s="437"/>
      <c r="F230" s="437"/>
      <c r="G230" s="437"/>
      <c r="H230" s="437"/>
      <c r="I230" s="437"/>
      <c r="J230" s="437"/>
      <c r="K230" s="440"/>
      <c r="L230" s="441"/>
      <c r="M230" s="441"/>
      <c r="N230" s="441"/>
      <c r="O230" s="441"/>
      <c r="P230" s="441"/>
      <c r="Q230" s="441"/>
      <c r="R230" s="444"/>
      <c r="S230" s="445"/>
      <c r="T230" s="444"/>
      <c r="U230" s="445"/>
      <c r="V230" s="440"/>
      <c r="W230" s="441"/>
      <c r="X230" s="441"/>
      <c r="Y230" s="441"/>
      <c r="Z230" s="441"/>
      <c r="AA230" s="441"/>
      <c r="AB230" s="441"/>
      <c r="AC230" s="450"/>
      <c r="AD230" s="440"/>
      <c r="AE230" s="441"/>
      <c r="AF230" s="441"/>
      <c r="AG230" s="441"/>
      <c r="AH230" s="441"/>
      <c r="AI230" s="441"/>
      <c r="AJ230" s="441"/>
      <c r="AK230" s="450"/>
      <c r="AL230" s="454"/>
      <c r="AM230" s="455"/>
      <c r="AN230" s="455"/>
      <c r="AO230" s="455"/>
      <c r="AP230" s="455"/>
      <c r="AQ230" s="455"/>
      <c r="AR230" s="456"/>
      <c r="AS230" s="440"/>
      <c r="AT230" s="441"/>
      <c r="AU230" s="441"/>
      <c r="AV230" s="441"/>
      <c r="AW230" s="441"/>
      <c r="AX230" s="441"/>
      <c r="AY230" s="450"/>
      <c r="AZ230" s="462"/>
      <c r="BA230" s="463"/>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5">
      <c r="A231" s="435"/>
      <c r="B231" s="36"/>
      <c r="C231" s="199" t="str">
        <f t="shared" ca="1" si="5"/>
        <v>●</v>
      </c>
      <c r="D231" s="437"/>
      <c r="E231" s="437"/>
      <c r="F231" s="437"/>
      <c r="G231" s="437"/>
      <c r="H231" s="437"/>
      <c r="I231" s="437"/>
      <c r="J231" s="437"/>
      <c r="K231" s="440"/>
      <c r="L231" s="441"/>
      <c r="M231" s="441"/>
      <c r="N231" s="441"/>
      <c r="O231" s="441"/>
      <c r="P231" s="441"/>
      <c r="Q231" s="441"/>
      <c r="R231" s="444"/>
      <c r="S231" s="445"/>
      <c r="T231" s="444"/>
      <c r="U231" s="445"/>
      <c r="V231" s="440"/>
      <c r="W231" s="441"/>
      <c r="X231" s="441"/>
      <c r="Y231" s="441"/>
      <c r="Z231" s="441"/>
      <c r="AA231" s="441"/>
      <c r="AB231" s="441"/>
      <c r="AC231" s="450"/>
      <c r="AD231" s="440"/>
      <c r="AE231" s="441"/>
      <c r="AF231" s="441"/>
      <c r="AG231" s="441"/>
      <c r="AH231" s="441"/>
      <c r="AI231" s="441"/>
      <c r="AJ231" s="441"/>
      <c r="AK231" s="450"/>
      <c r="AL231" s="454"/>
      <c r="AM231" s="455"/>
      <c r="AN231" s="455"/>
      <c r="AO231" s="455"/>
      <c r="AP231" s="455"/>
      <c r="AQ231" s="455"/>
      <c r="AR231" s="456"/>
      <c r="AS231" s="440"/>
      <c r="AT231" s="441"/>
      <c r="AU231" s="441"/>
      <c r="AV231" s="441"/>
      <c r="AW231" s="441"/>
      <c r="AX231" s="441"/>
      <c r="AY231" s="450"/>
      <c r="AZ231" s="462"/>
      <c r="BA231" s="463"/>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36.6" customHeight="1">
      <c r="A232" s="436"/>
      <c r="B232" s="37"/>
      <c r="C232" s="200" t="str">
        <f t="shared" ca="1" si="5"/>
        <v>●</v>
      </c>
      <c r="D232" s="437"/>
      <c r="E232" s="437"/>
      <c r="F232" s="437"/>
      <c r="G232" s="437"/>
      <c r="H232" s="437"/>
      <c r="I232" s="437"/>
      <c r="J232" s="437"/>
      <c r="K232" s="409"/>
      <c r="L232" s="410"/>
      <c r="M232" s="410"/>
      <c r="N232" s="410"/>
      <c r="O232" s="410"/>
      <c r="P232" s="410"/>
      <c r="Q232" s="410"/>
      <c r="R232" s="446"/>
      <c r="S232" s="447"/>
      <c r="T232" s="446"/>
      <c r="U232" s="447"/>
      <c r="V232" s="409"/>
      <c r="W232" s="410"/>
      <c r="X232" s="410"/>
      <c r="Y232" s="410"/>
      <c r="Z232" s="410"/>
      <c r="AA232" s="410"/>
      <c r="AB232" s="410"/>
      <c r="AC232" s="411"/>
      <c r="AD232" s="409"/>
      <c r="AE232" s="410"/>
      <c r="AF232" s="410"/>
      <c r="AG232" s="410"/>
      <c r="AH232" s="410"/>
      <c r="AI232" s="410"/>
      <c r="AJ232" s="410"/>
      <c r="AK232" s="411"/>
      <c r="AL232" s="457"/>
      <c r="AM232" s="458"/>
      <c r="AN232" s="458"/>
      <c r="AO232" s="458"/>
      <c r="AP232" s="458"/>
      <c r="AQ232" s="458"/>
      <c r="AR232" s="459"/>
      <c r="AS232" s="409"/>
      <c r="AT232" s="410"/>
      <c r="AU232" s="410"/>
      <c r="AV232" s="410"/>
      <c r="AW232" s="410"/>
      <c r="AX232" s="410"/>
      <c r="AY232" s="411"/>
      <c r="AZ232" s="464"/>
      <c r="BA232" s="465"/>
      <c r="BB232" s="62">
        <v>6</v>
      </c>
      <c r="BC232" s="426"/>
      <c r="BD232" s="427"/>
      <c r="BE232" s="427"/>
      <c r="BF232" s="428"/>
      <c r="BG232" s="429"/>
      <c r="BH232" s="430"/>
      <c r="BI232" s="196"/>
      <c r="BJ232" s="474"/>
      <c r="BK232" s="475"/>
      <c r="BL232" s="475"/>
      <c r="BM232" s="475"/>
      <c r="BN232" s="475"/>
      <c r="BO232" s="476"/>
      <c r="BP232" s="474"/>
      <c r="BQ232" s="475"/>
      <c r="BR232" s="475"/>
      <c r="BS232" s="475"/>
      <c r="BT232" s="475"/>
      <c r="BU232" s="476"/>
      <c r="BV232" s="474"/>
      <c r="BW232" s="475"/>
      <c r="BX232" s="475"/>
      <c r="BY232" s="475"/>
      <c r="BZ232" s="475"/>
      <c r="CA232" s="476"/>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5" hidden="1" customHeight="1">
      <c r="A233" s="434">
        <v>38</v>
      </c>
      <c r="B233" s="36"/>
      <c r="C233" s="240" t="str">
        <f t="shared" ca="1" si="5"/>
        <v/>
      </c>
      <c r="D233" s="437"/>
      <c r="E233" s="437"/>
      <c r="F233" s="437"/>
      <c r="G233" s="437"/>
      <c r="H233" s="437"/>
      <c r="I233" s="437"/>
      <c r="J233" s="437"/>
      <c r="K233" s="438"/>
      <c r="L233" s="439"/>
      <c r="M233" s="439"/>
      <c r="N233" s="439"/>
      <c r="O233" s="439"/>
      <c r="P233" s="439"/>
      <c r="Q233" s="439"/>
      <c r="R233" s="442" t="s">
        <v>186</v>
      </c>
      <c r="S233" s="443"/>
      <c r="T233" s="442"/>
      <c r="U233" s="443"/>
      <c r="V233" s="438" t="s">
        <v>265</v>
      </c>
      <c r="W233" s="439"/>
      <c r="X233" s="439"/>
      <c r="Y233" s="439"/>
      <c r="Z233" s="439"/>
      <c r="AA233" s="439"/>
      <c r="AB233" s="439"/>
      <c r="AC233" s="439"/>
      <c r="AD233" s="438" t="s">
        <v>276</v>
      </c>
      <c r="AE233" s="439"/>
      <c r="AF233" s="439"/>
      <c r="AG233" s="439"/>
      <c r="AH233" s="439"/>
      <c r="AI233" s="439"/>
      <c r="AJ233" s="439"/>
      <c r="AK233" s="449"/>
      <c r="AL233" s="491" t="s">
        <v>277</v>
      </c>
      <c r="AM233" s="492"/>
      <c r="AN233" s="492"/>
      <c r="AO233" s="492"/>
      <c r="AP233" s="492"/>
      <c r="AQ233" s="492"/>
      <c r="AR233" s="493"/>
      <c r="AS233" s="438" t="s">
        <v>278</v>
      </c>
      <c r="AT233" s="439"/>
      <c r="AU233" s="439"/>
      <c r="AV233" s="439"/>
      <c r="AW233" s="439"/>
      <c r="AX233" s="439"/>
      <c r="AY233" s="449"/>
      <c r="AZ233" s="460"/>
      <c r="BA233" s="461"/>
      <c r="BB233" s="60">
        <v>1</v>
      </c>
      <c r="BC233" s="466"/>
      <c r="BD233" s="467"/>
      <c r="BE233" s="467"/>
      <c r="BF233" s="468"/>
      <c r="BG233" s="469"/>
      <c r="BH233" s="470"/>
      <c r="BI233" s="194"/>
      <c r="BJ233" s="471"/>
      <c r="BK233" s="472"/>
      <c r="BL233" s="472"/>
      <c r="BM233" s="472"/>
      <c r="BN233" s="472"/>
      <c r="BO233" s="473"/>
      <c r="BP233" s="471"/>
      <c r="BQ233" s="472"/>
      <c r="BR233" s="472"/>
      <c r="BS233" s="472"/>
      <c r="BT233" s="472"/>
      <c r="BU233" s="473"/>
      <c r="BV233" s="471"/>
      <c r="BW233" s="472"/>
      <c r="BX233" s="472"/>
      <c r="BY233" s="472"/>
      <c r="BZ233" s="472"/>
      <c r="CA233" s="473"/>
      <c r="CB233" s="466"/>
      <c r="CC233" s="467"/>
      <c r="CD233" s="467"/>
      <c r="CE233" s="468"/>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5" hidden="1">
      <c r="A234" s="435"/>
      <c r="B234" s="36"/>
      <c r="C234" s="199" t="str">
        <f t="shared" ca="1" si="5"/>
        <v/>
      </c>
      <c r="D234" s="437"/>
      <c r="E234" s="437"/>
      <c r="F234" s="437"/>
      <c r="G234" s="437"/>
      <c r="H234" s="437"/>
      <c r="I234" s="437"/>
      <c r="J234" s="437"/>
      <c r="K234" s="440"/>
      <c r="L234" s="441"/>
      <c r="M234" s="441"/>
      <c r="N234" s="441"/>
      <c r="O234" s="441"/>
      <c r="P234" s="441"/>
      <c r="Q234" s="441"/>
      <c r="R234" s="444"/>
      <c r="S234" s="445"/>
      <c r="T234" s="444"/>
      <c r="U234" s="445"/>
      <c r="V234" s="440"/>
      <c r="W234" s="441"/>
      <c r="X234" s="441"/>
      <c r="Y234" s="441"/>
      <c r="Z234" s="441"/>
      <c r="AA234" s="441"/>
      <c r="AB234" s="441"/>
      <c r="AC234" s="441"/>
      <c r="AD234" s="440"/>
      <c r="AE234" s="441"/>
      <c r="AF234" s="441"/>
      <c r="AG234" s="441"/>
      <c r="AH234" s="441"/>
      <c r="AI234" s="441"/>
      <c r="AJ234" s="441"/>
      <c r="AK234" s="450"/>
      <c r="AL234" s="494"/>
      <c r="AM234" s="495"/>
      <c r="AN234" s="495"/>
      <c r="AO234" s="495"/>
      <c r="AP234" s="495"/>
      <c r="AQ234" s="495"/>
      <c r="AR234" s="496"/>
      <c r="AS234" s="440"/>
      <c r="AT234" s="441"/>
      <c r="AU234" s="441"/>
      <c r="AV234" s="441"/>
      <c r="AW234" s="441"/>
      <c r="AX234" s="441"/>
      <c r="AY234" s="450"/>
      <c r="AZ234" s="462"/>
      <c r="BA234" s="463"/>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5" hidden="1">
      <c r="A235" s="435"/>
      <c r="B235" s="36"/>
      <c r="C235" s="199" t="str">
        <f t="shared" ca="1" si="5"/>
        <v/>
      </c>
      <c r="D235" s="437"/>
      <c r="E235" s="437"/>
      <c r="F235" s="437"/>
      <c r="G235" s="437"/>
      <c r="H235" s="437"/>
      <c r="I235" s="437"/>
      <c r="J235" s="437"/>
      <c r="K235" s="440"/>
      <c r="L235" s="441"/>
      <c r="M235" s="441"/>
      <c r="N235" s="441"/>
      <c r="O235" s="441"/>
      <c r="P235" s="441"/>
      <c r="Q235" s="441"/>
      <c r="R235" s="444"/>
      <c r="S235" s="445"/>
      <c r="T235" s="444"/>
      <c r="U235" s="445"/>
      <c r="V235" s="440"/>
      <c r="W235" s="441"/>
      <c r="X235" s="441"/>
      <c r="Y235" s="441"/>
      <c r="Z235" s="441"/>
      <c r="AA235" s="441"/>
      <c r="AB235" s="441"/>
      <c r="AC235" s="441"/>
      <c r="AD235" s="440"/>
      <c r="AE235" s="441"/>
      <c r="AF235" s="441"/>
      <c r="AG235" s="441"/>
      <c r="AH235" s="441"/>
      <c r="AI235" s="441"/>
      <c r="AJ235" s="441"/>
      <c r="AK235" s="450"/>
      <c r="AL235" s="494"/>
      <c r="AM235" s="495"/>
      <c r="AN235" s="495"/>
      <c r="AO235" s="495"/>
      <c r="AP235" s="495"/>
      <c r="AQ235" s="495"/>
      <c r="AR235" s="496"/>
      <c r="AS235" s="440"/>
      <c r="AT235" s="441"/>
      <c r="AU235" s="441"/>
      <c r="AV235" s="441"/>
      <c r="AW235" s="441"/>
      <c r="AX235" s="441"/>
      <c r="AY235" s="450"/>
      <c r="AZ235" s="462"/>
      <c r="BA235" s="463"/>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5" hidden="1">
      <c r="A236" s="435"/>
      <c r="B236" s="36"/>
      <c r="C236" s="199" t="str">
        <f t="shared" ca="1" si="5"/>
        <v/>
      </c>
      <c r="D236" s="437"/>
      <c r="E236" s="437"/>
      <c r="F236" s="437"/>
      <c r="G236" s="437"/>
      <c r="H236" s="437"/>
      <c r="I236" s="437"/>
      <c r="J236" s="437"/>
      <c r="K236" s="440"/>
      <c r="L236" s="441"/>
      <c r="M236" s="441"/>
      <c r="N236" s="441"/>
      <c r="O236" s="441"/>
      <c r="P236" s="441"/>
      <c r="Q236" s="441"/>
      <c r="R236" s="444"/>
      <c r="S236" s="445"/>
      <c r="T236" s="444"/>
      <c r="U236" s="445"/>
      <c r="V236" s="440"/>
      <c r="W236" s="441"/>
      <c r="X236" s="441"/>
      <c r="Y236" s="441"/>
      <c r="Z236" s="441"/>
      <c r="AA236" s="441"/>
      <c r="AB236" s="441"/>
      <c r="AC236" s="441"/>
      <c r="AD236" s="440"/>
      <c r="AE236" s="441"/>
      <c r="AF236" s="441"/>
      <c r="AG236" s="441"/>
      <c r="AH236" s="441"/>
      <c r="AI236" s="441"/>
      <c r="AJ236" s="441"/>
      <c r="AK236" s="450"/>
      <c r="AL236" s="494"/>
      <c r="AM236" s="495"/>
      <c r="AN236" s="495"/>
      <c r="AO236" s="495"/>
      <c r="AP236" s="495"/>
      <c r="AQ236" s="495"/>
      <c r="AR236" s="496"/>
      <c r="AS236" s="440"/>
      <c r="AT236" s="441"/>
      <c r="AU236" s="441"/>
      <c r="AV236" s="441"/>
      <c r="AW236" s="441"/>
      <c r="AX236" s="441"/>
      <c r="AY236" s="450"/>
      <c r="AZ236" s="462"/>
      <c r="BA236" s="463"/>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5" hidden="1">
      <c r="A237" s="435"/>
      <c r="B237" s="36"/>
      <c r="C237" s="199" t="str">
        <f t="shared" ca="1" si="5"/>
        <v/>
      </c>
      <c r="D237" s="437"/>
      <c r="E237" s="437"/>
      <c r="F237" s="437"/>
      <c r="G237" s="437"/>
      <c r="H237" s="437"/>
      <c r="I237" s="437"/>
      <c r="J237" s="437"/>
      <c r="K237" s="440"/>
      <c r="L237" s="441"/>
      <c r="M237" s="441"/>
      <c r="N237" s="441"/>
      <c r="O237" s="441"/>
      <c r="P237" s="441"/>
      <c r="Q237" s="441"/>
      <c r="R237" s="444"/>
      <c r="S237" s="445"/>
      <c r="T237" s="444"/>
      <c r="U237" s="445"/>
      <c r="V237" s="440"/>
      <c r="W237" s="441"/>
      <c r="X237" s="441"/>
      <c r="Y237" s="441"/>
      <c r="Z237" s="441"/>
      <c r="AA237" s="441"/>
      <c r="AB237" s="441"/>
      <c r="AC237" s="441"/>
      <c r="AD237" s="440"/>
      <c r="AE237" s="441"/>
      <c r="AF237" s="441"/>
      <c r="AG237" s="441"/>
      <c r="AH237" s="441"/>
      <c r="AI237" s="441"/>
      <c r="AJ237" s="441"/>
      <c r="AK237" s="450"/>
      <c r="AL237" s="494"/>
      <c r="AM237" s="495"/>
      <c r="AN237" s="495"/>
      <c r="AO237" s="495"/>
      <c r="AP237" s="495"/>
      <c r="AQ237" s="495"/>
      <c r="AR237" s="496"/>
      <c r="AS237" s="440"/>
      <c r="AT237" s="441"/>
      <c r="AU237" s="441"/>
      <c r="AV237" s="441"/>
      <c r="AW237" s="441"/>
      <c r="AX237" s="441"/>
      <c r="AY237" s="450"/>
      <c r="AZ237" s="462"/>
      <c r="BA237" s="463"/>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2" hidden="1" customHeight="1">
      <c r="A238" s="436"/>
      <c r="B238" s="37"/>
      <c r="C238" s="200" t="str">
        <f t="shared" ca="1" si="5"/>
        <v/>
      </c>
      <c r="D238" s="437"/>
      <c r="E238" s="437"/>
      <c r="F238" s="437"/>
      <c r="G238" s="437"/>
      <c r="H238" s="437"/>
      <c r="I238" s="437"/>
      <c r="J238" s="437"/>
      <c r="K238" s="409"/>
      <c r="L238" s="410"/>
      <c r="M238" s="410"/>
      <c r="N238" s="410"/>
      <c r="O238" s="410"/>
      <c r="P238" s="410"/>
      <c r="Q238" s="410"/>
      <c r="R238" s="446"/>
      <c r="S238" s="447"/>
      <c r="T238" s="446"/>
      <c r="U238" s="447"/>
      <c r="V238" s="409"/>
      <c r="W238" s="410"/>
      <c r="X238" s="410"/>
      <c r="Y238" s="410"/>
      <c r="Z238" s="410"/>
      <c r="AA238" s="410"/>
      <c r="AB238" s="410"/>
      <c r="AC238" s="410"/>
      <c r="AD238" s="409"/>
      <c r="AE238" s="410"/>
      <c r="AF238" s="410"/>
      <c r="AG238" s="410"/>
      <c r="AH238" s="410"/>
      <c r="AI238" s="410"/>
      <c r="AJ238" s="410"/>
      <c r="AK238" s="411"/>
      <c r="AL238" s="497"/>
      <c r="AM238" s="498"/>
      <c r="AN238" s="498"/>
      <c r="AO238" s="498"/>
      <c r="AP238" s="498"/>
      <c r="AQ238" s="498"/>
      <c r="AR238" s="499"/>
      <c r="AS238" s="409"/>
      <c r="AT238" s="410"/>
      <c r="AU238" s="410"/>
      <c r="AV238" s="410"/>
      <c r="AW238" s="410"/>
      <c r="AX238" s="410"/>
      <c r="AY238" s="411"/>
      <c r="AZ238" s="464"/>
      <c r="BA238" s="465"/>
      <c r="BB238" s="62">
        <v>6</v>
      </c>
      <c r="BC238" s="426"/>
      <c r="BD238" s="427"/>
      <c r="BE238" s="427"/>
      <c r="BF238" s="428"/>
      <c r="BG238" s="429"/>
      <c r="BH238" s="430"/>
      <c r="BI238" s="196"/>
      <c r="BJ238" s="474"/>
      <c r="BK238" s="475"/>
      <c r="BL238" s="475"/>
      <c r="BM238" s="475"/>
      <c r="BN238" s="475"/>
      <c r="BO238" s="476"/>
      <c r="BP238" s="474"/>
      <c r="BQ238" s="475"/>
      <c r="BR238" s="475"/>
      <c r="BS238" s="475"/>
      <c r="BT238" s="475"/>
      <c r="BU238" s="476"/>
      <c r="BV238" s="474"/>
      <c r="BW238" s="475"/>
      <c r="BX238" s="475"/>
      <c r="BY238" s="475"/>
      <c r="BZ238" s="475"/>
      <c r="CA238" s="476"/>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5.95" hidden="1" customHeight="1">
      <c r="A239" s="434">
        <v>39</v>
      </c>
      <c r="B239" s="36"/>
      <c r="C239" s="240" t="str">
        <f t="shared" ca="1" si="5"/>
        <v/>
      </c>
      <c r="D239" s="479"/>
      <c r="E239" s="480"/>
      <c r="F239" s="480"/>
      <c r="G239" s="480"/>
      <c r="H239" s="480"/>
      <c r="I239" s="480"/>
      <c r="J239" s="480"/>
      <c r="K239" s="438" t="s">
        <v>279</v>
      </c>
      <c r="L239" s="439"/>
      <c r="M239" s="439"/>
      <c r="N239" s="439"/>
      <c r="O239" s="439"/>
      <c r="P239" s="439"/>
      <c r="Q239" s="439"/>
      <c r="R239" s="442" t="s">
        <v>186</v>
      </c>
      <c r="S239" s="443"/>
      <c r="T239" s="442"/>
      <c r="U239" s="443"/>
      <c r="V239" s="438" t="s">
        <v>265</v>
      </c>
      <c r="W239" s="439"/>
      <c r="X239" s="439"/>
      <c r="Y239" s="439"/>
      <c r="Z239" s="439"/>
      <c r="AA239" s="439"/>
      <c r="AB239" s="439"/>
      <c r="AC239" s="439"/>
      <c r="AD239" s="438" t="s">
        <v>280</v>
      </c>
      <c r="AE239" s="439"/>
      <c r="AF239" s="439"/>
      <c r="AG239" s="439"/>
      <c r="AH239" s="439"/>
      <c r="AI239" s="439"/>
      <c r="AJ239" s="439"/>
      <c r="AK239" s="449"/>
      <c r="AL239" s="491" t="s">
        <v>277</v>
      </c>
      <c r="AM239" s="492"/>
      <c r="AN239" s="492"/>
      <c r="AO239" s="492"/>
      <c r="AP239" s="492"/>
      <c r="AQ239" s="492"/>
      <c r="AR239" s="493"/>
      <c r="AS239" s="438" t="s">
        <v>278</v>
      </c>
      <c r="AT239" s="439"/>
      <c r="AU239" s="439"/>
      <c r="AV239" s="439"/>
      <c r="AW239" s="439"/>
      <c r="AX239" s="439"/>
      <c r="AY239" s="449"/>
      <c r="AZ239" s="460"/>
      <c r="BA239" s="461"/>
      <c r="BB239" s="60">
        <v>1</v>
      </c>
      <c r="BC239" s="466"/>
      <c r="BD239" s="467"/>
      <c r="BE239" s="467"/>
      <c r="BF239" s="468"/>
      <c r="BG239" s="469"/>
      <c r="BH239" s="470"/>
      <c r="BI239" s="194"/>
      <c r="BJ239" s="471"/>
      <c r="BK239" s="472"/>
      <c r="BL239" s="472"/>
      <c r="BM239" s="472"/>
      <c r="BN239" s="472"/>
      <c r="BO239" s="473"/>
      <c r="BP239" s="471"/>
      <c r="BQ239" s="472"/>
      <c r="BR239" s="472"/>
      <c r="BS239" s="472"/>
      <c r="BT239" s="472"/>
      <c r="BU239" s="473"/>
      <c r="BV239" s="471"/>
      <c r="BW239" s="472"/>
      <c r="BX239" s="472"/>
      <c r="BY239" s="472"/>
      <c r="BZ239" s="472"/>
      <c r="CA239" s="473"/>
      <c r="CB239" s="466"/>
      <c r="CC239" s="467"/>
      <c r="CD239" s="467"/>
      <c r="CE239" s="468"/>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5" hidden="1">
      <c r="A240" s="435"/>
      <c r="B240" s="36"/>
      <c r="C240" s="199" t="str">
        <f t="shared" ca="1" si="5"/>
        <v/>
      </c>
      <c r="D240" s="479"/>
      <c r="E240" s="480"/>
      <c r="F240" s="480"/>
      <c r="G240" s="480"/>
      <c r="H240" s="480"/>
      <c r="I240" s="480"/>
      <c r="J240" s="480"/>
      <c r="K240" s="440"/>
      <c r="L240" s="441"/>
      <c r="M240" s="441"/>
      <c r="N240" s="441"/>
      <c r="O240" s="441"/>
      <c r="P240" s="441"/>
      <c r="Q240" s="441"/>
      <c r="R240" s="444"/>
      <c r="S240" s="445"/>
      <c r="T240" s="444"/>
      <c r="U240" s="445"/>
      <c r="V240" s="440"/>
      <c r="W240" s="441"/>
      <c r="X240" s="441"/>
      <c r="Y240" s="441"/>
      <c r="Z240" s="441"/>
      <c r="AA240" s="441"/>
      <c r="AB240" s="441"/>
      <c r="AC240" s="441"/>
      <c r="AD240" s="440"/>
      <c r="AE240" s="441"/>
      <c r="AF240" s="441"/>
      <c r="AG240" s="441"/>
      <c r="AH240" s="441"/>
      <c r="AI240" s="441"/>
      <c r="AJ240" s="441"/>
      <c r="AK240" s="450"/>
      <c r="AL240" s="494"/>
      <c r="AM240" s="495"/>
      <c r="AN240" s="495"/>
      <c r="AO240" s="495"/>
      <c r="AP240" s="495"/>
      <c r="AQ240" s="495"/>
      <c r="AR240" s="496"/>
      <c r="AS240" s="440"/>
      <c r="AT240" s="441"/>
      <c r="AU240" s="441"/>
      <c r="AV240" s="441"/>
      <c r="AW240" s="441"/>
      <c r="AX240" s="441"/>
      <c r="AY240" s="450"/>
      <c r="AZ240" s="462"/>
      <c r="BA240" s="463"/>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5" hidden="1">
      <c r="A241" s="435"/>
      <c r="B241" s="36"/>
      <c r="C241" s="199" t="str">
        <f t="shared" ca="1" si="5"/>
        <v/>
      </c>
      <c r="D241" s="479"/>
      <c r="E241" s="480"/>
      <c r="F241" s="480"/>
      <c r="G241" s="480"/>
      <c r="H241" s="480"/>
      <c r="I241" s="480"/>
      <c r="J241" s="480"/>
      <c r="K241" s="440"/>
      <c r="L241" s="441"/>
      <c r="M241" s="441"/>
      <c r="N241" s="441"/>
      <c r="O241" s="441"/>
      <c r="P241" s="441"/>
      <c r="Q241" s="441"/>
      <c r="R241" s="444"/>
      <c r="S241" s="445"/>
      <c r="T241" s="444"/>
      <c r="U241" s="445"/>
      <c r="V241" s="440"/>
      <c r="W241" s="441"/>
      <c r="X241" s="441"/>
      <c r="Y241" s="441"/>
      <c r="Z241" s="441"/>
      <c r="AA241" s="441"/>
      <c r="AB241" s="441"/>
      <c r="AC241" s="441"/>
      <c r="AD241" s="440"/>
      <c r="AE241" s="441"/>
      <c r="AF241" s="441"/>
      <c r="AG241" s="441"/>
      <c r="AH241" s="441"/>
      <c r="AI241" s="441"/>
      <c r="AJ241" s="441"/>
      <c r="AK241" s="450"/>
      <c r="AL241" s="494"/>
      <c r="AM241" s="495"/>
      <c r="AN241" s="495"/>
      <c r="AO241" s="495"/>
      <c r="AP241" s="495"/>
      <c r="AQ241" s="495"/>
      <c r="AR241" s="496"/>
      <c r="AS241" s="440"/>
      <c r="AT241" s="441"/>
      <c r="AU241" s="441"/>
      <c r="AV241" s="441"/>
      <c r="AW241" s="441"/>
      <c r="AX241" s="441"/>
      <c r="AY241" s="450"/>
      <c r="AZ241" s="462"/>
      <c r="BA241" s="463"/>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5" hidden="1">
      <c r="A242" s="435"/>
      <c r="B242" s="36"/>
      <c r="C242" s="199" t="str">
        <f t="shared" ca="1" si="5"/>
        <v/>
      </c>
      <c r="D242" s="479"/>
      <c r="E242" s="480"/>
      <c r="F242" s="480"/>
      <c r="G242" s="480"/>
      <c r="H242" s="480"/>
      <c r="I242" s="480"/>
      <c r="J242" s="480"/>
      <c r="K242" s="440"/>
      <c r="L242" s="441"/>
      <c r="M242" s="441"/>
      <c r="N242" s="441"/>
      <c r="O242" s="441"/>
      <c r="P242" s="441"/>
      <c r="Q242" s="441"/>
      <c r="R242" s="444"/>
      <c r="S242" s="445"/>
      <c r="T242" s="444"/>
      <c r="U242" s="445"/>
      <c r="V242" s="440"/>
      <c r="W242" s="441"/>
      <c r="X242" s="441"/>
      <c r="Y242" s="441"/>
      <c r="Z242" s="441"/>
      <c r="AA242" s="441"/>
      <c r="AB242" s="441"/>
      <c r="AC242" s="441"/>
      <c r="AD242" s="440"/>
      <c r="AE242" s="441"/>
      <c r="AF242" s="441"/>
      <c r="AG242" s="441"/>
      <c r="AH242" s="441"/>
      <c r="AI242" s="441"/>
      <c r="AJ242" s="441"/>
      <c r="AK242" s="450"/>
      <c r="AL242" s="494"/>
      <c r="AM242" s="495"/>
      <c r="AN242" s="495"/>
      <c r="AO242" s="495"/>
      <c r="AP242" s="495"/>
      <c r="AQ242" s="495"/>
      <c r="AR242" s="496"/>
      <c r="AS242" s="440"/>
      <c r="AT242" s="441"/>
      <c r="AU242" s="441"/>
      <c r="AV242" s="441"/>
      <c r="AW242" s="441"/>
      <c r="AX242" s="441"/>
      <c r="AY242" s="450"/>
      <c r="AZ242" s="462"/>
      <c r="BA242" s="463"/>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5" hidden="1">
      <c r="A243" s="435"/>
      <c r="B243" s="36"/>
      <c r="C243" s="199" t="str">
        <f t="shared" ca="1" si="5"/>
        <v/>
      </c>
      <c r="D243" s="479"/>
      <c r="E243" s="480"/>
      <c r="F243" s="480"/>
      <c r="G243" s="480"/>
      <c r="H243" s="480"/>
      <c r="I243" s="480"/>
      <c r="J243" s="480"/>
      <c r="K243" s="440"/>
      <c r="L243" s="441"/>
      <c r="M243" s="441"/>
      <c r="N243" s="441"/>
      <c r="O243" s="441"/>
      <c r="P243" s="441"/>
      <c r="Q243" s="441"/>
      <c r="R243" s="444"/>
      <c r="S243" s="445"/>
      <c r="T243" s="444"/>
      <c r="U243" s="445"/>
      <c r="V243" s="440"/>
      <c r="W243" s="441"/>
      <c r="X243" s="441"/>
      <c r="Y243" s="441"/>
      <c r="Z243" s="441"/>
      <c r="AA243" s="441"/>
      <c r="AB243" s="441"/>
      <c r="AC243" s="441"/>
      <c r="AD243" s="440"/>
      <c r="AE243" s="441"/>
      <c r="AF243" s="441"/>
      <c r="AG243" s="441"/>
      <c r="AH243" s="441"/>
      <c r="AI243" s="441"/>
      <c r="AJ243" s="441"/>
      <c r="AK243" s="450"/>
      <c r="AL243" s="494"/>
      <c r="AM243" s="495"/>
      <c r="AN243" s="495"/>
      <c r="AO243" s="495"/>
      <c r="AP243" s="495"/>
      <c r="AQ243" s="495"/>
      <c r="AR243" s="496"/>
      <c r="AS243" s="440"/>
      <c r="AT243" s="441"/>
      <c r="AU243" s="441"/>
      <c r="AV243" s="441"/>
      <c r="AW243" s="441"/>
      <c r="AX243" s="441"/>
      <c r="AY243" s="450"/>
      <c r="AZ243" s="462"/>
      <c r="BA243" s="463"/>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21.75" hidden="1" customHeight="1">
      <c r="A244" s="436"/>
      <c r="B244" s="37"/>
      <c r="C244" s="200" t="str">
        <f t="shared" ca="1" si="5"/>
        <v/>
      </c>
      <c r="D244" s="481"/>
      <c r="E244" s="482"/>
      <c r="F244" s="482"/>
      <c r="G244" s="482"/>
      <c r="H244" s="482"/>
      <c r="I244" s="482"/>
      <c r="J244" s="482"/>
      <c r="K244" s="409"/>
      <c r="L244" s="410"/>
      <c r="M244" s="410"/>
      <c r="N244" s="410"/>
      <c r="O244" s="410"/>
      <c r="P244" s="410"/>
      <c r="Q244" s="410"/>
      <c r="R244" s="446"/>
      <c r="S244" s="447"/>
      <c r="T244" s="446"/>
      <c r="U244" s="447"/>
      <c r="V244" s="409"/>
      <c r="W244" s="410"/>
      <c r="X244" s="410"/>
      <c r="Y244" s="410"/>
      <c r="Z244" s="410"/>
      <c r="AA244" s="410"/>
      <c r="AB244" s="410"/>
      <c r="AC244" s="410"/>
      <c r="AD244" s="409"/>
      <c r="AE244" s="410"/>
      <c r="AF244" s="410"/>
      <c r="AG244" s="410"/>
      <c r="AH244" s="410"/>
      <c r="AI244" s="410"/>
      <c r="AJ244" s="410"/>
      <c r="AK244" s="411"/>
      <c r="AL244" s="497"/>
      <c r="AM244" s="498"/>
      <c r="AN244" s="498"/>
      <c r="AO244" s="498"/>
      <c r="AP244" s="498"/>
      <c r="AQ244" s="498"/>
      <c r="AR244" s="499"/>
      <c r="AS244" s="409"/>
      <c r="AT244" s="410"/>
      <c r="AU244" s="410"/>
      <c r="AV244" s="410"/>
      <c r="AW244" s="410"/>
      <c r="AX244" s="410"/>
      <c r="AY244" s="411"/>
      <c r="AZ244" s="464"/>
      <c r="BA244" s="465"/>
      <c r="BB244" s="62">
        <v>6</v>
      </c>
      <c r="BC244" s="426"/>
      <c r="BD244" s="427"/>
      <c r="BE244" s="427"/>
      <c r="BF244" s="428"/>
      <c r="BG244" s="429"/>
      <c r="BH244" s="430"/>
      <c r="BI244" s="196"/>
      <c r="BJ244" s="474"/>
      <c r="BK244" s="475"/>
      <c r="BL244" s="475"/>
      <c r="BM244" s="475"/>
      <c r="BN244" s="475"/>
      <c r="BO244" s="476"/>
      <c r="BP244" s="474"/>
      <c r="BQ244" s="475"/>
      <c r="BR244" s="475"/>
      <c r="BS244" s="475"/>
      <c r="BT244" s="475"/>
      <c r="BU244" s="476"/>
      <c r="BV244" s="474"/>
      <c r="BW244" s="475"/>
      <c r="BX244" s="475"/>
      <c r="BY244" s="475"/>
      <c r="BZ244" s="475"/>
      <c r="CA244" s="476"/>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5" hidden="1">
      <c r="A245" s="434">
        <v>40</v>
      </c>
      <c r="B245" s="36"/>
      <c r="C245" s="198" t="str">
        <f t="shared" ca="1" si="5"/>
        <v/>
      </c>
      <c r="D245" s="477"/>
      <c r="E245" s="478"/>
      <c r="F245" s="478"/>
      <c r="G245" s="478"/>
      <c r="H245" s="478"/>
      <c r="I245" s="478"/>
      <c r="J245" s="478"/>
      <c r="K245" s="438" t="s">
        <v>281</v>
      </c>
      <c r="L245" s="439"/>
      <c r="M245" s="439"/>
      <c r="N245" s="439"/>
      <c r="O245" s="439"/>
      <c r="P245" s="439"/>
      <c r="Q245" s="439"/>
      <c r="R245" s="442" t="s">
        <v>186</v>
      </c>
      <c r="S245" s="443"/>
      <c r="T245" s="442"/>
      <c r="U245" s="443"/>
      <c r="V245" s="438"/>
      <c r="W245" s="439"/>
      <c r="X245" s="439"/>
      <c r="Y245" s="439"/>
      <c r="Z245" s="439"/>
      <c r="AA245" s="439"/>
      <c r="AB245" s="439"/>
      <c r="AC245" s="439"/>
      <c r="AD245" s="438"/>
      <c r="AE245" s="439"/>
      <c r="AF245" s="439"/>
      <c r="AG245" s="439"/>
      <c r="AH245" s="439"/>
      <c r="AI245" s="439"/>
      <c r="AJ245" s="439"/>
      <c r="AK245" s="449"/>
      <c r="AL245" s="491"/>
      <c r="AM245" s="492"/>
      <c r="AN245" s="492"/>
      <c r="AO245" s="492"/>
      <c r="AP245" s="492"/>
      <c r="AQ245" s="492"/>
      <c r="AR245" s="493"/>
      <c r="AS245" s="500"/>
      <c r="AT245" s="483"/>
      <c r="AU245" s="483"/>
      <c r="AV245" s="483"/>
      <c r="AW245" s="483"/>
      <c r="AX245" s="483"/>
      <c r="AY245" s="484"/>
      <c r="AZ245" s="460"/>
      <c r="BA245" s="461"/>
      <c r="BB245" s="60">
        <v>1</v>
      </c>
      <c r="BC245" s="466"/>
      <c r="BD245" s="467"/>
      <c r="BE245" s="467"/>
      <c r="BF245" s="468"/>
      <c r="BG245" s="469"/>
      <c r="BH245" s="470"/>
      <c r="BI245" s="194"/>
      <c r="BJ245" s="471"/>
      <c r="BK245" s="472"/>
      <c r="BL245" s="472"/>
      <c r="BM245" s="472"/>
      <c r="BN245" s="472"/>
      <c r="BO245" s="473"/>
      <c r="BP245" s="471"/>
      <c r="BQ245" s="472"/>
      <c r="BR245" s="472"/>
      <c r="BS245" s="472"/>
      <c r="BT245" s="472"/>
      <c r="BU245" s="473"/>
      <c r="BV245" s="471"/>
      <c r="BW245" s="472"/>
      <c r="BX245" s="472"/>
      <c r="BY245" s="472"/>
      <c r="BZ245" s="472"/>
      <c r="CA245" s="473"/>
      <c r="CB245" s="466"/>
      <c r="CC245" s="467"/>
      <c r="CD245" s="467"/>
      <c r="CE245" s="468"/>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5" hidden="1">
      <c r="A246" s="435"/>
      <c r="B246" s="36"/>
      <c r="C246" s="199" t="str">
        <f t="shared" ca="1" si="5"/>
        <v/>
      </c>
      <c r="D246" s="479"/>
      <c r="E246" s="480"/>
      <c r="F246" s="480"/>
      <c r="G246" s="480"/>
      <c r="H246" s="480"/>
      <c r="I246" s="480"/>
      <c r="J246" s="480"/>
      <c r="K246" s="440"/>
      <c r="L246" s="441"/>
      <c r="M246" s="441"/>
      <c r="N246" s="441"/>
      <c r="O246" s="441"/>
      <c r="P246" s="441"/>
      <c r="Q246" s="441"/>
      <c r="R246" s="444"/>
      <c r="S246" s="445"/>
      <c r="T246" s="444"/>
      <c r="U246" s="445"/>
      <c r="V246" s="440"/>
      <c r="W246" s="441"/>
      <c r="X246" s="441"/>
      <c r="Y246" s="441"/>
      <c r="Z246" s="441"/>
      <c r="AA246" s="441"/>
      <c r="AB246" s="441"/>
      <c r="AC246" s="441"/>
      <c r="AD246" s="440"/>
      <c r="AE246" s="441"/>
      <c r="AF246" s="441"/>
      <c r="AG246" s="441"/>
      <c r="AH246" s="441"/>
      <c r="AI246" s="441"/>
      <c r="AJ246" s="441"/>
      <c r="AK246" s="450"/>
      <c r="AL246" s="494"/>
      <c r="AM246" s="495"/>
      <c r="AN246" s="495"/>
      <c r="AO246" s="495"/>
      <c r="AP246" s="495"/>
      <c r="AQ246" s="495"/>
      <c r="AR246" s="496"/>
      <c r="AS246" s="485"/>
      <c r="AT246" s="486"/>
      <c r="AU246" s="486"/>
      <c r="AV246" s="486"/>
      <c r="AW246" s="486"/>
      <c r="AX246" s="486"/>
      <c r="AY246" s="487"/>
      <c r="AZ246" s="462"/>
      <c r="BA246" s="463"/>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5" hidden="1">
      <c r="A247" s="435"/>
      <c r="B247" s="36"/>
      <c r="C247" s="199" t="str">
        <f t="shared" ca="1" si="5"/>
        <v/>
      </c>
      <c r="D247" s="479"/>
      <c r="E247" s="480"/>
      <c r="F247" s="480"/>
      <c r="G247" s="480"/>
      <c r="H247" s="480"/>
      <c r="I247" s="480"/>
      <c r="J247" s="480"/>
      <c r="K247" s="440"/>
      <c r="L247" s="441"/>
      <c r="M247" s="441"/>
      <c r="N247" s="441"/>
      <c r="O247" s="441"/>
      <c r="P247" s="441"/>
      <c r="Q247" s="441"/>
      <c r="R247" s="444"/>
      <c r="S247" s="445"/>
      <c r="T247" s="444"/>
      <c r="U247" s="445"/>
      <c r="V247" s="440"/>
      <c r="W247" s="441"/>
      <c r="X247" s="441"/>
      <c r="Y247" s="441"/>
      <c r="Z247" s="441"/>
      <c r="AA247" s="441"/>
      <c r="AB247" s="441"/>
      <c r="AC247" s="441"/>
      <c r="AD247" s="440"/>
      <c r="AE247" s="441"/>
      <c r="AF247" s="441"/>
      <c r="AG247" s="441"/>
      <c r="AH247" s="441"/>
      <c r="AI247" s="441"/>
      <c r="AJ247" s="441"/>
      <c r="AK247" s="450"/>
      <c r="AL247" s="494"/>
      <c r="AM247" s="495"/>
      <c r="AN247" s="495"/>
      <c r="AO247" s="495"/>
      <c r="AP247" s="495"/>
      <c r="AQ247" s="495"/>
      <c r="AR247" s="496"/>
      <c r="AS247" s="485"/>
      <c r="AT247" s="486"/>
      <c r="AU247" s="486"/>
      <c r="AV247" s="486"/>
      <c r="AW247" s="486"/>
      <c r="AX247" s="486"/>
      <c r="AY247" s="487"/>
      <c r="AZ247" s="462"/>
      <c r="BA247" s="463"/>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5" hidden="1">
      <c r="A248" s="435"/>
      <c r="B248" s="36"/>
      <c r="C248" s="199" t="str">
        <f t="shared" ca="1" si="5"/>
        <v/>
      </c>
      <c r="D248" s="479"/>
      <c r="E248" s="480"/>
      <c r="F248" s="480"/>
      <c r="G248" s="480"/>
      <c r="H248" s="480"/>
      <c r="I248" s="480"/>
      <c r="J248" s="480"/>
      <c r="K248" s="440"/>
      <c r="L248" s="441"/>
      <c r="M248" s="441"/>
      <c r="N248" s="441"/>
      <c r="O248" s="441"/>
      <c r="P248" s="441"/>
      <c r="Q248" s="441"/>
      <c r="R248" s="444"/>
      <c r="S248" s="445"/>
      <c r="T248" s="444"/>
      <c r="U248" s="445"/>
      <c r="V248" s="440"/>
      <c r="W248" s="441"/>
      <c r="X248" s="441"/>
      <c r="Y248" s="441"/>
      <c r="Z248" s="441"/>
      <c r="AA248" s="441"/>
      <c r="AB248" s="441"/>
      <c r="AC248" s="441"/>
      <c r="AD248" s="440"/>
      <c r="AE248" s="441"/>
      <c r="AF248" s="441"/>
      <c r="AG248" s="441"/>
      <c r="AH248" s="441"/>
      <c r="AI248" s="441"/>
      <c r="AJ248" s="441"/>
      <c r="AK248" s="450"/>
      <c r="AL248" s="494"/>
      <c r="AM248" s="495"/>
      <c r="AN248" s="495"/>
      <c r="AO248" s="495"/>
      <c r="AP248" s="495"/>
      <c r="AQ248" s="495"/>
      <c r="AR248" s="496"/>
      <c r="AS248" s="485"/>
      <c r="AT248" s="486"/>
      <c r="AU248" s="486"/>
      <c r="AV248" s="486"/>
      <c r="AW248" s="486"/>
      <c r="AX248" s="486"/>
      <c r="AY248" s="487"/>
      <c r="AZ248" s="462"/>
      <c r="BA248" s="463"/>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5" hidden="1">
      <c r="A249" s="435"/>
      <c r="B249" s="36"/>
      <c r="C249" s="199" t="str">
        <f t="shared" ca="1" si="5"/>
        <v/>
      </c>
      <c r="D249" s="479"/>
      <c r="E249" s="480"/>
      <c r="F249" s="480"/>
      <c r="G249" s="480"/>
      <c r="H249" s="480"/>
      <c r="I249" s="480"/>
      <c r="J249" s="480"/>
      <c r="K249" s="440"/>
      <c r="L249" s="441"/>
      <c r="M249" s="441"/>
      <c r="N249" s="441"/>
      <c r="O249" s="441"/>
      <c r="P249" s="441"/>
      <c r="Q249" s="441"/>
      <c r="R249" s="444"/>
      <c r="S249" s="445"/>
      <c r="T249" s="444"/>
      <c r="U249" s="445"/>
      <c r="V249" s="440"/>
      <c r="W249" s="441"/>
      <c r="X249" s="441"/>
      <c r="Y249" s="441"/>
      <c r="Z249" s="441"/>
      <c r="AA249" s="441"/>
      <c r="AB249" s="441"/>
      <c r="AC249" s="441"/>
      <c r="AD249" s="440"/>
      <c r="AE249" s="441"/>
      <c r="AF249" s="441"/>
      <c r="AG249" s="441"/>
      <c r="AH249" s="441"/>
      <c r="AI249" s="441"/>
      <c r="AJ249" s="441"/>
      <c r="AK249" s="450"/>
      <c r="AL249" s="494"/>
      <c r="AM249" s="495"/>
      <c r="AN249" s="495"/>
      <c r="AO249" s="495"/>
      <c r="AP249" s="495"/>
      <c r="AQ249" s="495"/>
      <c r="AR249" s="496"/>
      <c r="AS249" s="485"/>
      <c r="AT249" s="486"/>
      <c r="AU249" s="486"/>
      <c r="AV249" s="486"/>
      <c r="AW249" s="486"/>
      <c r="AX249" s="486"/>
      <c r="AY249" s="487"/>
      <c r="AZ249" s="462"/>
      <c r="BA249" s="463"/>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5" hidden="1">
      <c r="A250" s="436"/>
      <c r="B250" s="37"/>
      <c r="C250" s="200" t="str">
        <f t="shared" ca="1" si="5"/>
        <v/>
      </c>
      <c r="D250" s="481"/>
      <c r="E250" s="482"/>
      <c r="F250" s="482"/>
      <c r="G250" s="482"/>
      <c r="H250" s="482"/>
      <c r="I250" s="482"/>
      <c r="J250" s="482"/>
      <c r="K250" s="409"/>
      <c r="L250" s="410"/>
      <c r="M250" s="410"/>
      <c r="N250" s="410"/>
      <c r="O250" s="410"/>
      <c r="P250" s="410"/>
      <c r="Q250" s="410"/>
      <c r="R250" s="446"/>
      <c r="S250" s="447"/>
      <c r="T250" s="446"/>
      <c r="U250" s="447"/>
      <c r="V250" s="409"/>
      <c r="W250" s="410"/>
      <c r="X250" s="410"/>
      <c r="Y250" s="410"/>
      <c r="Z250" s="410"/>
      <c r="AA250" s="410"/>
      <c r="AB250" s="410"/>
      <c r="AC250" s="410"/>
      <c r="AD250" s="409"/>
      <c r="AE250" s="410"/>
      <c r="AF250" s="410"/>
      <c r="AG250" s="410"/>
      <c r="AH250" s="410"/>
      <c r="AI250" s="410"/>
      <c r="AJ250" s="410"/>
      <c r="AK250" s="411"/>
      <c r="AL250" s="497"/>
      <c r="AM250" s="498"/>
      <c r="AN250" s="498"/>
      <c r="AO250" s="498"/>
      <c r="AP250" s="498"/>
      <c r="AQ250" s="498"/>
      <c r="AR250" s="499"/>
      <c r="AS250" s="488"/>
      <c r="AT250" s="489"/>
      <c r="AU250" s="489"/>
      <c r="AV250" s="489"/>
      <c r="AW250" s="489"/>
      <c r="AX250" s="489"/>
      <c r="AY250" s="490"/>
      <c r="AZ250" s="464"/>
      <c r="BA250" s="465"/>
      <c r="BB250" s="62">
        <v>6</v>
      </c>
      <c r="BC250" s="426"/>
      <c r="BD250" s="427"/>
      <c r="BE250" s="427"/>
      <c r="BF250" s="428"/>
      <c r="BG250" s="429"/>
      <c r="BH250" s="430"/>
      <c r="BI250" s="196"/>
      <c r="BJ250" s="474"/>
      <c r="BK250" s="475"/>
      <c r="BL250" s="475"/>
      <c r="BM250" s="475"/>
      <c r="BN250" s="475"/>
      <c r="BO250" s="476"/>
      <c r="BP250" s="474"/>
      <c r="BQ250" s="475"/>
      <c r="BR250" s="475"/>
      <c r="BS250" s="475"/>
      <c r="BT250" s="475"/>
      <c r="BU250" s="476"/>
      <c r="BV250" s="474"/>
      <c r="BW250" s="475"/>
      <c r="BX250" s="475"/>
      <c r="BY250" s="475"/>
      <c r="BZ250" s="475"/>
      <c r="CA250" s="476"/>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5" hidden="1">
      <c r="A251" s="434">
        <v>41</v>
      </c>
      <c r="B251" s="36"/>
      <c r="C251" s="198" t="str">
        <f t="shared" ca="1" si="5"/>
        <v/>
      </c>
      <c r="D251" s="477"/>
      <c r="E251" s="478"/>
      <c r="F251" s="478"/>
      <c r="G251" s="478"/>
      <c r="H251" s="478"/>
      <c r="I251" s="478"/>
      <c r="J251" s="478"/>
      <c r="K251" s="438" t="s">
        <v>282</v>
      </c>
      <c r="L251" s="439"/>
      <c r="M251" s="439"/>
      <c r="N251" s="439"/>
      <c r="O251" s="439"/>
      <c r="P251" s="439"/>
      <c r="Q251" s="439"/>
      <c r="R251" s="442" t="s">
        <v>186</v>
      </c>
      <c r="S251" s="443"/>
      <c r="T251" s="442"/>
      <c r="U251" s="443"/>
      <c r="V251" s="438"/>
      <c r="W251" s="439"/>
      <c r="X251" s="439"/>
      <c r="Y251" s="439"/>
      <c r="Z251" s="439"/>
      <c r="AA251" s="439"/>
      <c r="AB251" s="439"/>
      <c r="AC251" s="439"/>
      <c r="AD251" s="438"/>
      <c r="AE251" s="439"/>
      <c r="AF251" s="439"/>
      <c r="AG251" s="439"/>
      <c r="AH251" s="439"/>
      <c r="AI251" s="439"/>
      <c r="AJ251" s="439"/>
      <c r="AK251" s="449"/>
      <c r="AL251" s="491"/>
      <c r="AM251" s="492"/>
      <c r="AN251" s="492"/>
      <c r="AO251" s="492"/>
      <c r="AP251" s="492"/>
      <c r="AQ251" s="492"/>
      <c r="AR251" s="493"/>
      <c r="AS251" s="500"/>
      <c r="AT251" s="483"/>
      <c r="AU251" s="483"/>
      <c r="AV251" s="483"/>
      <c r="AW251" s="483"/>
      <c r="AX251" s="483"/>
      <c r="AY251" s="484"/>
      <c r="AZ251" s="460"/>
      <c r="BA251" s="461"/>
      <c r="BB251" s="60">
        <v>1</v>
      </c>
      <c r="BC251" s="466"/>
      <c r="BD251" s="467"/>
      <c r="BE251" s="467"/>
      <c r="BF251" s="468"/>
      <c r="BG251" s="469"/>
      <c r="BH251" s="470"/>
      <c r="BI251" s="194"/>
      <c r="BJ251" s="471"/>
      <c r="BK251" s="472"/>
      <c r="BL251" s="472"/>
      <c r="BM251" s="472"/>
      <c r="BN251" s="472"/>
      <c r="BO251" s="473"/>
      <c r="BP251" s="471"/>
      <c r="BQ251" s="472"/>
      <c r="BR251" s="472"/>
      <c r="BS251" s="472"/>
      <c r="BT251" s="472"/>
      <c r="BU251" s="473"/>
      <c r="BV251" s="471"/>
      <c r="BW251" s="472"/>
      <c r="BX251" s="472"/>
      <c r="BY251" s="472"/>
      <c r="BZ251" s="472"/>
      <c r="CA251" s="473"/>
      <c r="CB251" s="466"/>
      <c r="CC251" s="467"/>
      <c r="CD251" s="467"/>
      <c r="CE251" s="468"/>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5" hidden="1">
      <c r="A252" s="435"/>
      <c r="B252" s="36"/>
      <c r="C252" s="199" t="str">
        <f t="shared" ca="1" si="5"/>
        <v/>
      </c>
      <c r="D252" s="479"/>
      <c r="E252" s="480"/>
      <c r="F252" s="480"/>
      <c r="G252" s="480"/>
      <c r="H252" s="480"/>
      <c r="I252" s="480"/>
      <c r="J252" s="480"/>
      <c r="K252" s="440"/>
      <c r="L252" s="441"/>
      <c r="M252" s="441"/>
      <c r="N252" s="441"/>
      <c r="O252" s="441"/>
      <c r="P252" s="441"/>
      <c r="Q252" s="441"/>
      <c r="R252" s="444"/>
      <c r="S252" s="445"/>
      <c r="T252" s="444"/>
      <c r="U252" s="445"/>
      <c r="V252" s="440"/>
      <c r="W252" s="441"/>
      <c r="X252" s="441"/>
      <c r="Y252" s="441"/>
      <c r="Z252" s="441"/>
      <c r="AA252" s="441"/>
      <c r="AB252" s="441"/>
      <c r="AC252" s="441"/>
      <c r="AD252" s="440"/>
      <c r="AE252" s="441"/>
      <c r="AF252" s="441"/>
      <c r="AG252" s="441"/>
      <c r="AH252" s="441"/>
      <c r="AI252" s="441"/>
      <c r="AJ252" s="441"/>
      <c r="AK252" s="450"/>
      <c r="AL252" s="494"/>
      <c r="AM252" s="495"/>
      <c r="AN252" s="495"/>
      <c r="AO252" s="495"/>
      <c r="AP252" s="495"/>
      <c r="AQ252" s="495"/>
      <c r="AR252" s="496"/>
      <c r="AS252" s="485"/>
      <c r="AT252" s="486"/>
      <c r="AU252" s="486"/>
      <c r="AV252" s="486"/>
      <c r="AW252" s="486"/>
      <c r="AX252" s="486"/>
      <c r="AY252" s="487"/>
      <c r="AZ252" s="462"/>
      <c r="BA252" s="463"/>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5" hidden="1">
      <c r="A253" s="435"/>
      <c r="B253" s="36"/>
      <c r="C253" s="199" t="str">
        <f t="shared" ca="1" si="5"/>
        <v/>
      </c>
      <c r="D253" s="479"/>
      <c r="E253" s="480"/>
      <c r="F253" s="480"/>
      <c r="G253" s="480"/>
      <c r="H253" s="480"/>
      <c r="I253" s="480"/>
      <c r="J253" s="480"/>
      <c r="K253" s="440"/>
      <c r="L253" s="441"/>
      <c r="M253" s="441"/>
      <c r="N253" s="441"/>
      <c r="O253" s="441"/>
      <c r="P253" s="441"/>
      <c r="Q253" s="441"/>
      <c r="R253" s="444"/>
      <c r="S253" s="445"/>
      <c r="T253" s="444"/>
      <c r="U253" s="445"/>
      <c r="V253" s="440"/>
      <c r="W253" s="441"/>
      <c r="X253" s="441"/>
      <c r="Y253" s="441"/>
      <c r="Z253" s="441"/>
      <c r="AA253" s="441"/>
      <c r="AB253" s="441"/>
      <c r="AC253" s="441"/>
      <c r="AD253" s="440"/>
      <c r="AE253" s="441"/>
      <c r="AF253" s="441"/>
      <c r="AG253" s="441"/>
      <c r="AH253" s="441"/>
      <c r="AI253" s="441"/>
      <c r="AJ253" s="441"/>
      <c r="AK253" s="450"/>
      <c r="AL253" s="494"/>
      <c r="AM253" s="495"/>
      <c r="AN253" s="495"/>
      <c r="AO253" s="495"/>
      <c r="AP253" s="495"/>
      <c r="AQ253" s="495"/>
      <c r="AR253" s="496"/>
      <c r="AS253" s="485"/>
      <c r="AT253" s="486"/>
      <c r="AU253" s="486"/>
      <c r="AV253" s="486"/>
      <c r="AW253" s="486"/>
      <c r="AX253" s="486"/>
      <c r="AY253" s="487"/>
      <c r="AZ253" s="462"/>
      <c r="BA253" s="463"/>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5" hidden="1">
      <c r="A254" s="435"/>
      <c r="B254" s="36"/>
      <c r="C254" s="199" t="str">
        <f t="shared" ca="1" si="5"/>
        <v/>
      </c>
      <c r="D254" s="479"/>
      <c r="E254" s="480"/>
      <c r="F254" s="480"/>
      <c r="G254" s="480"/>
      <c r="H254" s="480"/>
      <c r="I254" s="480"/>
      <c r="J254" s="480"/>
      <c r="K254" s="440"/>
      <c r="L254" s="441"/>
      <c r="M254" s="441"/>
      <c r="N254" s="441"/>
      <c r="O254" s="441"/>
      <c r="P254" s="441"/>
      <c r="Q254" s="441"/>
      <c r="R254" s="444"/>
      <c r="S254" s="445"/>
      <c r="T254" s="444"/>
      <c r="U254" s="445"/>
      <c r="V254" s="440"/>
      <c r="W254" s="441"/>
      <c r="X254" s="441"/>
      <c r="Y254" s="441"/>
      <c r="Z254" s="441"/>
      <c r="AA254" s="441"/>
      <c r="AB254" s="441"/>
      <c r="AC254" s="441"/>
      <c r="AD254" s="440"/>
      <c r="AE254" s="441"/>
      <c r="AF254" s="441"/>
      <c r="AG254" s="441"/>
      <c r="AH254" s="441"/>
      <c r="AI254" s="441"/>
      <c r="AJ254" s="441"/>
      <c r="AK254" s="450"/>
      <c r="AL254" s="494"/>
      <c r="AM254" s="495"/>
      <c r="AN254" s="495"/>
      <c r="AO254" s="495"/>
      <c r="AP254" s="495"/>
      <c r="AQ254" s="495"/>
      <c r="AR254" s="496"/>
      <c r="AS254" s="485"/>
      <c r="AT254" s="486"/>
      <c r="AU254" s="486"/>
      <c r="AV254" s="486"/>
      <c r="AW254" s="486"/>
      <c r="AX254" s="486"/>
      <c r="AY254" s="487"/>
      <c r="AZ254" s="462"/>
      <c r="BA254" s="463"/>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5" hidden="1">
      <c r="A255" s="435"/>
      <c r="B255" s="36"/>
      <c r="C255" s="199" t="str">
        <f t="shared" ca="1" si="5"/>
        <v/>
      </c>
      <c r="D255" s="479"/>
      <c r="E255" s="480"/>
      <c r="F255" s="480"/>
      <c r="G255" s="480"/>
      <c r="H255" s="480"/>
      <c r="I255" s="480"/>
      <c r="J255" s="480"/>
      <c r="K255" s="440"/>
      <c r="L255" s="441"/>
      <c r="M255" s="441"/>
      <c r="N255" s="441"/>
      <c r="O255" s="441"/>
      <c r="P255" s="441"/>
      <c r="Q255" s="441"/>
      <c r="R255" s="444"/>
      <c r="S255" s="445"/>
      <c r="T255" s="444"/>
      <c r="U255" s="445"/>
      <c r="V255" s="440"/>
      <c r="W255" s="441"/>
      <c r="X255" s="441"/>
      <c r="Y255" s="441"/>
      <c r="Z255" s="441"/>
      <c r="AA255" s="441"/>
      <c r="AB255" s="441"/>
      <c r="AC255" s="441"/>
      <c r="AD255" s="440"/>
      <c r="AE255" s="441"/>
      <c r="AF255" s="441"/>
      <c r="AG255" s="441"/>
      <c r="AH255" s="441"/>
      <c r="AI255" s="441"/>
      <c r="AJ255" s="441"/>
      <c r="AK255" s="450"/>
      <c r="AL255" s="494"/>
      <c r="AM255" s="495"/>
      <c r="AN255" s="495"/>
      <c r="AO255" s="495"/>
      <c r="AP255" s="495"/>
      <c r="AQ255" s="495"/>
      <c r="AR255" s="496"/>
      <c r="AS255" s="485"/>
      <c r="AT255" s="486"/>
      <c r="AU255" s="486"/>
      <c r="AV255" s="486"/>
      <c r="AW255" s="486"/>
      <c r="AX255" s="486"/>
      <c r="AY255" s="487"/>
      <c r="AZ255" s="462"/>
      <c r="BA255" s="463"/>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5" hidden="1">
      <c r="A256" s="436"/>
      <c r="B256" s="37"/>
      <c r="C256" s="200" t="str">
        <f t="shared" ca="1" si="5"/>
        <v/>
      </c>
      <c r="D256" s="481"/>
      <c r="E256" s="482"/>
      <c r="F256" s="482"/>
      <c r="G256" s="482"/>
      <c r="H256" s="482"/>
      <c r="I256" s="482"/>
      <c r="J256" s="482"/>
      <c r="K256" s="409"/>
      <c r="L256" s="410"/>
      <c r="M256" s="410"/>
      <c r="N256" s="410"/>
      <c r="O256" s="410"/>
      <c r="P256" s="410"/>
      <c r="Q256" s="410"/>
      <c r="R256" s="446"/>
      <c r="S256" s="447"/>
      <c r="T256" s="446"/>
      <c r="U256" s="447"/>
      <c r="V256" s="409"/>
      <c r="W256" s="410"/>
      <c r="X256" s="410"/>
      <c r="Y256" s="410"/>
      <c r="Z256" s="410"/>
      <c r="AA256" s="410"/>
      <c r="AB256" s="410"/>
      <c r="AC256" s="410"/>
      <c r="AD256" s="409"/>
      <c r="AE256" s="410"/>
      <c r="AF256" s="410"/>
      <c r="AG256" s="410"/>
      <c r="AH256" s="410"/>
      <c r="AI256" s="410"/>
      <c r="AJ256" s="410"/>
      <c r="AK256" s="411"/>
      <c r="AL256" s="497"/>
      <c r="AM256" s="498"/>
      <c r="AN256" s="498"/>
      <c r="AO256" s="498"/>
      <c r="AP256" s="498"/>
      <c r="AQ256" s="498"/>
      <c r="AR256" s="499"/>
      <c r="AS256" s="488"/>
      <c r="AT256" s="489"/>
      <c r="AU256" s="489"/>
      <c r="AV256" s="489"/>
      <c r="AW256" s="489"/>
      <c r="AX256" s="489"/>
      <c r="AY256" s="490"/>
      <c r="AZ256" s="464"/>
      <c r="BA256" s="465"/>
      <c r="BB256" s="62">
        <v>6</v>
      </c>
      <c r="BC256" s="426"/>
      <c r="BD256" s="427"/>
      <c r="BE256" s="427"/>
      <c r="BF256" s="428"/>
      <c r="BG256" s="429"/>
      <c r="BH256" s="430"/>
      <c r="BI256" s="196"/>
      <c r="BJ256" s="474"/>
      <c r="BK256" s="475"/>
      <c r="BL256" s="475"/>
      <c r="BM256" s="475"/>
      <c r="BN256" s="475"/>
      <c r="BO256" s="476"/>
      <c r="BP256" s="474"/>
      <c r="BQ256" s="475"/>
      <c r="BR256" s="475"/>
      <c r="BS256" s="475"/>
      <c r="BT256" s="475"/>
      <c r="BU256" s="476"/>
      <c r="BV256" s="474"/>
      <c r="BW256" s="475"/>
      <c r="BX256" s="475"/>
      <c r="BY256" s="475"/>
      <c r="BZ256" s="475"/>
      <c r="CA256" s="476"/>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5" hidden="1">
      <c r="A257" s="434">
        <v>42</v>
      </c>
      <c r="B257" s="36"/>
      <c r="C257" s="198" t="str">
        <f t="shared" ca="1" si="5"/>
        <v/>
      </c>
      <c r="D257" s="477"/>
      <c r="E257" s="478"/>
      <c r="F257" s="478"/>
      <c r="G257" s="478"/>
      <c r="H257" s="478"/>
      <c r="I257" s="478"/>
      <c r="J257" s="478"/>
      <c r="K257" s="438" t="s">
        <v>283</v>
      </c>
      <c r="L257" s="439"/>
      <c r="M257" s="439"/>
      <c r="N257" s="439"/>
      <c r="O257" s="439"/>
      <c r="P257" s="439"/>
      <c r="Q257" s="439"/>
      <c r="R257" s="442" t="s">
        <v>186</v>
      </c>
      <c r="S257" s="443"/>
      <c r="T257" s="442"/>
      <c r="U257" s="443"/>
      <c r="V257" s="438"/>
      <c r="W257" s="439"/>
      <c r="X257" s="439"/>
      <c r="Y257" s="439"/>
      <c r="Z257" s="439"/>
      <c r="AA257" s="439"/>
      <c r="AB257" s="439"/>
      <c r="AC257" s="439"/>
      <c r="AD257" s="438"/>
      <c r="AE257" s="439"/>
      <c r="AF257" s="439"/>
      <c r="AG257" s="439"/>
      <c r="AH257" s="439"/>
      <c r="AI257" s="439"/>
      <c r="AJ257" s="439"/>
      <c r="AK257" s="449"/>
      <c r="AL257" s="491"/>
      <c r="AM257" s="492"/>
      <c r="AN257" s="492"/>
      <c r="AO257" s="492"/>
      <c r="AP257" s="492"/>
      <c r="AQ257" s="492"/>
      <c r="AR257" s="493"/>
      <c r="AS257" s="500"/>
      <c r="AT257" s="483"/>
      <c r="AU257" s="483"/>
      <c r="AV257" s="483"/>
      <c r="AW257" s="483"/>
      <c r="AX257" s="483"/>
      <c r="AY257" s="484"/>
      <c r="AZ257" s="460"/>
      <c r="BA257" s="461"/>
      <c r="BB257" s="60">
        <v>1</v>
      </c>
      <c r="BC257" s="466"/>
      <c r="BD257" s="467"/>
      <c r="BE257" s="467"/>
      <c r="BF257" s="468"/>
      <c r="BG257" s="469"/>
      <c r="BH257" s="470"/>
      <c r="BI257" s="194"/>
      <c r="BJ257" s="471"/>
      <c r="BK257" s="472"/>
      <c r="BL257" s="472"/>
      <c r="BM257" s="472"/>
      <c r="BN257" s="472"/>
      <c r="BO257" s="473"/>
      <c r="BP257" s="471"/>
      <c r="BQ257" s="472"/>
      <c r="BR257" s="472"/>
      <c r="BS257" s="472"/>
      <c r="BT257" s="472"/>
      <c r="BU257" s="473"/>
      <c r="BV257" s="471"/>
      <c r="BW257" s="472"/>
      <c r="BX257" s="472"/>
      <c r="BY257" s="472"/>
      <c r="BZ257" s="472"/>
      <c r="CA257" s="473"/>
      <c r="CB257" s="466"/>
      <c r="CC257" s="467"/>
      <c r="CD257" s="467"/>
      <c r="CE257" s="468"/>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5" hidden="1">
      <c r="A258" s="435"/>
      <c r="B258" s="36"/>
      <c r="C258" s="199" t="str">
        <f t="shared" ca="1" si="5"/>
        <v/>
      </c>
      <c r="D258" s="479"/>
      <c r="E258" s="480"/>
      <c r="F258" s="480"/>
      <c r="G258" s="480"/>
      <c r="H258" s="480"/>
      <c r="I258" s="480"/>
      <c r="J258" s="480"/>
      <c r="K258" s="440"/>
      <c r="L258" s="441"/>
      <c r="M258" s="441"/>
      <c r="N258" s="441"/>
      <c r="O258" s="441"/>
      <c r="P258" s="441"/>
      <c r="Q258" s="441"/>
      <c r="R258" s="444"/>
      <c r="S258" s="445"/>
      <c r="T258" s="444"/>
      <c r="U258" s="445"/>
      <c r="V258" s="440"/>
      <c r="W258" s="441"/>
      <c r="X258" s="441"/>
      <c r="Y258" s="441"/>
      <c r="Z258" s="441"/>
      <c r="AA258" s="441"/>
      <c r="AB258" s="441"/>
      <c r="AC258" s="441"/>
      <c r="AD258" s="440"/>
      <c r="AE258" s="441"/>
      <c r="AF258" s="441"/>
      <c r="AG258" s="441"/>
      <c r="AH258" s="441"/>
      <c r="AI258" s="441"/>
      <c r="AJ258" s="441"/>
      <c r="AK258" s="450"/>
      <c r="AL258" s="494"/>
      <c r="AM258" s="495"/>
      <c r="AN258" s="495"/>
      <c r="AO258" s="495"/>
      <c r="AP258" s="495"/>
      <c r="AQ258" s="495"/>
      <c r="AR258" s="496"/>
      <c r="AS258" s="485"/>
      <c r="AT258" s="486"/>
      <c r="AU258" s="486"/>
      <c r="AV258" s="486"/>
      <c r="AW258" s="486"/>
      <c r="AX258" s="486"/>
      <c r="AY258" s="487"/>
      <c r="AZ258" s="462"/>
      <c r="BA258" s="463"/>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5" hidden="1">
      <c r="A259" s="435"/>
      <c r="B259" s="36"/>
      <c r="C259" s="199" t="str">
        <f t="shared" ca="1" si="5"/>
        <v/>
      </c>
      <c r="D259" s="479"/>
      <c r="E259" s="480"/>
      <c r="F259" s="480"/>
      <c r="G259" s="480"/>
      <c r="H259" s="480"/>
      <c r="I259" s="480"/>
      <c r="J259" s="480"/>
      <c r="K259" s="440"/>
      <c r="L259" s="441"/>
      <c r="M259" s="441"/>
      <c r="N259" s="441"/>
      <c r="O259" s="441"/>
      <c r="P259" s="441"/>
      <c r="Q259" s="441"/>
      <c r="R259" s="444"/>
      <c r="S259" s="445"/>
      <c r="T259" s="444"/>
      <c r="U259" s="445"/>
      <c r="V259" s="440"/>
      <c r="W259" s="441"/>
      <c r="X259" s="441"/>
      <c r="Y259" s="441"/>
      <c r="Z259" s="441"/>
      <c r="AA259" s="441"/>
      <c r="AB259" s="441"/>
      <c r="AC259" s="441"/>
      <c r="AD259" s="440"/>
      <c r="AE259" s="441"/>
      <c r="AF259" s="441"/>
      <c r="AG259" s="441"/>
      <c r="AH259" s="441"/>
      <c r="AI259" s="441"/>
      <c r="AJ259" s="441"/>
      <c r="AK259" s="450"/>
      <c r="AL259" s="494"/>
      <c r="AM259" s="495"/>
      <c r="AN259" s="495"/>
      <c r="AO259" s="495"/>
      <c r="AP259" s="495"/>
      <c r="AQ259" s="495"/>
      <c r="AR259" s="496"/>
      <c r="AS259" s="485"/>
      <c r="AT259" s="486"/>
      <c r="AU259" s="486"/>
      <c r="AV259" s="486"/>
      <c r="AW259" s="486"/>
      <c r="AX259" s="486"/>
      <c r="AY259" s="487"/>
      <c r="AZ259" s="462"/>
      <c r="BA259" s="463"/>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5" hidden="1">
      <c r="A260" s="435"/>
      <c r="B260" s="36"/>
      <c r="C260" s="199" t="str">
        <f t="shared" ca="1" si="5"/>
        <v/>
      </c>
      <c r="D260" s="479"/>
      <c r="E260" s="480"/>
      <c r="F260" s="480"/>
      <c r="G260" s="480"/>
      <c r="H260" s="480"/>
      <c r="I260" s="480"/>
      <c r="J260" s="480"/>
      <c r="K260" s="440"/>
      <c r="L260" s="441"/>
      <c r="M260" s="441"/>
      <c r="N260" s="441"/>
      <c r="O260" s="441"/>
      <c r="P260" s="441"/>
      <c r="Q260" s="441"/>
      <c r="R260" s="444"/>
      <c r="S260" s="445"/>
      <c r="T260" s="444"/>
      <c r="U260" s="445"/>
      <c r="V260" s="440"/>
      <c r="W260" s="441"/>
      <c r="X260" s="441"/>
      <c r="Y260" s="441"/>
      <c r="Z260" s="441"/>
      <c r="AA260" s="441"/>
      <c r="AB260" s="441"/>
      <c r="AC260" s="441"/>
      <c r="AD260" s="440"/>
      <c r="AE260" s="441"/>
      <c r="AF260" s="441"/>
      <c r="AG260" s="441"/>
      <c r="AH260" s="441"/>
      <c r="AI260" s="441"/>
      <c r="AJ260" s="441"/>
      <c r="AK260" s="450"/>
      <c r="AL260" s="494"/>
      <c r="AM260" s="495"/>
      <c r="AN260" s="495"/>
      <c r="AO260" s="495"/>
      <c r="AP260" s="495"/>
      <c r="AQ260" s="495"/>
      <c r="AR260" s="496"/>
      <c r="AS260" s="485"/>
      <c r="AT260" s="486"/>
      <c r="AU260" s="486"/>
      <c r="AV260" s="486"/>
      <c r="AW260" s="486"/>
      <c r="AX260" s="486"/>
      <c r="AY260" s="487"/>
      <c r="AZ260" s="462"/>
      <c r="BA260" s="463"/>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5" hidden="1">
      <c r="A261" s="435"/>
      <c r="B261" s="36"/>
      <c r="C261" s="199" t="str">
        <f t="shared" ca="1" si="5"/>
        <v/>
      </c>
      <c r="D261" s="479"/>
      <c r="E261" s="480"/>
      <c r="F261" s="480"/>
      <c r="G261" s="480"/>
      <c r="H261" s="480"/>
      <c r="I261" s="480"/>
      <c r="J261" s="480"/>
      <c r="K261" s="440"/>
      <c r="L261" s="441"/>
      <c r="M261" s="441"/>
      <c r="N261" s="441"/>
      <c r="O261" s="441"/>
      <c r="P261" s="441"/>
      <c r="Q261" s="441"/>
      <c r="R261" s="444"/>
      <c r="S261" s="445"/>
      <c r="T261" s="444"/>
      <c r="U261" s="445"/>
      <c r="V261" s="440"/>
      <c r="W261" s="441"/>
      <c r="X261" s="441"/>
      <c r="Y261" s="441"/>
      <c r="Z261" s="441"/>
      <c r="AA261" s="441"/>
      <c r="AB261" s="441"/>
      <c r="AC261" s="441"/>
      <c r="AD261" s="440"/>
      <c r="AE261" s="441"/>
      <c r="AF261" s="441"/>
      <c r="AG261" s="441"/>
      <c r="AH261" s="441"/>
      <c r="AI261" s="441"/>
      <c r="AJ261" s="441"/>
      <c r="AK261" s="450"/>
      <c r="AL261" s="494"/>
      <c r="AM261" s="495"/>
      <c r="AN261" s="495"/>
      <c r="AO261" s="495"/>
      <c r="AP261" s="495"/>
      <c r="AQ261" s="495"/>
      <c r="AR261" s="496"/>
      <c r="AS261" s="485"/>
      <c r="AT261" s="486"/>
      <c r="AU261" s="486"/>
      <c r="AV261" s="486"/>
      <c r="AW261" s="486"/>
      <c r="AX261" s="486"/>
      <c r="AY261" s="487"/>
      <c r="AZ261" s="462"/>
      <c r="BA261" s="463"/>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5" hidden="1">
      <c r="A262" s="436"/>
      <c r="B262" s="37"/>
      <c r="C262" s="200" t="str">
        <f t="shared" ca="1" si="5"/>
        <v/>
      </c>
      <c r="D262" s="481"/>
      <c r="E262" s="482"/>
      <c r="F262" s="482"/>
      <c r="G262" s="482"/>
      <c r="H262" s="482"/>
      <c r="I262" s="482"/>
      <c r="J262" s="482"/>
      <c r="K262" s="409"/>
      <c r="L262" s="410"/>
      <c r="M262" s="410"/>
      <c r="N262" s="410"/>
      <c r="O262" s="410"/>
      <c r="P262" s="410"/>
      <c r="Q262" s="410"/>
      <c r="R262" s="446"/>
      <c r="S262" s="447"/>
      <c r="T262" s="446"/>
      <c r="U262" s="447"/>
      <c r="V262" s="409"/>
      <c r="W262" s="410"/>
      <c r="X262" s="410"/>
      <c r="Y262" s="410"/>
      <c r="Z262" s="410"/>
      <c r="AA262" s="410"/>
      <c r="AB262" s="410"/>
      <c r="AC262" s="410"/>
      <c r="AD262" s="409"/>
      <c r="AE262" s="410"/>
      <c r="AF262" s="410"/>
      <c r="AG262" s="410"/>
      <c r="AH262" s="410"/>
      <c r="AI262" s="410"/>
      <c r="AJ262" s="410"/>
      <c r="AK262" s="411"/>
      <c r="AL262" s="497"/>
      <c r="AM262" s="498"/>
      <c r="AN262" s="498"/>
      <c r="AO262" s="498"/>
      <c r="AP262" s="498"/>
      <c r="AQ262" s="498"/>
      <c r="AR262" s="499"/>
      <c r="AS262" s="488"/>
      <c r="AT262" s="489"/>
      <c r="AU262" s="489"/>
      <c r="AV262" s="489"/>
      <c r="AW262" s="489"/>
      <c r="AX262" s="489"/>
      <c r="AY262" s="490"/>
      <c r="AZ262" s="464"/>
      <c r="BA262" s="465"/>
      <c r="BB262" s="62">
        <v>6</v>
      </c>
      <c r="BC262" s="426"/>
      <c r="BD262" s="427"/>
      <c r="BE262" s="427"/>
      <c r="BF262" s="428"/>
      <c r="BG262" s="429"/>
      <c r="BH262" s="430"/>
      <c r="BI262" s="196"/>
      <c r="BJ262" s="474"/>
      <c r="BK262" s="475"/>
      <c r="BL262" s="475"/>
      <c r="BM262" s="475"/>
      <c r="BN262" s="475"/>
      <c r="BO262" s="476"/>
      <c r="BP262" s="474"/>
      <c r="BQ262" s="475"/>
      <c r="BR262" s="475"/>
      <c r="BS262" s="475"/>
      <c r="BT262" s="475"/>
      <c r="BU262" s="476"/>
      <c r="BV262" s="474"/>
      <c r="BW262" s="475"/>
      <c r="BX262" s="475"/>
      <c r="BY262" s="475"/>
      <c r="BZ262" s="475"/>
      <c r="CA262" s="476"/>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5.95" hidden="1" customHeight="1">
      <c r="A263" s="434">
        <v>43</v>
      </c>
      <c r="B263" s="36"/>
      <c r="C263" s="240" t="str">
        <f t="shared" ca="1" si="5"/>
        <v/>
      </c>
      <c r="D263" s="479"/>
      <c r="E263" s="480"/>
      <c r="F263" s="480"/>
      <c r="G263" s="480"/>
      <c r="H263" s="480"/>
      <c r="I263" s="480"/>
      <c r="J263" s="480"/>
      <c r="K263" s="438" t="s">
        <v>284</v>
      </c>
      <c r="L263" s="439"/>
      <c r="M263" s="439"/>
      <c r="N263" s="439"/>
      <c r="O263" s="439"/>
      <c r="P263" s="439"/>
      <c r="Q263" s="439"/>
      <c r="R263" s="442" t="s">
        <v>186</v>
      </c>
      <c r="S263" s="443"/>
      <c r="T263" s="442"/>
      <c r="U263" s="443"/>
      <c r="V263" s="438" t="s">
        <v>265</v>
      </c>
      <c r="W263" s="439"/>
      <c r="X263" s="439"/>
      <c r="Y263" s="439"/>
      <c r="Z263" s="439"/>
      <c r="AA263" s="439"/>
      <c r="AB263" s="439"/>
      <c r="AC263" s="439"/>
      <c r="AD263" s="438" t="s">
        <v>285</v>
      </c>
      <c r="AE263" s="439"/>
      <c r="AF263" s="439"/>
      <c r="AG263" s="439"/>
      <c r="AH263" s="439"/>
      <c r="AI263" s="439"/>
      <c r="AJ263" s="439"/>
      <c r="AK263" s="449"/>
      <c r="AL263" s="491" t="s">
        <v>277</v>
      </c>
      <c r="AM263" s="492"/>
      <c r="AN263" s="492"/>
      <c r="AO263" s="492"/>
      <c r="AP263" s="492"/>
      <c r="AQ263" s="492"/>
      <c r="AR263" s="493"/>
      <c r="AS263" s="438" t="s">
        <v>278</v>
      </c>
      <c r="AT263" s="439"/>
      <c r="AU263" s="439"/>
      <c r="AV263" s="439"/>
      <c r="AW263" s="439"/>
      <c r="AX263" s="439"/>
      <c r="AY263" s="449"/>
      <c r="AZ263" s="460"/>
      <c r="BA263" s="461"/>
      <c r="BB263" s="60">
        <v>1</v>
      </c>
      <c r="BC263" s="466"/>
      <c r="BD263" s="467"/>
      <c r="BE263" s="467"/>
      <c r="BF263" s="468"/>
      <c r="BG263" s="469"/>
      <c r="BH263" s="470"/>
      <c r="BI263" s="194"/>
      <c r="BJ263" s="471"/>
      <c r="BK263" s="472"/>
      <c r="BL263" s="472"/>
      <c r="BM263" s="472"/>
      <c r="BN263" s="472"/>
      <c r="BO263" s="473"/>
      <c r="BP263" s="471"/>
      <c r="BQ263" s="472"/>
      <c r="BR263" s="472"/>
      <c r="BS263" s="472"/>
      <c r="BT263" s="472"/>
      <c r="BU263" s="473"/>
      <c r="BV263" s="471"/>
      <c r="BW263" s="472"/>
      <c r="BX263" s="472"/>
      <c r="BY263" s="472"/>
      <c r="BZ263" s="472"/>
      <c r="CA263" s="473"/>
      <c r="CB263" s="466"/>
      <c r="CC263" s="467"/>
      <c r="CD263" s="467"/>
      <c r="CE263" s="468"/>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5" hidden="1">
      <c r="A264" s="435"/>
      <c r="B264" s="36"/>
      <c r="C264" s="199" t="str">
        <f t="shared" ca="1" si="5"/>
        <v/>
      </c>
      <c r="D264" s="479"/>
      <c r="E264" s="480"/>
      <c r="F264" s="480"/>
      <c r="G264" s="480"/>
      <c r="H264" s="480"/>
      <c r="I264" s="480"/>
      <c r="J264" s="480"/>
      <c r="K264" s="440"/>
      <c r="L264" s="441"/>
      <c r="M264" s="441"/>
      <c r="N264" s="441"/>
      <c r="O264" s="441"/>
      <c r="P264" s="441"/>
      <c r="Q264" s="441"/>
      <c r="R264" s="444"/>
      <c r="S264" s="445"/>
      <c r="T264" s="444"/>
      <c r="U264" s="445"/>
      <c r="V264" s="440"/>
      <c r="W264" s="441"/>
      <c r="X264" s="441"/>
      <c r="Y264" s="441"/>
      <c r="Z264" s="441"/>
      <c r="AA264" s="441"/>
      <c r="AB264" s="441"/>
      <c r="AC264" s="441"/>
      <c r="AD264" s="440"/>
      <c r="AE264" s="441"/>
      <c r="AF264" s="441"/>
      <c r="AG264" s="441"/>
      <c r="AH264" s="441"/>
      <c r="AI264" s="441"/>
      <c r="AJ264" s="441"/>
      <c r="AK264" s="450"/>
      <c r="AL264" s="494"/>
      <c r="AM264" s="495"/>
      <c r="AN264" s="495"/>
      <c r="AO264" s="495"/>
      <c r="AP264" s="495"/>
      <c r="AQ264" s="495"/>
      <c r="AR264" s="496"/>
      <c r="AS264" s="440"/>
      <c r="AT264" s="441"/>
      <c r="AU264" s="441"/>
      <c r="AV264" s="441"/>
      <c r="AW264" s="441"/>
      <c r="AX264" s="441"/>
      <c r="AY264" s="450"/>
      <c r="AZ264" s="462"/>
      <c r="BA264" s="463"/>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5" hidden="1">
      <c r="A265" s="435"/>
      <c r="B265" s="36"/>
      <c r="C265" s="199" t="str">
        <f t="shared" ca="1" si="5"/>
        <v/>
      </c>
      <c r="D265" s="479"/>
      <c r="E265" s="480"/>
      <c r="F265" s="480"/>
      <c r="G265" s="480"/>
      <c r="H265" s="480"/>
      <c r="I265" s="480"/>
      <c r="J265" s="480"/>
      <c r="K265" s="440"/>
      <c r="L265" s="441"/>
      <c r="M265" s="441"/>
      <c r="N265" s="441"/>
      <c r="O265" s="441"/>
      <c r="P265" s="441"/>
      <c r="Q265" s="441"/>
      <c r="R265" s="444"/>
      <c r="S265" s="445"/>
      <c r="T265" s="444"/>
      <c r="U265" s="445"/>
      <c r="V265" s="440"/>
      <c r="W265" s="441"/>
      <c r="X265" s="441"/>
      <c r="Y265" s="441"/>
      <c r="Z265" s="441"/>
      <c r="AA265" s="441"/>
      <c r="AB265" s="441"/>
      <c r="AC265" s="441"/>
      <c r="AD265" s="440"/>
      <c r="AE265" s="441"/>
      <c r="AF265" s="441"/>
      <c r="AG265" s="441"/>
      <c r="AH265" s="441"/>
      <c r="AI265" s="441"/>
      <c r="AJ265" s="441"/>
      <c r="AK265" s="450"/>
      <c r="AL265" s="494"/>
      <c r="AM265" s="495"/>
      <c r="AN265" s="495"/>
      <c r="AO265" s="495"/>
      <c r="AP265" s="495"/>
      <c r="AQ265" s="495"/>
      <c r="AR265" s="496"/>
      <c r="AS265" s="440"/>
      <c r="AT265" s="441"/>
      <c r="AU265" s="441"/>
      <c r="AV265" s="441"/>
      <c r="AW265" s="441"/>
      <c r="AX265" s="441"/>
      <c r="AY265" s="450"/>
      <c r="AZ265" s="462"/>
      <c r="BA265" s="463"/>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5" hidden="1">
      <c r="A266" s="435"/>
      <c r="B266" s="36"/>
      <c r="C266" s="199" t="str">
        <f t="shared" ca="1" si="5"/>
        <v/>
      </c>
      <c r="D266" s="479"/>
      <c r="E266" s="480"/>
      <c r="F266" s="480"/>
      <c r="G266" s="480"/>
      <c r="H266" s="480"/>
      <c r="I266" s="480"/>
      <c r="J266" s="480"/>
      <c r="K266" s="440"/>
      <c r="L266" s="441"/>
      <c r="M266" s="441"/>
      <c r="N266" s="441"/>
      <c r="O266" s="441"/>
      <c r="P266" s="441"/>
      <c r="Q266" s="441"/>
      <c r="R266" s="444"/>
      <c r="S266" s="445"/>
      <c r="T266" s="444"/>
      <c r="U266" s="445"/>
      <c r="V266" s="440"/>
      <c r="W266" s="441"/>
      <c r="X266" s="441"/>
      <c r="Y266" s="441"/>
      <c r="Z266" s="441"/>
      <c r="AA266" s="441"/>
      <c r="AB266" s="441"/>
      <c r="AC266" s="441"/>
      <c r="AD266" s="440"/>
      <c r="AE266" s="441"/>
      <c r="AF266" s="441"/>
      <c r="AG266" s="441"/>
      <c r="AH266" s="441"/>
      <c r="AI266" s="441"/>
      <c r="AJ266" s="441"/>
      <c r="AK266" s="450"/>
      <c r="AL266" s="494"/>
      <c r="AM266" s="495"/>
      <c r="AN266" s="495"/>
      <c r="AO266" s="495"/>
      <c r="AP266" s="495"/>
      <c r="AQ266" s="495"/>
      <c r="AR266" s="496"/>
      <c r="AS266" s="440"/>
      <c r="AT266" s="441"/>
      <c r="AU266" s="441"/>
      <c r="AV266" s="441"/>
      <c r="AW266" s="441"/>
      <c r="AX266" s="441"/>
      <c r="AY266" s="450"/>
      <c r="AZ266" s="462"/>
      <c r="BA266" s="463"/>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5" hidden="1">
      <c r="A267" s="435"/>
      <c r="B267" s="36"/>
      <c r="C267" s="199" t="str">
        <f t="shared" ca="1" si="5"/>
        <v/>
      </c>
      <c r="D267" s="479"/>
      <c r="E267" s="480"/>
      <c r="F267" s="480"/>
      <c r="G267" s="480"/>
      <c r="H267" s="480"/>
      <c r="I267" s="480"/>
      <c r="J267" s="480"/>
      <c r="K267" s="440"/>
      <c r="L267" s="441"/>
      <c r="M267" s="441"/>
      <c r="N267" s="441"/>
      <c r="O267" s="441"/>
      <c r="P267" s="441"/>
      <c r="Q267" s="441"/>
      <c r="R267" s="444"/>
      <c r="S267" s="445"/>
      <c r="T267" s="444"/>
      <c r="U267" s="445"/>
      <c r="V267" s="440"/>
      <c r="W267" s="441"/>
      <c r="X267" s="441"/>
      <c r="Y267" s="441"/>
      <c r="Z267" s="441"/>
      <c r="AA267" s="441"/>
      <c r="AB267" s="441"/>
      <c r="AC267" s="441"/>
      <c r="AD267" s="440"/>
      <c r="AE267" s="441"/>
      <c r="AF267" s="441"/>
      <c r="AG267" s="441"/>
      <c r="AH267" s="441"/>
      <c r="AI267" s="441"/>
      <c r="AJ267" s="441"/>
      <c r="AK267" s="450"/>
      <c r="AL267" s="494"/>
      <c r="AM267" s="495"/>
      <c r="AN267" s="495"/>
      <c r="AO267" s="495"/>
      <c r="AP267" s="495"/>
      <c r="AQ267" s="495"/>
      <c r="AR267" s="496"/>
      <c r="AS267" s="440"/>
      <c r="AT267" s="441"/>
      <c r="AU267" s="441"/>
      <c r="AV267" s="441"/>
      <c r="AW267" s="441"/>
      <c r="AX267" s="441"/>
      <c r="AY267" s="450"/>
      <c r="AZ267" s="462"/>
      <c r="BA267" s="463"/>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25.5" hidden="1" customHeight="1">
      <c r="A268" s="436"/>
      <c r="B268" s="37"/>
      <c r="C268" s="200" t="str">
        <f t="shared" ca="1" si="5"/>
        <v/>
      </c>
      <c r="D268" s="481"/>
      <c r="E268" s="482"/>
      <c r="F268" s="482"/>
      <c r="G268" s="482"/>
      <c r="H268" s="482"/>
      <c r="I268" s="482"/>
      <c r="J268" s="482"/>
      <c r="K268" s="409"/>
      <c r="L268" s="410"/>
      <c r="M268" s="410"/>
      <c r="N268" s="410"/>
      <c r="O268" s="410"/>
      <c r="P268" s="410"/>
      <c r="Q268" s="410"/>
      <c r="R268" s="446"/>
      <c r="S268" s="447"/>
      <c r="T268" s="446"/>
      <c r="U268" s="447"/>
      <c r="V268" s="409"/>
      <c r="W268" s="410"/>
      <c r="X268" s="410"/>
      <c r="Y268" s="410"/>
      <c r="Z268" s="410"/>
      <c r="AA268" s="410"/>
      <c r="AB268" s="410"/>
      <c r="AC268" s="410"/>
      <c r="AD268" s="409"/>
      <c r="AE268" s="410"/>
      <c r="AF268" s="410"/>
      <c r="AG268" s="410"/>
      <c r="AH268" s="410"/>
      <c r="AI268" s="410"/>
      <c r="AJ268" s="410"/>
      <c r="AK268" s="411"/>
      <c r="AL268" s="497"/>
      <c r="AM268" s="498"/>
      <c r="AN268" s="498"/>
      <c r="AO268" s="498"/>
      <c r="AP268" s="498"/>
      <c r="AQ268" s="498"/>
      <c r="AR268" s="499"/>
      <c r="AS268" s="409"/>
      <c r="AT268" s="410"/>
      <c r="AU268" s="410"/>
      <c r="AV268" s="410"/>
      <c r="AW268" s="410"/>
      <c r="AX268" s="410"/>
      <c r="AY268" s="411"/>
      <c r="AZ268" s="464"/>
      <c r="BA268" s="465"/>
      <c r="BB268" s="62">
        <v>6</v>
      </c>
      <c r="BC268" s="426"/>
      <c r="BD268" s="427"/>
      <c r="BE268" s="427"/>
      <c r="BF268" s="428"/>
      <c r="BG268" s="429"/>
      <c r="BH268" s="430"/>
      <c r="BI268" s="196"/>
      <c r="BJ268" s="474"/>
      <c r="BK268" s="475"/>
      <c r="BL268" s="475"/>
      <c r="BM268" s="475"/>
      <c r="BN268" s="475"/>
      <c r="BO268" s="476"/>
      <c r="BP268" s="474"/>
      <c r="BQ268" s="475"/>
      <c r="BR268" s="475"/>
      <c r="BS268" s="475"/>
      <c r="BT268" s="475"/>
      <c r="BU268" s="476"/>
      <c r="BV268" s="474"/>
      <c r="BW268" s="475"/>
      <c r="BX268" s="475"/>
      <c r="BY268" s="475"/>
      <c r="BZ268" s="475"/>
      <c r="CA268" s="476"/>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5" hidden="1" customHeight="1">
      <c r="A269" s="434">
        <v>44</v>
      </c>
      <c r="B269" s="36"/>
      <c r="C269" s="198" t="str">
        <f t="shared" ca="1" si="5"/>
        <v/>
      </c>
      <c r="D269" s="477" t="s">
        <v>286</v>
      </c>
      <c r="E269" s="478"/>
      <c r="F269" s="478"/>
      <c r="G269" s="478"/>
      <c r="H269" s="478"/>
      <c r="I269" s="478"/>
      <c r="J269" s="478"/>
      <c r="K269" s="438" t="s">
        <v>287</v>
      </c>
      <c r="L269" s="439"/>
      <c r="M269" s="439"/>
      <c r="N269" s="439"/>
      <c r="O269" s="439"/>
      <c r="P269" s="439"/>
      <c r="Q269" s="439"/>
      <c r="R269" s="442" t="s">
        <v>186</v>
      </c>
      <c r="S269" s="443"/>
      <c r="T269" s="442"/>
      <c r="U269" s="443"/>
      <c r="V269" s="438" t="s">
        <v>265</v>
      </c>
      <c r="W269" s="439"/>
      <c r="X269" s="439"/>
      <c r="Y269" s="439"/>
      <c r="Z269" s="439"/>
      <c r="AA269" s="439"/>
      <c r="AB269" s="439"/>
      <c r="AC269" s="439"/>
      <c r="AD269" s="438" t="s">
        <v>288</v>
      </c>
      <c r="AE269" s="439"/>
      <c r="AF269" s="439"/>
      <c r="AG269" s="439"/>
      <c r="AH269" s="439"/>
      <c r="AI269" s="439"/>
      <c r="AJ269" s="439"/>
      <c r="AK269" s="449"/>
      <c r="AL269" s="491" t="s">
        <v>277</v>
      </c>
      <c r="AM269" s="492"/>
      <c r="AN269" s="492"/>
      <c r="AO269" s="492"/>
      <c r="AP269" s="492"/>
      <c r="AQ269" s="492"/>
      <c r="AR269" s="493"/>
      <c r="AS269" s="438" t="s">
        <v>278</v>
      </c>
      <c r="AT269" s="439"/>
      <c r="AU269" s="439"/>
      <c r="AV269" s="439"/>
      <c r="AW269" s="439"/>
      <c r="AX269" s="439"/>
      <c r="AY269" s="449"/>
      <c r="AZ269" s="460"/>
      <c r="BA269" s="461"/>
      <c r="BB269" s="60">
        <v>1</v>
      </c>
      <c r="BC269" s="466"/>
      <c r="BD269" s="467"/>
      <c r="BE269" s="467"/>
      <c r="BF269" s="468"/>
      <c r="BG269" s="469"/>
      <c r="BH269" s="470"/>
      <c r="BI269" s="194"/>
      <c r="BJ269" s="471"/>
      <c r="BK269" s="472"/>
      <c r="BL269" s="472"/>
      <c r="BM269" s="472"/>
      <c r="BN269" s="472"/>
      <c r="BO269" s="473"/>
      <c r="BP269" s="471"/>
      <c r="BQ269" s="472"/>
      <c r="BR269" s="472"/>
      <c r="BS269" s="472"/>
      <c r="BT269" s="472"/>
      <c r="BU269" s="473"/>
      <c r="BV269" s="471"/>
      <c r="BW269" s="472"/>
      <c r="BX269" s="472"/>
      <c r="BY269" s="472"/>
      <c r="BZ269" s="472"/>
      <c r="CA269" s="473"/>
      <c r="CB269" s="466"/>
      <c r="CC269" s="467"/>
      <c r="CD269" s="467"/>
      <c r="CE269" s="468"/>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5" hidden="1">
      <c r="A270" s="435"/>
      <c r="B270" s="36"/>
      <c r="C270" s="199" t="str">
        <f t="shared" ca="1" si="5"/>
        <v/>
      </c>
      <c r="D270" s="479"/>
      <c r="E270" s="480"/>
      <c r="F270" s="480"/>
      <c r="G270" s="480"/>
      <c r="H270" s="480"/>
      <c r="I270" s="480"/>
      <c r="J270" s="480"/>
      <c r="K270" s="440"/>
      <c r="L270" s="441"/>
      <c r="M270" s="441"/>
      <c r="N270" s="441"/>
      <c r="O270" s="441"/>
      <c r="P270" s="441"/>
      <c r="Q270" s="441"/>
      <c r="R270" s="444"/>
      <c r="S270" s="445"/>
      <c r="T270" s="444"/>
      <c r="U270" s="445"/>
      <c r="V270" s="440"/>
      <c r="W270" s="441"/>
      <c r="X270" s="441"/>
      <c r="Y270" s="441"/>
      <c r="Z270" s="441"/>
      <c r="AA270" s="441"/>
      <c r="AB270" s="441"/>
      <c r="AC270" s="441"/>
      <c r="AD270" s="440"/>
      <c r="AE270" s="441"/>
      <c r="AF270" s="441"/>
      <c r="AG270" s="441"/>
      <c r="AH270" s="441"/>
      <c r="AI270" s="441"/>
      <c r="AJ270" s="441"/>
      <c r="AK270" s="450"/>
      <c r="AL270" s="494"/>
      <c r="AM270" s="495"/>
      <c r="AN270" s="495"/>
      <c r="AO270" s="495"/>
      <c r="AP270" s="495"/>
      <c r="AQ270" s="495"/>
      <c r="AR270" s="496"/>
      <c r="AS270" s="440"/>
      <c r="AT270" s="441"/>
      <c r="AU270" s="441"/>
      <c r="AV270" s="441"/>
      <c r="AW270" s="441"/>
      <c r="AX270" s="441"/>
      <c r="AY270" s="450"/>
      <c r="AZ270" s="462"/>
      <c r="BA270" s="463"/>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5" hidden="1">
      <c r="A271" s="435"/>
      <c r="B271" s="36"/>
      <c r="C271" s="199" t="str">
        <f t="shared" ca="1" si="5"/>
        <v/>
      </c>
      <c r="D271" s="479"/>
      <c r="E271" s="480"/>
      <c r="F271" s="480"/>
      <c r="G271" s="480"/>
      <c r="H271" s="480"/>
      <c r="I271" s="480"/>
      <c r="J271" s="480"/>
      <c r="K271" s="440"/>
      <c r="L271" s="441"/>
      <c r="M271" s="441"/>
      <c r="N271" s="441"/>
      <c r="O271" s="441"/>
      <c r="P271" s="441"/>
      <c r="Q271" s="441"/>
      <c r="R271" s="444"/>
      <c r="S271" s="445"/>
      <c r="T271" s="444"/>
      <c r="U271" s="445"/>
      <c r="V271" s="440"/>
      <c r="W271" s="441"/>
      <c r="X271" s="441"/>
      <c r="Y271" s="441"/>
      <c r="Z271" s="441"/>
      <c r="AA271" s="441"/>
      <c r="AB271" s="441"/>
      <c r="AC271" s="441"/>
      <c r="AD271" s="440"/>
      <c r="AE271" s="441"/>
      <c r="AF271" s="441"/>
      <c r="AG271" s="441"/>
      <c r="AH271" s="441"/>
      <c r="AI271" s="441"/>
      <c r="AJ271" s="441"/>
      <c r="AK271" s="450"/>
      <c r="AL271" s="494"/>
      <c r="AM271" s="495"/>
      <c r="AN271" s="495"/>
      <c r="AO271" s="495"/>
      <c r="AP271" s="495"/>
      <c r="AQ271" s="495"/>
      <c r="AR271" s="496"/>
      <c r="AS271" s="440"/>
      <c r="AT271" s="441"/>
      <c r="AU271" s="441"/>
      <c r="AV271" s="441"/>
      <c r="AW271" s="441"/>
      <c r="AX271" s="441"/>
      <c r="AY271" s="450"/>
      <c r="AZ271" s="462"/>
      <c r="BA271" s="463"/>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5" hidden="1">
      <c r="A272" s="435"/>
      <c r="B272" s="36"/>
      <c r="C272" s="199" t="str">
        <f t="shared" ca="1" si="5"/>
        <v/>
      </c>
      <c r="D272" s="479"/>
      <c r="E272" s="480"/>
      <c r="F272" s="480"/>
      <c r="G272" s="480"/>
      <c r="H272" s="480"/>
      <c r="I272" s="480"/>
      <c r="J272" s="480"/>
      <c r="K272" s="440"/>
      <c r="L272" s="441"/>
      <c r="M272" s="441"/>
      <c r="N272" s="441"/>
      <c r="O272" s="441"/>
      <c r="P272" s="441"/>
      <c r="Q272" s="441"/>
      <c r="R272" s="444"/>
      <c r="S272" s="445"/>
      <c r="T272" s="444"/>
      <c r="U272" s="445"/>
      <c r="V272" s="440"/>
      <c r="W272" s="441"/>
      <c r="X272" s="441"/>
      <c r="Y272" s="441"/>
      <c r="Z272" s="441"/>
      <c r="AA272" s="441"/>
      <c r="AB272" s="441"/>
      <c r="AC272" s="441"/>
      <c r="AD272" s="440"/>
      <c r="AE272" s="441"/>
      <c r="AF272" s="441"/>
      <c r="AG272" s="441"/>
      <c r="AH272" s="441"/>
      <c r="AI272" s="441"/>
      <c r="AJ272" s="441"/>
      <c r="AK272" s="450"/>
      <c r="AL272" s="494"/>
      <c r="AM272" s="495"/>
      <c r="AN272" s="495"/>
      <c r="AO272" s="495"/>
      <c r="AP272" s="495"/>
      <c r="AQ272" s="495"/>
      <c r="AR272" s="496"/>
      <c r="AS272" s="440"/>
      <c r="AT272" s="441"/>
      <c r="AU272" s="441"/>
      <c r="AV272" s="441"/>
      <c r="AW272" s="441"/>
      <c r="AX272" s="441"/>
      <c r="AY272" s="450"/>
      <c r="AZ272" s="462"/>
      <c r="BA272" s="463"/>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5" hidden="1">
      <c r="A273" s="435"/>
      <c r="B273" s="36"/>
      <c r="C273" s="199" t="str">
        <f t="shared" ca="1" si="5"/>
        <v/>
      </c>
      <c r="D273" s="479"/>
      <c r="E273" s="480"/>
      <c r="F273" s="480"/>
      <c r="G273" s="480"/>
      <c r="H273" s="480"/>
      <c r="I273" s="480"/>
      <c r="J273" s="480"/>
      <c r="K273" s="440"/>
      <c r="L273" s="441"/>
      <c r="M273" s="441"/>
      <c r="N273" s="441"/>
      <c r="O273" s="441"/>
      <c r="P273" s="441"/>
      <c r="Q273" s="441"/>
      <c r="R273" s="444"/>
      <c r="S273" s="445"/>
      <c r="T273" s="444"/>
      <c r="U273" s="445"/>
      <c r="V273" s="440"/>
      <c r="W273" s="441"/>
      <c r="X273" s="441"/>
      <c r="Y273" s="441"/>
      <c r="Z273" s="441"/>
      <c r="AA273" s="441"/>
      <c r="AB273" s="441"/>
      <c r="AC273" s="441"/>
      <c r="AD273" s="440"/>
      <c r="AE273" s="441"/>
      <c r="AF273" s="441"/>
      <c r="AG273" s="441"/>
      <c r="AH273" s="441"/>
      <c r="AI273" s="441"/>
      <c r="AJ273" s="441"/>
      <c r="AK273" s="450"/>
      <c r="AL273" s="494"/>
      <c r="AM273" s="495"/>
      <c r="AN273" s="495"/>
      <c r="AO273" s="495"/>
      <c r="AP273" s="495"/>
      <c r="AQ273" s="495"/>
      <c r="AR273" s="496"/>
      <c r="AS273" s="440"/>
      <c r="AT273" s="441"/>
      <c r="AU273" s="441"/>
      <c r="AV273" s="441"/>
      <c r="AW273" s="441"/>
      <c r="AX273" s="441"/>
      <c r="AY273" s="450"/>
      <c r="AZ273" s="462"/>
      <c r="BA273" s="463"/>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5" hidden="1">
      <c r="A274" s="436"/>
      <c r="B274" s="37"/>
      <c r="C274" s="200" t="str">
        <f t="shared" ca="1" si="5"/>
        <v/>
      </c>
      <c r="D274" s="481"/>
      <c r="E274" s="482"/>
      <c r="F274" s="482"/>
      <c r="G274" s="482"/>
      <c r="H274" s="482"/>
      <c r="I274" s="482"/>
      <c r="J274" s="482"/>
      <c r="K274" s="409"/>
      <c r="L274" s="410"/>
      <c r="M274" s="410"/>
      <c r="N274" s="410"/>
      <c r="O274" s="410"/>
      <c r="P274" s="410"/>
      <c r="Q274" s="410"/>
      <c r="R274" s="446"/>
      <c r="S274" s="447"/>
      <c r="T274" s="446"/>
      <c r="U274" s="447"/>
      <c r="V274" s="409"/>
      <c r="W274" s="410"/>
      <c r="X274" s="410"/>
      <c r="Y274" s="410"/>
      <c r="Z274" s="410"/>
      <c r="AA274" s="410"/>
      <c r="AB274" s="410"/>
      <c r="AC274" s="410"/>
      <c r="AD274" s="409"/>
      <c r="AE274" s="410"/>
      <c r="AF274" s="410"/>
      <c r="AG274" s="410"/>
      <c r="AH274" s="410"/>
      <c r="AI274" s="410"/>
      <c r="AJ274" s="410"/>
      <c r="AK274" s="411"/>
      <c r="AL274" s="497"/>
      <c r="AM274" s="498"/>
      <c r="AN274" s="498"/>
      <c r="AO274" s="498"/>
      <c r="AP274" s="498"/>
      <c r="AQ274" s="498"/>
      <c r="AR274" s="499"/>
      <c r="AS274" s="409"/>
      <c r="AT274" s="410"/>
      <c r="AU274" s="410"/>
      <c r="AV274" s="410"/>
      <c r="AW274" s="410"/>
      <c r="AX274" s="410"/>
      <c r="AY274" s="411"/>
      <c r="AZ274" s="464"/>
      <c r="BA274" s="465"/>
      <c r="BB274" s="62">
        <v>6</v>
      </c>
      <c r="BC274" s="613"/>
      <c r="BD274" s="614"/>
      <c r="BE274" s="614"/>
      <c r="BF274" s="615"/>
      <c r="BG274" s="616"/>
      <c r="BH274" s="617"/>
      <c r="BI274" s="196"/>
      <c r="BJ274" s="474"/>
      <c r="BK274" s="475"/>
      <c r="BL274" s="475"/>
      <c r="BM274" s="475"/>
      <c r="BN274" s="475"/>
      <c r="BO274" s="476"/>
      <c r="BP274" s="474"/>
      <c r="BQ274" s="475"/>
      <c r="BR274" s="475"/>
      <c r="BS274" s="475"/>
      <c r="BT274" s="475"/>
      <c r="BU274" s="476"/>
      <c r="BV274" s="474"/>
      <c r="BW274" s="475"/>
      <c r="BX274" s="475"/>
      <c r="BY274" s="475"/>
      <c r="BZ274" s="475"/>
      <c r="CA274" s="476"/>
      <c r="CB274" s="613"/>
      <c r="CC274" s="614"/>
      <c r="CD274" s="614"/>
      <c r="CE274" s="615"/>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5" hidden="1" customHeight="1">
      <c r="A275" s="434">
        <v>45</v>
      </c>
      <c r="B275" s="36"/>
      <c r="C275" s="198" t="str">
        <f t="shared" ca="1" si="5"/>
        <v/>
      </c>
      <c r="D275" s="477"/>
      <c r="E275" s="478"/>
      <c r="F275" s="478"/>
      <c r="G275" s="478"/>
      <c r="H275" s="478"/>
      <c r="I275" s="478"/>
      <c r="J275" s="478"/>
      <c r="K275" s="438" t="s">
        <v>289</v>
      </c>
      <c r="L275" s="439"/>
      <c r="M275" s="439"/>
      <c r="N275" s="439"/>
      <c r="O275" s="439"/>
      <c r="P275" s="439"/>
      <c r="Q275" s="439"/>
      <c r="R275" s="442" t="s">
        <v>186</v>
      </c>
      <c r="S275" s="443"/>
      <c r="T275" s="442"/>
      <c r="U275" s="443"/>
      <c r="V275" s="438" t="s">
        <v>265</v>
      </c>
      <c r="W275" s="439"/>
      <c r="X275" s="439"/>
      <c r="Y275" s="439"/>
      <c r="Z275" s="439"/>
      <c r="AA275" s="439"/>
      <c r="AB275" s="439"/>
      <c r="AC275" s="439"/>
      <c r="AD275" s="438" t="s">
        <v>290</v>
      </c>
      <c r="AE275" s="439"/>
      <c r="AF275" s="439"/>
      <c r="AG275" s="439"/>
      <c r="AH275" s="439"/>
      <c r="AI275" s="439"/>
      <c r="AJ275" s="439"/>
      <c r="AK275" s="449"/>
      <c r="AL275" s="491" t="s">
        <v>277</v>
      </c>
      <c r="AM275" s="492"/>
      <c r="AN275" s="492"/>
      <c r="AO275" s="492"/>
      <c r="AP275" s="492"/>
      <c r="AQ275" s="492"/>
      <c r="AR275" s="493"/>
      <c r="AS275" s="438" t="s">
        <v>278</v>
      </c>
      <c r="AT275" s="439"/>
      <c r="AU275" s="439"/>
      <c r="AV275" s="439"/>
      <c r="AW275" s="439"/>
      <c r="AX275" s="439"/>
      <c r="AY275" s="449"/>
      <c r="AZ275" s="460"/>
      <c r="BA275" s="461"/>
      <c r="BB275" s="60">
        <v>1</v>
      </c>
      <c r="BC275" s="466"/>
      <c r="BD275" s="467"/>
      <c r="BE275" s="467"/>
      <c r="BF275" s="468"/>
      <c r="BG275" s="469"/>
      <c r="BH275" s="470"/>
      <c r="BI275" s="194"/>
      <c r="BJ275" s="471"/>
      <c r="BK275" s="472"/>
      <c r="BL275" s="472"/>
      <c r="BM275" s="472"/>
      <c r="BN275" s="472"/>
      <c r="BO275" s="473"/>
      <c r="BP275" s="471"/>
      <c r="BQ275" s="472"/>
      <c r="BR275" s="472"/>
      <c r="BS275" s="472"/>
      <c r="BT275" s="472"/>
      <c r="BU275" s="473"/>
      <c r="BV275" s="471"/>
      <c r="BW275" s="472"/>
      <c r="BX275" s="472"/>
      <c r="BY275" s="472"/>
      <c r="BZ275" s="472"/>
      <c r="CA275" s="473"/>
      <c r="CB275" s="466"/>
      <c r="CC275" s="467"/>
      <c r="CD275" s="467"/>
      <c r="CE275" s="468"/>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5" hidden="1">
      <c r="A276" s="435"/>
      <c r="B276" s="36"/>
      <c r="C276" s="199" t="str">
        <f t="shared" ca="1" si="5"/>
        <v/>
      </c>
      <c r="D276" s="479"/>
      <c r="E276" s="480"/>
      <c r="F276" s="480"/>
      <c r="G276" s="480"/>
      <c r="H276" s="480"/>
      <c r="I276" s="480"/>
      <c r="J276" s="480"/>
      <c r="K276" s="440"/>
      <c r="L276" s="441"/>
      <c r="M276" s="441"/>
      <c r="N276" s="441"/>
      <c r="O276" s="441"/>
      <c r="P276" s="441"/>
      <c r="Q276" s="441"/>
      <c r="R276" s="444"/>
      <c r="S276" s="445"/>
      <c r="T276" s="444"/>
      <c r="U276" s="445"/>
      <c r="V276" s="440"/>
      <c r="W276" s="441"/>
      <c r="X276" s="441"/>
      <c r="Y276" s="441"/>
      <c r="Z276" s="441"/>
      <c r="AA276" s="441"/>
      <c r="AB276" s="441"/>
      <c r="AC276" s="441"/>
      <c r="AD276" s="440"/>
      <c r="AE276" s="441"/>
      <c r="AF276" s="441"/>
      <c r="AG276" s="441"/>
      <c r="AH276" s="441"/>
      <c r="AI276" s="441"/>
      <c r="AJ276" s="441"/>
      <c r="AK276" s="450"/>
      <c r="AL276" s="494"/>
      <c r="AM276" s="495"/>
      <c r="AN276" s="495"/>
      <c r="AO276" s="495"/>
      <c r="AP276" s="495"/>
      <c r="AQ276" s="495"/>
      <c r="AR276" s="496"/>
      <c r="AS276" s="440"/>
      <c r="AT276" s="441"/>
      <c r="AU276" s="441"/>
      <c r="AV276" s="441"/>
      <c r="AW276" s="441"/>
      <c r="AX276" s="441"/>
      <c r="AY276" s="450"/>
      <c r="AZ276" s="462"/>
      <c r="BA276" s="463"/>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5" hidden="1">
      <c r="A277" s="435"/>
      <c r="B277" s="36"/>
      <c r="C277" s="199" t="str">
        <f t="shared" ca="1" si="5"/>
        <v/>
      </c>
      <c r="D277" s="479"/>
      <c r="E277" s="480"/>
      <c r="F277" s="480"/>
      <c r="G277" s="480"/>
      <c r="H277" s="480"/>
      <c r="I277" s="480"/>
      <c r="J277" s="480"/>
      <c r="K277" s="440"/>
      <c r="L277" s="441"/>
      <c r="M277" s="441"/>
      <c r="N277" s="441"/>
      <c r="O277" s="441"/>
      <c r="P277" s="441"/>
      <c r="Q277" s="441"/>
      <c r="R277" s="444"/>
      <c r="S277" s="445"/>
      <c r="T277" s="444"/>
      <c r="U277" s="445"/>
      <c r="V277" s="440"/>
      <c r="W277" s="441"/>
      <c r="X277" s="441"/>
      <c r="Y277" s="441"/>
      <c r="Z277" s="441"/>
      <c r="AA277" s="441"/>
      <c r="AB277" s="441"/>
      <c r="AC277" s="441"/>
      <c r="AD277" s="440"/>
      <c r="AE277" s="441"/>
      <c r="AF277" s="441"/>
      <c r="AG277" s="441"/>
      <c r="AH277" s="441"/>
      <c r="AI277" s="441"/>
      <c r="AJ277" s="441"/>
      <c r="AK277" s="450"/>
      <c r="AL277" s="494"/>
      <c r="AM277" s="495"/>
      <c r="AN277" s="495"/>
      <c r="AO277" s="495"/>
      <c r="AP277" s="495"/>
      <c r="AQ277" s="495"/>
      <c r="AR277" s="496"/>
      <c r="AS277" s="440"/>
      <c r="AT277" s="441"/>
      <c r="AU277" s="441"/>
      <c r="AV277" s="441"/>
      <c r="AW277" s="441"/>
      <c r="AX277" s="441"/>
      <c r="AY277" s="450"/>
      <c r="AZ277" s="462"/>
      <c r="BA277" s="463"/>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5" hidden="1">
      <c r="A278" s="435"/>
      <c r="B278" s="36"/>
      <c r="C278" s="199" t="str">
        <f t="shared" ca="1" si="5"/>
        <v/>
      </c>
      <c r="D278" s="479"/>
      <c r="E278" s="480"/>
      <c r="F278" s="480"/>
      <c r="G278" s="480"/>
      <c r="H278" s="480"/>
      <c r="I278" s="480"/>
      <c r="J278" s="480"/>
      <c r="K278" s="440"/>
      <c r="L278" s="441"/>
      <c r="M278" s="441"/>
      <c r="N278" s="441"/>
      <c r="O278" s="441"/>
      <c r="P278" s="441"/>
      <c r="Q278" s="441"/>
      <c r="R278" s="444"/>
      <c r="S278" s="445"/>
      <c r="T278" s="444"/>
      <c r="U278" s="445"/>
      <c r="V278" s="440"/>
      <c r="W278" s="441"/>
      <c r="X278" s="441"/>
      <c r="Y278" s="441"/>
      <c r="Z278" s="441"/>
      <c r="AA278" s="441"/>
      <c r="AB278" s="441"/>
      <c r="AC278" s="441"/>
      <c r="AD278" s="440"/>
      <c r="AE278" s="441"/>
      <c r="AF278" s="441"/>
      <c r="AG278" s="441"/>
      <c r="AH278" s="441"/>
      <c r="AI278" s="441"/>
      <c r="AJ278" s="441"/>
      <c r="AK278" s="450"/>
      <c r="AL278" s="494"/>
      <c r="AM278" s="495"/>
      <c r="AN278" s="495"/>
      <c r="AO278" s="495"/>
      <c r="AP278" s="495"/>
      <c r="AQ278" s="495"/>
      <c r="AR278" s="496"/>
      <c r="AS278" s="440"/>
      <c r="AT278" s="441"/>
      <c r="AU278" s="441"/>
      <c r="AV278" s="441"/>
      <c r="AW278" s="441"/>
      <c r="AX278" s="441"/>
      <c r="AY278" s="450"/>
      <c r="AZ278" s="462"/>
      <c r="BA278" s="463"/>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5" hidden="1">
      <c r="A279" s="435"/>
      <c r="B279" s="36"/>
      <c r="C279" s="199" t="str">
        <f t="shared" ca="1" si="5"/>
        <v/>
      </c>
      <c r="D279" s="479"/>
      <c r="E279" s="480"/>
      <c r="F279" s="480"/>
      <c r="G279" s="480"/>
      <c r="H279" s="480"/>
      <c r="I279" s="480"/>
      <c r="J279" s="480"/>
      <c r="K279" s="440"/>
      <c r="L279" s="441"/>
      <c r="M279" s="441"/>
      <c r="N279" s="441"/>
      <c r="O279" s="441"/>
      <c r="P279" s="441"/>
      <c r="Q279" s="441"/>
      <c r="R279" s="444"/>
      <c r="S279" s="445"/>
      <c r="T279" s="444"/>
      <c r="U279" s="445"/>
      <c r="V279" s="440"/>
      <c r="W279" s="441"/>
      <c r="X279" s="441"/>
      <c r="Y279" s="441"/>
      <c r="Z279" s="441"/>
      <c r="AA279" s="441"/>
      <c r="AB279" s="441"/>
      <c r="AC279" s="441"/>
      <c r="AD279" s="440"/>
      <c r="AE279" s="441"/>
      <c r="AF279" s="441"/>
      <c r="AG279" s="441"/>
      <c r="AH279" s="441"/>
      <c r="AI279" s="441"/>
      <c r="AJ279" s="441"/>
      <c r="AK279" s="450"/>
      <c r="AL279" s="494"/>
      <c r="AM279" s="495"/>
      <c r="AN279" s="495"/>
      <c r="AO279" s="495"/>
      <c r="AP279" s="495"/>
      <c r="AQ279" s="495"/>
      <c r="AR279" s="496"/>
      <c r="AS279" s="440"/>
      <c r="AT279" s="441"/>
      <c r="AU279" s="441"/>
      <c r="AV279" s="441"/>
      <c r="AW279" s="441"/>
      <c r="AX279" s="441"/>
      <c r="AY279" s="450"/>
      <c r="AZ279" s="462"/>
      <c r="BA279" s="463"/>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24.75" hidden="1" customHeight="1">
      <c r="A280" s="436"/>
      <c r="B280" s="37"/>
      <c r="C280" s="200" t="str">
        <f t="shared" ca="1" si="5"/>
        <v/>
      </c>
      <c r="D280" s="481"/>
      <c r="E280" s="482"/>
      <c r="F280" s="482"/>
      <c r="G280" s="482"/>
      <c r="H280" s="482"/>
      <c r="I280" s="482"/>
      <c r="J280" s="482"/>
      <c r="K280" s="409"/>
      <c r="L280" s="410"/>
      <c r="M280" s="410"/>
      <c r="N280" s="410"/>
      <c r="O280" s="410"/>
      <c r="P280" s="410"/>
      <c r="Q280" s="410"/>
      <c r="R280" s="446"/>
      <c r="S280" s="447"/>
      <c r="T280" s="446"/>
      <c r="U280" s="447"/>
      <c r="V280" s="409"/>
      <c r="W280" s="410"/>
      <c r="X280" s="410"/>
      <c r="Y280" s="410"/>
      <c r="Z280" s="410"/>
      <c r="AA280" s="410"/>
      <c r="AB280" s="410"/>
      <c r="AC280" s="410"/>
      <c r="AD280" s="409"/>
      <c r="AE280" s="410"/>
      <c r="AF280" s="410"/>
      <c r="AG280" s="410"/>
      <c r="AH280" s="410"/>
      <c r="AI280" s="410"/>
      <c r="AJ280" s="410"/>
      <c r="AK280" s="411"/>
      <c r="AL280" s="497"/>
      <c r="AM280" s="498"/>
      <c r="AN280" s="498"/>
      <c r="AO280" s="498"/>
      <c r="AP280" s="498"/>
      <c r="AQ280" s="498"/>
      <c r="AR280" s="499"/>
      <c r="AS280" s="409"/>
      <c r="AT280" s="410"/>
      <c r="AU280" s="410"/>
      <c r="AV280" s="410"/>
      <c r="AW280" s="410"/>
      <c r="AX280" s="410"/>
      <c r="AY280" s="411"/>
      <c r="AZ280" s="464"/>
      <c r="BA280" s="465"/>
      <c r="BB280" s="62">
        <v>6</v>
      </c>
      <c r="BC280" s="613"/>
      <c r="BD280" s="614"/>
      <c r="BE280" s="614"/>
      <c r="BF280" s="615"/>
      <c r="BG280" s="616"/>
      <c r="BH280" s="617"/>
      <c r="BI280" s="196"/>
      <c r="BJ280" s="474"/>
      <c r="BK280" s="475"/>
      <c r="BL280" s="475"/>
      <c r="BM280" s="475"/>
      <c r="BN280" s="475"/>
      <c r="BO280" s="476"/>
      <c r="BP280" s="474"/>
      <c r="BQ280" s="475"/>
      <c r="BR280" s="475"/>
      <c r="BS280" s="475"/>
      <c r="BT280" s="475"/>
      <c r="BU280" s="476"/>
      <c r="BV280" s="474"/>
      <c r="BW280" s="475"/>
      <c r="BX280" s="475"/>
      <c r="BY280" s="475"/>
      <c r="BZ280" s="475"/>
      <c r="CA280" s="476"/>
      <c r="CB280" s="613"/>
      <c r="CC280" s="614"/>
      <c r="CD280" s="614"/>
      <c r="CE280" s="615"/>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5" hidden="1" customHeight="1">
      <c r="A281" s="434">
        <v>46</v>
      </c>
      <c r="B281" s="36"/>
      <c r="C281" s="198" t="str">
        <f t="shared" ca="1" si="5"/>
        <v/>
      </c>
      <c r="D281" s="477"/>
      <c r="E281" s="478"/>
      <c r="F281" s="478"/>
      <c r="G281" s="478"/>
      <c r="H281" s="478"/>
      <c r="I281" s="478"/>
      <c r="J281" s="478"/>
      <c r="K281" s="438" t="s">
        <v>291</v>
      </c>
      <c r="L281" s="439"/>
      <c r="M281" s="439"/>
      <c r="N281" s="439"/>
      <c r="O281" s="439"/>
      <c r="P281" s="439"/>
      <c r="Q281" s="439"/>
      <c r="R281" s="442" t="s">
        <v>186</v>
      </c>
      <c r="S281" s="443"/>
      <c r="T281" s="442"/>
      <c r="U281" s="443"/>
      <c r="V281" s="438" t="s">
        <v>265</v>
      </c>
      <c r="W281" s="439"/>
      <c r="X281" s="439"/>
      <c r="Y281" s="439"/>
      <c r="Z281" s="439"/>
      <c r="AA281" s="439"/>
      <c r="AB281" s="439"/>
      <c r="AC281" s="439"/>
      <c r="AD281" s="438" t="s">
        <v>292</v>
      </c>
      <c r="AE281" s="439"/>
      <c r="AF281" s="439"/>
      <c r="AG281" s="439"/>
      <c r="AH281" s="439"/>
      <c r="AI281" s="439"/>
      <c r="AJ281" s="439"/>
      <c r="AK281" s="449"/>
      <c r="AL281" s="491" t="s">
        <v>277</v>
      </c>
      <c r="AM281" s="492"/>
      <c r="AN281" s="492"/>
      <c r="AO281" s="492"/>
      <c r="AP281" s="492"/>
      <c r="AQ281" s="492"/>
      <c r="AR281" s="493"/>
      <c r="AS281" s="438" t="s">
        <v>278</v>
      </c>
      <c r="AT281" s="439"/>
      <c r="AU281" s="439"/>
      <c r="AV281" s="439"/>
      <c r="AW281" s="439"/>
      <c r="AX281" s="439"/>
      <c r="AY281" s="449"/>
      <c r="AZ281" s="460"/>
      <c r="BA281" s="461"/>
      <c r="BB281" s="60">
        <v>1</v>
      </c>
      <c r="BC281" s="466"/>
      <c r="BD281" s="467"/>
      <c r="BE281" s="467"/>
      <c r="BF281" s="468"/>
      <c r="BG281" s="469"/>
      <c r="BH281" s="470"/>
      <c r="BI281" s="194"/>
      <c r="BJ281" s="471"/>
      <c r="BK281" s="472"/>
      <c r="BL281" s="472"/>
      <c r="BM281" s="472"/>
      <c r="BN281" s="472"/>
      <c r="BO281" s="473"/>
      <c r="BP281" s="471"/>
      <c r="BQ281" s="472"/>
      <c r="BR281" s="472"/>
      <c r="BS281" s="472"/>
      <c r="BT281" s="472"/>
      <c r="BU281" s="473"/>
      <c r="BV281" s="471"/>
      <c r="BW281" s="472"/>
      <c r="BX281" s="472"/>
      <c r="BY281" s="472"/>
      <c r="BZ281" s="472"/>
      <c r="CA281" s="473"/>
      <c r="CB281" s="466"/>
      <c r="CC281" s="467"/>
      <c r="CD281" s="467"/>
      <c r="CE281" s="468"/>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5" hidden="1">
      <c r="A282" s="435"/>
      <c r="B282" s="36"/>
      <c r="C282" s="199" t="str">
        <f t="shared" ca="1" si="5"/>
        <v/>
      </c>
      <c r="D282" s="479"/>
      <c r="E282" s="480"/>
      <c r="F282" s="480"/>
      <c r="G282" s="480"/>
      <c r="H282" s="480"/>
      <c r="I282" s="480"/>
      <c r="J282" s="480"/>
      <c r="K282" s="440"/>
      <c r="L282" s="441"/>
      <c r="M282" s="441"/>
      <c r="N282" s="441"/>
      <c r="O282" s="441"/>
      <c r="P282" s="441"/>
      <c r="Q282" s="441"/>
      <c r="R282" s="444"/>
      <c r="S282" s="445"/>
      <c r="T282" s="444"/>
      <c r="U282" s="445"/>
      <c r="V282" s="440"/>
      <c r="W282" s="441"/>
      <c r="X282" s="441"/>
      <c r="Y282" s="441"/>
      <c r="Z282" s="441"/>
      <c r="AA282" s="441"/>
      <c r="AB282" s="441"/>
      <c r="AC282" s="441"/>
      <c r="AD282" s="440"/>
      <c r="AE282" s="441"/>
      <c r="AF282" s="441"/>
      <c r="AG282" s="441"/>
      <c r="AH282" s="441"/>
      <c r="AI282" s="441"/>
      <c r="AJ282" s="441"/>
      <c r="AK282" s="450"/>
      <c r="AL282" s="494"/>
      <c r="AM282" s="495"/>
      <c r="AN282" s="495"/>
      <c r="AO282" s="495"/>
      <c r="AP282" s="495"/>
      <c r="AQ282" s="495"/>
      <c r="AR282" s="496"/>
      <c r="AS282" s="440"/>
      <c r="AT282" s="441"/>
      <c r="AU282" s="441"/>
      <c r="AV282" s="441"/>
      <c r="AW282" s="441"/>
      <c r="AX282" s="441"/>
      <c r="AY282" s="450"/>
      <c r="AZ282" s="462"/>
      <c r="BA282" s="463"/>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5" hidden="1">
      <c r="A283" s="435"/>
      <c r="B283" s="36"/>
      <c r="C283" s="199" t="str">
        <f t="shared" ca="1" si="5"/>
        <v/>
      </c>
      <c r="D283" s="479"/>
      <c r="E283" s="480"/>
      <c r="F283" s="480"/>
      <c r="G283" s="480"/>
      <c r="H283" s="480"/>
      <c r="I283" s="480"/>
      <c r="J283" s="480"/>
      <c r="K283" s="440"/>
      <c r="L283" s="441"/>
      <c r="M283" s="441"/>
      <c r="N283" s="441"/>
      <c r="O283" s="441"/>
      <c r="P283" s="441"/>
      <c r="Q283" s="441"/>
      <c r="R283" s="444"/>
      <c r="S283" s="445"/>
      <c r="T283" s="444"/>
      <c r="U283" s="445"/>
      <c r="V283" s="440"/>
      <c r="W283" s="441"/>
      <c r="X283" s="441"/>
      <c r="Y283" s="441"/>
      <c r="Z283" s="441"/>
      <c r="AA283" s="441"/>
      <c r="AB283" s="441"/>
      <c r="AC283" s="441"/>
      <c r="AD283" s="440"/>
      <c r="AE283" s="441"/>
      <c r="AF283" s="441"/>
      <c r="AG283" s="441"/>
      <c r="AH283" s="441"/>
      <c r="AI283" s="441"/>
      <c r="AJ283" s="441"/>
      <c r="AK283" s="450"/>
      <c r="AL283" s="494"/>
      <c r="AM283" s="495"/>
      <c r="AN283" s="495"/>
      <c r="AO283" s="495"/>
      <c r="AP283" s="495"/>
      <c r="AQ283" s="495"/>
      <c r="AR283" s="496"/>
      <c r="AS283" s="440"/>
      <c r="AT283" s="441"/>
      <c r="AU283" s="441"/>
      <c r="AV283" s="441"/>
      <c r="AW283" s="441"/>
      <c r="AX283" s="441"/>
      <c r="AY283" s="450"/>
      <c r="AZ283" s="462"/>
      <c r="BA283" s="463"/>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5" hidden="1">
      <c r="A284" s="435"/>
      <c r="B284" s="36"/>
      <c r="C284" s="199" t="str">
        <f t="shared" ca="1" si="5"/>
        <v/>
      </c>
      <c r="D284" s="479"/>
      <c r="E284" s="480"/>
      <c r="F284" s="480"/>
      <c r="G284" s="480"/>
      <c r="H284" s="480"/>
      <c r="I284" s="480"/>
      <c r="J284" s="480"/>
      <c r="K284" s="440"/>
      <c r="L284" s="441"/>
      <c r="M284" s="441"/>
      <c r="N284" s="441"/>
      <c r="O284" s="441"/>
      <c r="P284" s="441"/>
      <c r="Q284" s="441"/>
      <c r="R284" s="444"/>
      <c r="S284" s="445"/>
      <c r="T284" s="444"/>
      <c r="U284" s="445"/>
      <c r="V284" s="440"/>
      <c r="W284" s="441"/>
      <c r="X284" s="441"/>
      <c r="Y284" s="441"/>
      <c r="Z284" s="441"/>
      <c r="AA284" s="441"/>
      <c r="AB284" s="441"/>
      <c r="AC284" s="441"/>
      <c r="AD284" s="440"/>
      <c r="AE284" s="441"/>
      <c r="AF284" s="441"/>
      <c r="AG284" s="441"/>
      <c r="AH284" s="441"/>
      <c r="AI284" s="441"/>
      <c r="AJ284" s="441"/>
      <c r="AK284" s="450"/>
      <c r="AL284" s="494"/>
      <c r="AM284" s="495"/>
      <c r="AN284" s="495"/>
      <c r="AO284" s="495"/>
      <c r="AP284" s="495"/>
      <c r="AQ284" s="495"/>
      <c r="AR284" s="496"/>
      <c r="AS284" s="440"/>
      <c r="AT284" s="441"/>
      <c r="AU284" s="441"/>
      <c r="AV284" s="441"/>
      <c r="AW284" s="441"/>
      <c r="AX284" s="441"/>
      <c r="AY284" s="450"/>
      <c r="AZ284" s="462"/>
      <c r="BA284" s="463"/>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5" hidden="1">
      <c r="A285" s="435"/>
      <c r="B285" s="36"/>
      <c r="C285" s="199" t="str">
        <f t="shared" ca="1" si="5"/>
        <v/>
      </c>
      <c r="D285" s="479"/>
      <c r="E285" s="480"/>
      <c r="F285" s="480"/>
      <c r="G285" s="480"/>
      <c r="H285" s="480"/>
      <c r="I285" s="480"/>
      <c r="J285" s="480"/>
      <c r="K285" s="440"/>
      <c r="L285" s="441"/>
      <c r="M285" s="441"/>
      <c r="N285" s="441"/>
      <c r="O285" s="441"/>
      <c r="P285" s="441"/>
      <c r="Q285" s="441"/>
      <c r="R285" s="444"/>
      <c r="S285" s="445"/>
      <c r="T285" s="444"/>
      <c r="U285" s="445"/>
      <c r="V285" s="440"/>
      <c r="W285" s="441"/>
      <c r="X285" s="441"/>
      <c r="Y285" s="441"/>
      <c r="Z285" s="441"/>
      <c r="AA285" s="441"/>
      <c r="AB285" s="441"/>
      <c r="AC285" s="441"/>
      <c r="AD285" s="440"/>
      <c r="AE285" s="441"/>
      <c r="AF285" s="441"/>
      <c r="AG285" s="441"/>
      <c r="AH285" s="441"/>
      <c r="AI285" s="441"/>
      <c r="AJ285" s="441"/>
      <c r="AK285" s="450"/>
      <c r="AL285" s="494"/>
      <c r="AM285" s="495"/>
      <c r="AN285" s="495"/>
      <c r="AO285" s="495"/>
      <c r="AP285" s="495"/>
      <c r="AQ285" s="495"/>
      <c r="AR285" s="496"/>
      <c r="AS285" s="440"/>
      <c r="AT285" s="441"/>
      <c r="AU285" s="441"/>
      <c r="AV285" s="441"/>
      <c r="AW285" s="441"/>
      <c r="AX285" s="441"/>
      <c r="AY285" s="450"/>
      <c r="AZ285" s="462"/>
      <c r="BA285" s="463"/>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24.75" hidden="1" customHeight="1">
      <c r="A286" s="436"/>
      <c r="B286" s="37"/>
      <c r="C286" s="200" t="str">
        <f t="shared" ca="1" si="5"/>
        <v/>
      </c>
      <c r="D286" s="481"/>
      <c r="E286" s="482"/>
      <c r="F286" s="482"/>
      <c r="G286" s="482"/>
      <c r="H286" s="482"/>
      <c r="I286" s="482"/>
      <c r="J286" s="482"/>
      <c r="K286" s="409"/>
      <c r="L286" s="410"/>
      <c r="M286" s="410"/>
      <c r="N286" s="410"/>
      <c r="O286" s="410"/>
      <c r="P286" s="410"/>
      <c r="Q286" s="410"/>
      <c r="R286" s="446"/>
      <c r="S286" s="447"/>
      <c r="T286" s="446"/>
      <c r="U286" s="447"/>
      <c r="V286" s="409"/>
      <c r="W286" s="410"/>
      <c r="X286" s="410"/>
      <c r="Y286" s="410"/>
      <c r="Z286" s="410"/>
      <c r="AA286" s="410"/>
      <c r="AB286" s="410"/>
      <c r="AC286" s="410"/>
      <c r="AD286" s="409"/>
      <c r="AE286" s="410"/>
      <c r="AF286" s="410"/>
      <c r="AG286" s="410"/>
      <c r="AH286" s="410"/>
      <c r="AI286" s="410"/>
      <c r="AJ286" s="410"/>
      <c r="AK286" s="411"/>
      <c r="AL286" s="497"/>
      <c r="AM286" s="498"/>
      <c r="AN286" s="498"/>
      <c r="AO286" s="498"/>
      <c r="AP286" s="498"/>
      <c r="AQ286" s="498"/>
      <c r="AR286" s="499"/>
      <c r="AS286" s="409"/>
      <c r="AT286" s="410"/>
      <c r="AU286" s="410"/>
      <c r="AV286" s="410"/>
      <c r="AW286" s="410"/>
      <c r="AX286" s="410"/>
      <c r="AY286" s="411"/>
      <c r="AZ286" s="464"/>
      <c r="BA286" s="465"/>
      <c r="BB286" s="62">
        <v>6</v>
      </c>
      <c r="BC286" s="613"/>
      <c r="BD286" s="614"/>
      <c r="BE286" s="614"/>
      <c r="BF286" s="615"/>
      <c r="BG286" s="616"/>
      <c r="BH286" s="617"/>
      <c r="BI286" s="196"/>
      <c r="BJ286" s="474"/>
      <c r="BK286" s="475"/>
      <c r="BL286" s="475"/>
      <c r="BM286" s="475"/>
      <c r="BN286" s="475"/>
      <c r="BO286" s="476"/>
      <c r="BP286" s="474"/>
      <c r="BQ286" s="475"/>
      <c r="BR286" s="475"/>
      <c r="BS286" s="475"/>
      <c r="BT286" s="475"/>
      <c r="BU286" s="476"/>
      <c r="BV286" s="474"/>
      <c r="BW286" s="475"/>
      <c r="BX286" s="475"/>
      <c r="BY286" s="475"/>
      <c r="BZ286" s="475"/>
      <c r="CA286" s="476"/>
      <c r="CB286" s="613"/>
      <c r="CC286" s="614"/>
      <c r="CD286" s="614"/>
      <c r="CE286" s="615"/>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5" hidden="1" customHeight="1">
      <c r="A287" s="434">
        <v>47</v>
      </c>
      <c r="B287" s="36"/>
      <c r="C287" s="198" t="str">
        <f t="shared" ca="1" si="5"/>
        <v/>
      </c>
      <c r="D287" s="477" t="s">
        <v>293</v>
      </c>
      <c r="E287" s="478"/>
      <c r="F287" s="478"/>
      <c r="G287" s="478"/>
      <c r="H287" s="478"/>
      <c r="I287" s="478"/>
      <c r="J287" s="478"/>
      <c r="K287" s="438" t="s">
        <v>294</v>
      </c>
      <c r="L287" s="439"/>
      <c r="M287" s="439"/>
      <c r="N287" s="439"/>
      <c r="O287" s="439"/>
      <c r="P287" s="439"/>
      <c r="Q287" s="439"/>
      <c r="R287" s="442" t="s">
        <v>186</v>
      </c>
      <c r="S287" s="443"/>
      <c r="T287" s="442"/>
      <c r="U287" s="443"/>
      <c r="V287" s="438" t="s">
        <v>265</v>
      </c>
      <c r="W287" s="439"/>
      <c r="X287" s="439"/>
      <c r="Y287" s="439"/>
      <c r="Z287" s="439"/>
      <c r="AA287" s="439"/>
      <c r="AB287" s="439"/>
      <c r="AC287" s="439"/>
      <c r="AD287" s="438" t="s">
        <v>295</v>
      </c>
      <c r="AE287" s="439"/>
      <c r="AF287" s="439"/>
      <c r="AG287" s="439"/>
      <c r="AH287" s="439"/>
      <c r="AI287" s="439"/>
      <c r="AJ287" s="439"/>
      <c r="AK287" s="449"/>
      <c r="AL287" s="438" t="s">
        <v>296</v>
      </c>
      <c r="AM287" s="439"/>
      <c r="AN287" s="439"/>
      <c r="AO287" s="439"/>
      <c r="AP287" s="439"/>
      <c r="AQ287" s="439"/>
      <c r="AR287" s="449"/>
      <c r="AS287" s="438" t="s">
        <v>297</v>
      </c>
      <c r="AT287" s="483"/>
      <c r="AU287" s="483"/>
      <c r="AV287" s="483"/>
      <c r="AW287" s="483"/>
      <c r="AX287" s="483"/>
      <c r="AY287" s="484"/>
      <c r="AZ287" s="460"/>
      <c r="BA287" s="461"/>
      <c r="BB287" s="60">
        <v>1</v>
      </c>
      <c r="BC287" s="466"/>
      <c r="BD287" s="467"/>
      <c r="BE287" s="467"/>
      <c r="BF287" s="468"/>
      <c r="BG287" s="469"/>
      <c r="BH287" s="470"/>
      <c r="BI287" s="194"/>
      <c r="BJ287" s="471"/>
      <c r="BK287" s="472"/>
      <c r="BL287" s="472"/>
      <c r="BM287" s="472"/>
      <c r="BN287" s="472"/>
      <c r="BO287" s="473"/>
      <c r="BP287" s="471"/>
      <c r="BQ287" s="472"/>
      <c r="BR287" s="472"/>
      <c r="BS287" s="472"/>
      <c r="BT287" s="472"/>
      <c r="BU287" s="473"/>
      <c r="BV287" s="471"/>
      <c r="BW287" s="472"/>
      <c r="BX287" s="472"/>
      <c r="BY287" s="472"/>
      <c r="BZ287" s="472"/>
      <c r="CA287" s="473"/>
      <c r="CB287" s="466"/>
      <c r="CC287" s="467"/>
      <c r="CD287" s="467"/>
      <c r="CE287" s="468"/>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5" hidden="1">
      <c r="A288" s="435"/>
      <c r="B288" s="36"/>
      <c r="C288" s="199" t="str">
        <f t="shared" ca="1" si="5"/>
        <v/>
      </c>
      <c r="D288" s="479"/>
      <c r="E288" s="480"/>
      <c r="F288" s="480"/>
      <c r="G288" s="480"/>
      <c r="H288" s="480"/>
      <c r="I288" s="480"/>
      <c r="J288" s="480"/>
      <c r="K288" s="440"/>
      <c r="L288" s="441"/>
      <c r="M288" s="441"/>
      <c r="N288" s="441"/>
      <c r="O288" s="441"/>
      <c r="P288" s="441"/>
      <c r="Q288" s="441"/>
      <c r="R288" s="444"/>
      <c r="S288" s="445"/>
      <c r="T288" s="444"/>
      <c r="U288" s="445"/>
      <c r="V288" s="440"/>
      <c r="W288" s="441"/>
      <c r="X288" s="441"/>
      <c r="Y288" s="441"/>
      <c r="Z288" s="441"/>
      <c r="AA288" s="441"/>
      <c r="AB288" s="441"/>
      <c r="AC288" s="441"/>
      <c r="AD288" s="440"/>
      <c r="AE288" s="441"/>
      <c r="AF288" s="441"/>
      <c r="AG288" s="441"/>
      <c r="AH288" s="441"/>
      <c r="AI288" s="441"/>
      <c r="AJ288" s="441"/>
      <c r="AK288" s="450"/>
      <c r="AL288" s="440"/>
      <c r="AM288" s="441"/>
      <c r="AN288" s="441"/>
      <c r="AO288" s="441"/>
      <c r="AP288" s="441"/>
      <c r="AQ288" s="441"/>
      <c r="AR288" s="450"/>
      <c r="AS288" s="485"/>
      <c r="AT288" s="486"/>
      <c r="AU288" s="486"/>
      <c r="AV288" s="486"/>
      <c r="AW288" s="486"/>
      <c r="AX288" s="486"/>
      <c r="AY288" s="487"/>
      <c r="AZ288" s="462"/>
      <c r="BA288" s="463"/>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5" hidden="1">
      <c r="A289" s="435"/>
      <c r="B289" s="36"/>
      <c r="C289" s="199" t="str">
        <f t="shared" ca="1" si="5"/>
        <v/>
      </c>
      <c r="D289" s="479"/>
      <c r="E289" s="480"/>
      <c r="F289" s="480"/>
      <c r="G289" s="480"/>
      <c r="H289" s="480"/>
      <c r="I289" s="480"/>
      <c r="J289" s="480"/>
      <c r="K289" s="440"/>
      <c r="L289" s="441"/>
      <c r="M289" s="441"/>
      <c r="N289" s="441"/>
      <c r="O289" s="441"/>
      <c r="P289" s="441"/>
      <c r="Q289" s="441"/>
      <c r="R289" s="444"/>
      <c r="S289" s="445"/>
      <c r="T289" s="444"/>
      <c r="U289" s="445"/>
      <c r="V289" s="440"/>
      <c r="W289" s="441"/>
      <c r="X289" s="441"/>
      <c r="Y289" s="441"/>
      <c r="Z289" s="441"/>
      <c r="AA289" s="441"/>
      <c r="AB289" s="441"/>
      <c r="AC289" s="441"/>
      <c r="AD289" s="440"/>
      <c r="AE289" s="441"/>
      <c r="AF289" s="441"/>
      <c r="AG289" s="441"/>
      <c r="AH289" s="441"/>
      <c r="AI289" s="441"/>
      <c r="AJ289" s="441"/>
      <c r="AK289" s="450"/>
      <c r="AL289" s="440"/>
      <c r="AM289" s="441"/>
      <c r="AN289" s="441"/>
      <c r="AO289" s="441"/>
      <c r="AP289" s="441"/>
      <c r="AQ289" s="441"/>
      <c r="AR289" s="450"/>
      <c r="AS289" s="485"/>
      <c r="AT289" s="486"/>
      <c r="AU289" s="486"/>
      <c r="AV289" s="486"/>
      <c r="AW289" s="486"/>
      <c r="AX289" s="486"/>
      <c r="AY289" s="487"/>
      <c r="AZ289" s="462"/>
      <c r="BA289" s="463"/>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5" hidden="1">
      <c r="A290" s="435"/>
      <c r="B290" s="36"/>
      <c r="C290" s="199" t="str">
        <f t="shared" ca="1" si="5"/>
        <v/>
      </c>
      <c r="D290" s="479"/>
      <c r="E290" s="480"/>
      <c r="F290" s="480"/>
      <c r="G290" s="480"/>
      <c r="H290" s="480"/>
      <c r="I290" s="480"/>
      <c r="J290" s="480"/>
      <c r="K290" s="440"/>
      <c r="L290" s="441"/>
      <c r="M290" s="441"/>
      <c r="N290" s="441"/>
      <c r="O290" s="441"/>
      <c r="P290" s="441"/>
      <c r="Q290" s="441"/>
      <c r="R290" s="444"/>
      <c r="S290" s="445"/>
      <c r="T290" s="444"/>
      <c r="U290" s="445"/>
      <c r="V290" s="440"/>
      <c r="W290" s="441"/>
      <c r="X290" s="441"/>
      <c r="Y290" s="441"/>
      <c r="Z290" s="441"/>
      <c r="AA290" s="441"/>
      <c r="AB290" s="441"/>
      <c r="AC290" s="441"/>
      <c r="AD290" s="440"/>
      <c r="AE290" s="441"/>
      <c r="AF290" s="441"/>
      <c r="AG290" s="441"/>
      <c r="AH290" s="441"/>
      <c r="AI290" s="441"/>
      <c r="AJ290" s="441"/>
      <c r="AK290" s="450"/>
      <c r="AL290" s="440"/>
      <c r="AM290" s="441"/>
      <c r="AN290" s="441"/>
      <c r="AO290" s="441"/>
      <c r="AP290" s="441"/>
      <c r="AQ290" s="441"/>
      <c r="AR290" s="450"/>
      <c r="AS290" s="485"/>
      <c r="AT290" s="486"/>
      <c r="AU290" s="486"/>
      <c r="AV290" s="486"/>
      <c r="AW290" s="486"/>
      <c r="AX290" s="486"/>
      <c r="AY290" s="487"/>
      <c r="AZ290" s="462"/>
      <c r="BA290" s="463"/>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5" hidden="1">
      <c r="A291" s="435"/>
      <c r="B291" s="36"/>
      <c r="C291" s="199" t="str">
        <f t="shared" ca="1" si="5"/>
        <v/>
      </c>
      <c r="D291" s="479"/>
      <c r="E291" s="480"/>
      <c r="F291" s="480"/>
      <c r="G291" s="480"/>
      <c r="H291" s="480"/>
      <c r="I291" s="480"/>
      <c r="J291" s="480"/>
      <c r="K291" s="440"/>
      <c r="L291" s="441"/>
      <c r="M291" s="441"/>
      <c r="N291" s="441"/>
      <c r="O291" s="441"/>
      <c r="P291" s="441"/>
      <c r="Q291" s="441"/>
      <c r="R291" s="444"/>
      <c r="S291" s="445"/>
      <c r="T291" s="444"/>
      <c r="U291" s="445"/>
      <c r="V291" s="440"/>
      <c r="W291" s="441"/>
      <c r="X291" s="441"/>
      <c r="Y291" s="441"/>
      <c r="Z291" s="441"/>
      <c r="AA291" s="441"/>
      <c r="AB291" s="441"/>
      <c r="AC291" s="441"/>
      <c r="AD291" s="440"/>
      <c r="AE291" s="441"/>
      <c r="AF291" s="441"/>
      <c r="AG291" s="441"/>
      <c r="AH291" s="441"/>
      <c r="AI291" s="441"/>
      <c r="AJ291" s="441"/>
      <c r="AK291" s="450"/>
      <c r="AL291" s="440"/>
      <c r="AM291" s="441"/>
      <c r="AN291" s="441"/>
      <c r="AO291" s="441"/>
      <c r="AP291" s="441"/>
      <c r="AQ291" s="441"/>
      <c r="AR291" s="450"/>
      <c r="AS291" s="485"/>
      <c r="AT291" s="486"/>
      <c r="AU291" s="486"/>
      <c r="AV291" s="486"/>
      <c r="AW291" s="486"/>
      <c r="AX291" s="486"/>
      <c r="AY291" s="487"/>
      <c r="AZ291" s="462"/>
      <c r="BA291" s="463"/>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5" hidden="1" customHeight="1">
      <c r="A292" s="436"/>
      <c r="B292" s="37"/>
      <c r="C292" s="200" t="str">
        <f t="shared" ca="1" si="5"/>
        <v/>
      </c>
      <c r="D292" s="481"/>
      <c r="E292" s="482"/>
      <c r="F292" s="482"/>
      <c r="G292" s="482"/>
      <c r="H292" s="482"/>
      <c r="I292" s="482"/>
      <c r="J292" s="482"/>
      <c r="K292" s="409"/>
      <c r="L292" s="410"/>
      <c r="M292" s="410"/>
      <c r="N292" s="410"/>
      <c r="O292" s="410"/>
      <c r="P292" s="410"/>
      <c r="Q292" s="410"/>
      <c r="R292" s="446"/>
      <c r="S292" s="447"/>
      <c r="T292" s="446"/>
      <c r="U292" s="44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88"/>
      <c r="AT292" s="489"/>
      <c r="AU292" s="489"/>
      <c r="AV292" s="489"/>
      <c r="AW292" s="489"/>
      <c r="AX292" s="489"/>
      <c r="AY292" s="490"/>
      <c r="AZ292" s="464"/>
      <c r="BA292" s="465"/>
      <c r="BB292" s="62">
        <v>6</v>
      </c>
      <c r="BC292" s="426"/>
      <c r="BD292" s="427"/>
      <c r="BE292" s="427"/>
      <c r="BF292" s="428"/>
      <c r="BG292" s="429"/>
      <c r="BH292" s="430"/>
      <c r="BI292" s="196"/>
      <c r="BJ292" s="474"/>
      <c r="BK292" s="475"/>
      <c r="BL292" s="475"/>
      <c r="BM292" s="475"/>
      <c r="BN292" s="475"/>
      <c r="BO292" s="476"/>
      <c r="BP292" s="474"/>
      <c r="BQ292" s="475"/>
      <c r="BR292" s="475"/>
      <c r="BS292" s="475"/>
      <c r="BT292" s="475"/>
      <c r="BU292" s="476"/>
      <c r="BV292" s="474"/>
      <c r="BW292" s="475"/>
      <c r="BX292" s="475"/>
      <c r="BY292" s="475"/>
      <c r="BZ292" s="475"/>
      <c r="CA292" s="476"/>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22.5" hidden="1" customHeight="1">
      <c r="A293" s="434">
        <v>48</v>
      </c>
      <c r="B293" s="36"/>
      <c r="C293" s="198" t="str">
        <f t="shared" ca="1" si="5"/>
        <v/>
      </c>
      <c r="D293" s="477"/>
      <c r="E293" s="478"/>
      <c r="F293" s="478"/>
      <c r="G293" s="478"/>
      <c r="H293" s="478"/>
      <c r="I293" s="478"/>
      <c r="J293" s="478"/>
      <c r="K293" s="438" t="s">
        <v>298</v>
      </c>
      <c r="L293" s="439"/>
      <c r="M293" s="439"/>
      <c r="N293" s="439"/>
      <c r="O293" s="439"/>
      <c r="P293" s="439"/>
      <c r="Q293" s="439"/>
      <c r="R293" s="442" t="s">
        <v>186</v>
      </c>
      <c r="S293" s="443"/>
      <c r="T293" s="442"/>
      <c r="U293" s="443"/>
      <c r="V293" s="438" t="s">
        <v>299</v>
      </c>
      <c r="W293" s="439"/>
      <c r="X293" s="439"/>
      <c r="Y293" s="439"/>
      <c r="Z293" s="439"/>
      <c r="AA293" s="439"/>
      <c r="AB293" s="439"/>
      <c r="AC293" s="439"/>
      <c r="AD293" s="438" t="s">
        <v>300</v>
      </c>
      <c r="AE293" s="439"/>
      <c r="AF293" s="439"/>
      <c r="AG293" s="439"/>
      <c r="AH293" s="439"/>
      <c r="AI293" s="439"/>
      <c r="AJ293" s="439"/>
      <c r="AK293" s="449"/>
      <c r="AL293" s="438" t="s">
        <v>301</v>
      </c>
      <c r="AM293" s="439"/>
      <c r="AN293" s="439"/>
      <c r="AO293" s="439"/>
      <c r="AP293" s="439"/>
      <c r="AQ293" s="439"/>
      <c r="AR293" s="449"/>
      <c r="AS293" s="438" t="s">
        <v>302</v>
      </c>
      <c r="AT293" s="483"/>
      <c r="AU293" s="483"/>
      <c r="AV293" s="483"/>
      <c r="AW293" s="483"/>
      <c r="AX293" s="483"/>
      <c r="AY293" s="484"/>
      <c r="AZ293" s="460"/>
      <c r="BA293" s="461"/>
      <c r="BB293" s="60">
        <v>1</v>
      </c>
      <c r="BC293" s="466"/>
      <c r="BD293" s="467"/>
      <c r="BE293" s="467"/>
      <c r="BF293" s="468"/>
      <c r="BG293" s="469"/>
      <c r="BH293" s="470"/>
      <c r="BI293" s="194"/>
      <c r="BJ293" s="471"/>
      <c r="BK293" s="472"/>
      <c r="BL293" s="472"/>
      <c r="BM293" s="472"/>
      <c r="BN293" s="472"/>
      <c r="BO293" s="473"/>
      <c r="BP293" s="471"/>
      <c r="BQ293" s="472"/>
      <c r="BR293" s="472"/>
      <c r="BS293" s="472"/>
      <c r="BT293" s="472"/>
      <c r="BU293" s="473"/>
      <c r="BV293" s="471"/>
      <c r="BW293" s="472"/>
      <c r="BX293" s="472"/>
      <c r="BY293" s="472"/>
      <c r="BZ293" s="472"/>
      <c r="CA293" s="473"/>
      <c r="CB293" s="466"/>
      <c r="CC293" s="467"/>
      <c r="CD293" s="467"/>
      <c r="CE293" s="468"/>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22.5" hidden="1" customHeight="1">
      <c r="A294" s="435"/>
      <c r="B294" s="36"/>
      <c r="C294" s="199" t="str">
        <f t="shared" ca="1" si="5"/>
        <v/>
      </c>
      <c r="D294" s="479"/>
      <c r="E294" s="480"/>
      <c r="F294" s="480"/>
      <c r="G294" s="480"/>
      <c r="H294" s="480"/>
      <c r="I294" s="480"/>
      <c r="J294" s="480"/>
      <c r="K294" s="440"/>
      <c r="L294" s="441"/>
      <c r="M294" s="441"/>
      <c r="N294" s="441"/>
      <c r="O294" s="441"/>
      <c r="P294" s="441"/>
      <c r="Q294" s="441"/>
      <c r="R294" s="444"/>
      <c r="S294" s="445"/>
      <c r="T294" s="444"/>
      <c r="U294" s="445"/>
      <c r="V294" s="440"/>
      <c r="W294" s="441"/>
      <c r="X294" s="441"/>
      <c r="Y294" s="441"/>
      <c r="Z294" s="441"/>
      <c r="AA294" s="441"/>
      <c r="AB294" s="441"/>
      <c r="AC294" s="441"/>
      <c r="AD294" s="440"/>
      <c r="AE294" s="441"/>
      <c r="AF294" s="441"/>
      <c r="AG294" s="441"/>
      <c r="AH294" s="441"/>
      <c r="AI294" s="441"/>
      <c r="AJ294" s="441"/>
      <c r="AK294" s="450"/>
      <c r="AL294" s="440"/>
      <c r="AM294" s="441"/>
      <c r="AN294" s="441"/>
      <c r="AO294" s="441"/>
      <c r="AP294" s="441"/>
      <c r="AQ294" s="441"/>
      <c r="AR294" s="450"/>
      <c r="AS294" s="485"/>
      <c r="AT294" s="486"/>
      <c r="AU294" s="486"/>
      <c r="AV294" s="486"/>
      <c r="AW294" s="486"/>
      <c r="AX294" s="486"/>
      <c r="AY294" s="487"/>
      <c r="AZ294" s="462"/>
      <c r="BA294" s="463"/>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22.5" hidden="1" customHeight="1">
      <c r="A295" s="435"/>
      <c r="B295" s="36"/>
      <c r="C295" s="199" t="str">
        <f t="shared" ca="1" si="5"/>
        <v/>
      </c>
      <c r="D295" s="479"/>
      <c r="E295" s="480"/>
      <c r="F295" s="480"/>
      <c r="G295" s="480"/>
      <c r="H295" s="480"/>
      <c r="I295" s="480"/>
      <c r="J295" s="480"/>
      <c r="K295" s="440"/>
      <c r="L295" s="441"/>
      <c r="M295" s="441"/>
      <c r="N295" s="441"/>
      <c r="O295" s="441"/>
      <c r="P295" s="441"/>
      <c r="Q295" s="441"/>
      <c r="R295" s="444"/>
      <c r="S295" s="445"/>
      <c r="T295" s="444"/>
      <c r="U295" s="445"/>
      <c r="V295" s="440"/>
      <c r="W295" s="441"/>
      <c r="X295" s="441"/>
      <c r="Y295" s="441"/>
      <c r="Z295" s="441"/>
      <c r="AA295" s="441"/>
      <c r="AB295" s="441"/>
      <c r="AC295" s="441"/>
      <c r="AD295" s="440"/>
      <c r="AE295" s="441"/>
      <c r="AF295" s="441"/>
      <c r="AG295" s="441"/>
      <c r="AH295" s="441"/>
      <c r="AI295" s="441"/>
      <c r="AJ295" s="441"/>
      <c r="AK295" s="450"/>
      <c r="AL295" s="440"/>
      <c r="AM295" s="441"/>
      <c r="AN295" s="441"/>
      <c r="AO295" s="441"/>
      <c r="AP295" s="441"/>
      <c r="AQ295" s="441"/>
      <c r="AR295" s="450"/>
      <c r="AS295" s="485"/>
      <c r="AT295" s="486"/>
      <c r="AU295" s="486"/>
      <c r="AV295" s="486"/>
      <c r="AW295" s="486"/>
      <c r="AX295" s="486"/>
      <c r="AY295" s="487"/>
      <c r="AZ295" s="462"/>
      <c r="BA295" s="463"/>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22.5" hidden="1" customHeight="1">
      <c r="A296" s="435"/>
      <c r="B296" s="36"/>
      <c r="C296" s="199" t="str">
        <f t="shared" ca="1" si="5"/>
        <v/>
      </c>
      <c r="D296" s="479"/>
      <c r="E296" s="480"/>
      <c r="F296" s="480"/>
      <c r="G296" s="480"/>
      <c r="H296" s="480"/>
      <c r="I296" s="480"/>
      <c r="J296" s="480"/>
      <c r="K296" s="440"/>
      <c r="L296" s="441"/>
      <c r="M296" s="441"/>
      <c r="N296" s="441"/>
      <c r="O296" s="441"/>
      <c r="P296" s="441"/>
      <c r="Q296" s="441"/>
      <c r="R296" s="444"/>
      <c r="S296" s="445"/>
      <c r="T296" s="444"/>
      <c r="U296" s="445"/>
      <c r="V296" s="440"/>
      <c r="W296" s="441"/>
      <c r="X296" s="441"/>
      <c r="Y296" s="441"/>
      <c r="Z296" s="441"/>
      <c r="AA296" s="441"/>
      <c r="AB296" s="441"/>
      <c r="AC296" s="441"/>
      <c r="AD296" s="440"/>
      <c r="AE296" s="441"/>
      <c r="AF296" s="441"/>
      <c r="AG296" s="441"/>
      <c r="AH296" s="441"/>
      <c r="AI296" s="441"/>
      <c r="AJ296" s="441"/>
      <c r="AK296" s="450"/>
      <c r="AL296" s="440"/>
      <c r="AM296" s="441"/>
      <c r="AN296" s="441"/>
      <c r="AO296" s="441"/>
      <c r="AP296" s="441"/>
      <c r="AQ296" s="441"/>
      <c r="AR296" s="450"/>
      <c r="AS296" s="485"/>
      <c r="AT296" s="486"/>
      <c r="AU296" s="486"/>
      <c r="AV296" s="486"/>
      <c r="AW296" s="486"/>
      <c r="AX296" s="486"/>
      <c r="AY296" s="487"/>
      <c r="AZ296" s="462"/>
      <c r="BA296" s="463"/>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20.25" hidden="1" customHeight="1">
      <c r="A297" s="435"/>
      <c r="B297" s="36"/>
      <c r="C297" s="199" t="str">
        <f t="shared" ca="1" si="5"/>
        <v/>
      </c>
      <c r="D297" s="479"/>
      <c r="E297" s="480"/>
      <c r="F297" s="480"/>
      <c r="G297" s="480"/>
      <c r="H297" s="480"/>
      <c r="I297" s="480"/>
      <c r="J297" s="480"/>
      <c r="K297" s="440"/>
      <c r="L297" s="441"/>
      <c r="M297" s="441"/>
      <c r="N297" s="441"/>
      <c r="O297" s="441"/>
      <c r="P297" s="441"/>
      <c r="Q297" s="441"/>
      <c r="R297" s="444"/>
      <c r="S297" s="445"/>
      <c r="T297" s="444"/>
      <c r="U297" s="445"/>
      <c r="V297" s="440"/>
      <c r="W297" s="441"/>
      <c r="X297" s="441"/>
      <c r="Y297" s="441"/>
      <c r="Z297" s="441"/>
      <c r="AA297" s="441"/>
      <c r="AB297" s="441"/>
      <c r="AC297" s="441"/>
      <c r="AD297" s="440"/>
      <c r="AE297" s="441"/>
      <c r="AF297" s="441"/>
      <c r="AG297" s="441"/>
      <c r="AH297" s="441"/>
      <c r="AI297" s="441"/>
      <c r="AJ297" s="441"/>
      <c r="AK297" s="450"/>
      <c r="AL297" s="440"/>
      <c r="AM297" s="441"/>
      <c r="AN297" s="441"/>
      <c r="AO297" s="441"/>
      <c r="AP297" s="441"/>
      <c r="AQ297" s="441"/>
      <c r="AR297" s="450"/>
      <c r="AS297" s="485"/>
      <c r="AT297" s="486"/>
      <c r="AU297" s="486"/>
      <c r="AV297" s="486"/>
      <c r="AW297" s="486"/>
      <c r="AX297" s="486"/>
      <c r="AY297" s="487"/>
      <c r="AZ297" s="462"/>
      <c r="BA297" s="463"/>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53.25" hidden="1" customHeight="1">
      <c r="A298" s="436"/>
      <c r="B298" s="37"/>
      <c r="C298" s="200" t="str">
        <f t="shared" ca="1" si="5"/>
        <v/>
      </c>
      <c r="D298" s="481"/>
      <c r="E298" s="482"/>
      <c r="F298" s="482"/>
      <c r="G298" s="482"/>
      <c r="H298" s="482"/>
      <c r="I298" s="482"/>
      <c r="J298" s="482"/>
      <c r="K298" s="409"/>
      <c r="L298" s="410"/>
      <c r="M298" s="410"/>
      <c r="N298" s="410"/>
      <c r="O298" s="410"/>
      <c r="P298" s="410"/>
      <c r="Q298" s="410"/>
      <c r="R298" s="446"/>
      <c r="S298" s="447"/>
      <c r="T298" s="446"/>
      <c r="U298" s="44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88"/>
      <c r="AT298" s="489"/>
      <c r="AU298" s="489"/>
      <c r="AV298" s="489"/>
      <c r="AW298" s="489"/>
      <c r="AX298" s="489"/>
      <c r="AY298" s="490"/>
      <c r="AZ298" s="464"/>
      <c r="BA298" s="465"/>
      <c r="BB298" s="62">
        <v>6</v>
      </c>
      <c r="BC298" s="426"/>
      <c r="BD298" s="427"/>
      <c r="BE298" s="427"/>
      <c r="BF298" s="428"/>
      <c r="BG298" s="429"/>
      <c r="BH298" s="430"/>
      <c r="BI298" s="196"/>
      <c r="BJ298" s="474"/>
      <c r="BK298" s="475"/>
      <c r="BL298" s="475"/>
      <c r="BM298" s="475"/>
      <c r="BN298" s="475"/>
      <c r="BO298" s="476"/>
      <c r="BP298" s="474"/>
      <c r="BQ298" s="475"/>
      <c r="BR298" s="475"/>
      <c r="BS298" s="475"/>
      <c r="BT298" s="475"/>
      <c r="BU298" s="476"/>
      <c r="BV298" s="474"/>
      <c r="BW298" s="475"/>
      <c r="BX298" s="475"/>
      <c r="BY298" s="475"/>
      <c r="BZ298" s="475"/>
      <c r="CA298" s="476"/>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22.5" hidden="1" customHeight="1">
      <c r="A299" s="434">
        <v>49</v>
      </c>
      <c r="B299" s="36"/>
      <c r="C299" s="198" t="str">
        <f t="shared" ca="1" si="5"/>
        <v/>
      </c>
      <c r="D299" s="477"/>
      <c r="E299" s="478"/>
      <c r="F299" s="478"/>
      <c r="G299" s="478"/>
      <c r="H299" s="478"/>
      <c r="I299" s="478"/>
      <c r="J299" s="478"/>
      <c r="K299" s="438" t="s">
        <v>303</v>
      </c>
      <c r="L299" s="439"/>
      <c r="M299" s="439"/>
      <c r="N299" s="439"/>
      <c r="O299" s="439"/>
      <c r="P299" s="439"/>
      <c r="Q299" s="439"/>
      <c r="R299" s="442" t="s">
        <v>186</v>
      </c>
      <c r="S299" s="443"/>
      <c r="T299" s="442"/>
      <c r="U299" s="443"/>
      <c r="V299" s="438" t="s">
        <v>265</v>
      </c>
      <c r="W299" s="439"/>
      <c r="X299" s="439"/>
      <c r="Y299" s="439"/>
      <c r="Z299" s="439"/>
      <c r="AA299" s="439"/>
      <c r="AB299" s="439"/>
      <c r="AC299" s="439"/>
      <c r="AD299" s="438" t="s">
        <v>304</v>
      </c>
      <c r="AE299" s="439"/>
      <c r="AF299" s="439"/>
      <c r="AG299" s="439"/>
      <c r="AH299" s="439"/>
      <c r="AI299" s="439"/>
      <c r="AJ299" s="439"/>
      <c r="AK299" s="449"/>
      <c r="AL299" s="438" t="s">
        <v>305</v>
      </c>
      <c r="AM299" s="439"/>
      <c r="AN299" s="439"/>
      <c r="AO299" s="439"/>
      <c r="AP299" s="439"/>
      <c r="AQ299" s="439"/>
      <c r="AR299" s="449"/>
      <c r="AS299" s="438" t="s">
        <v>306</v>
      </c>
      <c r="AT299" s="483"/>
      <c r="AU299" s="483"/>
      <c r="AV299" s="483"/>
      <c r="AW299" s="483"/>
      <c r="AX299" s="483"/>
      <c r="AY299" s="484"/>
      <c r="AZ299" s="460"/>
      <c r="BA299" s="461"/>
      <c r="BB299" s="60">
        <v>1</v>
      </c>
      <c r="BC299" s="466"/>
      <c r="BD299" s="467"/>
      <c r="BE299" s="467"/>
      <c r="BF299" s="468"/>
      <c r="BG299" s="469"/>
      <c r="BH299" s="470"/>
      <c r="BI299" s="194"/>
      <c r="BJ299" s="471"/>
      <c r="BK299" s="472"/>
      <c r="BL299" s="472"/>
      <c r="BM299" s="472"/>
      <c r="BN299" s="472"/>
      <c r="BO299" s="473"/>
      <c r="BP299" s="471"/>
      <c r="BQ299" s="472"/>
      <c r="BR299" s="472"/>
      <c r="BS299" s="472"/>
      <c r="BT299" s="472"/>
      <c r="BU299" s="473"/>
      <c r="BV299" s="471"/>
      <c r="BW299" s="472"/>
      <c r="BX299" s="472"/>
      <c r="BY299" s="472"/>
      <c r="BZ299" s="472"/>
      <c r="CA299" s="473"/>
      <c r="CB299" s="466"/>
      <c r="CC299" s="467"/>
      <c r="CD299" s="467"/>
      <c r="CE299" s="468"/>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22.5" hidden="1" customHeight="1">
      <c r="A300" s="435"/>
      <c r="B300" s="36"/>
      <c r="C300" s="199" t="str">
        <f t="shared" ca="1" si="5"/>
        <v/>
      </c>
      <c r="D300" s="479"/>
      <c r="E300" s="480"/>
      <c r="F300" s="480"/>
      <c r="G300" s="480"/>
      <c r="H300" s="480"/>
      <c r="I300" s="480"/>
      <c r="J300" s="480"/>
      <c r="K300" s="440"/>
      <c r="L300" s="441"/>
      <c r="M300" s="441"/>
      <c r="N300" s="441"/>
      <c r="O300" s="441"/>
      <c r="P300" s="441"/>
      <c r="Q300" s="441"/>
      <c r="R300" s="444"/>
      <c r="S300" s="445"/>
      <c r="T300" s="444"/>
      <c r="U300" s="445"/>
      <c r="V300" s="440"/>
      <c r="W300" s="441"/>
      <c r="X300" s="441"/>
      <c r="Y300" s="441"/>
      <c r="Z300" s="441"/>
      <c r="AA300" s="441"/>
      <c r="AB300" s="441"/>
      <c r="AC300" s="441"/>
      <c r="AD300" s="440"/>
      <c r="AE300" s="441"/>
      <c r="AF300" s="441"/>
      <c r="AG300" s="441"/>
      <c r="AH300" s="441"/>
      <c r="AI300" s="441"/>
      <c r="AJ300" s="441"/>
      <c r="AK300" s="450"/>
      <c r="AL300" s="440"/>
      <c r="AM300" s="441"/>
      <c r="AN300" s="441"/>
      <c r="AO300" s="441"/>
      <c r="AP300" s="441"/>
      <c r="AQ300" s="441"/>
      <c r="AR300" s="450"/>
      <c r="AS300" s="485"/>
      <c r="AT300" s="486"/>
      <c r="AU300" s="486"/>
      <c r="AV300" s="486"/>
      <c r="AW300" s="486"/>
      <c r="AX300" s="486"/>
      <c r="AY300" s="487"/>
      <c r="AZ300" s="462"/>
      <c r="BA300" s="463"/>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22.5" hidden="1" customHeight="1">
      <c r="A301" s="435"/>
      <c r="B301" s="36"/>
      <c r="C301" s="199" t="str">
        <f t="shared" ca="1" si="5"/>
        <v/>
      </c>
      <c r="D301" s="479"/>
      <c r="E301" s="480"/>
      <c r="F301" s="480"/>
      <c r="G301" s="480"/>
      <c r="H301" s="480"/>
      <c r="I301" s="480"/>
      <c r="J301" s="480"/>
      <c r="K301" s="440"/>
      <c r="L301" s="441"/>
      <c r="M301" s="441"/>
      <c r="N301" s="441"/>
      <c r="O301" s="441"/>
      <c r="P301" s="441"/>
      <c r="Q301" s="441"/>
      <c r="R301" s="444"/>
      <c r="S301" s="445"/>
      <c r="T301" s="444"/>
      <c r="U301" s="445"/>
      <c r="V301" s="440"/>
      <c r="W301" s="441"/>
      <c r="X301" s="441"/>
      <c r="Y301" s="441"/>
      <c r="Z301" s="441"/>
      <c r="AA301" s="441"/>
      <c r="AB301" s="441"/>
      <c r="AC301" s="441"/>
      <c r="AD301" s="440"/>
      <c r="AE301" s="441"/>
      <c r="AF301" s="441"/>
      <c r="AG301" s="441"/>
      <c r="AH301" s="441"/>
      <c r="AI301" s="441"/>
      <c r="AJ301" s="441"/>
      <c r="AK301" s="450"/>
      <c r="AL301" s="440"/>
      <c r="AM301" s="441"/>
      <c r="AN301" s="441"/>
      <c r="AO301" s="441"/>
      <c r="AP301" s="441"/>
      <c r="AQ301" s="441"/>
      <c r="AR301" s="450"/>
      <c r="AS301" s="485"/>
      <c r="AT301" s="486"/>
      <c r="AU301" s="486"/>
      <c r="AV301" s="486"/>
      <c r="AW301" s="486"/>
      <c r="AX301" s="486"/>
      <c r="AY301" s="487"/>
      <c r="AZ301" s="462"/>
      <c r="BA301" s="463"/>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22.5" hidden="1" customHeight="1">
      <c r="A302" s="435"/>
      <c r="B302" s="36"/>
      <c r="C302" s="199" t="str">
        <f t="shared" ca="1" si="5"/>
        <v/>
      </c>
      <c r="D302" s="479"/>
      <c r="E302" s="480"/>
      <c r="F302" s="480"/>
      <c r="G302" s="480"/>
      <c r="H302" s="480"/>
      <c r="I302" s="480"/>
      <c r="J302" s="480"/>
      <c r="K302" s="440"/>
      <c r="L302" s="441"/>
      <c r="M302" s="441"/>
      <c r="N302" s="441"/>
      <c r="O302" s="441"/>
      <c r="P302" s="441"/>
      <c r="Q302" s="441"/>
      <c r="R302" s="444"/>
      <c r="S302" s="445"/>
      <c r="T302" s="444"/>
      <c r="U302" s="445"/>
      <c r="V302" s="440"/>
      <c r="W302" s="441"/>
      <c r="X302" s="441"/>
      <c r="Y302" s="441"/>
      <c r="Z302" s="441"/>
      <c r="AA302" s="441"/>
      <c r="AB302" s="441"/>
      <c r="AC302" s="441"/>
      <c r="AD302" s="440"/>
      <c r="AE302" s="441"/>
      <c r="AF302" s="441"/>
      <c r="AG302" s="441"/>
      <c r="AH302" s="441"/>
      <c r="AI302" s="441"/>
      <c r="AJ302" s="441"/>
      <c r="AK302" s="450"/>
      <c r="AL302" s="440"/>
      <c r="AM302" s="441"/>
      <c r="AN302" s="441"/>
      <c r="AO302" s="441"/>
      <c r="AP302" s="441"/>
      <c r="AQ302" s="441"/>
      <c r="AR302" s="450"/>
      <c r="AS302" s="485"/>
      <c r="AT302" s="486"/>
      <c r="AU302" s="486"/>
      <c r="AV302" s="486"/>
      <c r="AW302" s="486"/>
      <c r="AX302" s="486"/>
      <c r="AY302" s="487"/>
      <c r="AZ302" s="462"/>
      <c r="BA302" s="463"/>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20.25" hidden="1" customHeight="1">
      <c r="A303" s="435"/>
      <c r="B303" s="36"/>
      <c r="C303" s="199" t="str">
        <f t="shared" ca="1" si="5"/>
        <v/>
      </c>
      <c r="D303" s="479"/>
      <c r="E303" s="480"/>
      <c r="F303" s="480"/>
      <c r="G303" s="480"/>
      <c r="H303" s="480"/>
      <c r="I303" s="480"/>
      <c r="J303" s="480"/>
      <c r="K303" s="440"/>
      <c r="L303" s="441"/>
      <c r="M303" s="441"/>
      <c r="N303" s="441"/>
      <c r="O303" s="441"/>
      <c r="P303" s="441"/>
      <c r="Q303" s="441"/>
      <c r="R303" s="444"/>
      <c r="S303" s="445"/>
      <c r="T303" s="444"/>
      <c r="U303" s="445"/>
      <c r="V303" s="440"/>
      <c r="W303" s="441"/>
      <c r="X303" s="441"/>
      <c r="Y303" s="441"/>
      <c r="Z303" s="441"/>
      <c r="AA303" s="441"/>
      <c r="AB303" s="441"/>
      <c r="AC303" s="441"/>
      <c r="AD303" s="440"/>
      <c r="AE303" s="441"/>
      <c r="AF303" s="441"/>
      <c r="AG303" s="441"/>
      <c r="AH303" s="441"/>
      <c r="AI303" s="441"/>
      <c r="AJ303" s="441"/>
      <c r="AK303" s="450"/>
      <c r="AL303" s="440"/>
      <c r="AM303" s="441"/>
      <c r="AN303" s="441"/>
      <c r="AO303" s="441"/>
      <c r="AP303" s="441"/>
      <c r="AQ303" s="441"/>
      <c r="AR303" s="450"/>
      <c r="AS303" s="485"/>
      <c r="AT303" s="486"/>
      <c r="AU303" s="486"/>
      <c r="AV303" s="486"/>
      <c r="AW303" s="486"/>
      <c r="AX303" s="486"/>
      <c r="AY303" s="487"/>
      <c r="AZ303" s="462"/>
      <c r="BA303" s="463"/>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24" hidden="1" customHeight="1">
      <c r="A304" s="436"/>
      <c r="B304" s="37"/>
      <c r="C304" s="200" t="str">
        <f t="shared" ca="1" si="5"/>
        <v/>
      </c>
      <c r="D304" s="481"/>
      <c r="E304" s="482"/>
      <c r="F304" s="482"/>
      <c r="G304" s="482"/>
      <c r="H304" s="482"/>
      <c r="I304" s="482"/>
      <c r="J304" s="482"/>
      <c r="K304" s="409"/>
      <c r="L304" s="410"/>
      <c r="M304" s="410"/>
      <c r="N304" s="410"/>
      <c r="O304" s="410"/>
      <c r="P304" s="410"/>
      <c r="Q304" s="410"/>
      <c r="R304" s="446"/>
      <c r="S304" s="447"/>
      <c r="T304" s="446"/>
      <c r="U304" s="44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88"/>
      <c r="AT304" s="489"/>
      <c r="AU304" s="489"/>
      <c r="AV304" s="489"/>
      <c r="AW304" s="489"/>
      <c r="AX304" s="489"/>
      <c r="AY304" s="490"/>
      <c r="AZ304" s="464"/>
      <c r="BA304" s="465"/>
      <c r="BB304" s="62">
        <v>6</v>
      </c>
      <c r="BC304" s="426"/>
      <c r="BD304" s="427"/>
      <c r="BE304" s="427"/>
      <c r="BF304" s="428"/>
      <c r="BG304" s="429"/>
      <c r="BH304" s="430"/>
      <c r="BI304" s="196"/>
      <c r="BJ304" s="474"/>
      <c r="BK304" s="475"/>
      <c r="BL304" s="475"/>
      <c r="BM304" s="475"/>
      <c r="BN304" s="475"/>
      <c r="BO304" s="476"/>
      <c r="BP304" s="474"/>
      <c r="BQ304" s="475"/>
      <c r="BR304" s="475"/>
      <c r="BS304" s="475"/>
      <c r="BT304" s="475"/>
      <c r="BU304" s="476"/>
      <c r="BV304" s="474"/>
      <c r="BW304" s="475"/>
      <c r="BX304" s="475"/>
      <c r="BY304" s="475"/>
      <c r="BZ304" s="475"/>
      <c r="CA304" s="476"/>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5" hidden="1">
      <c r="A305" s="434">
        <v>50</v>
      </c>
      <c r="B305" s="36"/>
      <c r="C305" s="198" t="str">
        <f t="shared" ca="1" si="5"/>
        <v/>
      </c>
      <c r="D305" s="477"/>
      <c r="E305" s="478"/>
      <c r="F305" s="478"/>
      <c r="G305" s="478"/>
      <c r="H305" s="478"/>
      <c r="I305" s="478"/>
      <c r="J305" s="478"/>
      <c r="K305" s="438" t="s">
        <v>307</v>
      </c>
      <c r="L305" s="439"/>
      <c r="M305" s="439"/>
      <c r="N305" s="439"/>
      <c r="O305" s="439"/>
      <c r="P305" s="439"/>
      <c r="Q305" s="439"/>
      <c r="R305" s="442" t="s">
        <v>186</v>
      </c>
      <c r="S305" s="443"/>
      <c r="T305" s="442"/>
      <c r="U305" s="443"/>
      <c r="V305" s="438"/>
      <c r="W305" s="439"/>
      <c r="X305" s="439"/>
      <c r="Y305" s="439"/>
      <c r="Z305" s="439"/>
      <c r="AA305" s="439"/>
      <c r="AB305" s="439"/>
      <c r="AC305" s="439"/>
      <c r="AD305" s="438"/>
      <c r="AE305" s="439"/>
      <c r="AF305" s="439"/>
      <c r="AG305" s="439"/>
      <c r="AH305" s="439"/>
      <c r="AI305" s="439"/>
      <c r="AJ305" s="439"/>
      <c r="AK305" s="449"/>
      <c r="AL305" s="491"/>
      <c r="AM305" s="492"/>
      <c r="AN305" s="492"/>
      <c r="AO305" s="492"/>
      <c r="AP305" s="492"/>
      <c r="AQ305" s="492"/>
      <c r="AR305" s="493"/>
      <c r="AS305" s="500"/>
      <c r="AT305" s="483"/>
      <c r="AU305" s="483"/>
      <c r="AV305" s="483"/>
      <c r="AW305" s="483"/>
      <c r="AX305" s="483"/>
      <c r="AY305" s="484"/>
      <c r="AZ305" s="460"/>
      <c r="BA305" s="461"/>
      <c r="BB305" s="60">
        <v>1</v>
      </c>
      <c r="BC305" s="466"/>
      <c r="BD305" s="467"/>
      <c r="BE305" s="467"/>
      <c r="BF305" s="468"/>
      <c r="BG305" s="469"/>
      <c r="BH305" s="470"/>
      <c r="BI305" s="194"/>
      <c r="BJ305" s="471"/>
      <c r="BK305" s="472"/>
      <c r="BL305" s="472"/>
      <c r="BM305" s="472"/>
      <c r="BN305" s="472"/>
      <c r="BO305" s="473"/>
      <c r="BP305" s="471"/>
      <c r="BQ305" s="472"/>
      <c r="BR305" s="472"/>
      <c r="BS305" s="472"/>
      <c r="BT305" s="472"/>
      <c r="BU305" s="473"/>
      <c r="BV305" s="471"/>
      <c r="BW305" s="472"/>
      <c r="BX305" s="472"/>
      <c r="BY305" s="472"/>
      <c r="BZ305" s="472"/>
      <c r="CA305" s="473"/>
      <c r="CB305" s="466"/>
      <c r="CC305" s="467"/>
      <c r="CD305" s="467"/>
      <c r="CE305" s="468"/>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5" hidden="1">
      <c r="A306" s="435"/>
      <c r="B306" s="36"/>
      <c r="C306" s="199" t="str">
        <f t="shared" ca="1" si="5"/>
        <v/>
      </c>
      <c r="D306" s="479"/>
      <c r="E306" s="480"/>
      <c r="F306" s="480"/>
      <c r="G306" s="480"/>
      <c r="H306" s="480"/>
      <c r="I306" s="480"/>
      <c r="J306" s="480"/>
      <c r="K306" s="440"/>
      <c r="L306" s="441"/>
      <c r="M306" s="441"/>
      <c r="N306" s="441"/>
      <c r="O306" s="441"/>
      <c r="P306" s="441"/>
      <c r="Q306" s="441"/>
      <c r="R306" s="444"/>
      <c r="S306" s="445"/>
      <c r="T306" s="444"/>
      <c r="U306" s="445"/>
      <c r="V306" s="440"/>
      <c r="W306" s="441"/>
      <c r="X306" s="441"/>
      <c r="Y306" s="441"/>
      <c r="Z306" s="441"/>
      <c r="AA306" s="441"/>
      <c r="AB306" s="441"/>
      <c r="AC306" s="441"/>
      <c r="AD306" s="440"/>
      <c r="AE306" s="441"/>
      <c r="AF306" s="441"/>
      <c r="AG306" s="441"/>
      <c r="AH306" s="441"/>
      <c r="AI306" s="441"/>
      <c r="AJ306" s="441"/>
      <c r="AK306" s="450"/>
      <c r="AL306" s="494"/>
      <c r="AM306" s="495"/>
      <c r="AN306" s="495"/>
      <c r="AO306" s="495"/>
      <c r="AP306" s="495"/>
      <c r="AQ306" s="495"/>
      <c r="AR306" s="496"/>
      <c r="AS306" s="485"/>
      <c r="AT306" s="486"/>
      <c r="AU306" s="486"/>
      <c r="AV306" s="486"/>
      <c r="AW306" s="486"/>
      <c r="AX306" s="486"/>
      <c r="AY306" s="487"/>
      <c r="AZ306" s="462"/>
      <c r="BA306" s="463"/>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5" hidden="1">
      <c r="A307" s="435"/>
      <c r="B307" s="36"/>
      <c r="C307" s="199" t="str">
        <f t="shared" ca="1" si="5"/>
        <v/>
      </c>
      <c r="D307" s="479"/>
      <c r="E307" s="480"/>
      <c r="F307" s="480"/>
      <c r="G307" s="480"/>
      <c r="H307" s="480"/>
      <c r="I307" s="480"/>
      <c r="J307" s="480"/>
      <c r="K307" s="440"/>
      <c r="L307" s="441"/>
      <c r="M307" s="441"/>
      <c r="N307" s="441"/>
      <c r="O307" s="441"/>
      <c r="P307" s="441"/>
      <c r="Q307" s="441"/>
      <c r="R307" s="444"/>
      <c r="S307" s="445"/>
      <c r="T307" s="444"/>
      <c r="U307" s="445"/>
      <c r="V307" s="440"/>
      <c r="W307" s="441"/>
      <c r="X307" s="441"/>
      <c r="Y307" s="441"/>
      <c r="Z307" s="441"/>
      <c r="AA307" s="441"/>
      <c r="AB307" s="441"/>
      <c r="AC307" s="441"/>
      <c r="AD307" s="440"/>
      <c r="AE307" s="441"/>
      <c r="AF307" s="441"/>
      <c r="AG307" s="441"/>
      <c r="AH307" s="441"/>
      <c r="AI307" s="441"/>
      <c r="AJ307" s="441"/>
      <c r="AK307" s="450"/>
      <c r="AL307" s="494"/>
      <c r="AM307" s="495"/>
      <c r="AN307" s="495"/>
      <c r="AO307" s="495"/>
      <c r="AP307" s="495"/>
      <c r="AQ307" s="495"/>
      <c r="AR307" s="496"/>
      <c r="AS307" s="485"/>
      <c r="AT307" s="486"/>
      <c r="AU307" s="486"/>
      <c r="AV307" s="486"/>
      <c r="AW307" s="486"/>
      <c r="AX307" s="486"/>
      <c r="AY307" s="487"/>
      <c r="AZ307" s="462"/>
      <c r="BA307" s="463"/>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5" hidden="1">
      <c r="A308" s="435"/>
      <c r="B308" s="36"/>
      <c r="C308" s="199" t="str">
        <f t="shared" ca="1" si="5"/>
        <v/>
      </c>
      <c r="D308" s="479"/>
      <c r="E308" s="480"/>
      <c r="F308" s="480"/>
      <c r="G308" s="480"/>
      <c r="H308" s="480"/>
      <c r="I308" s="480"/>
      <c r="J308" s="480"/>
      <c r="K308" s="440"/>
      <c r="L308" s="441"/>
      <c r="M308" s="441"/>
      <c r="N308" s="441"/>
      <c r="O308" s="441"/>
      <c r="P308" s="441"/>
      <c r="Q308" s="441"/>
      <c r="R308" s="444"/>
      <c r="S308" s="445"/>
      <c r="T308" s="444"/>
      <c r="U308" s="445"/>
      <c r="V308" s="440"/>
      <c r="W308" s="441"/>
      <c r="X308" s="441"/>
      <c r="Y308" s="441"/>
      <c r="Z308" s="441"/>
      <c r="AA308" s="441"/>
      <c r="AB308" s="441"/>
      <c r="AC308" s="441"/>
      <c r="AD308" s="440"/>
      <c r="AE308" s="441"/>
      <c r="AF308" s="441"/>
      <c r="AG308" s="441"/>
      <c r="AH308" s="441"/>
      <c r="AI308" s="441"/>
      <c r="AJ308" s="441"/>
      <c r="AK308" s="450"/>
      <c r="AL308" s="494"/>
      <c r="AM308" s="495"/>
      <c r="AN308" s="495"/>
      <c r="AO308" s="495"/>
      <c r="AP308" s="495"/>
      <c r="AQ308" s="495"/>
      <c r="AR308" s="496"/>
      <c r="AS308" s="485"/>
      <c r="AT308" s="486"/>
      <c r="AU308" s="486"/>
      <c r="AV308" s="486"/>
      <c r="AW308" s="486"/>
      <c r="AX308" s="486"/>
      <c r="AY308" s="487"/>
      <c r="AZ308" s="462"/>
      <c r="BA308" s="463"/>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5" hidden="1">
      <c r="A309" s="435"/>
      <c r="B309" s="36"/>
      <c r="C309" s="199" t="str">
        <f t="shared" ca="1" si="5"/>
        <v/>
      </c>
      <c r="D309" s="479"/>
      <c r="E309" s="480"/>
      <c r="F309" s="480"/>
      <c r="G309" s="480"/>
      <c r="H309" s="480"/>
      <c r="I309" s="480"/>
      <c r="J309" s="480"/>
      <c r="K309" s="440"/>
      <c r="L309" s="441"/>
      <c r="M309" s="441"/>
      <c r="N309" s="441"/>
      <c r="O309" s="441"/>
      <c r="P309" s="441"/>
      <c r="Q309" s="441"/>
      <c r="R309" s="444"/>
      <c r="S309" s="445"/>
      <c r="T309" s="444"/>
      <c r="U309" s="445"/>
      <c r="V309" s="440"/>
      <c r="W309" s="441"/>
      <c r="X309" s="441"/>
      <c r="Y309" s="441"/>
      <c r="Z309" s="441"/>
      <c r="AA309" s="441"/>
      <c r="AB309" s="441"/>
      <c r="AC309" s="441"/>
      <c r="AD309" s="440"/>
      <c r="AE309" s="441"/>
      <c r="AF309" s="441"/>
      <c r="AG309" s="441"/>
      <c r="AH309" s="441"/>
      <c r="AI309" s="441"/>
      <c r="AJ309" s="441"/>
      <c r="AK309" s="450"/>
      <c r="AL309" s="494"/>
      <c r="AM309" s="495"/>
      <c r="AN309" s="495"/>
      <c r="AO309" s="495"/>
      <c r="AP309" s="495"/>
      <c r="AQ309" s="495"/>
      <c r="AR309" s="496"/>
      <c r="AS309" s="485"/>
      <c r="AT309" s="486"/>
      <c r="AU309" s="486"/>
      <c r="AV309" s="486"/>
      <c r="AW309" s="486"/>
      <c r="AX309" s="486"/>
      <c r="AY309" s="487"/>
      <c r="AZ309" s="462"/>
      <c r="BA309" s="463"/>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5" hidden="1">
      <c r="A310" s="436"/>
      <c r="B310" s="37"/>
      <c r="C310" s="200" t="str">
        <f t="shared" ca="1" si="5"/>
        <v/>
      </c>
      <c r="D310" s="481"/>
      <c r="E310" s="482"/>
      <c r="F310" s="482"/>
      <c r="G310" s="482"/>
      <c r="H310" s="482"/>
      <c r="I310" s="482"/>
      <c r="J310" s="482"/>
      <c r="K310" s="409"/>
      <c r="L310" s="410"/>
      <c r="M310" s="410"/>
      <c r="N310" s="410"/>
      <c r="O310" s="410"/>
      <c r="P310" s="410"/>
      <c r="Q310" s="410"/>
      <c r="R310" s="446"/>
      <c r="S310" s="447"/>
      <c r="T310" s="446"/>
      <c r="U310" s="447"/>
      <c r="V310" s="409"/>
      <c r="W310" s="410"/>
      <c r="X310" s="410"/>
      <c r="Y310" s="410"/>
      <c r="Z310" s="410"/>
      <c r="AA310" s="410"/>
      <c r="AB310" s="410"/>
      <c r="AC310" s="410"/>
      <c r="AD310" s="409"/>
      <c r="AE310" s="410"/>
      <c r="AF310" s="410"/>
      <c r="AG310" s="410"/>
      <c r="AH310" s="410"/>
      <c r="AI310" s="410"/>
      <c r="AJ310" s="410"/>
      <c r="AK310" s="411"/>
      <c r="AL310" s="497"/>
      <c r="AM310" s="498"/>
      <c r="AN310" s="498"/>
      <c r="AO310" s="498"/>
      <c r="AP310" s="498"/>
      <c r="AQ310" s="498"/>
      <c r="AR310" s="499"/>
      <c r="AS310" s="488"/>
      <c r="AT310" s="489"/>
      <c r="AU310" s="489"/>
      <c r="AV310" s="489"/>
      <c r="AW310" s="489"/>
      <c r="AX310" s="489"/>
      <c r="AY310" s="490"/>
      <c r="AZ310" s="464"/>
      <c r="BA310" s="465"/>
      <c r="BB310" s="62">
        <v>6</v>
      </c>
      <c r="BC310" s="426"/>
      <c r="BD310" s="427"/>
      <c r="BE310" s="427"/>
      <c r="BF310" s="428"/>
      <c r="BG310" s="429"/>
      <c r="BH310" s="430"/>
      <c r="BI310" s="196"/>
      <c r="BJ310" s="474"/>
      <c r="BK310" s="475"/>
      <c r="BL310" s="475"/>
      <c r="BM310" s="475"/>
      <c r="BN310" s="475"/>
      <c r="BO310" s="476"/>
      <c r="BP310" s="474"/>
      <c r="BQ310" s="475"/>
      <c r="BR310" s="475"/>
      <c r="BS310" s="475"/>
      <c r="BT310" s="475"/>
      <c r="BU310" s="476"/>
      <c r="BV310" s="474"/>
      <c r="BW310" s="475"/>
      <c r="BX310" s="475"/>
      <c r="BY310" s="475"/>
      <c r="BZ310" s="475"/>
      <c r="CA310" s="476"/>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5" hidden="1">
      <c r="A311" s="434">
        <v>51</v>
      </c>
      <c r="B311" s="36"/>
      <c r="C311" s="198" t="str">
        <f t="shared" ca="1" si="5"/>
        <v/>
      </c>
      <c r="D311" s="477"/>
      <c r="E311" s="478"/>
      <c r="F311" s="478"/>
      <c r="G311" s="478"/>
      <c r="H311" s="478"/>
      <c r="I311" s="478"/>
      <c r="J311" s="478"/>
      <c r="K311" s="438" t="s">
        <v>308</v>
      </c>
      <c r="L311" s="439"/>
      <c r="M311" s="439"/>
      <c r="N311" s="439"/>
      <c r="O311" s="439"/>
      <c r="P311" s="439"/>
      <c r="Q311" s="439"/>
      <c r="R311" s="442" t="s">
        <v>186</v>
      </c>
      <c r="S311" s="443"/>
      <c r="T311" s="442"/>
      <c r="U311" s="443"/>
      <c r="V311" s="438"/>
      <c r="W311" s="439"/>
      <c r="X311" s="439"/>
      <c r="Y311" s="439"/>
      <c r="Z311" s="439"/>
      <c r="AA311" s="439"/>
      <c r="AB311" s="439"/>
      <c r="AC311" s="439"/>
      <c r="AD311" s="438"/>
      <c r="AE311" s="439"/>
      <c r="AF311" s="439"/>
      <c r="AG311" s="439"/>
      <c r="AH311" s="439"/>
      <c r="AI311" s="439"/>
      <c r="AJ311" s="439"/>
      <c r="AK311" s="449"/>
      <c r="AL311" s="491"/>
      <c r="AM311" s="492"/>
      <c r="AN311" s="492"/>
      <c r="AO311" s="492"/>
      <c r="AP311" s="492"/>
      <c r="AQ311" s="492"/>
      <c r="AR311" s="493"/>
      <c r="AS311" s="500"/>
      <c r="AT311" s="483"/>
      <c r="AU311" s="483"/>
      <c r="AV311" s="483"/>
      <c r="AW311" s="483"/>
      <c r="AX311" s="483"/>
      <c r="AY311" s="484"/>
      <c r="AZ311" s="460"/>
      <c r="BA311" s="461"/>
      <c r="BB311" s="60">
        <v>1</v>
      </c>
      <c r="BC311" s="466"/>
      <c r="BD311" s="467"/>
      <c r="BE311" s="467"/>
      <c r="BF311" s="468"/>
      <c r="BG311" s="469"/>
      <c r="BH311" s="470"/>
      <c r="BI311" s="194"/>
      <c r="BJ311" s="471"/>
      <c r="BK311" s="472"/>
      <c r="BL311" s="472"/>
      <c r="BM311" s="472"/>
      <c r="BN311" s="472"/>
      <c r="BO311" s="473"/>
      <c r="BP311" s="471"/>
      <c r="BQ311" s="472"/>
      <c r="BR311" s="472"/>
      <c r="BS311" s="472"/>
      <c r="BT311" s="472"/>
      <c r="BU311" s="473"/>
      <c r="BV311" s="471"/>
      <c r="BW311" s="472"/>
      <c r="BX311" s="472"/>
      <c r="BY311" s="472"/>
      <c r="BZ311" s="472"/>
      <c r="CA311" s="473"/>
      <c r="CB311" s="466"/>
      <c r="CC311" s="467"/>
      <c r="CD311" s="467"/>
      <c r="CE311" s="468"/>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5" hidden="1">
      <c r="A312" s="435"/>
      <c r="B312" s="36"/>
      <c r="C312" s="199" t="str">
        <f t="shared" ca="1" si="5"/>
        <v/>
      </c>
      <c r="D312" s="479"/>
      <c r="E312" s="480"/>
      <c r="F312" s="480"/>
      <c r="G312" s="480"/>
      <c r="H312" s="480"/>
      <c r="I312" s="480"/>
      <c r="J312" s="480"/>
      <c r="K312" s="440"/>
      <c r="L312" s="441"/>
      <c r="M312" s="441"/>
      <c r="N312" s="441"/>
      <c r="O312" s="441"/>
      <c r="P312" s="441"/>
      <c r="Q312" s="441"/>
      <c r="R312" s="444"/>
      <c r="S312" s="445"/>
      <c r="T312" s="444"/>
      <c r="U312" s="445"/>
      <c r="V312" s="440"/>
      <c r="W312" s="441"/>
      <c r="X312" s="441"/>
      <c r="Y312" s="441"/>
      <c r="Z312" s="441"/>
      <c r="AA312" s="441"/>
      <c r="AB312" s="441"/>
      <c r="AC312" s="441"/>
      <c r="AD312" s="440"/>
      <c r="AE312" s="441"/>
      <c r="AF312" s="441"/>
      <c r="AG312" s="441"/>
      <c r="AH312" s="441"/>
      <c r="AI312" s="441"/>
      <c r="AJ312" s="441"/>
      <c r="AK312" s="450"/>
      <c r="AL312" s="494"/>
      <c r="AM312" s="495"/>
      <c r="AN312" s="495"/>
      <c r="AO312" s="495"/>
      <c r="AP312" s="495"/>
      <c r="AQ312" s="495"/>
      <c r="AR312" s="496"/>
      <c r="AS312" s="485"/>
      <c r="AT312" s="486"/>
      <c r="AU312" s="486"/>
      <c r="AV312" s="486"/>
      <c r="AW312" s="486"/>
      <c r="AX312" s="486"/>
      <c r="AY312" s="487"/>
      <c r="AZ312" s="462"/>
      <c r="BA312" s="463"/>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5" hidden="1">
      <c r="A313" s="435"/>
      <c r="B313" s="36"/>
      <c r="C313" s="199" t="str">
        <f t="shared" ca="1" si="5"/>
        <v/>
      </c>
      <c r="D313" s="479"/>
      <c r="E313" s="480"/>
      <c r="F313" s="480"/>
      <c r="G313" s="480"/>
      <c r="H313" s="480"/>
      <c r="I313" s="480"/>
      <c r="J313" s="480"/>
      <c r="K313" s="440"/>
      <c r="L313" s="441"/>
      <c r="M313" s="441"/>
      <c r="N313" s="441"/>
      <c r="O313" s="441"/>
      <c r="P313" s="441"/>
      <c r="Q313" s="441"/>
      <c r="R313" s="444"/>
      <c r="S313" s="445"/>
      <c r="T313" s="444"/>
      <c r="U313" s="445"/>
      <c r="V313" s="440"/>
      <c r="W313" s="441"/>
      <c r="X313" s="441"/>
      <c r="Y313" s="441"/>
      <c r="Z313" s="441"/>
      <c r="AA313" s="441"/>
      <c r="AB313" s="441"/>
      <c r="AC313" s="441"/>
      <c r="AD313" s="440"/>
      <c r="AE313" s="441"/>
      <c r="AF313" s="441"/>
      <c r="AG313" s="441"/>
      <c r="AH313" s="441"/>
      <c r="AI313" s="441"/>
      <c r="AJ313" s="441"/>
      <c r="AK313" s="450"/>
      <c r="AL313" s="494"/>
      <c r="AM313" s="495"/>
      <c r="AN313" s="495"/>
      <c r="AO313" s="495"/>
      <c r="AP313" s="495"/>
      <c r="AQ313" s="495"/>
      <c r="AR313" s="496"/>
      <c r="AS313" s="485"/>
      <c r="AT313" s="486"/>
      <c r="AU313" s="486"/>
      <c r="AV313" s="486"/>
      <c r="AW313" s="486"/>
      <c r="AX313" s="486"/>
      <c r="AY313" s="487"/>
      <c r="AZ313" s="462"/>
      <c r="BA313" s="463"/>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5" hidden="1">
      <c r="A314" s="435"/>
      <c r="B314" s="36"/>
      <c r="C314" s="199" t="str">
        <f t="shared" ca="1" si="5"/>
        <v/>
      </c>
      <c r="D314" s="479"/>
      <c r="E314" s="480"/>
      <c r="F314" s="480"/>
      <c r="G314" s="480"/>
      <c r="H314" s="480"/>
      <c r="I314" s="480"/>
      <c r="J314" s="480"/>
      <c r="K314" s="440"/>
      <c r="L314" s="441"/>
      <c r="M314" s="441"/>
      <c r="N314" s="441"/>
      <c r="O314" s="441"/>
      <c r="P314" s="441"/>
      <c r="Q314" s="441"/>
      <c r="R314" s="444"/>
      <c r="S314" s="445"/>
      <c r="T314" s="444"/>
      <c r="U314" s="445"/>
      <c r="V314" s="440"/>
      <c r="W314" s="441"/>
      <c r="X314" s="441"/>
      <c r="Y314" s="441"/>
      <c r="Z314" s="441"/>
      <c r="AA314" s="441"/>
      <c r="AB314" s="441"/>
      <c r="AC314" s="441"/>
      <c r="AD314" s="440"/>
      <c r="AE314" s="441"/>
      <c r="AF314" s="441"/>
      <c r="AG314" s="441"/>
      <c r="AH314" s="441"/>
      <c r="AI314" s="441"/>
      <c r="AJ314" s="441"/>
      <c r="AK314" s="450"/>
      <c r="AL314" s="494"/>
      <c r="AM314" s="495"/>
      <c r="AN314" s="495"/>
      <c r="AO314" s="495"/>
      <c r="AP314" s="495"/>
      <c r="AQ314" s="495"/>
      <c r="AR314" s="496"/>
      <c r="AS314" s="485"/>
      <c r="AT314" s="486"/>
      <c r="AU314" s="486"/>
      <c r="AV314" s="486"/>
      <c r="AW314" s="486"/>
      <c r="AX314" s="486"/>
      <c r="AY314" s="487"/>
      <c r="AZ314" s="462"/>
      <c r="BA314" s="463"/>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5" hidden="1">
      <c r="A315" s="435"/>
      <c r="B315" s="36"/>
      <c r="C315" s="199" t="str">
        <f t="shared" ca="1" si="5"/>
        <v/>
      </c>
      <c r="D315" s="479"/>
      <c r="E315" s="480"/>
      <c r="F315" s="480"/>
      <c r="G315" s="480"/>
      <c r="H315" s="480"/>
      <c r="I315" s="480"/>
      <c r="J315" s="480"/>
      <c r="K315" s="440"/>
      <c r="L315" s="441"/>
      <c r="M315" s="441"/>
      <c r="N315" s="441"/>
      <c r="O315" s="441"/>
      <c r="P315" s="441"/>
      <c r="Q315" s="441"/>
      <c r="R315" s="444"/>
      <c r="S315" s="445"/>
      <c r="T315" s="444"/>
      <c r="U315" s="445"/>
      <c r="V315" s="440"/>
      <c r="W315" s="441"/>
      <c r="X315" s="441"/>
      <c r="Y315" s="441"/>
      <c r="Z315" s="441"/>
      <c r="AA315" s="441"/>
      <c r="AB315" s="441"/>
      <c r="AC315" s="441"/>
      <c r="AD315" s="440"/>
      <c r="AE315" s="441"/>
      <c r="AF315" s="441"/>
      <c r="AG315" s="441"/>
      <c r="AH315" s="441"/>
      <c r="AI315" s="441"/>
      <c r="AJ315" s="441"/>
      <c r="AK315" s="450"/>
      <c r="AL315" s="494"/>
      <c r="AM315" s="495"/>
      <c r="AN315" s="495"/>
      <c r="AO315" s="495"/>
      <c r="AP315" s="495"/>
      <c r="AQ315" s="495"/>
      <c r="AR315" s="496"/>
      <c r="AS315" s="485"/>
      <c r="AT315" s="486"/>
      <c r="AU315" s="486"/>
      <c r="AV315" s="486"/>
      <c r="AW315" s="486"/>
      <c r="AX315" s="486"/>
      <c r="AY315" s="487"/>
      <c r="AZ315" s="462"/>
      <c r="BA315" s="463"/>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5" hidden="1">
      <c r="A316" s="436"/>
      <c r="B316" s="37"/>
      <c r="C316" s="200" t="str">
        <f t="shared" ca="1" si="5"/>
        <v/>
      </c>
      <c r="D316" s="481"/>
      <c r="E316" s="482"/>
      <c r="F316" s="482"/>
      <c r="G316" s="482"/>
      <c r="H316" s="482"/>
      <c r="I316" s="482"/>
      <c r="J316" s="482"/>
      <c r="K316" s="409"/>
      <c r="L316" s="410"/>
      <c r="M316" s="410"/>
      <c r="N316" s="410"/>
      <c r="O316" s="410"/>
      <c r="P316" s="410"/>
      <c r="Q316" s="410"/>
      <c r="R316" s="446"/>
      <c r="S316" s="447"/>
      <c r="T316" s="446"/>
      <c r="U316" s="447"/>
      <c r="V316" s="409"/>
      <c r="W316" s="410"/>
      <c r="X316" s="410"/>
      <c r="Y316" s="410"/>
      <c r="Z316" s="410"/>
      <c r="AA316" s="410"/>
      <c r="AB316" s="410"/>
      <c r="AC316" s="410"/>
      <c r="AD316" s="409"/>
      <c r="AE316" s="410"/>
      <c r="AF316" s="410"/>
      <c r="AG316" s="410"/>
      <c r="AH316" s="410"/>
      <c r="AI316" s="410"/>
      <c r="AJ316" s="410"/>
      <c r="AK316" s="411"/>
      <c r="AL316" s="497"/>
      <c r="AM316" s="498"/>
      <c r="AN316" s="498"/>
      <c r="AO316" s="498"/>
      <c r="AP316" s="498"/>
      <c r="AQ316" s="498"/>
      <c r="AR316" s="499"/>
      <c r="AS316" s="488"/>
      <c r="AT316" s="489"/>
      <c r="AU316" s="489"/>
      <c r="AV316" s="489"/>
      <c r="AW316" s="489"/>
      <c r="AX316" s="489"/>
      <c r="AY316" s="490"/>
      <c r="AZ316" s="464"/>
      <c r="BA316" s="465"/>
      <c r="BB316" s="62">
        <v>6</v>
      </c>
      <c r="BC316" s="426"/>
      <c r="BD316" s="427"/>
      <c r="BE316" s="427"/>
      <c r="BF316" s="428"/>
      <c r="BG316" s="429"/>
      <c r="BH316" s="430"/>
      <c r="BI316" s="196"/>
      <c r="BJ316" s="474"/>
      <c r="BK316" s="475"/>
      <c r="BL316" s="475"/>
      <c r="BM316" s="475"/>
      <c r="BN316" s="475"/>
      <c r="BO316" s="476"/>
      <c r="BP316" s="474"/>
      <c r="BQ316" s="475"/>
      <c r="BR316" s="475"/>
      <c r="BS316" s="475"/>
      <c r="BT316" s="475"/>
      <c r="BU316" s="476"/>
      <c r="BV316" s="474"/>
      <c r="BW316" s="475"/>
      <c r="BX316" s="475"/>
      <c r="BY316" s="475"/>
      <c r="BZ316" s="475"/>
      <c r="CA316" s="476"/>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5" hidden="1">
      <c r="A317" s="434">
        <v>52</v>
      </c>
      <c r="B317" s="36"/>
      <c r="C317" s="198" t="str">
        <f t="shared" ca="1" si="5"/>
        <v/>
      </c>
      <c r="D317" s="477"/>
      <c r="E317" s="478"/>
      <c r="F317" s="478"/>
      <c r="G317" s="478"/>
      <c r="H317" s="478"/>
      <c r="I317" s="478"/>
      <c r="J317" s="478"/>
      <c r="K317" s="438" t="s">
        <v>309</v>
      </c>
      <c r="L317" s="439"/>
      <c r="M317" s="439"/>
      <c r="N317" s="439"/>
      <c r="O317" s="439"/>
      <c r="P317" s="439"/>
      <c r="Q317" s="439"/>
      <c r="R317" s="442" t="s">
        <v>186</v>
      </c>
      <c r="S317" s="443"/>
      <c r="T317" s="442"/>
      <c r="U317" s="443"/>
      <c r="V317" s="438"/>
      <c r="W317" s="439"/>
      <c r="X317" s="439"/>
      <c r="Y317" s="439"/>
      <c r="Z317" s="439"/>
      <c r="AA317" s="439"/>
      <c r="AB317" s="439"/>
      <c r="AC317" s="439"/>
      <c r="AD317" s="438"/>
      <c r="AE317" s="439"/>
      <c r="AF317" s="439"/>
      <c r="AG317" s="439"/>
      <c r="AH317" s="439"/>
      <c r="AI317" s="439"/>
      <c r="AJ317" s="439"/>
      <c r="AK317" s="449"/>
      <c r="AL317" s="491"/>
      <c r="AM317" s="492"/>
      <c r="AN317" s="492"/>
      <c r="AO317" s="492"/>
      <c r="AP317" s="492"/>
      <c r="AQ317" s="492"/>
      <c r="AR317" s="493"/>
      <c r="AS317" s="500"/>
      <c r="AT317" s="483"/>
      <c r="AU317" s="483"/>
      <c r="AV317" s="483"/>
      <c r="AW317" s="483"/>
      <c r="AX317" s="483"/>
      <c r="AY317" s="484"/>
      <c r="AZ317" s="460"/>
      <c r="BA317" s="461"/>
      <c r="BB317" s="60">
        <v>1</v>
      </c>
      <c r="BC317" s="466"/>
      <c r="BD317" s="467"/>
      <c r="BE317" s="467"/>
      <c r="BF317" s="468"/>
      <c r="BG317" s="469"/>
      <c r="BH317" s="470"/>
      <c r="BI317" s="194"/>
      <c r="BJ317" s="471"/>
      <c r="BK317" s="472"/>
      <c r="BL317" s="472"/>
      <c r="BM317" s="472"/>
      <c r="BN317" s="472"/>
      <c r="BO317" s="473"/>
      <c r="BP317" s="471"/>
      <c r="BQ317" s="472"/>
      <c r="BR317" s="472"/>
      <c r="BS317" s="472"/>
      <c r="BT317" s="472"/>
      <c r="BU317" s="473"/>
      <c r="BV317" s="471"/>
      <c r="BW317" s="472"/>
      <c r="BX317" s="472"/>
      <c r="BY317" s="472"/>
      <c r="BZ317" s="472"/>
      <c r="CA317" s="473"/>
      <c r="CB317" s="466"/>
      <c r="CC317" s="467"/>
      <c r="CD317" s="467"/>
      <c r="CE317" s="468"/>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5" hidden="1">
      <c r="A318" s="435"/>
      <c r="B318" s="36"/>
      <c r="C318" s="199" t="str">
        <f t="shared" ca="1" si="5"/>
        <v/>
      </c>
      <c r="D318" s="479"/>
      <c r="E318" s="480"/>
      <c r="F318" s="480"/>
      <c r="G318" s="480"/>
      <c r="H318" s="480"/>
      <c r="I318" s="480"/>
      <c r="J318" s="480"/>
      <c r="K318" s="440"/>
      <c r="L318" s="441"/>
      <c r="M318" s="441"/>
      <c r="N318" s="441"/>
      <c r="O318" s="441"/>
      <c r="P318" s="441"/>
      <c r="Q318" s="441"/>
      <c r="R318" s="444"/>
      <c r="S318" s="445"/>
      <c r="T318" s="444"/>
      <c r="U318" s="445"/>
      <c r="V318" s="440"/>
      <c r="W318" s="441"/>
      <c r="X318" s="441"/>
      <c r="Y318" s="441"/>
      <c r="Z318" s="441"/>
      <c r="AA318" s="441"/>
      <c r="AB318" s="441"/>
      <c r="AC318" s="441"/>
      <c r="AD318" s="440"/>
      <c r="AE318" s="441"/>
      <c r="AF318" s="441"/>
      <c r="AG318" s="441"/>
      <c r="AH318" s="441"/>
      <c r="AI318" s="441"/>
      <c r="AJ318" s="441"/>
      <c r="AK318" s="450"/>
      <c r="AL318" s="494"/>
      <c r="AM318" s="495"/>
      <c r="AN318" s="495"/>
      <c r="AO318" s="495"/>
      <c r="AP318" s="495"/>
      <c r="AQ318" s="495"/>
      <c r="AR318" s="496"/>
      <c r="AS318" s="485"/>
      <c r="AT318" s="486"/>
      <c r="AU318" s="486"/>
      <c r="AV318" s="486"/>
      <c r="AW318" s="486"/>
      <c r="AX318" s="486"/>
      <c r="AY318" s="487"/>
      <c r="AZ318" s="462"/>
      <c r="BA318" s="463"/>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5" hidden="1">
      <c r="A319" s="435"/>
      <c r="B319" s="36"/>
      <c r="C319" s="199" t="str">
        <f t="shared" ca="1" si="5"/>
        <v/>
      </c>
      <c r="D319" s="479"/>
      <c r="E319" s="480"/>
      <c r="F319" s="480"/>
      <c r="G319" s="480"/>
      <c r="H319" s="480"/>
      <c r="I319" s="480"/>
      <c r="J319" s="480"/>
      <c r="K319" s="440"/>
      <c r="L319" s="441"/>
      <c r="M319" s="441"/>
      <c r="N319" s="441"/>
      <c r="O319" s="441"/>
      <c r="P319" s="441"/>
      <c r="Q319" s="441"/>
      <c r="R319" s="444"/>
      <c r="S319" s="445"/>
      <c r="T319" s="444"/>
      <c r="U319" s="445"/>
      <c r="V319" s="440"/>
      <c r="W319" s="441"/>
      <c r="X319" s="441"/>
      <c r="Y319" s="441"/>
      <c r="Z319" s="441"/>
      <c r="AA319" s="441"/>
      <c r="AB319" s="441"/>
      <c r="AC319" s="441"/>
      <c r="AD319" s="440"/>
      <c r="AE319" s="441"/>
      <c r="AF319" s="441"/>
      <c r="AG319" s="441"/>
      <c r="AH319" s="441"/>
      <c r="AI319" s="441"/>
      <c r="AJ319" s="441"/>
      <c r="AK319" s="450"/>
      <c r="AL319" s="494"/>
      <c r="AM319" s="495"/>
      <c r="AN319" s="495"/>
      <c r="AO319" s="495"/>
      <c r="AP319" s="495"/>
      <c r="AQ319" s="495"/>
      <c r="AR319" s="496"/>
      <c r="AS319" s="485"/>
      <c r="AT319" s="486"/>
      <c r="AU319" s="486"/>
      <c r="AV319" s="486"/>
      <c r="AW319" s="486"/>
      <c r="AX319" s="486"/>
      <c r="AY319" s="487"/>
      <c r="AZ319" s="462"/>
      <c r="BA319" s="463"/>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5" hidden="1">
      <c r="A320" s="435"/>
      <c r="B320" s="36"/>
      <c r="C320" s="199" t="str">
        <f t="shared" ca="1" si="5"/>
        <v/>
      </c>
      <c r="D320" s="479"/>
      <c r="E320" s="480"/>
      <c r="F320" s="480"/>
      <c r="G320" s="480"/>
      <c r="H320" s="480"/>
      <c r="I320" s="480"/>
      <c r="J320" s="480"/>
      <c r="K320" s="440"/>
      <c r="L320" s="441"/>
      <c r="M320" s="441"/>
      <c r="N320" s="441"/>
      <c r="O320" s="441"/>
      <c r="P320" s="441"/>
      <c r="Q320" s="441"/>
      <c r="R320" s="444"/>
      <c r="S320" s="445"/>
      <c r="T320" s="444"/>
      <c r="U320" s="445"/>
      <c r="V320" s="440"/>
      <c r="W320" s="441"/>
      <c r="X320" s="441"/>
      <c r="Y320" s="441"/>
      <c r="Z320" s="441"/>
      <c r="AA320" s="441"/>
      <c r="AB320" s="441"/>
      <c r="AC320" s="441"/>
      <c r="AD320" s="440"/>
      <c r="AE320" s="441"/>
      <c r="AF320" s="441"/>
      <c r="AG320" s="441"/>
      <c r="AH320" s="441"/>
      <c r="AI320" s="441"/>
      <c r="AJ320" s="441"/>
      <c r="AK320" s="450"/>
      <c r="AL320" s="494"/>
      <c r="AM320" s="495"/>
      <c r="AN320" s="495"/>
      <c r="AO320" s="495"/>
      <c r="AP320" s="495"/>
      <c r="AQ320" s="495"/>
      <c r="AR320" s="496"/>
      <c r="AS320" s="485"/>
      <c r="AT320" s="486"/>
      <c r="AU320" s="486"/>
      <c r="AV320" s="486"/>
      <c r="AW320" s="486"/>
      <c r="AX320" s="486"/>
      <c r="AY320" s="487"/>
      <c r="AZ320" s="462"/>
      <c r="BA320" s="463"/>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5" hidden="1">
      <c r="A321" s="435"/>
      <c r="B321" s="36"/>
      <c r="C321" s="199" t="str">
        <f t="shared" ca="1" si="5"/>
        <v/>
      </c>
      <c r="D321" s="479"/>
      <c r="E321" s="480"/>
      <c r="F321" s="480"/>
      <c r="G321" s="480"/>
      <c r="H321" s="480"/>
      <c r="I321" s="480"/>
      <c r="J321" s="480"/>
      <c r="K321" s="440"/>
      <c r="L321" s="441"/>
      <c r="M321" s="441"/>
      <c r="N321" s="441"/>
      <c r="O321" s="441"/>
      <c r="P321" s="441"/>
      <c r="Q321" s="441"/>
      <c r="R321" s="444"/>
      <c r="S321" s="445"/>
      <c r="T321" s="444"/>
      <c r="U321" s="445"/>
      <c r="V321" s="440"/>
      <c r="W321" s="441"/>
      <c r="X321" s="441"/>
      <c r="Y321" s="441"/>
      <c r="Z321" s="441"/>
      <c r="AA321" s="441"/>
      <c r="AB321" s="441"/>
      <c r="AC321" s="441"/>
      <c r="AD321" s="440"/>
      <c r="AE321" s="441"/>
      <c r="AF321" s="441"/>
      <c r="AG321" s="441"/>
      <c r="AH321" s="441"/>
      <c r="AI321" s="441"/>
      <c r="AJ321" s="441"/>
      <c r="AK321" s="450"/>
      <c r="AL321" s="494"/>
      <c r="AM321" s="495"/>
      <c r="AN321" s="495"/>
      <c r="AO321" s="495"/>
      <c r="AP321" s="495"/>
      <c r="AQ321" s="495"/>
      <c r="AR321" s="496"/>
      <c r="AS321" s="485"/>
      <c r="AT321" s="486"/>
      <c r="AU321" s="486"/>
      <c r="AV321" s="486"/>
      <c r="AW321" s="486"/>
      <c r="AX321" s="486"/>
      <c r="AY321" s="487"/>
      <c r="AZ321" s="462"/>
      <c r="BA321" s="463"/>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5" hidden="1">
      <c r="A322" s="436"/>
      <c r="B322" s="37"/>
      <c r="C322" s="200" t="str">
        <f t="shared" ca="1" si="5"/>
        <v/>
      </c>
      <c r="D322" s="481"/>
      <c r="E322" s="482"/>
      <c r="F322" s="482"/>
      <c r="G322" s="482"/>
      <c r="H322" s="482"/>
      <c r="I322" s="482"/>
      <c r="J322" s="482"/>
      <c r="K322" s="409"/>
      <c r="L322" s="410"/>
      <c r="M322" s="410"/>
      <c r="N322" s="410"/>
      <c r="O322" s="410"/>
      <c r="P322" s="410"/>
      <c r="Q322" s="410"/>
      <c r="R322" s="446"/>
      <c r="S322" s="447"/>
      <c r="T322" s="446"/>
      <c r="U322" s="447"/>
      <c r="V322" s="409"/>
      <c r="W322" s="410"/>
      <c r="X322" s="410"/>
      <c r="Y322" s="410"/>
      <c r="Z322" s="410"/>
      <c r="AA322" s="410"/>
      <c r="AB322" s="410"/>
      <c r="AC322" s="410"/>
      <c r="AD322" s="409"/>
      <c r="AE322" s="410"/>
      <c r="AF322" s="410"/>
      <c r="AG322" s="410"/>
      <c r="AH322" s="410"/>
      <c r="AI322" s="410"/>
      <c r="AJ322" s="410"/>
      <c r="AK322" s="411"/>
      <c r="AL322" s="497"/>
      <c r="AM322" s="498"/>
      <c r="AN322" s="498"/>
      <c r="AO322" s="498"/>
      <c r="AP322" s="498"/>
      <c r="AQ322" s="498"/>
      <c r="AR322" s="499"/>
      <c r="AS322" s="488"/>
      <c r="AT322" s="489"/>
      <c r="AU322" s="489"/>
      <c r="AV322" s="489"/>
      <c r="AW322" s="489"/>
      <c r="AX322" s="489"/>
      <c r="AY322" s="490"/>
      <c r="AZ322" s="464"/>
      <c r="BA322" s="465"/>
      <c r="BB322" s="62">
        <v>6</v>
      </c>
      <c r="BC322" s="426"/>
      <c r="BD322" s="427"/>
      <c r="BE322" s="427"/>
      <c r="BF322" s="428"/>
      <c r="BG322" s="429"/>
      <c r="BH322" s="430"/>
      <c r="BI322" s="196"/>
      <c r="BJ322" s="474"/>
      <c r="BK322" s="475"/>
      <c r="BL322" s="475"/>
      <c r="BM322" s="475"/>
      <c r="BN322" s="475"/>
      <c r="BO322" s="476"/>
      <c r="BP322" s="474"/>
      <c r="BQ322" s="475"/>
      <c r="BR322" s="475"/>
      <c r="BS322" s="475"/>
      <c r="BT322" s="475"/>
      <c r="BU322" s="476"/>
      <c r="BV322" s="474"/>
      <c r="BW322" s="475"/>
      <c r="BX322" s="475"/>
      <c r="BY322" s="475"/>
      <c r="BZ322" s="475"/>
      <c r="CA322" s="476"/>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5.95" hidden="1" customHeight="1">
      <c r="A323" s="434">
        <v>53</v>
      </c>
      <c r="B323" s="36"/>
      <c r="C323" s="198" t="str">
        <f t="shared" ca="1" si="5"/>
        <v/>
      </c>
      <c r="D323" s="477" t="s">
        <v>310</v>
      </c>
      <c r="E323" s="478"/>
      <c r="F323" s="478"/>
      <c r="G323" s="478"/>
      <c r="H323" s="478"/>
      <c r="I323" s="478"/>
      <c r="J323" s="478"/>
      <c r="K323" s="438" t="s">
        <v>311</v>
      </c>
      <c r="L323" s="439"/>
      <c r="M323" s="439"/>
      <c r="N323" s="439"/>
      <c r="O323" s="439"/>
      <c r="P323" s="439"/>
      <c r="Q323" s="439"/>
      <c r="R323" s="442" t="s">
        <v>186</v>
      </c>
      <c r="S323" s="443"/>
      <c r="T323" s="442"/>
      <c r="U323" s="443"/>
      <c r="V323" s="438"/>
      <c r="W323" s="439"/>
      <c r="X323" s="439"/>
      <c r="Y323" s="439"/>
      <c r="Z323" s="439"/>
      <c r="AA323" s="439"/>
      <c r="AB323" s="439"/>
      <c r="AC323" s="439"/>
      <c r="AD323" s="438"/>
      <c r="AE323" s="439"/>
      <c r="AF323" s="439"/>
      <c r="AG323" s="439"/>
      <c r="AH323" s="439"/>
      <c r="AI323" s="439"/>
      <c r="AJ323" s="439"/>
      <c r="AK323" s="449"/>
      <c r="AL323" s="491"/>
      <c r="AM323" s="492"/>
      <c r="AN323" s="492"/>
      <c r="AO323" s="492"/>
      <c r="AP323" s="492"/>
      <c r="AQ323" s="492"/>
      <c r="AR323" s="493"/>
      <c r="AS323" s="438"/>
      <c r="AT323" s="439"/>
      <c r="AU323" s="439"/>
      <c r="AV323" s="439"/>
      <c r="AW323" s="439"/>
      <c r="AX323" s="439"/>
      <c r="AY323" s="449"/>
      <c r="AZ323" s="460"/>
      <c r="BA323" s="461"/>
      <c r="BB323" s="60">
        <v>1</v>
      </c>
      <c r="BC323" s="466"/>
      <c r="BD323" s="467"/>
      <c r="BE323" s="467"/>
      <c r="BF323" s="468"/>
      <c r="BG323" s="469"/>
      <c r="BH323" s="470"/>
      <c r="BI323" s="194"/>
      <c r="BJ323" s="471"/>
      <c r="BK323" s="472"/>
      <c r="BL323" s="472"/>
      <c r="BM323" s="472"/>
      <c r="BN323" s="472"/>
      <c r="BO323" s="473"/>
      <c r="BP323" s="471"/>
      <c r="BQ323" s="472"/>
      <c r="BR323" s="472"/>
      <c r="BS323" s="472"/>
      <c r="BT323" s="472"/>
      <c r="BU323" s="473"/>
      <c r="BV323" s="471"/>
      <c r="BW323" s="472"/>
      <c r="BX323" s="472"/>
      <c r="BY323" s="472"/>
      <c r="BZ323" s="472"/>
      <c r="CA323" s="473"/>
      <c r="CB323" s="466"/>
      <c r="CC323" s="467"/>
      <c r="CD323" s="467"/>
      <c r="CE323" s="468"/>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5" hidden="1">
      <c r="A324" s="435"/>
      <c r="B324" s="36"/>
      <c r="C324" s="199" t="str">
        <f t="shared" ref="C324:C370" ca="1" si="6">IF(AND(OFFSET($K324,-($BB324-1),0)&lt;&gt;"",OFFSET($R324,-($BB324-1),0)&lt;&gt;"x"),"●","")</f>
        <v/>
      </c>
      <c r="D324" s="479"/>
      <c r="E324" s="480"/>
      <c r="F324" s="480"/>
      <c r="G324" s="480"/>
      <c r="H324" s="480"/>
      <c r="I324" s="480"/>
      <c r="J324" s="480"/>
      <c r="K324" s="440"/>
      <c r="L324" s="441"/>
      <c r="M324" s="441"/>
      <c r="N324" s="441"/>
      <c r="O324" s="441"/>
      <c r="P324" s="441"/>
      <c r="Q324" s="441"/>
      <c r="R324" s="444"/>
      <c r="S324" s="445"/>
      <c r="T324" s="444"/>
      <c r="U324" s="445"/>
      <c r="V324" s="440"/>
      <c r="W324" s="441"/>
      <c r="X324" s="441"/>
      <c r="Y324" s="441"/>
      <c r="Z324" s="441"/>
      <c r="AA324" s="441"/>
      <c r="AB324" s="441"/>
      <c r="AC324" s="441"/>
      <c r="AD324" s="440"/>
      <c r="AE324" s="441"/>
      <c r="AF324" s="441"/>
      <c r="AG324" s="441"/>
      <c r="AH324" s="441"/>
      <c r="AI324" s="441"/>
      <c r="AJ324" s="441"/>
      <c r="AK324" s="450"/>
      <c r="AL324" s="494"/>
      <c r="AM324" s="495"/>
      <c r="AN324" s="495"/>
      <c r="AO324" s="495"/>
      <c r="AP324" s="495"/>
      <c r="AQ324" s="495"/>
      <c r="AR324" s="496"/>
      <c r="AS324" s="440"/>
      <c r="AT324" s="441"/>
      <c r="AU324" s="441"/>
      <c r="AV324" s="441"/>
      <c r="AW324" s="441"/>
      <c r="AX324" s="441"/>
      <c r="AY324" s="450"/>
      <c r="AZ324" s="462"/>
      <c r="BA324" s="463"/>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5" hidden="1">
      <c r="A325" s="435"/>
      <c r="B325" s="36"/>
      <c r="C325" s="199" t="str">
        <f t="shared" ca="1" si="6"/>
        <v/>
      </c>
      <c r="D325" s="479"/>
      <c r="E325" s="480"/>
      <c r="F325" s="480"/>
      <c r="G325" s="480"/>
      <c r="H325" s="480"/>
      <c r="I325" s="480"/>
      <c r="J325" s="480"/>
      <c r="K325" s="440"/>
      <c r="L325" s="441"/>
      <c r="M325" s="441"/>
      <c r="N325" s="441"/>
      <c r="O325" s="441"/>
      <c r="P325" s="441"/>
      <c r="Q325" s="441"/>
      <c r="R325" s="444"/>
      <c r="S325" s="445"/>
      <c r="T325" s="444"/>
      <c r="U325" s="445"/>
      <c r="V325" s="440"/>
      <c r="W325" s="441"/>
      <c r="X325" s="441"/>
      <c r="Y325" s="441"/>
      <c r="Z325" s="441"/>
      <c r="AA325" s="441"/>
      <c r="AB325" s="441"/>
      <c r="AC325" s="441"/>
      <c r="AD325" s="440"/>
      <c r="AE325" s="441"/>
      <c r="AF325" s="441"/>
      <c r="AG325" s="441"/>
      <c r="AH325" s="441"/>
      <c r="AI325" s="441"/>
      <c r="AJ325" s="441"/>
      <c r="AK325" s="450"/>
      <c r="AL325" s="494"/>
      <c r="AM325" s="495"/>
      <c r="AN325" s="495"/>
      <c r="AO325" s="495"/>
      <c r="AP325" s="495"/>
      <c r="AQ325" s="495"/>
      <c r="AR325" s="496"/>
      <c r="AS325" s="440"/>
      <c r="AT325" s="441"/>
      <c r="AU325" s="441"/>
      <c r="AV325" s="441"/>
      <c r="AW325" s="441"/>
      <c r="AX325" s="441"/>
      <c r="AY325" s="450"/>
      <c r="AZ325" s="462"/>
      <c r="BA325" s="463"/>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5" hidden="1">
      <c r="A326" s="435"/>
      <c r="B326" s="36"/>
      <c r="C326" s="199" t="str">
        <f t="shared" ca="1" si="6"/>
        <v/>
      </c>
      <c r="D326" s="479"/>
      <c r="E326" s="480"/>
      <c r="F326" s="480"/>
      <c r="G326" s="480"/>
      <c r="H326" s="480"/>
      <c r="I326" s="480"/>
      <c r="J326" s="480"/>
      <c r="K326" s="440"/>
      <c r="L326" s="441"/>
      <c r="M326" s="441"/>
      <c r="N326" s="441"/>
      <c r="O326" s="441"/>
      <c r="P326" s="441"/>
      <c r="Q326" s="441"/>
      <c r="R326" s="444"/>
      <c r="S326" s="445"/>
      <c r="T326" s="444"/>
      <c r="U326" s="445"/>
      <c r="V326" s="440"/>
      <c r="W326" s="441"/>
      <c r="X326" s="441"/>
      <c r="Y326" s="441"/>
      <c r="Z326" s="441"/>
      <c r="AA326" s="441"/>
      <c r="AB326" s="441"/>
      <c r="AC326" s="441"/>
      <c r="AD326" s="440"/>
      <c r="AE326" s="441"/>
      <c r="AF326" s="441"/>
      <c r="AG326" s="441"/>
      <c r="AH326" s="441"/>
      <c r="AI326" s="441"/>
      <c r="AJ326" s="441"/>
      <c r="AK326" s="450"/>
      <c r="AL326" s="494"/>
      <c r="AM326" s="495"/>
      <c r="AN326" s="495"/>
      <c r="AO326" s="495"/>
      <c r="AP326" s="495"/>
      <c r="AQ326" s="495"/>
      <c r="AR326" s="496"/>
      <c r="AS326" s="440"/>
      <c r="AT326" s="441"/>
      <c r="AU326" s="441"/>
      <c r="AV326" s="441"/>
      <c r="AW326" s="441"/>
      <c r="AX326" s="441"/>
      <c r="AY326" s="450"/>
      <c r="AZ326" s="462"/>
      <c r="BA326" s="463"/>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5" hidden="1">
      <c r="A327" s="435"/>
      <c r="B327" s="36"/>
      <c r="C327" s="199" t="str">
        <f t="shared" ca="1" si="6"/>
        <v/>
      </c>
      <c r="D327" s="479"/>
      <c r="E327" s="480"/>
      <c r="F327" s="480"/>
      <c r="G327" s="480"/>
      <c r="H327" s="480"/>
      <c r="I327" s="480"/>
      <c r="J327" s="480"/>
      <c r="K327" s="440"/>
      <c r="L327" s="441"/>
      <c r="M327" s="441"/>
      <c r="N327" s="441"/>
      <c r="O327" s="441"/>
      <c r="P327" s="441"/>
      <c r="Q327" s="441"/>
      <c r="R327" s="444"/>
      <c r="S327" s="445"/>
      <c r="T327" s="444"/>
      <c r="U327" s="445"/>
      <c r="V327" s="440"/>
      <c r="W327" s="441"/>
      <c r="X327" s="441"/>
      <c r="Y327" s="441"/>
      <c r="Z327" s="441"/>
      <c r="AA327" s="441"/>
      <c r="AB327" s="441"/>
      <c r="AC327" s="441"/>
      <c r="AD327" s="440"/>
      <c r="AE327" s="441"/>
      <c r="AF327" s="441"/>
      <c r="AG327" s="441"/>
      <c r="AH327" s="441"/>
      <c r="AI327" s="441"/>
      <c r="AJ327" s="441"/>
      <c r="AK327" s="450"/>
      <c r="AL327" s="494"/>
      <c r="AM327" s="495"/>
      <c r="AN327" s="495"/>
      <c r="AO327" s="495"/>
      <c r="AP327" s="495"/>
      <c r="AQ327" s="495"/>
      <c r="AR327" s="496"/>
      <c r="AS327" s="440"/>
      <c r="AT327" s="441"/>
      <c r="AU327" s="441"/>
      <c r="AV327" s="441"/>
      <c r="AW327" s="441"/>
      <c r="AX327" s="441"/>
      <c r="AY327" s="450"/>
      <c r="AZ327" s="462"/>
      <c r="BA327" s="463"/>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15.5" hidden="1" customHeight="1">
      <c r="A328" s="436"/>
      <c r="B328" s="37"/>
      <c r="C328" s="200" t="str">
        <f t="shared" ca="1" si="6"/>
        <v/>
      </c>
      <c r="D328" s="481"/>
      <c r="E328" s="482"/>
      <c r="F328" s="482"/>
      <c r="G328" s="482"/>
      <c r="H328" s="482"/>
      <c r="I328" s="482"/>
      <c r="J328" s="482"/>
      <c r="K328" s="409"/>
      <c r="L328" s="410"/>
      <c r="M328" s="410"/>
      <c r="N328" s="410"/>
      <c r="O328" s="410"/>
      <c r="P328" s="410"/>
      <c r="Q328" s="410"/>
      <c r="R328" s="446"/>
      <c r="S328" s="447"/>
      <c r="T328" s="446"/>
      <c r="U328" s="447"/>
      <c r="V328" s="409"/>
      <c r="W328" s="410"/>
      <c r="X328" s="410"/>
      <c r="Y328" s="410"/>
      <c r="Z328" s="410"/>
      <c r="AA328" s="410"/>
      <c r="AB328" s="410"/>
      <c r="AC328" s="410"/>
      <c r="AD328" s="409"/>
      <c r="AE328" s="410"/>
      <c r="AF328" s="410"/>
      <c r="AG328" s="410"/>
      <c r="AH328" s="410"/>
      <c r="AI328" s="410"/>
      <c r="AJ328" s="410"/>
      <c r="AK328" s="411"/>
      <c r="AL328" s="497"/>
      <c r="AM328" s="498"/>
      <c r="AN328" s="498"/>
      <c r="AO328" s="498"/>
      <c r="AP328" s="498"/>
      <c r="AQ328" s="498"/>
      <c r="AR328" s="499"/>
      <c r="AS328" s="409"/>
      <c r="AT328" s="410"/>
      <c r="AU328" s="410"/>
      <c r="AV328" s="410"/>
      <c r="AW328" s="410"/>
      <c r="AX328" s="410"/>
      <c r="AY328" s="411"/>
      <c r="AZ328" s="464"/>
      <c r="BA328" s="465"/>
      <c r="BB328" s="62">
        <v>6</v>
      </c>
      <c r="BC328" s="426"/>
      <c r="BD328" s="427"/>
      <c r="BE328" s="427"/>
      <c r="BF328" s="428"/>
      <c r="BG328" s="429"/>
      <c r="BH328" s="430"/>
      <c r="BI328" s="196"/>
      <c r="BJ328" s="474"/>
      <c r="BK328" s="475"/>
      <c r="BL328" s="475"/>
      <c r="BM328" s="475"/>
      <c r="BN328" s="475"/>
      <c r="BO328" s="476"/>
      <c r="BP328" s="474"/>
      <c r="BQ328" s="475"/>
      <c r="BR328" s="475"/>
      <c r="BS328" s="475"/>
      <c r="BT328" s="475"/>
      <c r="BU328" s="476"/>
      <c r="BV328" s="474"/>
      <c r="BW328" s="475"/>
      <c r="BX328" s="475"/>
      <c r="BY328" s="475"/>
      <c r="BZ328" s="475"/>
      <c r="CA328" s="476"/>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5" hidden="1">
      <c r="A329" s="434">
        <v>54</v>
      </c>
      <c r="B329" s="36"/>
      <c r="C329" s="198" t="str">
        <f t="shared" ca="1" si="6"/>
        <v/>
      </c>
      <c r="D329" s="477"/>
      <c r="E329" s="478"/>
      <c r="F329" s="478"/>
      <c r="G329" s="478"/>
      <c r="H329" s="478"/>
      <c r="I329" s="478"/>
      <c r="J329" s="478"/>
      <c r="K329" s="438" t="s">
        <v>312</v>
      </c>
      <c r="L329" s="439"/>
      <c r="M329" s="439"/>
      <c r="N329" s="439"/>
      <c r="O329" s="439"/>
      <c r="P329" s="439"/>
      <c r="Q329" s="439"/>
      <c r="R329" s="442" t="s">
        <v>186</v>
      </c>
      <c r="S329" s="443"/>
      <c r="T329" s="442"/>
      <c r="U329" s="443"/>
      <c r="V329" s="438"/>
      <c r="W329" s="439"/>
      <c r="X329" s="439"/>
      <c r="Y329" s="439"/>
      <c r="Z329" s="439"/>
      <c r="AA329" s="439"/>
      <c r="AB329" s="439"/>
      <c r="AC329" s="449"/>
      <c r="AD329" s="438"/>
      <c r="AE329" s="439"/>
      <c r="AF329" s="439"/>
      <c r="AG329" s="439"/>
      <c r="AH329" s="439"/>
      <c r="AI329" s="439"/>
      <c r="AJ329" s="439"/>
      <c r="AK329" s="449"/>
      <c r="AL329" s="491"/>
      <c r="AM329" s="492"/>
      <c r="AN329" s="492"/>
      <c r="AO329" s="492"/>
      <c r="AP329" s="492"/>
      <c r="AQ329" s="492"/>
      <c r="AR329" s="493"/>
      <c r="AS329" s="500"/>
      <c r="AT329" s="483"/>
      <c r="AU329" s="483"/>
      <c r="AV329" s="483"/>
      <c r="AW329" s="483"/>
      <c r="AX329" s="483"/>
      <c r="AY329" s="484"/>
      <c r="AZ329" s="460"/>
      <c r="BA329" s="461"/>
      <c r="BB329" s="60">
        <v>1</v>
      </c>
      <c r="BC329" s="466"/>
      <c r="BD329" s="467"/>
      <c r="BE329" s="467"/>
      <c r="BF329" s="468"/>
      <c r="BG329" s="469"/>
      <c r="BH329" s="470"/>
      <c r="BI329" s="194"/>
      <c r="BJ329" s="471"/>
      <c r="BK329" s="472"/>
      <c r="BL329" s="472"/>
      <c r="BM329" s="472"/>
      <c r="BN329" s="472"/>
      <c r="BO329" s="473"/>
      <c r="BP329" s="471"/>
      <c r="BQ329" s="472"/>
      <c r="BR329" s="472"/>
      <c r="BS329" s="472"/>
      <c r="BT329" s="472"/>
      <c r="BU329" s="473"/>
      <c r="BV329" s="471"/>
      <c r="BW329" s="472"/>
      <c r="BX329" s="472"/>
      <c r="BY329" s="472"/>
      <c r="BZ329" s="472"/>
      <c r="CA329" s="473"/>
      <c r="CB329" s="466"/>
      <c r="CC329" s="467"/>
      <c r="CD329" s="467"/>
      <c r="CE329" s="468"/>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5" hidden="1">
      <c r="A330" s="435"/>
      <c r="B330" s="36"/>
      <c r="C330" s="199" t="str">
        <f t="shared" ca="1" si="6"/>
        <v/>
      </c>
      <c r="D330" s="479"/>
      <c r="E330" s="480"/>
      <c r="F330" s="480"/>
      <c r="G330" s="480"/>
      <c r="H330" s="480"/>
      <c r="I330" s="480"/>
      <c r="J330" s="480"/>
      <c r="K330" s="440"/>
      <c r="L330" s="441"/>
      <c r="M330" s="441"/>
      <c r="N330" s="441"/>
      <c r="O330" s="441"/>
      <c r="P330" s="441"/>
      <c r="Q330" s="441"/>
      <c r="R330" s="444"/>
      <c r="S330" s="445"/>
      <c r="T330" s="444"/>
      <c r="U330" s="445"/>
      <c r="V330" s="440"/>
      <c r="W330" s="441"/>
      <c r="X330" s="441"/>
      <c r="Y330" s="441"/>
      <c r="Z330" s="441"/>
      <c r="AA330" s="441"/>
      <c r="AB330" s="441"/>
      <c r="AC330" s="450"/>
      <c r="AD330" s="440"/>
      <c r="AE330" s="441"/>
      <c r="AF330" s="441"/>
      <c r="AG330" s="441"/>
      <c r="AH330" s="441"/>
      <c r="AI330" s="441"/>
      <c r="AJ330" s="441"/>
      <c r="AK330" s="450"/>
      <c r="AL330" s="494"/>
      <c r="AM330" s="495"/>
      <c r="AN330" s="495"/>
      <c r="AO330" s="495"/>
      <c r="AP330" s="495"/>
      <c r="AQ330" s="495"/>
      <c r="AR330" s="496"/>
      <c r="AS330" s="485"/>
      <c r="AT330" s="486"/>
      <c r="AU330" s="486"/>
      <c r="AV330" s="486"/>
      <c r="AW330" s="486"/>
      <c r="AX330" s="486"/>
      <c r="AY330" s="487"/>
      <c r="AZ330" s="462"/>
      <c r="BA330" s="463"/>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5" hidden="1">
      <c r="A331" s="435"/>
      <c r="B331" s="36"/>
      <c r="C331" s="199" t="str">
        <f t="shared" ca="1" si="6"/>
        <v/>
      </c>
      <c r="D331" s="479"/>
      <c r="E331" s="480"/>
      <c r="F331" s="480"/>
      <c r="G331" s="480"/>
      <c r="H331" s="480"/>
      <c r="I331" s="480"/>
      <c r="J331" s="480"/>
      <c r="K331" s="440"/>
      <c r="L331" s="441"/>
      <c r="M331" s="441"/>
      <c r="N331" s="441"/>
      <c r="O331" s="441"/>
      <c r="P331" s="441"/>
      <c r="Q331" s="441"/>
      <c r="R331" s="444"/>
      <c r="S331" s="445"/>
      <c r="T331" s="444"/>
      <c r="U331" s="445"/>
      <c r="V331" s="440"/>
      <c r="W331" s="441"/>
      <c r="X331" s="441"/>
      <c r="Y331" s="441"/>
      <c r="Z331" s="441"/>
      <c r="AA331" s="441"/>
      <c r="AB331" s="441"/>
      <c r="AC331" s="450"/>
      <c r="AD331" s="440"/>
      <c r="AE331" s="441"/>
      <c r="AF331" s="441"/>
      <c r="AG331" s="441"/>
      <c r="AH331" s="441"/>
      <c r="AI331" s="441"/>
      <c r="AJ331" s="441"/>
      <c r="AK331" s="450"/>
      <c r="AL331" s="494"/>
      <c r="AM331" s="495"/>
      <c r="AN331" s="495"/>
      <c r="AO331" s="495"/>
      <c r="AP331" s="495"/>
      <c r="AQ331" s="495"/>
      <c r="AR331" s="496"/>
      <c r="AS331" s="485"/>
      <c r="AT331" s="486"/>
      <c r="AU331" s="486"/>
      <c r="AV331" s="486"/>
      <c r="AW331" s="486"/>
      <c r="AX331" s="486"/>
      <c r="AY331" s="487"/>
      <c r="AZ331" s="462"/>
      <c r="BA331" s="463"/>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5" hidden="1">
      <c r="A332" s="435"/>
      <c r="B332" s="36"/>
      <c r="C332" s="199" t="str">
        <f t="shared" ca="1" si="6"/>
        <v/>
      </c>
      <c r="D332" s="479"/>
      <c r="E332" s="480"/>
      <c r="F332" s="480"/>
      <c r="G332" s="480"/>
      <c r="H332" s="480"/>
      <c r="I332" s="480"/>
      <c r="J332" s="480"/>
      <c r="K332" s="440"/>
      <c r="L332" s="441"/>
      <c r="M332" s="441"/>
      <c r="N332" s="441"/>
      <c r="O332" s="441"/>
      <c r="P332" s="441"/>
      <c r="Q332" s="441"/>
      <c r="R332" s="444"/>
      <c r="S332" s="445"/>
      <c r="T332" s="444"/>
      <c r="U332" s="445"/>
      <c r="V332" s="440"/>
      <c r="W332" s="441"/>
      <c r="X332" s="441"/>
      <c r="Y332" s="441"/>
      <c r="Z332" s="441"/>
      <c r="AA332" s="441"/>
      <c r="AB332" s="441"/>
      <c r="AC332" s="450"/>
      <c r="AD332" s="440"/>
      <c r="AE332" s="441"/>
      <c r="AF332" s="441"/>
      <c r="AG332" s="441"/>
      <c r="AH332" s="441"/>
      <c r="AI332" s="441"/>
      <c r="AJ332" s="441"/>
      <c r="AK332" s="450"/>
      <c r="AL332" s="494"/>
      <c r="AM332" s="495"/>
      <c r="AN332" s="495"/>
      <c r="AO332" s="495"/>
      <c r="AP332" s="495"/>
      <c r="AQ332" s="495"/>
      <c r="AR332" s="496"/>
      <c r="AS332" s="485"/>
      <c r="AT332" s="486"/>
      <c r="AU332" s="486"/>
      <c r="AV332" s="486"/>
      <c r="AW332" s="486"/>
      <c r="AX332" s="486"/>
      <c r="AY332" s="487"/>
      <c r="AZ332" s="462"/>
      <c r="BA332" s="463"/>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5" hidden="1">
      <c r="A333" s="435"/>
      <c r="B333" s="36"/>
      <c r="C333" s="199" t="str">
        <f t="shared" ca="1" si="6"/>
        <v/>
      </c>
      <c r="D333" s="479"/>
      <c r="E333" s="480"/>
      <c r="F333" s="480"/>
      <c r="G333" s="480"/>
      <c r="H333" s="480"/>
      <c r="I333" s="480"/>
      <c r="J333" s="480"/>
      <c r="K333" s="440"/>
      <c r="L333" s="441"/>
      <c r="M333" s="441"/>
      <c r="N333" s="441"/>
      <c r="O333" s="441"/>
      <c r="P333" s="441"/>
      <c r="Q333" s="441"/>
      <c r="R333" s="444"/>
      <c r="S333" s="445"/>
      <c r="T333" s="444"/>
      <c r="U333" s="445"/>
      <c r="V333" s="440"/>
      <c r="W333" s="441"/>
      <c r="X333" s="441"/>
      <c r="Y333" s="441"/>
      <c r="Z333" s="441"/>
      <c r="AA333" s="441"/>
      <c r="AB333" s="441"/>
      <c r="AC333" s="450"/>
      <c r="AD333" s="440"/>
      <c r="AE333" s="441"/>
      <c r="AF333" s="441"/>
      <c r="AG333" s="441"/>
      <c r="AH333" s="441"/>
      <c r="AI333" s="441"/>
      <c r="AJ333" s="441"/>
      <c r="AK333" s="450"/>
      <c r="AL333" s="494"/>
      <c r="AM333" s="495"/>
      <c r="AN333" s="495"/>
      <c r="AO333" s="495"/>
      <c r="AP333" s="495"/>
      <c r="AQ333" s="495"/>
      <c r="AR333" s="496"/>
      <c r="AS333" s="485"/>
      <c r="AT333" s="486"/>
      <c r="AU333" s="486"/>
      <c r="AV333" s="486"/>
      <c r="AW333" s="486"/>
      <c r="AX333" s="486"/>
      <c r="AY333" s="487"/>
      <c r="AZ333" s="462"/>
      <c r="BA333" s="463"/>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5" hidden="1">
      <c r="A334" s="436"/>
      <c r="B334" s="37"/>
      <c r="C334" s="200" t="str">
        <f t="shared" ca="1" si="6"/>
        <v/>
      </c>
      <c r="D334" s="481"/>
      <c r="E334" s="482"/>
      <c r="F334" s="482"/>
      <c r="G334" s="482"/>
      <c r="H334" s="482"/>
      <c r="I334" s="482"/>
      <c r="J334" s="482"/>
      <c r="K334" s="409"/>
      <c r="L334" s="410"/>
      <c r="M334" s="410"/>
      <c r="N334" s="410"/>
      <c r="O334" s="410"/>
      <c r="P334" s="410"/>
      <c r="Q334" s="410"/>
      <c r="R334" s="446"/>
      <c r="S334" s="447"/>
      <c r="T334" s="446"/>
      <c r="U334" s="447"/>
      <c r="V334" s="409"/>
      <c r="W334" s="410"/>
      <c r="X334" s="410"/>
      <c r="Y334" s="410"/>
      <c r="Z334" s="410"/>
      <c r="AA334" s="410"/>
      <c r="AB334" s="410"/>
      <c r="AC334" s="411"/>
      <c r="AD334" s="409"/>
      <c r="AE334" s="410"/>
      <c r="AF334" s="410"/>
      <c r="AG334" s="410"/>
      <c r="AH334" s="410"/>
      <c r="AI334" s="410"/>
      <c r="AJ334" s="410"/>
      <c r="AK334" s="411"/>
      <c r="AL334" s="497"/>
      <c r="AM334" s="498"/>
      <c r="AN334" s="498"/>
      <c r="AO334" s="498"/>
      <c r="AP334" s="498"/>
      <c r="AQ334" s="498"/>
      <c r="AR334" s="499"/>
      <c r="AS334" s="488"/>
      <c r="AT334" s="489"/>
      <c r="AU334" s="489"/>
      <c r="AV334" s="489"/>
      <c r="AW334" s="489"/>
      <c r="AX334" s="489"/>
      <c r="AY334" s="490"/>
      <c r="AZ334" s="464"/>
      <c r="BA334" s="465"/>
      <c r="BB334" s="62">
        <v>6</v>
      </c>
      <c r="BC334" s="426"/>
      <c r="BD334" s="427"/>
      <c r="BE334" s="427"/>
      <c r="BF334" s="428"/>
      <c r="BG334" s="429"/>
      <c r="BH334" s="430"/>
      <c r="BI334" s="196"/>
      <c r="BJ334" s="474"/>
      <c r="BK334" s="475"/>
      <c r="BL334" s="475"/>
      <c r="BM334" s="475"/>
      <c r="BN334" s="475"/>
      <c r="BO334" s="476"/>
      <c r="BP334" s="474"/>
      <c r="BQ334" s="475"/>
      <c r="BR334" s="475"/>
      <c r="BS334" s="475"/>
      <c r="BT334" s="475"/>
      <c r="BU334" s="476"/>
      <c r="BV334" s="474"/>
      <c r="BW334" s="475"/>
      <c r="BX334" s="475"/>
      <c r="BY334" s="475"/>
      <c r="BZ334" s="475"/>
      <c r="CA334" s="476"/>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5" hidden="1">
      <c r="A335" s="434">
        <v>55</v>
      </c>
      <c r="B335" s="36"/>
      <c r="C335" s="198" t="str">
        <f t="shared" ca="1" si="6"/>
        <v/>
      </c>
      <c r="D335" s="477" t="s">
        <v>313</v>
      </c>
      <c r="E335" s="478"/>
      <c r="F335" s="478"/>
      <c r="G335" s="478"/>
      <c r="H335" s="478"/>
      <c r="I335" s="478"/>
      <c r="J335" s="478"/>
      <c r="K335" s="438" t="s">
        <v>314</v>
      </c>
      <c r="L335" s="439"/>
      <c r="M335" s="439"/>
      <c r="N335" s="439"/>
      <c r="O335" s="439"/>
      <c r="P335" s="439"/>
      <c r="Q335" s="439"/>
      <c r="R335" s="442" t="s">
        <v>186</v>
      </c>
      <c r="S335" s="443"/>
      <c r="T335" s="442"/>
      <c r="U335" s="443"/>
      <c r="V335" s="438"/>
      <c r="W335" s="439"/>
      <c r="X335" s="439"/>
      <c r="Y335" s="439"/>
      <c r="Z335" s="439"/>
      <c r="AA335" s="439"/>
      <c r="AB335" s="439"/>
      <c r="AC335" s="439"/>
      <c r="AD335" s="438"/>
      <c r="AE335" s="439"/>
      <c r="AF335" s="439"/>
      <c r="AG335" s="439"/>
      <c r="AH335" s="439"/>
      <c r="AI335" s="439"/>
      <c r="AJ335" s="439"/>
      <c r="AK335" s="449"/>
      <c r="AL335" s="491"/>
      <c r="AM335" s="492"/>
      <c r="AN335" s="492"/>
      <c r="AO335" s="492"/>
      <c r="AP335" s="492"/>
      <c r="AQ335" s="492"/>
      <c r="AR335" s="493"/>
      <c r="AS335" s="500"/>
      <c r="AT335" s="483"/>
      <c r="AU335" s="483"/>
      <c r="AV335" s="483"/>
      <c r="AW335" s="483"/>
      <c r="AX335" s="483"/>
      <c r="AY335" s="484"/>
      <c r="AZ335" s="460"/>
      <c r="BA335" s="461"/>
      <c r="BB335" s="60">
        <v>1</v>
      </c>
      <c r="BC335" s="466"/>
      <c r="BD335" s="467"/>
      <c r="BE335" s="467"/>
      <c r="BF335" s="468"/>
      <c r="BG335" s="469"/>
      <c r="BH335" s="470"/>
      <c r="BI335" s="194"/>
      <c r="BJ335" s="471"/>
      <c r="BK335" s="472"/>
      <c r="BL335" s="472"/>
      <c r="BM335" s="472"/>
      <c r="BN335" s="472"/>
      <c r="BO335" s="473"/>
      <c r="BP335" s="471"/>
      <c r="BQ335" s="472"/>
      <c r="BR335" s="472"/>
      <c r="BS335" s="472"/>
      <c r="BT335" s="472"/>
      <c r="BU335" s="473"/>
      <c r="BV335" s="471"/>
      <c r="BW335" s="472"/>
      <c r="BX335" s="472"/>
      <c r="BY335" s="472"/>
      <c r="BZ335" s="472"/>
      <c r="CA335" s="473"/>
      <c r="CB335" s="466"/>
      <c r="CC335" s="467"/>
      <c r="CD335" s="467"/>
      <c r="CE335" s="468"/>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5" hidden="1">
      <c r="A336" s="435"/>
      <c r="B336" s="36"/>
      <c r="C336" s="199" t="str">
        <f t="shared" ca="1" si="6"/>
        <v/>
      </c>
      <c r="D336" s="479"/>
      <c r="E336" s="480"/>
      <c r="F336" s="480"/>
      <c r="G336" s="480"/>
      <c r="H336" s="480"/>
      <c r="I336" s="480"/>
      <c r="J336" s="480"/>
      <c r="K336" s="440"/>
      <c r="L336" s="441"/>
      <c r="M336" s="441"/>
      <c r="N336" s="441"/>
      <c r="O336" s="441"/>
      <c r="P336" s="441"/>
      <c r="Q336" s="441"/>
      <c r="R336" s="444"/>
      <c r="S336" s="445"/>
      <c r="T336" s="444"/>
      <c r="U336" s="445"/>
      <c r="V336" s="440"/>
      <c r="W336" s="441"/>
      <c r="X336" s="441"/>
      <c r="Y336" s="441"/>
      <c r="Z336" s="441"/>
      <c r="AA336" s="441"/>
      <c r="AB336" s="441"/>
      <c r="AC336" s="441"/>
      <c r="AD336" s="440"/>
      <c r="AE336" s="441"/>
      <c r="AF336" s="441"/>
      <c r="AG336" s="441"/>
      <c r="AH336" s="441"/>
      <c r="AI336" s="441"/>
      <c r="AJ336" s="441"/>
      <c r="AK336" s="450"/>
      <c r="AL336" s="494"/>
      <c r="AM336" s="495"/>
      <c r="AN336" s="495"/>
      <c r="AO336" s="495"/>
      <c r="AP336" s="495"/>
      <c r="AQ336" s="495"/>
      <c r="AR336" s="496"/>
      <c r="AS336" s="485"/>
      <c r="AT336" s="486"/>
      <c r="AU336" s="486"/>
      <c r="AV336" s="486"/>
      <c r="AW336" s="486"/>
      <c r="AX336" s="486"/>
      <c r="AY336" s="487"/>
      <c r="AZ336" s="462"/>
      <c r="BA336" s="463"/>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5" hidden="1">
      <c r="A337" s="435"/>
      <c r="B337" s="36"/>
      <c r="C337" s="199" t="str">
        <f t="shared" ca="1" si="6"/>
        <v/>
      </c>
      <c r="D337" s="479"/>
      <c r="E337" s="480"/>
      <c r="F337" s="480"/>
      <c r="G337" s="480"/>
      <c r="H337" s="480"/>
      <c r="I337" s="480"/>
      <c r="J337" s="480"/>
      <c r="K337" s="440"/>
      <c r="L337" s="441"/>
      <c r="M337" s="441"/>
      <c r="N337" s="441"/>
      <c r="O337" s="441"/>
      <c r="P337" s="441"/>
      <c r="Q337" s="441"/>
      <c r="R337" s="444"/>
      <c r="S337" s="445"/>
      <c r="T337" s="444"/>
      <c r="U337" s="445"/>
      <c r="V337" s="440"/>
      <c r="W337" s="441"/>
      <c r="X337" s="441"/>
      <c r="Y337" s="441"/>
      <c r="Z337" s="441"/>
      <c r="AA337" s="441"/>
      <c r="AB337" s="441"/>
      <c r="AC337" s="441"/>
      <c r="AD337" s="440"/>
      <c r="AE337" s="441"/>
      <c r="AF337" s="441"/>
      <c r="AG337" s="441"/>
      <c r="AH337" s="441"/>
      <c r="AI337" s="441"/>
      <c r="AJ337" s="441"/>
      <c r="AK337" s="450"/>
      <c r="AL337" s="494"/>
      <c r="AM337" s="495"/>
      <c r="AN337" s="495"/>
      <c r="AO337" s="495"/>
      <c r="AP337" s="495"/>
      <c r="AQ337" s="495"/>
      <c r="AR337" s="496"/>
      <c r="AS337" s="485"/>
      <c r="AT337" s="486"/>
      <c r="AU337" s="486"/>
      <c r="AV337" s="486"/>
      <c r="AW337" s="486"/>
      <c r="AX337" s="486"/>
      <c r="AY337" s="487"/>
      <c r="AZ337" s="462"/>
      <c r="BA337" s="463"/>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5" hidden="1">
      <c r="A338" s="435"/>
      <c r="B338" s="36"/>
      <c r="C338" s="199" t="str">
        <f t="shared" ca="1" si="6"/>
        <v/>
      </c>
      <c r="D338" s="479"/>
      <c r="E338" s="480"/>
      <c r="F338" s="480"/>
      <c r="G338" s="480"/>
      <c r="H338" s="480"/>
      <c r="I338" s="480"/>
      <c r="J338" s="480"/>
      <c r="K338" s="440"/>
      <c r="L338" s="441"/>
      <c r="M338" s="441"/>
      <c r="N338" s="441"/>
      <c r="O338" s="441"/>
      <c r="P338" s="441"/>
      <c r="Q338" s="441"/>
      <c r="R338" s="444"/>
      <c r="S338" s="445"/>
      <c r="T338" s="444"/>
      <c r="U338" s="445"/>
      <c r="V338" s="440"/>
      <c r="W338" s="441"/>
      <c r="X338" s="441"/>
      <c r="Y338" s="441"/>
      <c r="Z338" s="441"/>
      <c r="AA338" s="441"/>
      <c r="AB338" s="441"/>
      <c r="AC338" s="441"/>
      <c r="AD338" s="440"/>
      <c r="AE338" s="441"/>
      <c r="AF338" s="441"/>
      <c r="AG338" s="441"/>
      <c r="AH338" s="441"/>
      <c r="AI338" s="441"/>
      <c r="AJ338" s="441"/>
      <c r="AK338" s="450"/>
      <c r="AL338" s="494"/>
      <c r="AM338" s="495"/>
      <c r="AN338" s="495"/>
      <c r="AO338" s="495"/>
      <c r="AP338" s="495"/>
      <c r="AQ338" s="495"/>
      <c r="AR338" s="496"/>
      <c r="AS338" s="485"/>
      <c r="AT338" s="486"/>
      <c r="AU338" s="486"/>
      <c r="AV338" s="486"/>
      <c r="AW338" s="486"/>
      <c r="AX338" s="486"/>
      <c r="AY338" s="487"/>
      <c r="AZ338" s="462"/>
      <c r="BA338" s="463"/>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5" hidden="1">
      <c r="A339" s="435"/>
      <c r="B339" s="36"/>
      <c r="C339" s="199" t="str">
        <f t="shared" ca="1" si="6"/>
        <v/>
      </c>
      <c r="D339" s="479"/>
      <c r="E339" s="480"/>
      <c r="F339" s="480"/>
      <c r="G339" s="480"/>
      <c r="H339" s="480"/>
      <c r="I339" s="480"/>
      <c r="J339" s="480"/>
      <c r="K339" s="440"/>
      <c r="L339" s="441"/>
      <c r="M339" s="441"/>
      <c r="N339" s="441"/>
      <c r="O339" s="441"/>
      <c r="P339" s="441"/>
      <c r="Q339" s="441"/>
      <c r="R339" s="444"/>
      <c r="S339" s="445"/>
      <c r="T339" s="444"/>
      <c r="U339" s="445"/>
      <c r="V339" s="440"/>
      <c r="W339" s="441"/>
      <c r="X339" s="441"/>
      <c r="Y339" s="441"/>
      <c r="Z339" s="441"/>
      <c r="AA339" s="441"/>
      <c r="AB339" s="441"/>
      <c r="AC339" s="441"/>
      <c r="AD339" s="440"/>
      <c r="AE339" s="441"/>
      <c r="AF339" s="441"/>
      <c r="AG339" s="441"/>
      <c r="AH339" s="441"/>
      <c r="AI339" s="441"/>
      <c r="AJ339" s="441"/>
      <c r="AK339" s="450"/>
      <c r="AL339" s="494"/>
      <c r="AM339" s="495"/>
      <c r="AN339" s="495"/>
      <c r="AO339" s="495"/>
      <c r="AP339" s="495"/>
      <c r="AQ339" s="495"/>
      <c r="AR339" s="496"/>
      <c r="AS339" s="485"/>
      <c r="AT339" s="486"/>
      <c r="AU339" s="486"/>
      <c r="AV339" s="486"/>
      <c r="AW339" s="486"/>
      <c r="AX339" s="486"/>
      <c r="AY339" s="487"/>
      <c r="AZ339" s="462"/>
      <c r="BA339" s="463"/>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5" hidden="1">
      <c r="A340" s="436"/>
      <c r="B340" s="37"/>
      <c r="C340" s="200" t="str">
        <f t="shared" ca="1" si="6"/>
        <v/>
      </c>
      <c r="D340" s="481"/>
      <c r="E340" s="482"/>
      <c r="F340" s="482"/>
      <c r="G340" s="482"/>
      <c r="H340" s="482"/>
      <c r="I340" s="482"/>
      <c r="J340" s="482"/>
      <c r="K340" s="409"/>
      <c r="L340" s="410"/>
      <c r="M340" s="410"/>
      <c r="N340" s="410"/>
      <c r="O340" s="410"/>
      <c r="P340" s="410"/>
      <c r="Q340" s="410"/>
      <c r="R340" s="446"/>
      <c r="S340" s="447"/>
      <c r="T340" s="446"/>
      <c r="U340" s="447"/>
      <c r="V340" s="409"/>
      <c r="W340" s="410"/>
      <c r="X340" s="410"/>
      <c r="Y340" s="410"/>
      <c r="Z340" s="410"/>
      <c r="AA340" s="410"/>
      <c r="AB340" s="410"/>
      <c r="AC340" s="410"/>
      <c r="AD340" s="409"/>
      <c r="AE340" s="410"/>
      <c r="AF340" s="410"/>
      <c r="AG340" s="410"/>
      <c r="AH340" s="410"/>
      <c r="AI340" s="410"/>
      <c r="AJ340" s="410"/>
      <c r="AK340" s="411"/>
      <c r="AL340" s="497"/>
      <c r="AM340" s="498"/>
      <c r="AN340" s="498"/>
      <c r="AO340" s="498"/>
      <c r="AP340" s="498"/>
      <c r="AQ340" s="498"/>
      <c r="AR340" s="499"/>
      <c r="AS340" s="488"/>
      <c r="AT340" s="489"/>
      <c r="AU340" s="489"/>
      <c r="AV340" s="489"/>
      <c r="AW340" s="489"/>
      <c r="AX340" s="489"/>
      <c r="AY340" s="490"/>
      <c r="AZ340" s="464"/>
      <c r="BA340" s="465"/>
      <c r="BB340" s="62">
        <v>6</v>
      </c>
      <c r="BC340" s="426"/>
      <c r="BD340" s="427"/>
      <c r="BE340" s="427"/>
      <c r="BF340" s="428"/>
      <c r="BG340" s="429"/>
      <c r="BH340" s="430"/>
      <c r="BI340" s="196"/>
      <c r="BJ340" s="474"/>
      <c r="BK340" s="475"/>
      <c r="BL340" s="475"/>
      <c r="BM340" s="475"/>
      <c r="BN340" s="475"/>
      <c r="BO340" s="476"/>
      <c r="BP340" s="474"/>
      <c r="BQ340" s="475"/>
      <c r="BR340" s="475"/>
      <c r="BS340" s="475"/>
      <c r="BT340" s="475"/>
      <c r="BU340" s="476"/>
      <c r="BV340" s="474"/>
      <c r="BW340" s="475"/>
      <c r="BX340" s="475"/>
      <c r="BY340" s="475"/>
      <c r="BZ340" s="475"/>
      <c r="CA340" s="476"/>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5" hidden="1">
      <c r="A341" s="434">
        <v>56</v>
      </c>
      <c r="B341" s="36"/>
      <c r="C341" s="198" t="str">
        <f t="shared" ca="1" si="6"/>
        <v/>
      </c>
      <c r="D341" s="477" t="s">
        <v>315</v>
      </c>
      <c r="E341" s="478"/>
      <c r="F341" s="478"/>
      <c r="G341" s="478"/>
      <c r="H341" s="478"/>
      <c r="I341" s="478"/>
      <c r="J341" s="478"/>
      <c r="K341" s="438" t="s">
        <v>316</v>
      </c>
      <c r="L341" s="439"/>
      <c r="M341" s="439"/>
      <c r="N341" s="439"/>
      <c r="O341" s="439"/>
      <c r="P341" s="439"/>
      <c r="Q341" s="439"/>
      <c r="R341" s="442" t="s">
        <v>186</v>
      </c>
      <c r="S341" s="443"/>
      <c r="T341" s="442"/>
      <c r="U341" s="443"/>
      <c r="V341" s="438"/>
      <c r="W341" s="439"/>
      <c r="X341" s="439"/>
      <c r="Y341" s="439"/>
      <c r="Z341" s="439"/>
      <c r="AA341" s="439"/>
      <c r="AB341" s="439"/>
      <c r="AC341" s="439"/>
      <c r="AD341" s="438"/>
      <c r="AE341" s="439"/>
      <c r="AF341" s="439"/>
      <c r="AG341" s="439"/>
      <c r="AH341" s="439"/>
      <c r="AI341" s="439"/>
      <c r="AJ341" s="439"/>
      <c r="AK341" s="449"/>
      <c r="AL341" s="491"/>
      <c r="AM341" s="492"/>
      <c r="AN341" s="492"/>
      <c r="AO341" s="492"/>
      <c r="AP341" s="492"/>
      <c r="AQ341" s="492"/>
      <c r="AR341" s="493"/>
      <c r="AS341" s="500"/>
      <c r="AT341" s="483"/>
      <c r="AU341" s="483"/>
      <c r="AV341" s="483"/>
      <c r="AW341" s="483"/>
      <c r="AX341" s="483"/>
      <c r="AY341" s="484"/>
      <c r="AZ341" s="460"/>
      <c r="BA341" s="461"/>
      <c r="BB341" s="60">
        <v>1</v>
      </c>
      <c r="BC341" s="466"/>
      <c r="BD341" s="467"/>
      <c r="BE341" s="467"/>
      <c r="BF341" s="468"/>
      <c r="BG341" s="469"/>
      <c r="BH341" s="470"/>
      <c r="BI341" s="194"/>
      <c r="BJ341" s="471"/>
      <c r="BK341" s="472"/>
      <c r="BL341" s="472"/>
      <c r="BM341" s="472"/>
      <c r="BN341" s="472"/>
      <c r="BO341" s="473"/>
      <c r="BP341" s="471"/>
      <c r="BQ341" s="472"/>
      <c r="BR341" s="472"/>
      <c r="BS341" s="472"/>
      <c r="BT341" s="472"/>
      <c r="BU341" s="473"/>
      <c r="BV341" s="471"/>
      <c r="BW341" s="472"/>
      <c r="BX341" s="472"/>
      <c r="BY341" s="472"/>
      <c r="BZ341" s="472"/>
      <c r="CA341" s="473"/>
      <c r="CB341" s="466"/>
      <c r="CC341" s="467"/>
      <c r="CD341" s="467"/>
      <c r="CE341" s="468"/>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5" hidden="1">
      <c r="A342" s="435"/>
      <c r="B342" s="36"/>
      <c r="C342" s="199" t="str">
        <f t="shared" ca="1" si="6"/>
        <v/>
      </c>
      <c r="D342" s="479"/>
      <c r="E342" s="480"/>
      <c r="F342" s="480"/>
      <c r="G342" s="480"/>
      <c r="H342" s="480"/>
      <c r="I342" s="480"/>
      <c r="J342" s="480"/>
      <c r="K342" s="440"/>
      <c r="L342" s="441"/>
      <c r="M342" s="441"/>
      <c r="N342" s="441"/>
      <c r="O342" s="441"/>
      <c r="P342" s="441"/>
      <c r="Q342" s="441"/>
      <c r="R342" s="444"/>
      <c r="S342" s="445"/>
      <c r="T342" s="444"/>
      <c r="U342" s="445"/>
      <c r="V342" s="440"/>
      <c r="W342" s="441"/>
      <c r="X342" s="441"/>
      <c r="Y342" s="441"/>
      <c r="Z342" s="441"/>
      <c r="AA342" s="441"/>
      <c r="AB342" s="441"/>
      <c r="AC342" s="441"/>
      <c r="AD342" s="440"/>
      <c r="AE342" s="441"/>
      <c r="AF342" s="441"/>
      <c r="AG342" s="441"/>
      <c r="AH342" s="441"/>
      <c r="AI342" s="441"/>
      <c r="AJ342" s="441"/>
      <c r="AK342" s="450"/>
      <c r="AL342" s="494"/>
      <c r="AM342" s="495"/>
      <c r="AN342" s="495"/>
      <c r="AO342" s="495"/>
      <c r="AP342" s="495"/>
      <c r="AQ342" s="495"/>
      <c r="AR342" s="496"/>
      <c r="AS342" s="485"/>
      <c r="AT342" s="486"/>
      <c r="AU342" s="486"/>
      <c r="AV342" s="486"/>
      <c r="AW342" s="486"/>
      <c r="AX342" s="486"/>
      <c r="AY342" s="487"/>
      <c r="AZ342" s="462"/>
      <c r="BA342" s="463"/>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5" hidden="1">
      <c r="A343" s="435"/>
      <c r="B343" s="36"/>
      <c r="C343" s="199" t="str">
        <f t="shared" ca="1" si="6"/>
        <v/>
      </c>
      <c r="D343" s="479"/>
      <c r="E343" s="480"/>
      <c r="F343" s="480"/>
      <c r="G343" s="480"/>
      <c r="H343" s="480"/>
      <c r="I343" s="480"/>
      <c r="J343" s="480"/>
      <c r="K343" s="440"/>
      <c r="L343" s="441"/>
      <c r="M343" s="441"/>
      <c r="N343" s="441"/>
      <c r="O343" s="441"/>
      <c r="P343" s="441"/>
      <c r="Q343" s="441"/>
      <c r="R343" s="444"/>
      <c r="S343" s="445"/>
      <c r="T343" s="444"/>
      <c r="U343" s="445"/>
      <c r="V343" s="440"/>
      <c r="W343" s="441"/>
      <c r="X343" s="441"/>
      <c r="Y343" s="441"/>
      <c r="Z343" s="441"/>
      <c r="AA343" s="441"/>
      <c r="AB343" s="441"/>
      <c r="AC343" s="441"/>
      <c r="AD343" s="440"/>
      <c r="AE343" s="441"/>
      <c r="AF343" s="441"/>
      <c r="AG343" s="441"/>
      <c r="AH343" s="441"/>
      <c r="AI343" s="441"/>
      <c r="AJ343" s="441"/>
      <c r="AK343" s="450"/>
      <c r="AL343" s="494"/>
      <c r="AM343" s="495"/>
      <c r="AN343" s="495"/>
      <c r="AO343" s="495"/>
      <c r="AP343" s="495"/>
      <c r="AQ343" s="495"/>
      <c r="AR343" s="496"/>
      <c r="AS343" s="485"/>
      <c r="AT343" s="486"/>
      <c r="AU343" s="486"/>
      <c r="AV343" s="486"/>
      <c r="AW343" s="486"/>
      <c r="AX343" s="486"/>
      <c r="AY343" s="487"/>
      <c r="AZ343" s="462"/>
      <c r="BA343" s="463"/>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5" hidden="1">
      <c r="A344" s="435"/>
      <c r="B344" s="36"/>
      <c r="C344" s="199" t="str">
        <f t="shared" ca="1" si="6"/>
        <v/>
      </c>
      <c r="D344" s="479"/>
      <c r="E344" s="480"/>
      <c r="F344" s="480"/>
      <c r="G344" s="480"/>
      <c r="H344" s="480"/>
      <c r="I344" s="480"/>
      <c r="J344" s="480"/>
      <c r="K344" s="440"/>
      <c r="L344" s="441"/>
      <c r="M344" s="441"/>
      <c r="N344" s="441"/>
      <c r="O344" s="441"/>
      <c r="P344" s="441"/>
      <c r="Q344" s="441"/>
      <c r="R344" s="444"/>
      <c r="S344" s="445"/>
      <c r="T344" s="444"/>
      <c r="U344" s="445"/>
      <c r="V344" s="440"/>
      <c r="W344" s="441"/>
      <c r="X344" s="441"/>
      <c r="Y344" s="441"/>
      <c r="Z344" s="441"/>
      <c r="AA344" s="441"/>
      <c r="AB344" s="441"/>
      <c r="AC344" s="441"/>
      <c r="AD344" s="440"/>
      <c r="AE344" s="441"/>
      <c r="AF344" s="441"/>
      <c r="AG344" s="441"/>
      <c r="AH344" s="441"/>
      <c r="AI344" s="441"/>
      <c r="AJ344" s="441"/>
      <c r="AK344" s="450"/>
      <c r="AL344" s="494"/>
      <c r="AM344" s="495"/>
      <c r="AN344" s="495"/>
      <c r="AO344" s="495"/>
      <c r="AP344" s="495"/>
      <c r="AQ344" s="495"/>
      <c r="AR344" s="496"/>
      <c r="AS344" s="485"/>
      <c r="AT344" s="486"/>
      <c r="AU344" s="486"/>
      <c r="AV344" s="486"/>
      <c r="AW344" s="486"/>
      <c r="AX344" s="486"/>
      <c r="AY344" s="487"/>
      <c r="AZ344" s="462"/>
      <c r="BA344" s="463"/>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5" hidden="1">
      <c r="A345" s="435"/>
      <c r="B345" s="36"/>
      <c r="C345" s="199" t="str">
        <f t="shared" ca="1" si="6"/>
        <v/>
      </c>
      <c r="D345" s="479"/>
      <c r="E345" s="480"/>
      <c r="F345" s="480"/>
      <c r="G345" s="480"/>
      <c r="H345" s="480"/>
      <c r="I345" s="480"/>
      <c r="J345" s="480"/>
      <c r="K345" s="440"/>
      <c r="L345" s="441"/>
      <c r="M345" s="441"/>
      <c r="N345" s="441"/>
      <c r="O345" s="441"/>
      <c r="P345" s="441"/>
      <c r="Q345" s="441"/>
      <c r="R345" s="444"/>
      <c r="S345" s="445"/>
      <c r="T345" s="444"/>
      <c r="U345" s="445"/>
      <c r="V345" s="440"/>
      <c r="W345" s="441"/>
      <c r="X345" s="441"/>
      <c r="Y345" s="441"/>
      <c r="Z345" s="441"/>
      <c r="AA345" s="441"/>
      <c r="AB345" s="441"/>
      <c r="AC345" s="441"/>
      <c r="AD345" s="440"/>
      <c r="AE345" s="441"/>
      <c r="AF345" s="441"/>
      <c r="AG345" s="441"/>
      <c r="AH345" s="441"/>
      <c r="AI345" s="441"/>
      <c r="AJ345" s="441"/>
      <c r="AK345" s="450"/>
      <c r="AL345" s="494"/>
      <c r="AM345" s="495"/>
      <c r="AN345" s="495"/>
      <c r="AO345" s="495"/>
      <c r="AP345" s="495"/>
      <c r="AQ345" s="495"/>
      <c r="AR345" s="496"/>
      <c r="AS345" s="485"/>
      <c r="AT345" s="486"/>
      <c r="AU345" s="486"/>
      <c r="AV345" s="486"/>
      <c r="AW345" s="486"/>
      <c r="AX345" s="486"/>
      <c r="AY345" s="487"/>
      <c r="AZ345" s="462"/>
      <c r="BA345" s="463"/>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5" hidden="1">
      <c r="A346" s="436"/>
      <c r="B346" s="37"/>
      <c r="C346" s="200" t="str">
        <f t="shared" ca="1" si="6"/>
        <v/>
      </c>
      <c r="D346" s="481"/>
      <c r="E346" s="482"/>
      <c r="F346" s="482"/>
      <c r="G346" s="482"/>
      <c r="H346" s="482"/>
      <c r="I346" s="482"/>
      <c r="J346" s="482"/>
      <c r="K346" s="409"/>
      <c r="L346" s="410"/>
      <c r="M346" s="410"/>
      <c r="N346" s="410"/>
      <c r="O346" s="410"/>
      <c r="P346" s="410"/>
      <c r="Q346" s="410"/>
      <c r="R346" s="446"/>
      <c r="S346" s="447"/>
      <c r="T346" s="446"/>
      <c r="U346" s="447"/>
      <c r="V346" s="409"/>
      <c r="W346" s="410"/>
      <c r="X346" s="410"/>
      <c r="Y346" s="410"/>
      <c r="Z346" s="410"/>
      <c r="AA346" s="410"/>
      <c r="AB346" s="410"/>
      <c r="AC346" s="410"/>
      <c r="AD346" s="409"/>
      <c r="AE346" s="410"/>
      <c r="AF346" s="410"/>
      <c r="AG346" s="410"/>
      <c r="AH346" s="410"/>
      <c r="AI346" s="410"/>
      <c r="AJ346" s="410"/>
      <c r="AK346" s="411"/>
      <c r="AL346" s="497"/>
      <c r="AM346" s="498"/>
      <c r="AN346" s="498"/>
      <c r="AO346" s="498"/>
      <c r="AP346" s="498"/>
      <c r="AQ346" s="498"/>
      <c r="AR346" s="499"/>
      <c r="AS346" s="488"/>
      <c r="AT346" s="489"/>
      <c r="AU346" s="489"/>
      <c r="AV346" s="489"/>
      <c r="AW346" s="489"/>
      <c r="AX346" s="489"/>
      <c r="AY346" s="490"/>
      <c r="AZ346" s="464"/>
      <c r="BA346" s="465"/>
      <c r="BB346" s="62">
        <v>6</v>
      </c>
      <c r="BC346" s="426"/>
      <c r="BD346" s="427"/>
      <c r="BE346" s="427"/>
      <c r="BF346" s="428"/>
      <c r="BG346" s="429"/>
      <c r="BH346" s="430"/>
      <c r="BI346" s="196"/>
      <c r="BJ346" s="474"/>
      <c r="BK346" s="475"/>
      <c r="BL346" s="475"/>
      <c r="BM346" s="475"/>
      <c r="BN346" s="475"/>
      <c r="BO346" s="476"/>
      <c r="BP346" s="474"/>
      <c r="BQ346" s="475"/>
      <c r="BR346" s="475"/>
      <c r="BS346" s="475"/>
      <c r="BT346" s="475"/>
      <c r="BU346" s="476"/>
      <c r="BV346" s="474"/>
      <c r="BW346" s="475"/>
      <c r="BX346" s="475"/>
      <c r="BY346" s="475"/>
      <c r="BZ346" s="475"/>
      <c r="CA346" s="476"/>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5" hidden="1">
      <c r="A347" s="434">
        <v>57</v>
      </c>
      <c r="B347" s="36"/>
      <c r="C347" s="198" t="str">
        <f t="shared" ca="1" si="6"/>
        <v/>
      </c>
      <c r="D347" s="477" t="s">
        <v>317</v>
      </c>
      <c r="E347" s="478"/>
      <c r="F347" s="478"/>
      <c r="G347" s="478"/>
      <c r="H347" s="478"/>
      <c r="I347" s="478"/>
      <c r="J347" s="478"/>
      <c r="K347" s="438" t="s">
        <v>318</v>
      </c>
      <c r="L347" s="439"/>
      <c r="M347" s="439"/>
      <c r="N347" s="439"/>
      <c r="O347" s="439"/>
      <c r="P347" s="439"/>
      <c r="Q347" s="439"/>
      <c r="R347" s="442" t="s">
        <v>186</v>
      </c>
      <c r="S347" s="443"/>
      <c r="T347" s="442"/>
      <c r="U347" s="443"/>
      <c r="V347" s="438" t="s">
        <v>319</v>
      </c>
      <c r="W347" s="439"/>
      <c r="X347" s="439"/>
      <c r="Y347" s="439"/>
      <c r="Z347" s="439"/>
      <c r="AA347" s="439"/>
      <c r="AB347" s="439"/>
      <c r="AC347" s="439"/>
      <c r="AD347" s="438" t="s">
        <v>320</v>
      </c>
      <c r="AE347" s="439"/>
      <c r="AF347" s="439"/>
      <c r="AG347" s="439"/>
      <c r="AH347" s="439"/>
      <c r="AI347" s="439"/>
      <c r="AJ347" s="439"/>
      <c r="AK347" s="449"/>
      <c r="AL347" s="491" t="s">
        <v>321</v>
      </c>
      <c r="AM347" s="492"/>
      <c r="AN347" s="492"/>
      <c r="AO347" s="492"/>
      <c r="AP347" s="492"/>
      <c r="AQ347" s="492"/>
      <c r="AR347" s="493"/>
      <c r="AS347" s="438" t="s">
        <v>322</v>
      </c>
      <c r="AT347" s="439"/>
      <c r="AU347" s="439"/>
      <c r="AV347" s="439"/>
      <c r="AW347" s="439"/>
      <c r="AX347" s="439"/>
      <c r="AY347" s="449"/>
      <c r="AZ347" s="460"/>
      <c r="BA347" s="461"/>
      <c r="BB347" s="60">
        <v>1</v>
      </c>
      <c r="BC347" s="466"/>
      <c r="BD347" s="467"/>
      <c r="BE347" s="467"/>
      <c r="BF347" s="468"/>
      <c r="BG347" s="469"/>
      <c r="BH347" s="470"/>
      <c r="BI347" s="194"/>
      <c r="BJ347" s="471"/>
      <c r="BK347" s="472"/>
      <c r="BL347" s="472"/>
      <c r="BM347" s="472"/>
      <c r="BN347" s="472"/>
      <c r="BO347" s="473"/>
      <c r="BP347" s="471"/>
      <c r="BQ347" s="472"/>
      <c r="BR347" s="472"/>
      <c r="BS347" s="472"/>
      <c r="BT347" s="472"/>
      <c r="BU347" s="473"/>
      <c r="BV347" s="471"/>
      <c r="BW347" s="472"/>
      <c r="BX347" s="472"/>
      <c r="BY347" s="472"/>
      <c r="BZ347" s="472"/>
      <c r="CA347" s="473"/>
      <c r="CB347" s="466"/>
      <c r="CC347" s="467"/>
      <c r="CD347" s="467"/>
      <c r="CE347" s="468"/>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5" hidden="1">
      <c r="A348" s="435"/>
      <c r="B348" s="36"/>
      <c r="C348" s="199" t="str">
        <f t="shared" ca="1" si="6"/>
        <v/>
      </c>
      <c r="D348" s="479"/>
      <c r="E348" s="480"/>
      <c r="F348" s="480"/>
      <c r="G348" s="480"/>
      <c r="H348" s="480"/>
      <c r="I348" s="480"/>
      <c r="J348" s="480"/>
      <c r="K348" s="440"/>
      <c r="L348" s="441"/>
      <c r="M348" s="441"/>
      <c r="N348" s="441"/>
      <c r="O348" s="441"/>
      <c r="P348" s="441"/>
      <c r="Q348" s="441"/>
      <c r="R348" s="444"/>
      <c r="S348" s="445"/>
      <c r="T348" s="444"/>
      <c r="U348" s="445"/>
      <c r="V348" s="440"/>
      <c r="W348" s="441"/>
      <c r="X348" s="441"/>
      <c r="Y348" s="441"/>
      <c r="Z348" s="441"/>
      <c r="AA348" s="441"/>
      <c r="AB348" s="441"/>
      <c r="AC348" s="441"/>
      <c r="AD348" s="440"/>
      <c r="AE348" s="441"/>
      <c r="AF348" s="441"/>
      <c r="AG348" s="441"/>
      <c r="AH348" s="441"/>
      <c r="AI348" s="441"/>
      <c r="AJ348" s="441"/>
      <c r="AK348" s="450"/>
      <c r="AL348" s="494"/>
      <c r="AM348" s="495"/>
      <c r="AN348" s="495"/>
      <c r="AO348" s="495"/>
      <c r="AP348" s="495"/>
      <c r="AQ348" s="495"/>
      <c r="AR348" s="496"/>
      <c r="AS348" s="440"/>
      <c r="AT348" s="441"/>
      <c r="AU348" s="441"/>
      <c r="AV348" s="441"/>
      <c r="AW348" s="441"/>
      <c r="AX348" s="441"/>
      <c r="AY348" s="450"/>
      <c r="AZ348" s="462"/>
      <c r="BA348" s="463"/>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5" hidden="1">
      <c r="A349" s="435"/>
      <c r="B349" s="36"/>
      <c r="C349" s="199" t="str">
        <f t="shared" ca="1" si="6"/>
        <v/>
      </c>
      <c r="D349" s="479"/>
      <c r="E349" s="480"/>
      <c r="F349" s="480"/>
      <c r="G349" s="480"/>
      <c r="H349" s="480"/>
      <c r="I349" s="480"/>
      <c r="J349" s="480"/>
      <c r="K349" s="440"/>
      <c r="L349" s="441"/>
      <c r="M349" s="441"/>
      <c r="N349" s="441"/>
      <c r="O349" s="441"/>
      <c r="P349" s="441"/>
      <c r="Q349" s="441"/>
      <c r="R349" s="444"/>
      <c r="S349" s="445"/>
      <c r="T349" s="444"/>
      <c r="U349" s="445"/>
      <c r="V349" s="440"/>
      <c r="W349" s="441"/>
      <c r="X349" s="441"/>
      <c r="Y349" s="441"/>
      <c r="Z349" s="441"/>
      <c r="AA349" s="441"/>
      <c r="AB349" s="441"/>
      <c r="AC349" s="441"/>
      <c r="AD349" s="440"/>
      <c r="AE349" s="441"/>
      <c r="AF349" s="441"/>
      <c r="AG349" s="441"/>
      <c r="AH349" s="441"/>
      <c r="AI349" s="441"/>
      <c r="AJ349" s="441"/>
      <c r="AK349" s="450"/>
      <c r="AL349" s="494"/>
      <c r="AM349" s="495"/>
      <c r="AN349" s="495"/>
      <c r="AO349" s="495"/>
      <c r="AP349" s="495"/>
      <c r="AQ349" s="495"/>
      <c r="AR349" s="496"/>
      <c r="AS349" s="440"/>
      <c r="AT349" s="441"/>
      <c r="AU349" s="441"/>
      <c r="AV349" s="441"/>
      <c r="AW349" s="441"/>
      <c r="AX349" s="441"/>
      <c r="AY349" s="450"/>
      <c r="AZ349" s="462"/>
      <c r="BA349" s="463"/>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5" hidden="1">
      <c r="A350" s="435"/>
      <c r="B350" s="36"/>
      <c r="C350" s="199" t="str">
        <f t="shared" ca="1" si="6"/>
        <v/>
      </c>
      <c r="D350" s="479"/>
      <c r="E350" s="480"/>
      <c r="F350" s="480"/>
      <c r="G350" s="480"/>
      <c r="H350" s="480"/>
      <c r="I350" s="480"/>
      <c r="J350" s="480"/>
      <c r="K350" s="440"/>
      <c r="L350" s="441"/>
      <c r="M350" s="441"/>
      <c r="N350" s="441"/>
      <c r="O350" s="441"/>
      <c r="P350" s="441"/>
      <c r="Q350" s="441"/>
      <c r="R350" s="444"/>
      <c r="S350" s="445"/>
      <c r="T350" s="444"/>
      <c r="U350" s="445"/>
      <c r="V350" s="440"/>
      <c r="W350" s="441"/>
      <c r="X350" s="441"/>
      <c r="Y350" s="441"/>
      <c r="Z350" s="441"/>
      <c r="AA350" s="441"/>
      <c r="AB350" s="441"/>
      <c r="AC350" s="441"/>
      <c r="AD350" s="440"/>
      <c r="AE350" s="441"/>
      <c r="AF350" s="441"/>
      <c r="AG350" s="441"/>
      <c r="AH350" s="441"/>
      <c r="AI350" s="441"/>
      <c r="AJ350" s="441"/>
      <c r="AK350" s="450"/>
      <c r="AL350" s="494"/>
      <c r="AM350" s="495"/>
      <c r="AN350" s="495"/>
      <c r="AO350" s="495"/>
      <c r="AP350" s="495"/>
      <c r="AQ350" s="495"/>
      <c r="AR350" s="496"/>
      <c r="AS350" s="440"/>
      <c r="AT350" s="441"/>
      <c r="AU350" s="441"/>
      <c r="AV350" s="441"/>
      <c r="AW350" s="441"/>
      <c r="AX350" s="441"/>
      <c r="AY350" s="450"/>
      <c r="AZ350" s="462"/>
      <c r="BA350" s="463"/>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5" hidden="1">
      <c r="A351" s="435"/>
      <c r="B351" s="36"/>
      <c r="C351" s="199" t="str">
        <f t="shared" ca="1" si="6"/>
        <v/>
      </c>
      <c r="D351" s="479"/>
      <c r="E351" s="480"/>
      <c r="F351" s="480"/>
      <c r="G351" s="480"/>
      <c r="H351" s="480"/>
      <c r="I351" s="480"/>
      <c r="J351" s="480"/>
      <c r="K351" s="440"/>
      <c r="L351" s="441"/>
      <c r="M351" s="441"/>
      <c r="N351" s="441"/>
      <c r="O351" s="441"/>
      <c r="P351" s="441"/>
      <c r="Q351" s="441"/>
      <c r="R351" s="444"/>
      <c r="S351" s="445"/>
      <c r="T351" s="444"/>
      <c r="U351" s="445"/>
      <c r="V351" s="440"/>
      <c r="W351" s="441"/>
      <c r="X351" s="441"/>
      <c r="Y351" s="441"/>
      <c r="Z351" s="441"/>
      <c r="AA351" s="441"/>
      <c r="AB351" s="441"/>
      <c r="AC351" s="441"/>
      <c r="AD351" s="440"/>
      <c r="AE351" s="441"/>
      <c r="AF351" s="441"/>
      <c r="AG351" s="441"/>
      <c r="AH351" s="441"/>
      <c r="AI351" s="441"/>
      <c r="AJ351" s="441"/>
      <c r="AK351" s="450"/>
      <c r="AL351" s="494"/>
      <c r="AM351" s="495"/>
      <c r="AN351" s="495"/>
      <c r="AO351" s="495"/>
      <c r="AP351" s="495"/>
      <c r="AQ351" s="495"/>
      <c r="AR351" s="496"/>
      <c r="AS351" s="440"/>
      <c r="AT351" s="441"/>
      <c r="AU351" s="441"/>
      <c r="AV351" s="441"/>
      <c r="AW351" s="441"/>
      <c r="AX351" s="441"/>
      <c r="AY351" s="450"/>
      <c r="AZ351" s="462"/>
      <c r="BA351" s="463"/>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22.5" hidden="1" customHeight="1">
      <c r="A352" s="436"/>
      <c r="B352" s="37"/>
      <c r="C352" s="200" t="str">
        <f t="shared" ca="1" si="6"/>
        <v/>
      </c>
      <c r="D352" s="481"/>
      <c r="E352" s="482"/>
      <c r="F352" s="482"/>
      <c r="G352" s="482"/>
      <c r="H352" s="482"/>
      <c r="I352" s="482"/>
      <c r="J352" s="482"/>
      <c r="K352" s="409"/>
      <c r="L352" s="410"/>
      <c r="M352" s="410"/>
      <c r="N352" s="410"/>
      <c r="O352" s="410"/>
      <c r="P352" s="410"/>
      <c r="Q352" s="410"/>
      <c r="R352" s="446"/>
      <c r="S352" s="447"/>
      <c r="T352" s="446"/>
      <c r="U352" s="447"/>
      <c r="V352" s="409"/>
      <c r="W352" s="410"/>
      <c r="X352" s="410"/>
      <c r="Y352" s="410"/>
      <c r="Z352" s="410"/>
      <c r="AA352" s="410"/>
      <c r="AB352" s="410"/>
      <c r="AC352" s="410"/>
      <c r="AD352" s="409"/>
      <c r="AE352" s="410"/>
      <c r="AF352" s="410"/>
      <c r="AG352" s="410"/>
      <c r="AH352" s="410"/>
      <c r="AI352" s="410"/>
      <c r="AJ352" s="410"/>
      <c r="AK352" s="411"/>
      <c r="AL352" s="497"/>
      <c r="AM352" s="498"/>
      <c r="AN352" s="498"/>
      <c r="AO352" s="498"/>
      <c r="AP352" s="498"/>
      <c r="AQ352" s="498"/>
      <c r="AR352" s="499"/>
      <c r="AS352" s="409"/>
      <c r="AT352" s="410"/>
      <c r="AU352" s="410"/>
      <c r="AV352" s="410"/>
      <c r="AW352" s="410"/>
      <c r="AX352" s="410"/>
      <c r="AY352" s="411"/>
      <c r="AZ352" s="464"/>
      <c r="BA352" s="465"/>
      <c r="BB352" s="62">
        <v>6</v>
      </c>
      <c r="BC352" s="426"/>
      <c r="BD352" s="427"/>
      <c r="BE352" s="427"/>
      <c r="BF352" s="428"/>
      <c r="BG352" s="429"/>
      <c r="BH352" s="430"/>
      <c r="BI352" s="196"/>
      <c r="BJ352" s="474"/>
      <c r="BK352" s="475"/>
      <c r="BL352" s="475"/>
      <c r="BM352" s="475"/>
      <c r="BN352" s="475"/>
      <c r="BO352" s="476"/>
      <c r="BP352" s="474"/>
      <c r="BQ352" s="475"/>
      <c r="BR352" s="475"/>
      <c r="BS352" s="475"/>
      <c r="BT352" s="475"/>
      <c r="BU352" s="476"/>
      <c r="BV352" s="474"/>
      <c r="BW352" s="475"/>
      <c r="BX352" s="475"/>
      <c r="BY352" s="475"/>
      <c r="BZ352" s="475"/>
      <c r="CA352" s="476"/>
      <c r="CB352" s="426"/>
      <c r="CC352" s="427"/>
      <c r="CD352" s="427"/>
      <c r="CE352" s="428"/>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5" hidden="1" customHeight="1">
      <c r="A353" s="434">
        <v>58</v>
      </c>
      <c r="B353" s="36"/>
      <c r="C353" s="198" t="str">
        <f t="shared" ca="1" si="6"/>
        <v/>
      </c>
      <c r="D353" s="477"/>
      <c r="E353" s="478"/>
      <c r="F353" s="478"/>
      <c r="G353" s="478"/>
      <c r="H353" s="478"/>
      <c r="I353" s="478"/>
      <c r="J353" s="478"/>
      <c r="K353" s="438" t="s">
        <v>318</v>
      </c>
      <c r="L353" s="439"/>
      <c r="M353" s="439"/>
      <c r="N353" s="439"/>
      <c r="O353" s="439"/>
      <c r="P353" s="439"/>
      <c r="Q353" s="439"/>
      <c r="R353" s="442" t="s">
        <v>186</v>
      </c>
      <c r="S353" s="443"/>
      <c r="T353" s="442"/>
      <c r="U353" s="443"/>
      <c r="V353" s="438" t="s">
        <v>323</v>
      </c>
      <c r="W353" s="439"/>
      <c r="X353" s="439"/>
      <c r="Y353" s="439"/>
      <c r="Z353" s="439"/>
      <c r="AA353" s="439"/>
      <c r="AB353" s="439"/>
      <c r="AC353" s="439"/>
      <c r="AD353" s="438" t="s">
        <v>320</v>
      </c>
      <c r="AE353" s="439"/>
      <c r="AF353" s="439"/>
      <c r="AG353" s="439"/>
      <c r="AH353" s="439"/>
      <c r="AI353" s="439"/>
      <c r="AJ353" s="439"/>
      <c r="AK353" s="449"/>
      <c r="AL353" s="491" t="s">
        <v>321</v>
      </c>
      <c r="AM353" s="492"/>
      <c r="AN353" s="492"/>
      <c r="AO353" s="492"/>
      <c r="AP353" s="492"/>
      <c r="AQ353" s="492"/>
      <c r="AR353" s="493"/>
      <c r="AS353" s="438" t="s">
        <v>324</v>
      </c>
      <c r="AT353" s="439"/>
      <c r="AU353" s="439"/>
      <c r="AV353" s="439"/>
      <c r="AW353" s="439"/>
      <c r="AX353" s="439"/>
      <c r="AY353" s="449"/>
      <c r="AZ353" s="460"/>
      <c r="BA353" s="461"/>
      <c r="BB353" s="60">
        <v>1</v>
      </c>
      <c r="BC353" s="466"/>
      <c r="BD353" s="467"/>
      <c r="BE353" s="467"/>
      <c r="BF353" s="468"/>
      <c r="BG353" s="469"/>
      <c r="BH353" s="470"/>
      <c r="BI353" s="194"/>
      <c r="BJ353" s="471"/>
      <c r="BK353" s="472"/>
      <c r="BL353" s="472"/>
      <c r="BM353" s="472"/>
      <c r="BN353" s="472"/>
      <c r="BO353" s="473"/>
      <c r="BP353" s="471"/>
      <c r="BQ353" s="472"/>
      <c r="BR353" s="472"/>
      <c r="BS353" s="472"/>
      <c r="BT353" s="472"/>
      <c r="BU353" s="473"/>
      <c r="BV353" s="471"/>
      <c r="BW353" s="472"/>
      <c r="BX353" s="472"/>
      <c r="BY353" s="472"/>
      <c r="BZ353" s="472"/>
      <c r="CA353" s="473"/>
      <c r="CB353" s="466"/>
      <c r="CC353" s="467"/>
      <c r="CD353" s="467"/>
      <c r="CE353" s="468"/>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5" hidden="1">
      <c r="A354" s="435"/>
      <c r="B354" s="36"/>
      <c r="C354" s="199" t="str">
        <f t="shared" ca="1" si="6"/>
        <v/>
      </c>
      <c r="D354" s="479"/>
      <c r="E354" s="480"/>
      <c r="F354" s="480"/>
      <c r="G354" s="480"/>
      <c r="H354" s="480"/>
      <c r="I354" s="480"/>
      <c r="J354" s="480"/>
      <c r="K354" s="440"/>
      <c r="L354" s="441"/>
      <c r="M354" s="441"/>
      <c r="N354" s="441"/>
      <c r="O354" s="441"/>
      <c r="P354" s="441"/>
      <c r="Q354" s="441"/>
      <c r="R354" s="444"/>
      <c r="S354" s="445"/>
      <c r="T354" s="444"/>
      <c r="U354" s="445"/>
      <c r="V354" s="440"/>
      <c r="W354" s="441"/>
      <c r="X354" s="441"/>
      <c r="Y354" s="441"/>
      <c r="Z354" s="441"/>
      <c r="AA354" s="441"/>
      <c r="AB354" s="441"/>
      <c r="AC354" s="441"/>
      <c r="AD354" s="440"/>
      <c r="AE354" s="441"/>
      <c r="AF354" s="441"/>
      <c r="AG354" s="441"/>
      <c r="AH354" s="441"/>
      <c r="AI354" s="441"/>
      <c r="AJ354" s="441"/>
      <c r="AK354" s="450"/>
      <c r="AL354" s="494"/>
      <c r="AM354" s="495"/>
      <c r="AN354" s="495"/>
      <c r="AO354" s="495"/>
      <c r="AP354" s="495"/>
      <c r="AQ354" s="495"/>
      <c r="AR354" s="496"/>
      <c r="AS354" s="440"/>
      <c r="AT354" s="441"/>
      <c r="AU354" s="441"/>
      <c r="AV354" s="441"/>
      <c r="AW354" s="441"/>
      <c r="AX354" s="441"/>
      <c r="AY354" s="450"/>
      <c r="AZ354" s="462"/>
      <c r="BA354" s="463"/>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5" hidden="1">
      <c r="A355" s="435"/>
      <c r="B355" s="36"/>
      <c r="C355" s="199" t="str">
        <f t="shared" ca="1" si="6"/>
        <v/>
      </c>
      <c r="D355" s="479"/>
      <c r="E355" s="480"/>
      <c r="F355" s="480"/>
      <c r="G355" s="480"/>
      <c r="H355" s="480"/>
      <c r="I355" s="480"/>
      <c r="J355" s="480"/>
      <c r="K355" s="440"/>
      <c r="L355" s="441"/>
      <c r="M355" s="441"/>
      <c r="N355" s="441"/>
      <c r="O355" s="441"/>
      <c r="P355" s="441"/>
      <c r="Q355" s="441"/>
      <c r="R355" s="444"/>
      <c r="S355" s="445"/>
      <c r="T355" s="444"/>
      <c r="U355" s="445"/>
      <c r="V355" s="440"/>
      <c r="W355" s="441"/>
      <c r="X355" s="441"/>
      <c r="Y355" s="441"/>
      <c r="Z355" s="441"/>
      <c r="AA355" s="441"/>
      <c r="AB355" s="441"/>
      <c r="AC355" s="441"/>
      <c r="AD355" s="440"/>
      <c r="AE355" s="441"/>
      <c r="AF355" s="441"/>
      <c r="AG355" s="441"/>
      <c r="AH355" s="441"/>
      <c r="AI355" s="441"/>
      <c r="AJ355" s="441"/>
      <c r="AK355" s="450"/>
      <c r="AL355" s="494"/>
      <c r="AM355" s="495"/>
      <c r="AN355" s="495"/>
      <c r="AO355" s="495"/>
      <c r="AP355" s="495"/>
      <c r="AQ355" s="495"/>
      <c r="AR355" s="496"/>
      <c r="AS355" s="440"/>
      <c r="AT355" s="441"/>
      <c r="AU355" s="441"/>
      <c r="AV355" s="441"/>
      <c r="AW355" s="441"/>
      <c r="AX355" s="441"/>
      <c r="AY355" s="450"/>
      <c r="AZ355" s="462"/>
      <c r="BA355" s="463"/>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5" hidden="1">
      <c r="A356" s="435"/>
      <c r="B356" s="36"/>
      <c r="C356" s="199" t="str">
        <f t="shared" ca="1" si="6"/>
        <v/>
      </c>
      <c r="D356" s="479"/>
      <c r="E356" s="480"/>
      <c r="F356" s="480"/>
      <c r="G356" s="480"/>
      <c r="H356" s="480"/>
      <c r="I356" s="480"/>
      <c r="J356" s="480"/>
      <c r="K356" s="440"/>
      <c r="L356" s="441"/>
      <c r="M356" s="441"/>
      <c r="N356" s="441"/>
      <c r="O356" s="441"/>
      <c r="P356" s="441"/>
      <c r="Q356" s="441"/>
      <c r="R356" s="444"/>
      <c r="S356" s="445"/>
      <c r="T356" s="444"/>
      <c r="U356" s="445"/>
      <c r="V356" s="440"/>
      <c r="W356" s="441"/>
      <c r="X356" s="441"/>
      <c r="Y356" s="441"/>
      <c r="Z356" s="441"/>
      <c r="AA356" s="441"/>
      <c r="AB356" s="441"/>
      <c r="AC356" s="441"/>
      <c r="AD356" s="440"/>
      <c r="AE356" s="441"/>
      <c r="AF356" s="441"/>
      <c r="AG356" s="441"/>
      <c r="AH356" s="441"/>
      <c r="AI356" s="441"/>
      <c r="AJ356" s="441"/>
      <c r="AK356" s="450"/>
      <c r="AL356" s="494"/>
      <c r="AM356" s="495"/>
      <c r="AN356" s="495"/>
      <c r="AO356" s="495"/>
      <c r="AP356" s="495"/>
      <c r="AQ356" s="495"/>
      <c r="AR356" s="496"/>
      <c r="AS356" s="440"/>
      <c r="AT356" s="441"/>
      <c r="AU356" s="441"/>
      <c r="AV356" s="441"/>
      <c r="AW356" s="441"/>
      <c r="AX356" s="441"/>
      <c r="AY356" s="450"/>
      <c r="AZ356" s="462"/>
      <c r="BA356" s="463"/>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5" hidden="1">
      <c r="A357" s="435"/>
      <c r="B357" s="36"/>
      <c r="C357" s="199" t="str">
        <f t="shared" ca="1" si="6"/>
        <v/>
      </c>
      <c r="D357" s="479"/>
      <c r="E357" s="480"/>
      <c r="F357" s="480"/>
      <c r="G357" s="480"/>
      <c r="H357" s="480"/>
      <c r="I357" s="480"/>
      <c r="J357" s="480"/>
      <c r="K357" s="440"/>
      <c r="L357" s="441"/>
      <c r="M357" s="441"/>
      <c r="N357" s="441"/>
      <c r="O357" s="441"/>
      <c r="P357" s="441"/>
      <c r="Q357" s="441"/>
      <c r="R357" s="444"/>
      <c r="S357" s="445"/>
      <c r="T357" s="444"/>
      <c r="U357" s="445"/>
      <c r="V357" s="440"/>
      <c r="W357" s="441"/>
      <c r="X357" s="441"/>
      <c r="Y357" s="441"/>
      <c r="Z357" s="441"/>
      <c r="AA357" s="441"/>
      <c r="AB357" s="441"/>
      <c r="AC357" s="441"/>
      <c r="AD357" s="440"/>
      <c r="AE357" s="441"/>
      <c r="AF357" s="441"/>
      <c r="AG357" s="441"/>
      <c r="AH357" s="441"/>
      <c r="AI357" s="441"/>
      <c r="AJ357" s="441"/>
      <c r="AK357" s="450"/>
      <c r="AL357" s="494"/>
      <c r="AM357" s="495"/>
      <c r="AN357" s="495"/>
      <c r="AO357" s="495"/>
      <c r="AP357" s="495"/>
      <c r="AQ357" s="495"/>
      <c r="AR357" s="496"/>
      <c r="AS357" s="440"/>
      <c r="AT357" s="441"/>
      <c r="AU357" s="441"/>
      <c r="AV357" s="441"/>
      <c r="AW357" s="441"/>
      <c r="AX357" s="441"/>
      <c r="AY357" s="450"/>
      <c r="AZ357" s="462"/>
      <c r="BA357" s="463"/>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8.75" hidden="1" customHeight="1">
      <c r="A358" s="436"/>
      <c r="B358" s="37"/>
      <c r="C358" s="200" t="str">
        <f t="shared" ca="1" si="6"/>
        <v/>
      </c>
      <c r="D358" s="481"/>
      <c r="E358" s="482"/>
      <c r="F358" s="482"/>
      <c r="G358" s="482"/>
      <c r="H358" s="482"/>
      <c r="I358" s="482"/>
      <c r="J358" s="482"/>
      <c r="K358" s="409"/>
      <c r="L358" s="410"/>
      <c r="M358" s="410"/>
      <c r="N358" s="410"/>
      <c r="O358" s="410"/>
      <c r="P358" s="410"/>
      <c r="Q358" s="410"/>
      <c r="R358" s="446"/>
      <c r="S358" s="447"/>
      <c r="T358" s="446"/>
      <c r="U358" s="447"/>
      <c r="V358" s="409"/>
      <c r="W358" s="410"/>
      <c r="X358" s="410"/>
      <c r="Y358" s="410"/>
      <c r="Z358" s="410"/>
      <c r="AA358" s="410"/>
      <c r="AB358" s="410"/>
      <c r="AC358" s="410"/>
      <c r="AD358" s="409"/>
      <c r="AE358" s="410"/>
      <c r="AF358" s="410"/>
      <c r="AG358" s="410"/>
      <c r="AH358" s="410"/>
      <c r="AI358" s="410"/>
      <c r="AJ358" s="410"/>
      <c r="AK358" s="411"/>
      <c r="AL358" s="497"/>
      <c r="AM358" s="498"/>
      <c r="AN358" s="498"/>
      <c r="AO358" s="498"/>
      <c r="AP358" s="498"/>
      <c r="AQ358" s="498"/>
      <c r="AR358" s="499"/>
      <c r="AS358" s="409"/>
      <c r="AT358" s="410"/>
      <c r="AU358" s="410"/>
      <c r="AV358" s="410"/>
      <c r="AW358" s="410"/>
      <c r="AX358" s="410"/>
      <c r="AY358" s="411"/>
      <c r="AZ358" s="464"/>
      <c r="BA358" s="465"/>
      <c r="BB358" s="62">
        <v>6</v>
      </c>
      <c r="BC358" s="426"/>
      <c r="BD358" s="427"/>
      <c r="BE358" s="427"/>
      <c r="BF358" s="428"/>
      <c r="BG358" s="429"/>
      <c r="BH358" s="430"/>
      <c r="BI358" s="196"/>
      <c r="BJ358" s="474"/>
      <c r="BK358" s="475"/>
      <c r="BL358" s="475"/>
      <c r="BM358" s="475"/>
      <c r="BN358" s="475"/>
      <c r="BO358" s="476"/>
      <c r="BP358" s="474"/>
      <c r="BQ358" s="475"/>
      <c r="BR358" s="475"/>
      <c r="BS358" s="475"/>
      <c r="BT358" s="475"/>
      <c r="BU358" s="476"/>
      <c r="BV358" s="474"/>
      <c r="BW358" s="475"/>
      <c r="BX358" s="475"/>
      <c r="BY358" s="475"/>
      <c r="BZ358" s="475"/>
      <c r="CA358" s="476"/>
      <c r="CB358" s="426"/>
      <c r="CC358" s="427"/>
      <c r="CD358" s="427"/>
      <c r="CE358" s="428"/>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5.75" hidden="1" customHeight="1">
      <c r="A359" s="434">
        <v>59</v>
      </c>
      <c r="B359" s="36"/>
      <c r="C359" s="198" t="str">
        <f t="shared" ca="1" si="6"/>
        <v/>
      </c>
      <c r="D359" s="477"/>
      <c r="E359" s="478"/>
      <c r="F359" s="478"/>
      <c r="G359" s="478"/>
      <c r="H359" s="478"/>
      <c r="I359" s="478"/>
      <c r="J359" s="478"/>
      <c r="K359" s="438" t="s">
        <v>325</v>
      </c>
      <c r="L359" s="439"/>
      <c r="M359" s="439"/>
      <c r="N359" s="439"/>
      <c r="O359" s="439"/>
      <c r="P359" s="439"/>
      <c r="Q359" s="439"/>
      <c r="R359" s="442" t="s">
        <v>186</v>
      </c>
      <c r="S359" s="443"/>
      <c r="T359" s="442"/>
      <c r="U359" s="443"/>
      <c r="V359" s="438" t="s">
        <v>326</v>
      </c>
      <c r="W359" s="439"/>
      <c r="X359" s="439"/>
      <c r="Y359" s="439"/>
      <c r="Z359" s="439"/>
      <c r="AA359" s="439"/>
      <c r="AB359" s="439"/>
      <c r="AC359" s="439"/>
      <c r="AD359" s="438" t="s">
        <v>327</v>
      </c>
      <c r="AE359" s="439"/>
      <c r="AF359" s="439"/>
      <c r="AG359" s="439"/>
      <c r="AH359" s="439"/>
      <c r="AI359" s="439"/>
      <c r="AJ359" s="439"/>
      <c r="AK359" s="449"/>
      <c r="AL359" s="491" t="s">
        <v>328</v>
      </c>
      <c r="AM359" s="492"/>
      <c r="AN359" s="492"/>
      <c r="AO359" s="492"/>
      <c r="AP359" s="492"/>
      <c r="AQ359" s="492"/>
      <c r="AR359" s="493"/>
      <c r="AS359" s="438" t="s">
        <v>329</v>
      </c>
      <c r="AT359" s="439"/>
      <c r="AU359" s="439"/>
      <c r="AV359" s="439"/>
      <c r="AW359" s="439"/>
      <c r="AX359" s="439"/>
      <c r="AY359" s="449"/>
      <c r="AZ359" s="460"/>
      <c r="BA359" s="461"/>
      <c r="BB359" s="60">
        <v>1</v>
      </c>
      <c r="BC359" s="466"/>
      <c r="BD359" s="467"/>
      <c r="BE359" s="467"/>
      <c r="BF359" s="468"/>
      <c r="BG359" s="469"/>
      <c r="BH359" s="470"/>
      <c r="BI359" s="194"/>
      <c r="BJ359" s="471"/>
      <c r="BK359" s="472"/>
      <c r="BL359" s="472"/>
      <c r="BM359" s="472"/>
      <c r="BN359" s="472"/>
      <c r="BO359" s="473"/>
      <c r="BP359" s="471"/>
      <c r="BQ359" s="472"/>
      <c r="BR359" s="472"/>
      <c r="BS359" s="472"/>
      <c r="BT359" s="472"/>
      <c r="BU359" s="473"/>
      <c r="BV359" s="471"/>
      <c r="BW359" s="472"/>
      <c r="BX359" s="472"/>
      <c r="BY359" s="472"/>
      <c r="BZ359" s="472"/>
      <c r="CA359" s="473"/>
      <c r="CB359" s="466"/>
      <c r="CC359" s="467"/>
      <c r="CD359" s="467"/>
      <c r="CE359" s="468"/>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5" hidden="1">
      <c r="A360" s="435"/>
      <c r="B360" s="36"/>
      <c r="C360" s="199" t="str">
        <f t="shared" ca="1" si="6"/>
        <v/>
      </c>
      <c r="D360" s="479"/>
      <c r="E360" s="480"/>
      <c r="F360" s="480"/>
      <c r="G360" s="480"/>
      <c r="H360" s="480"/>
      <c r="I360" s="480"/>
      <c r="J360" s="480"/>
      <c r="K360" s="440"/>
      <c r="L360" s="441"/>
      <c r="M360" s="441"/>
      <c r="N360" s="441"/>
      <c r="O360" s="441"/>
      <c r="P360" s="441"/>
      <c r="Q360" s="441"/>
      <c r="R360" s="444"/>
      <c r="S360" s="445"/>
      <c r="T360" s="444"/>
      <c r="U360" s="445"/>
      <c r="V360" s="440"/>
      <c r="W360" s="441"/>
      <c r="X360" s="441"/>
      <c r="Y360" s="441"/>
      <c r="Z360" s="441"/>
      <c r="AA360" s="441"/>
      <c r="AB360" s="441"/>
      <c r="AC360" s="441"/>
      <c r="AD360" s="440"/>
      <c r="AE360" s="441"/>
      <c r="AF360" s="441"/>
      <c r="AG360" s="441"/>
      <c r="AH360" s="441"/>
      <c r="AI360" s="441"/>
      <c r="AJ360" s="441"/>
      <c r="AK360" s="450"/>
      <c r="AL360" s="494"/>
      <c r="AM360" s="495"/>
      <c r="AN360" s="495"/>
      <c r="AO360" s="495"/>
      <c r="AP360" s="495"/>
      <c r="AQ360" s="495"/>
      <c r="AR360" s="496"/>
      <c r="AS360" s="440"/>
      <c r="AT360" s="441"/>
      <c r="AU360" s="441"/>
      <c r="AV360" s="441"/>
      <c r="AW360" s="441"/>
      <c r="AX360" s="441"/>
      <c r="AY360" s="450"/>
      <c r="AZ360" s="462"/>
      <c r="BA360" s="463"/>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5" hidden="1">
      <c r="A361" s="435"/>
      <c r="B361" s="36"/>
      <c r="C361" s="199" t="str">
        <f t="shared" ca="1" si="6"/>
        <v/>
      </c>
      <c r="D361" s="479"/>
      <c r="E361" s="480"/>
      <c r="F361" s="480"/>
      <c r="G361" s="480"/>
      <c r="H361" s="480"/>
      <c r="I361" s="480"/>
      <c r="J361" s="480"/>
      <c r="K361" s="440"/>
      <c r="L361" s="441"/>
      <c r="M361" s="441"/>
      <c r="N361" s="441"/>
      <c r="O361" s="441"/>
      <c r="P361" s="441"/>
      <c r="Q361" s="441"/>
      <c r="R361" s="444"/>
      <c r="S361" s="445"/>
      <c r="T361" s="444"/>
      <c r="U361" s="445"/>
      <c r="V361" s="440"/>
      <c r="W361" s="441"/>
      <c r="X361" s="441"/>
      <c r="Y361" s="441"/>
      <c r="Z361" s="441"/>
      <c r="AA361" s="441"/>
      <c r="AB361" s="441"/>
      <c r="AC361" s="441"/>
      <c r="AD361" s="440"/>
      <c r="AE361" s="441"/>
      <c r="AF361" s="441"/>
      <c r="AG361" s="441"/>
      <c r="AH361" s="441"/>
      <c r="AI361" s="441"/>
      <c r="AJ361" s="441"/>
      <c r="AK361" s="450"/>
      <c r="AL361" s="494"/>
      <c r="AM361" s="495"/>
      <c r="AN361" s="495"/>
      <c r="AO361" s="495"/>
      <c r="AP361" s="495"/>
      <c r="AQ361" s="495"/>
      <c r="AR361" s="496"/>
      <c r="AS361" s="440"/>
      <c r="AT361" s="441"/>
      <c r="AU361" s="441"/>
      <c r="AV361" s="441"/>
      <c r="AW361" s="441"/>
      <c r="AX361" s="441"/>
      <c r="AY361" s="450"/>
      <c r="AZ361" s="462"/>
      <c r="BA361" s="463"/>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5" hidden="1">
      <c r="A362" s="435"/>
      <c r="B362" s="36"/>
      <c r="C362" s="199" t="str">
        <f t="shared" ca="1" si="6"/>
        <v/>
      </c>
      <c r="D362" s="479"/>
      <c r="E362" s="480"/>
      <c r="F362" s="480"/>
      <c r="G362" s="480"/>
      <c r="H362" s="480"/>
      <c r="I362" s="480"/>
      <c r="J362" s="480"/>
      <c r="K362" s="440"/>
      <c r="L362" s="441"/>
      <c r="M362" s="441"/>
      <c r="N362" s="441"/>
      <c r="O362" s="441"/>
      <c r="P362" s="441"/>
      <c r="Q362" s="441"/>
      <c r="R362" s="444"/>
      <c r="S362" s="445"/>
      <c r="T362" s="444"/>
      <c r="U362" s="445"/>
      <c r="V362" s="440"/>
      <c r="W362" s="441"/>
      <c r="X362" s="441"/>
      <c r="Y362" s="441"/>
      <c r="Z362" s="441"/>
      <c r="AA362" s="441"/>
      <c r="AB362" s="441"/>
      <c r="AC362" s="441"/>
      <c r="AD362" s="440"/>
      <c r="AE362" s="441"/>
      <c r="AF362" s="441"/>
      <c r="AG362" s="441"/>
      <c r="AH362" s="441"/>
      <c r="AI362" s="441"/>
      <c r="AJ362" s="441"/>
      <c r="AK362" s="450"/>
      <c r="AL362" s="494"/>
      <c r="AM362" s="495"/>
      <c r="AN362" s="495"/>
      <c r="AO362" s="495"/>
      <c r="AP362" s="495"/>
      <c r="AQ362" s="495"/>
      <c r="AR362" s="496"/>
      <c r="AS362" s="440"/>
      <c r="AT362" s="441"/>
      <c r="AU362" s="441"/>
      <c r="AV362" s="441"/>
      <c r="AW362" s="441"/>
      <c r="AX362" s="441"/>
      <c r="AY362" s="450"/>
      <c r="AZ362" s="462"/>
      <c r="BA362" s="463"/>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5" hidden="1">
      <c r="A363" s="435"/>
      <c r="B363" s="36"/>
      <c r="C363" s="199" t="str">
        <f t="shared" ca="1" si="6"/>
        <v/>
      </c>
      <c r="D363" s="479"/>
      <c r="E363" s="480"/>
      <c r="F363" s="480"/>
      <c r="G363" s="480"/>
      <c r="H363" s="480"/>
      <c r="I363" s="480"/>
      <c r="J363" s="480"/>
      <c r="K363" s="440"/>
      <c r="L363" s="441"/>
      <c r="M363" s="441"/>
      <c r="N363" s="441"/>
      <c r="O363" s="441"/>
      <c r="P363" s="441"/>
      <c r="Q363" s="441"/>
      <c r="R363" s="444"/>
      <c r="S363" s="445"/>
      <c r="T363" s="444"/>
      <c r="U363" s="445"/>
      <c r="V363" s="440"/>
      <c r="W363" s="441"/>
      <c r="X363" s="441"/>
      <c r="Y363" s="441"/>
      <c r="Z363" s="441"/>
      <c r="AA363" s="441"/>
      <c r="AB363" s="441"/>
      <c r="AC363" s="441"/>
      <c r="AD363" s="440"/>
      <c r="AE363" s="441"/>
      <c r="AF363" s="441"/>
      <c r="AG363" s="441"/>
      <c r="AH363" s="441"/>
      <c r="AI363" s="441"/>
      <c r="AJ363" s="441"/>
      <c r="AK363" s="450"/>
      <c r="AL363" s="494"/>
      <c r="AM363" s="495"/>
      <c r="AN363" s="495"/>
      <c r="AO363" s="495"/>
      <c r="AP363" s="495"/>
      <c r="AQ363" s="495"/>
      <c r="AR363" s="496"/>
      <c r="AS363" s="440"/>
      <c r="AT363" s="441"/>
      <c r="AU363" s="441"/>
      <c r="AV363" s="441"/>
      <c r="AW363" s="441"/>
      <c r="AX363" s="441"/>
      <c r="AY363" s="450"/>
      <c r="AZ363" s="462"/>
      <c r="BA363" s="463"/>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230.25" hidden="1" customHeight="1">
      <c r="A364" s="436"/>
      <c r="B364" s="37"/>
      <c r="C364" s="200" t="str">
        <f t="shared" ca="1" si="6"/>
        <v/>
      </c>
      <c r="D364" s="481"/>
      <c r="E364" s="482"/>
      <c r="F364" s="482"/>
      <c r="G364" s="482"/>
      <c r="H364" s="482"/>
      <c r="I364" s="482"/>
      <c r="J364" s="482"/>
      <c r="K364" s="409"/>
      <c r="L364" s="410"/>
      <c r="M364" s="410"/>
      <c r="N364" s="410"/>
      <c r="O364" s="410"/>
      <c r="P364" s="410"/>
      <c r="Q364" s="410"/>
      <c r="R364" s="446"/>
      <c r="S364" s="447"/>
      <c r="T364" s="446"/>
      <c r="U364" s="447"/>
      <c r="V364" s="409"/>
      <c r="W364" s="410"/>
      <c r="X364" s="410"/>
      <c r="Y364" s="410"/>
      <c r="Z364" s="410"/>
      <c r="AA364" s="410"/>
      <c r="AB364" s="410"/>
      <c r="AC364" s="410"/>
      <c r="AD364" s="409"/>
      <c r="AE364" s="410"/>
      <c r="AF364" s="410"/>
      <c r="AG364" s="410"/>
      <c r="AH364" s="410"/>
      <c r="AI364" s="410"/>
      <c r="AJ364" s="410"/>
      <c r="AK364" s="411"/>
      <c r="AL364" s="497"/>
      <c r="AM364" s="498"/>
      <c r="AN364" s="498"/>
      <c r="AO364" s="498"/>
      <c r="AP364" s="498"/>
      <c r="AQ364" s="498"/>
      <c r="AR364" s="499"/>
      <c r="AS364" s="409"/>
      <c r="AT364" s="410"/>
      <c r="AU364" s="410"/>
      <c r="AV364" s="410"/>
      <c r="AW364" s="410"/>
      <c r="AX364" s="410"/>
      <c r="AY364" s="411"/>
      <c r="AZ364" s="464"/>
      <c r="BA364" s="465"/>
      <c r="BB364" s="62">
        <v>6</v>
      </c>
      <c r="BC364" s="426"/>
      <c r="BD364" s="427"/>
      <c r="BE364" s="427"/>
      <c r="BF364" s="428"/>
      <c r="BG364" s="429"/>
      <c r="BH364" s="430"/>
      <c r="BI364" s="196"/>
      <c r="BJ364" s="474"/>
      <c r="BK364" s="475"/>
      <c r="BL364" s="475"/>
      <c r="BM364" s="475"/>
      <c r="BN364" s="475"/>
      <c r="BO364" s="476"/>
      <c r="BP364" s="474"/>
      <c r="BQ364" s="475"/>
      <c r="BR364" s="475"/>
      <c r="BS364" s="475"/>
      <c r="BT364" s="475"/>
      <c r="BU364" s="476"/>
      <c r="BV364" s="474"/>
      <c r="BW364" s="475"/>
      <c r="BX364" s="475"/>
      <c r="BY364" s="475"/>
      <c r="BZ364" s="475"/>
      <c r="CA364" s="476"/>
      <c r="CB364" s="426"/>
      <c r="CC364" s="427"/>
      <c r="CD364" s="427"/>
      <c r="CE364" s="428"/>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15.75" hidden="1" customHeight="1">
      <c r="A365" s="434">
        <v>60</v>
      </c>
      <c r="B365" s="36"/>
      <c r="C365" s="198" t="str">
        <f t="shared" ca="1" si="6"/>
        <v/>
      </c>
      <c r="D365" s="477"/>
      <c r="E365" s="478"/>
      <c r="F365" s="478"/>
      <c r="G365" s="478"/>
      <c r="H365" s="478"/>
      <c r="I365" s="478"/>
      <c r="J365" s="478"/>
      <c r="K365" s="438" t="s">
        <v>325</v>
      </c>
      <c r="L365" s="439"/>
      <c r="M365" s="439"/>
      <c r="N365" s="439"/>
      <c r="O365" s="439"/>
      <c r="P365" s="439"/>
      <c r="Q365" s="439"/>
      <c r="R365" s="442" t="s">
        <v>186</v>
      </c>
      <c r="S365" s="443"/>
      <c r="T365" s="442"/>
      <c r="U365" s="443"/>
      <c r="V365" s="438" t="s">
        <v>330</v>
      </c>
      <c r="W365" s="439"/>
      <c r="X365" s="439"/>
      <c r="Y365" s="439"/>
      <c r="Z365" s="439"/>
      <c r="AA365" s="439"/>
      <c r="AB365" s="439"/>
      <c r="AC365" s="439"/>
      <c r="AD365" s="438" t="s">
        <v>327</v>
      </c>
      <c r="AE365" s="439"/>
      <c r="AF365" s="439"/>
      <c r="AG365" s="439"/>
      <c r="AH365" s="439"/>
      <c r="AI365" s="439"/>
      <c r="AJ365" s="439"/>
      <c r="AK365" s="449"/>
      <c r="AL365" s="491" t="s">
        <v>328</v>
      </c>
      <c r="AM365" s="492"/>
      <c r="AN365" s="492"/>
      <c r="AO365" s="492"/>
      <c r="AP365" s="492"/>
      <c r="AQ365" s="492"/>
      <c r="AR365" s="493"/>
      <c r="AS365" s="438" t="s">
        <v>329</v>
      </c>
      <c r="AT365" s="439"/>
      <c r="AU365" s="439"/>
      <c r="AV365" s="439"/>
      <c r="AW365" s="439"/>
      <c r="AX365" s="439"/>
      <c r="AY365" s="449"/>
      <c r="AZ365" s="460"/>
      <c r="BA365" s="461"/>
      <c r="BB365" s="60">
        <v>1</v>
      </c>
      <c r="BC365" s="466"/>
      <c r="BD365" s="467"/>
      <c r="BE365" s="467"/>
      <c r="BF365" s="468"/>
      <c r="BG365" s="469"/>
      <c r="BH365" s="470"/>
      <c r="BI365" s="194"/>
      <c r="BJ365" s="471"/>
      <c r="BK365" s="472"/>
      <c r="BL365" s="472"/>
      <c r="BM365" s="472"/>
      <c r="BN365" s="472"/>
      <c r="BO365" s="473"/>
      <c r="BP365" s="471"/>
      <c r="BQ365" s="472"/>
      <c r="BR365" s="472"/>
      <c r="BS365" s="472"/>
      <c r="BT365" s="472"/>
      <c r="BU365" s="473"/>
      <c r="BV365" s="471"/>
      <c r="BW365" s="472"/>
      <c r="BX365" s="472"/>
      <c r="BY365" s="472"/>
      <c r="BZ365" s="472"/>
      <c r="CA365" s="473"/>
      <c r="CB365" s="466"/>
      <c r="CC365" s="467"/>
      <c r="CD365" s="467"/>
      <c r="CE365" s="468"/>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row>
    <row r="366" spans="1:103" ht="16.5" hidden="1">
      <c r="A366" s="435"/>
      <c r="B366" s="36"/>
      <c r="C366" s="199" t="str">
        <f t="shared" ca="1" si="6"/>
        <v/>
      </c>
      <c r="D366" s="479"/>
      <c r="E366" s="480"/>
      <c r="F366" s="480"/>
      <c r="G366" s="480"/>
      <c r="H366" s="480"/>
      <c r="I366" s="480"/>
      <c r="J366" s="480"/>
      <c r="K366" s="440"/>
      <c r="L366" s="441"/>
      <c r="M366" s="441"/>
      <c r="N366" s="441"/>
      <c r="O366" s="441"/>
      <c r="P366" s="441"/>
      <c r="Q366" s="441"/>
      <c r="R366" s="444"/>
      <c r="S366" s="445"/>
      <c r="T366" s="444"/>
      <c r="U366" s="445"/>
      <c r="V366" s="440"/>
      <c r="W366" s="441"/>
      <c r="X366" s="441"/>
      <c r="Y366" s="441"/>
      <c r="Z366" s="441"/>
      <c r="AA366" s="441"/>
      <c r="AB366" s="441"/>
      <c r="AC366" s="441"/>
      <c r="AD366" s="440"/>
      <c r="AE366" s="441"/>
      <c r="AF366" s="441"/>
      <c r="AG366" s="441"/>
      <c r="AH366" s="441"/>
      <c r="AI366" s="441"/>
      <c r="AJ366" s="441"/>
      <c r="AK366" s="450"/>
      <c r="AL366" s="494"/>
      <c r="AM366" s="495"/>
      <c r="AN366" s="495"/>
      <c r="AO366" s="495"/>
      <c r="AP366" s="495"/>
      <c r="AQ366" s="495"/>
      <c r="AR366" s="496"/>
      <c r="AS366" s="440"/>
      <c r="AT366" s="441"/>
      <c r="AU366" s="441"/>
      <c r="AV366" s="441"/>
      <c r="AW366" s="441"/>
      <c r="AX366" s="441"/>
      <c r="AY366" s="450"/>
      <c r="AZ366" s="462"/>
      <c r="BA366" s="463"/>
      <c r="BB366" s="61">
        <v>2</v>
      </c>
      <c r="BC366" s="418"/>
      <c r="BD366" s="419"/>
      <c r="BE366" s="419"/>
      <c r="BF366" s="420"/>
      <c r="BG366" s="421"/>
      <c r="BH366" s="422"/>
      <c r="BI366" s="195"/>
      <c r="BJ366" s="423"/>
      <c r="BK366" s="424"/>
      <c r="BL366" s="424"/>
      <c r="BM366" s="424"/>
      <c r="BN366" s="424"/>
      <c r="BO366" s="425"/>
      <c r="BP366" s="423"/>
      <c r="BQ366" s="424"/>
      <c r="BR366" s="424"/>
      <c r="BS366" s="424"/>
      <c r="BT366" s="424"/>
      <c r="BU366" s="425"/>
      <c r="BV366" s="423"/>
      <c r="BW366" s="424"/>
      <c r="BX366" s="424"/>
      <c r="BY366" s="424"/>
      <c r="BZ366" s="424"/>
      <c r="CA366" s="425"/>
      <c r="CB366" s="418"/>
      <c r="CC366" s="419"/>
      <c r="CD366" s="419"/>
      <c r="CE366" s="420"/>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row>
    <row r="367" spans="1:103" ht="16.5" hidden="1">
      <c r="A367" s="435"/>
      <c r="B367" s="36"/>
      <c r="C367" s="199" t="str">
        <f t="shared" ca="1" si="6"/>
        <v/>
      </c>
      <c r="D367" s="479"/>
      <c r="E367" s="480"/>
      <c r="F367" s="480"/>
      <c r="G367" s="480"/>
      <c r="H367" s="480"/>
      <c r="I367" s="480"/>
      <c r="J367" s="480"/>
      <c r="K367" s="440"/>
      <c r="L367" s="441"/>
      <c r="M367" s="441"/>
      <c r="N367" s="441"/>
      <c r="O367" s="441"/>
      <c r="P367" s="441"/>
      <c r="Q367" s="441"/>
      <c r="R367" s="444"/>
      <c r="S367" s="445"/>
      <c r="T367" s="444"/>
      <c r="U367" s="445"/>
      <c r="V367" s="440"/>
      <c r="W367" s="441"/>
      <c r="X367" s="441"/>
      <c r="Y367" s="441"/>
      <c r="Z367" s="441"/>
      <c r="AA367" s="441"/>
      <c r="AB367" s="441"/>
      <c r="AC367" s="441"/>
      <c r="AD367" s="440"/>
      <c r="AE367" s="441"/>
      <c r="AF367" s="441"/>
      <c r="AG367" s="441"/>
      <c r="AH367" s="441"/>
      <c r="AI367" s="441"/>
      <c r="AJ367" s="441"/>
      <c r="AK367" s="450"/>
      <c r="AL367" s="494"/>
      <c r="AM367" s="495"/>
      <c r="AN367" s="495"/>
      <c r="AO367" s="495"/>
      <c r="AP367" s="495"/>
      <c r="AQ367" s="495"/>
      <c r="AR367" s="496"/>
      <c r="AS367" s="440"/>
      <c r="AT367" s="441"/>
      <c r="AU367" s="441"/>
      <c r="AV367" s="441"/>
      <c r="AW367" s="441"/>
      <c r="AX367" s="441"/>
      <c r="AY367" s="450"/>
      <c r="AZ367" s="462"/>
      <c r="BA367" s="463"/>
      <c r="BB367" s="61">
        <v>3</v>
      </c>
      <c r="BC367" s="418"/>
      <c r="BD367" s="419"/>
      <c r="BE367" s="419"/>
      <c r="BF367" s="420"/>
      <c r="BG367" s="421"/>
      <c r="BH367" s="422"/>
      <c r="BI367" s="195"/>
      <c r="BJ367" s="423"/>
      <c r="BK367" s="424"/>
      <c r="BL367" s="424"/>
      <c r="BM367" s="424"/>
      <c r="BN367" s="424"/>
      <c r="BO367" s="425"/>
      <c r="BP367" s="423"/>
      <c r="BQ367" s="424"/>
      <c r="BR367" s="424"/>
      <c r="BS367" s="424"/>
      <c r="BT367" s="424"/>
      <c r="BU367" s="425"/>
      <c r="BV367" s="423"/>
      <c r="BW367" s="424"/>
      <c r="BX367" s="424"/>
      <c r="BY367" s="424"/>
      <c r="BZ367" s="424"/>
      <c r="CA367" s="425"/>
      <c r="CB367" s="418"/>
      <c r="CC367" s="419"/>
      <c r="CD367" s="419"/>
      <c r="CE367" s="420"/>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row>
    <row r="368" spans="1:103" ht="16.5" hidden="1">
      <c r="A368" s="435"/>
      <c r="B368" s="36"/>
      <c r="C368" s="199" t="str">
        <f t="shared" ca="1" si="6"/>
        <v/>
      </c>
      <c r="D368" s="479"/>
      <c r="E368" s="480"/>
      <c r="F368" s="480"/>
      <c r="G368" s="480"/>
      <c r="H368" s="480"/>
      <c r="I368" s="480"/>
      <c r="J368" s="480"/>
      <c r="K368" s="440"/>
      <c r="L368" s="441"/>
      <c r="M368" s="441"/>
      <c r="N368" s="441"/>
      <c r="O368" s="441"/>
      <c r="P368" s="441"/>
      <c r="Q368" s="441"/>
      <c r="R368" s="444"/>
      <c r="S368" s="445"/>
      <c r="T368" s="444"/>
      <c r="U368" s="445"/>
      <c r="V368" s="440"/>
      <c r="W368" s="441"/>
      <c r="X368" s="441"/>
      <c r="Y368" s="441"/>
      <c r="Z368" s="441"/>
      <c r="AA368" s="441"/>
      <c r="AB368" s="441"/>
      <c r="AC368" s="441"/>
      <c r="AD368" s="440"/>
      <c r="AE368" s="441"/>
      <c r="AF368" s="441"/>
      <c r="AG368" s="441"/>
      <c r="AH368" s="441"/>
      <c r="AI368" s="441"/>
      <c r="AJ368" s="441"/>
      <c r="AK368" s="450"/>
      <c r="AL368" s="494"/>
      <c r="AM368" s="495"/>
      <c r="AN368" s="495"/>
      <c r="AO368" s="495"/>
      <c r="AP368" s="495"/>
      <c r="AQ368" s="495"/>
      <c r="AR368" s="496"/>
      <c r="AS368" s="440"/>
      <c r="AT368" s="441"/>
      <c r="AU368" s="441"/>
      <c r="AV368" s="441"/>
      <c r="AW368" s="441"/>
      <c r="AX368" s="441"/>
      <c r="AY368" s="450"/>
      <c r="AZ368" s="462"/>
      <c r="BA368" s="463"/>
      <c r="BB368" s="61">
        <v>4</v>
      </c>
      <c r="BC368" s="418"/>
      <c r="BD368" s="419"/>
      <c r="BE368" s="419"/>
      <c r="BF368" s="420"/>
      <c r="BG368" s="421"/>
      <c r="BH368" s="422"/>
      <c r="BI368" s="195"/>
      <c r="BJ368" s="423"/>
      <c r="BK368" s="424"/>
      <c r="BL368" s="424"/>
      <c r="BM368" s="424"/>
      <c r="BN368" s="424"/>
      <c r="BO368" s="425"/>
      <c r="BP368" s="423"/>
      <c r="BQ368" s="424"/>
      <c r="BR368" s="424"/>
      <c r="BS368" s="424"/>
      <c r="BT368" s="424"/>
      <c r="BU368" s="425"/>
      <c r="BV368" s="423"/>
      <c r="BW368" s="424"/>
      <c r="BX368" s="424"/>
      <c r="BY368" s="424"/>
      <c r="BZ368" s="424"/>
      <c r="CA368" s="425"/>
      <c r="CB368" s="418"/>
      <c r="CC368" s="419"/>
      <c r="CD368" s="419"/>
      <c r="CE368" s="420"/>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row>
    <row r="369" spans="1:103" ht="16.5" hidden="1">
      <c r="A369" s="435"/>
      <c r="B369" s="36"/>
      <c r="C369" s="199" t="str">
        <f t="shared" ca="1" si="6"/>
        <v/>
      </c>
      <c r="D369" s="479"/>
      <c r="E369" s="480"/>
      <c r="F369" s="480"/>
      <c r="G369" s="480"/>
      <c r="H369" s="480"/>
      <c r="I369" s="480"/>
      <c r="J369" s="480"/>
      <c r="K369" s="440"/>
      <c r="L369" s="441"/>
      <c r="M369" s="441"/>
      <c r="N369" s="441"/>
      <c r="O369" s="441"/>
      <c r="P369" s="441"/>
      <c r="Q369" s="441"/>
      <c r="R369" s="444"/>
      <c r="S369" s="445"/>
      <c r="T369" s="444"/>
      <c r="U369" s="445"/>
      <c r="V369" s="440"/>
      <c r="W369" s="441"/>
      <c r="X369" s="441"/>
      <c r="Y369" s="441"/>
      <c r="Z369" s="441"/>
      <c r="AA369" s="441"/>
      <c r="AB369" s="441"/>
      <c r="AC369" s="441"/>
      <c r="AD369" s="440"/>
      <c r="AE369" s="441"/>
      <c r="AF369" s="441"/>
      <c r="AG369" s="441"/>
      <c r="AH369" s="441"/>
      <c r="AI369" s="441"/>
      <c r="AJ369" s="441"/>
      <c r="AK369" s="450"/>
      <c r="AL369" s="494"/>
      <c r="AM369" s="495"/>
      <c r="AN369" s="495"/>
      <c r="AO369" s="495"/>
      <c r="AP369" s="495"/>
      <c r="AQ369" s="495"/>
      <c r="AR369" s="496"/>
      <c r="AS369" s="440"/>
      <c r="AT369" s="441"/>
      <c r="AU369" s="441"/>
      <c r="AV369" s="441"/>
      <c r="AW369" s="441"/>
      <c r="AX369" s="441"/>
      <c r="AY369" s="450"/>
      <c r="AZ369" s="462"/>
      <c r="BA369" s="463"/>
      <c r="BB369" s="61">
        <v>5</v>
      </c>
      <c r="BC369" s="418"/>
      <c r="BD369" s="419"/>
      <c r="BE369" s="419"/>
      <c r="BF369" s="420"/>
      <c r="BG369" s="421"/>
      <c r="BH369" s="422"/>
      <c r="BI369" s="195"/>
      <c r="BJ369" s="423"/>
      <c r="BK369" s="424"/>
      <c r="BL369" s="424"/>
      <c r="BM369" s="424"/>
      <c r="BN369" s="424"/>
      <c r="BO369" s="425"/>
      <c r="BP369" s="423"/>
      <c r="BQ369" s="424"/>
      <c r="BR369" s="424"/>
      <c r="BS369" s="424"/>
      <c r="BT369" s="424"/>
      <c r="BU369" s="425"/>
      <c r="BV369" s="423"/>
      <c r="BW369" s="424"/>
      <c r="BX369" s="424"/>
      <c r="BY369" s="424"/>
      <c r="BZ369" s="424"/>
      <c r="CA369" s="425"/>
      <c r="CB369" s="418"/>
      <c r="CC369" s="419"/>
      <c r="CD369" s="419"/>
      <c r="CE369" s="420"/>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row>
    <row r="370" spans="1:103" ht="228" hidden="1" customHeight="1">
      <c r="A370" s="436"/>
      <c r="B370" s="37"/>
      <c r="C370" s="200" t="str">
        <f t="shared" ca="1" si="6"/>
        <v/>
      </c>
      <c r="D370" s="481"/>
      <c r="E370" s="482"/>
      <c r="F370" s="482"/>
      <c r="G370" s="482"/>
      <c r="H370" s="482"/>
      <c r="I370" s="482"/>
      <c r="J370" s="482"/>
      <c r="K370" s="409"/>
      <c r="L370" s="410"/>
      <c r="M370" s="410"/>
      <c r="N370" s="410"/>
      <c r="O370" s="410"/>
      <c r="P370" s="410"/>
      <c r="Q370" s="410"/>
      <c r="R370" s="446"/>
      <c r="S370" s="447"/>
      <c r="T370" s="446"/>
      <c r="U370" s="447"/>
      <c r="V370" s="409"/>
      <c r="W370" s="410"/>
      <c r="X370" s="410"/>
      <c r="Y370" s="410"/>
      <c r="Z370" s="410"/>
      <c r="AA370" s="410"/>
      <c r="AB370" s="410"/>
      <c r="AC370" s="410"/>
      <c r="AD370" s="409"/>
      <c r="AE370" s="410"/>
      <c r="AF370" s="410"/>
      <c r="AG370" s="410"/>
      <c r="AH370" s="410"/>
      <c r="AI370" s="410"/>
      <c r="AJ370" s="410"/>
      <c r="AK370" s="411"/>
      <c r="AL370" s="497"/>
      <c r="AM370" s="498"/>
      <c r="AN370" s="498"/>
      <c r="AO370" s="498"/>
      <c r="AP370" s="498"/>
      <c r="AQ370" s="498"/>
      <c r="AR370" s="499"/>
      <c r="AS370" s="409"/>
      <c r="AT370" s="410"/>
      <c r="AU370" s="410"/>
      <c r="AV370" s="410"/>
      <c r="AW370" s="410"/>
      <c r="AX370" s="410"/>
      <c r="AY370" s="411"/>
      <c r="AZ370" s="464"/>
      <c r="BA370" s="465"/>
      <c r="BB370" s="62">
        <v>6</v>
      </c>
      <c r="BC370" s="426"/>
      <c r="BD370" s="427"/>
      <c r="BE370" s="427"/>
      <c r="BF370" s="428"/>
      <c r="BG370" s="429"/>
      <c r="BH370" s="430"/>
      <c r="BI370" s="196"/>
      <c r="BJ370" s="474"/>
      <c r="BK370" s="475"/>
      <c r="BL370" s="475"/>
      <c r="BM370" s="475"/>
      <c r="BN370" s="475"/>
      <c r="BO370" s="476"/>
      <c r="BP370" s="474"/>
      <c r="BQ370" s="475"/>
      <c r="BR370" s="475"/>
      <c r="BS370" s="475"/>
      <c r="BT370" s="475"/>
      <c r="BU370" s="476"/>
      <c r="BV370" s="474"/>
      <c r="BW370" s="475"/>
      <c r="BX370" s="475"/>
      <c r="BY370" s="475"/>
      <c r="BZ370" s="475"/>
      <c r="CA370" s="476"/>
      <c r="CB370" s="426"/>
      <c r="CC370" s="427"/>
      <c r="CD370" s="427"/>
      <c r="CE370" s="428"/>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row>
    <row r="371" spans="1:103" ht="29.25" customHeight="1">
      <c r="A371" s="212" t="s">
        <v>331</v>
      </c>
      <c r="B371" s="213"/>
      <c r="C371" s="213"/>
      <c r="D371" s="214"/>
      <c r="E371" s="214"/>
      <c r="F371" s="214"/>
      <c r="G371" s="214"/>
      <c r="H371" s="214"/>
      <c r="I371" s="214"/>
      <c r="J371" s="214"/>
      <c r="K371" s="214"/>
      <c r="L371" s="214"/>
      <c r="M371" s="214"/>
      <c r="N371" s="214"/>
      <c r="O371" s="214"/>
      <c r="P371" s="214"/>
      <c r="Q371" s="214"/>
      <c r="R371" s="214"/>
      <c r="S371" s="214"/>
      <c r="T371" s="214"/>
      <c r="U371" s="214"/>
      <c r="V371" s="214"/>
      <c r="W371" s="214"/>
      <c r="X371" s="214"/>
      <c r="Y371" s="214"/>
      <c r="Z371" s="214"/>
      <c r="AA371" s="214"/>
      <c r="AB371" s="214"/>
      <c r="AC371" s="214"/>
      <c r="AD371" s="214"/>
      <c r="AE371" s="214"/>
      <c r="AF371" s="214"/>
      <c r="AG371" s="214"/>
      <c r="AH371" s="214"/>
      <c r="AI371" s="214"/>
      <c r="AJ371" s="214"/>
      <c r="AK371" s="214"/>
      <c r="AL371" s="214"/>
      <c r="AM371" s="214"/>
      <c r="AN371" s="214"/>
      <c r="AO371" s="214"/>
      <c r="AP371" s="214"/>
      <c r="AQ371" s="214"/>
      <c r="AR371" s="214"/>
      <c r="AS371" s="214"/>
      <c r="AT371" s="214"/>
      <c r="AU371" s="214"/>
      <c r="AV371" s="214"/>
      <c r="AW371" s="214"/>
      <c r="AX371" s="214"/>
      <c r="AY371" s="214"/>
      <c r="AZ371" s="214"/>
      <c r="BA371" s="214"/>
      <c r="BB371" s="214"/>
      <c r="BC371" s="214"/>
      <c r="BD371" s="214"/>
      <c r="BE371" s="214"/>
      <c r="BF371" s="214"/>
      <c r="BG371" s="214"/>
      <c r="BH371" s="214"/>
      <c r="BI371" s="214"/>
      <c r="BJ371" s="214"/>
      <c r="BK371" s="214"/>
      <c r="BL371" s="214"/>
      <c r="BM371" s="214"/>
      <c r="BN371" s="214"/>
      <c r="BO371" s="214"/>
      <c r="BP371" s="214"/>
      <c r="BQ371" s="214"/>
      <c r="BR371" s="214"/>
      <c r="BS371" s="214"/>
      <c r="BT371" s="214"/>
      <c r="BU371" s="214"/>
      <c r="BV371" s="214"/>
      <c r="BW371" s="214"/>
      <c r="BX371" s="214"/>
      <c r="BY371" s="214"/>
      <c r="BZ371" s="214"/>
      <c r="CA371" s="214"/>
      <c r="CB371" s="214"/>
      <c r="CC371" s="214"/>
      <c r="CD371" s="214"/>
      <c r="CE371" s="214"/>
      <c r="CF371" s="214"/>
      <c r="CG371" s="214"/>
      <c r="CH371" s="214"/>
      <c r="CI371" s="214"/>
      <c r="CJ371" s="214"/>
      <c r="CK371" s="214"/>
      <c r="CL371" s="214"/>
      <c r="CM371" s="214"/>
      <c r="CN371" s="214"/>
      <c r="CO371" s="214"/>
      <c r="CP371" s="214"/>
      <c r="CQ371" s="214"/>
      <c r="CR371" s="214"/>
      <c r="CS371" s="214"/>
      <c r="CT371" s="214"/>
      <c r="CU371" s="214"/>
      <c r="CV371" s="214"/>
      <c r="CW371" s="214"/>
      <c r="CX371" s="214"/>
      <c r="CY371" s="215"/>
    </row>
  </sheetData>
  <autoFilter ref="A10:FC371"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3049">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161:CO166"/>
    <mergeCell ref="CP161:CT166"/>
    <mergeCell ref="CU161:CY166"/>
    <mergeCell ref="BC162:BF162"/>
    <mergeCell ref="BG162:BH162"/>
    <mergeCell ref="BJ162:BO162"/>
    <mergeCell ref="BP162:BU162"/>
    <mergeCell ref="BV162:CA162"/>
    <mergeCell ref="CB162:CE162"/>
    <mergeCell ref="BC163:BF163"/>
    <mergeCell ref="BG163:BH163"/>
    <mergeCell ref="BJ163:BO163"/>
    <mergeCell ref="BP163:BU163"/>
    <mergeCell ref="BV163:CA163"/>
    <mergeCell ref="CB163:CE163"/>
    <mergeCell ref="BC164:BF164"/>
    <mergeCell ref="BG164:BH164"/>
    <mergeCell ref="BJ164:BO164"/>
    <mergeCell ref="BP164:BU164"/>
    <mergeCell ref="BV164:CA164"/>
    <mergeCell ref="CB164:CE164"/>
    <mergeCell ref="BC165:BF165"/>
    <mergeCell ref="BG165:BH165"/>
    <mergeCell ref="BJ165:BO165"/>
    <mergeCell ref="BP165:BU165"/>
    <mergeCell ref="BV165:CA165"/>
    <mergeCell ref="CB165:CE165"/>
    <mergeCell ref="BC166:BF166"/>
    <mergeCell ref="BG166:BH166"/>
    <mergeCell ref="BJ166:BO166"/>
    <mergeCell ref="BP166:BU166"/>
    <mergeCell ref="BV166:CA166"/>
    <mergeCell ref="A161:A166"/>
    <mergeCell ref="D161:J166"/>
    <mergeCell ref="K161:Q166"/>
    <mergeCell ref="R161:S166"/>
    <mergeCell ref="T161:U166"/>
    <mergeCell ref="V161:AC166"/>
    <mergeCell ref="AD161:AK166"/>
    <mergeCell ref="AL161:AR166"/>
    <mergeCell ref="AS161:AY166"/>
    <mergeCell ref="AZ161:BA166"/>
    <mergeCell ref="BC161:BF161"/>
    <mergeCell ref="BG161:BH161"/>
    <mergeCell ref="BJ161:BO161"/>
    <mergeCell ref="BP161:BU161"/>
    <mergeCell ref="BV161:CA161"/>
    <mergeCell ref="CB161:CE161"/>
    <mergeCell ref="CF161:CJ166"/>
    <mergeCell ref="CB166:CE166"/>
    <mergeCell ref="CK143:CO148"/>
    <mergeCell ref="CP143:CT148"/>
    <mergeCell ref="CU143:CY148"/>
    <mergeCell ref="BC144:BF144"/>
    <mergeCell ref="BG144:BH144"/>
    <mergeCell ref="BJ144:BO144"/>
    <mergeCell ref="BP144:BU144"/>
    <mergeCell ref="BV144:CA144"/>
    <mergeCell ref="CB144:CE144"/>
    <mergeCell ref="BC145:BF145"/>
    <mergeCell ref="BG145:BH145"/>
    <mergeCell ref="BJ145:BO145"/>
    <mergeCell ref="BP145:BU145"/>
    <mergeCell ref="BV145:CA145"/>
    <mergeCell ref="CB145:CE145"/>
    <mergeCell ref="BC146:BF146"/>
    <mergeCell ref="BG146:BH146"/>
    <mergeCell ref="BJ146:BO146"/>
    <mergeCell ref="BP146:BU146"/>
    <mergeCell ref="BV146:CA146"/>
    <mergeCell ref="CB146:CE146"/>
    <mergeCell ref="BC147:BF147"/>
    <mergeCell ref="BG147:BH147"/>
    <mergeCell ref="BJ147:BO147"/>
    <mergeCell ref="BP147:BU147"/>
    <mergeCell ref="BV147:CA147"/>
    <mergeCell ref="CB147:CE147"/>
    <mergeCell ref="BC148:BF148"/>
    <mergeCell ref="BG148:BH148"/>
    <mergeCell ref="BJ148:BO148"/>
    <mergeCell ref="BP148:BU148"/>
    <mergeCell ref="BV148:CA148"/>
    <mergeCell ref="A143:A148"/>
    <mergeCell ref="D143:J148"/>
    <mergeCell ref="K143:Q148"/>
    <mergeCell ref="R143:S148"/>
    <mergeCell ref="T143:U148"/>
    <mergeCell ref="V143:AC148"/>
    <mergeCell ref="AD143:AK148"/>
    <mergeCell ref="AL143:AR148"/>
    <mergeCell ref="AS143:AY148"/>
    <mergeCell ref="AZ143:BA148"/>
    <mergeCell ref="BC143:BF143"/>
    <mergeCell ref="BG143:BH143"/>
    <mergeCell ref="BJ143:BO143"/>
    <mergeCell ref="BP143:BU143"/>
    <mergeCell ref="BV143:CA143"/>
    <mergeCell ref="CB143:CE143"/>
    <mergeCell ref="CF143:CJ148"/>
    <mergeCell ref="CB148:CE148"/>
    <mergeCell ref="CK101:CO106"/>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05:BU105"/>
    <mergeCell ref="BV105:CA105"/>
    <mergeCell ref="CB105:CE105"/>
    <mergeCell ref="BC106:BF106"/>
    <mergeCell ref="BG106:BH106"/>
    <mergeCell ref="BJ106:BO106"/>
    <mergeCell ref="BP106:BU106"/>
    <mergeCell ref="BV106:CA106"/>
    <mergeCell ref="A101:A106"/>
    <mergeCell ref="D101:J106"/>
    <mergeCell ref="K101:Q106"/>
    <mergeCell ref="R101:S106"/>
    <mergeCell ref="T101:U106"/>
    <mergeCell ref="V101:AC106"/>
    <mergeCell ref="AD101:AK106"/>
    <mergeCell ref="AL101:AR106"/>
    <mergeCell ref="AS101:AY106"/>
    <mergeCell ref="AZ101:BA106"/>
    <mergeCell ref="BC101:BF101"/>
    <mergeCell ref="BG101:BH101"/>
    <mergeCell ref="BJ101:BO101"/>
    <mergeCell ref="BP101:BU101"/>
    <mergeCell ref="BV101:CA101"/>
    <mergeCell ref="CB101:CE101"/>
    <mergeCell ref="CF101:CJ106"/>
    <mergeCell ref="CB106:CE106"/>
    <mergeCell ref="CK47:CO52"/>
    <mergeCell ref="CP47:CT52"/>
    <mergeCell ref="CU47:CY52"/>
    <mergeCell ref="BC48:BF48"/>
    <mergeCell ref="BG48:BH48"/>
    <mergeCell ref="BJ48:BO48"/>
    <mergeCell ref="BP48:BU48"/>
    <mergeCell ref="BV48:CA48"/>
    <mergeCell ref="CB48:CE48"/>
    <mergeCell ref="BC49:BF49"/>
    <mergeCell ref="BG49:BH49"/>
    <mergeCell ref="BJ49:BO49"/>
    <mergeCell ref="BP49:BU49"/>
    <mergeCell ref="BV49:CA49"/>
    <mergeCell ref="CB49:CE49"/>
    <mergeCell ref="BC50:BF50"/>
    <mergeCell ref="BG50:BH50"/>
    <mergeCell ref="BJ50:BO50"/>
    <mergeCell ref="BP50:BU50"/>
    <mergeCell ref="BV50:CA50"/>
    <mergeCell ref="CB50:CE50"/>
    <mergeCell ref="BC51:BF51"/>
    <mergeCell ref="BG51:BH51"/>
    <mergeCell ref="BJ51:BO51"/>
    <mergeCell ref="BP51:BU51"/>
    <mergeCell ref="BV51:CA51"/>
    <mergeCell ref="CB51:CE51"/>
    <mergeCell ref="BC52:BF52"/>
    <mergeCell ref="BG52:BH52"/>
    <mergeCell ref="BJ52:BO52"/>
    <mergeCell ref="BP52:BU52"/>
    <mergeCell ref="BV52:CA52"/>
    <mergeCell ref="A47:A52"/>
    <mergeCell ref="D47:J52"/>
    <mergeCell ref="K47:Q52"/>
    <mergeCell ref="R47:S52"/>
    <mergeCell ref="T47:U52"/>
    <mergeCell ref="V47:AC52"/>
    <mergeCell ref="AD47:AK52"/>
    <mergeCell ref="AL47:AR52"/>
    <mergeCell ref="AS47:AY52"/>
    <mergeCell ref="AZ47:BA52"/>
    <mergeCell ref="BC47:BF47"/>
    <mergeCell ref="BG47:BH47"/>
    <mergeCell ref="BJ47:BO47"/>
    <mergeCell ref="BP47:BU47"/>
    <mergeCell ref="BV47:CA47"/>
    <mergeCell ref="CB47:CE47"/>
    <mergeCell ref="CF47:CJ52"/>
    <mergeCell ref="CB52:CE52"/>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75:CE275"/>
    <mergeCell ref="CF275:CJ280"/>
    <mergeCell ref="CB280:CE280"/>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365:CO370"/>
    <mergeCell ref="CP365:CT370"/>
    <mergeCell ref="CU365:CY370"/>
    <mergeCell ref="BC366:BF366"/>
    <mergeCell ref="BG366:BH366"/>
    <mergeCell ref="BJ366:BO366"/>
    <mergeCell ref="BP366:BU366"/>
    <mergeCell ref="BV366:CA366"/>
    <mergeCell ref="CB366:CE366"/>
    <mergeCell ref="BC367:BF367"/>
    <mergeCell ref="BG367:BH367"/>
    <mergeCell ref="BJ367:BO367"/>
    <mergeCell ref="BP367:BU367"/>
    <mergeCell ref="BV367:CA367"/>
    <mergeCell ref="CB367:CE367"/>
    <mergeCell ref="BC368:BF368"/>
    <mergeCell ref="BG368:BH368"/>
    <mergeCell ref="BJ368:BO368"/>
    <mergeCell ref="BP368:BU368"/>
    <mergeCell ref="BV368:CA368"/>
    <mergeCell ref="CB368:CE368"/>
    <mergeCell ref="BC369:BF369"/>
    <mergeCell ref="BG369:BH369"/>
    <mergeCell ref="BJ369:BO369"/>
    <mergeCell ref="BP369:BU369"/>
    <mergeCell ref="BV369:CA369"/>
    <mergeCell ref="CB369:CE369"/>
    <mergeCell ref="BC370:BF370"/>
    <mergeCell ref="BG370:BH370"/>
    <mergeCell ref="BJ370:BO370"/>
    <mergeCell ref="BP370:BU370"/>
    <mergeCell ref="BV370:CA370"/>
    <mergeCell ref="A365:A370"/>
    <mergeCell ref="D365:J370"/>
    <mergeCell ref="K365:Q370"/>
    <mergeCell ref="R365:S370"/>
    <mergeCell ref="T365:U370"/>
    <mergeCell ref="V365:AC370"/>
    <mergeCell ref="AD365:AK370"/>
    <mergeCell ref="AL365:AR370"/>
    <mergeCell ref="AS365:AY370"/>
    <mergeCell ref="AZ365:BA370"/>
    <mergeCell ref="BC365:BF365"/>
    <mergeCell ref="BG365:BH365"/>
    <mergeCell ref="BJ365:BO365"/>
    <mergeCell ref="BP365:BU365"/>
    <mergeCell ref="BV365:CA365"/>
    <mergeCell ref="CB365:CE365"/>
    <mergeCell ref="CF365:CJ370"/>
    <mergeCell ref="CB370:CE370"/>
    <mergeCell ref="CK359:CO364"/>
    <mergeCell ref="CP359:CT364"/>
    <mergeCell ref="CU359:CY364"/>
    <mergeCell ref="BC360:BF360"/>
    <mergeCell ref="BG360:BH360"/>
    <mergeCell ref="BJ360:BO360"/>
    <mergeCell ref="BP360:BU360"/>
    <mergeCell ref="BV360:CA360"/>
    <mergeCell ref="CB360:CE360"/>
    <mergeCell ref="BC361:BF361"/>
    <mergeCell ref="BG361:BH361"/>
    <mergeCell ref="BJ361:BO361"/>
    <mergeCell ref="BP361:BU361"/>
    <mergeCell ref="BV361:CA361"/>
    <mergeCell ref="CB361:CE361"/>
    <mergeCell ref="BC362:BF362"/>
    <mergeCell ref="BG362:BH362"/>
    <mergeCell ref="BJ362:BO362"/>
    <mergeCell ref="BP362:BU362"/>
    <mergeCell ref="BV362:CA362"/>
    <mergeCell ref="CB362:CE362"/>
    <mergeCell ref="BC363:BF363"/>
    <mergeCell ref="BG363:BH363"/>
    <mergeCell ref="BJ363:BO363"/>
    <mergeCell ref="BP363:BU363"/>
    <mergeCell ref="BV363:CA363"/>
    <mergeCell ref="CB363:CE363"/>
    <mergeCell ref="BC364:BF364"/>
    <mergeCell ref="BG364:BH364"/>
    <mergeCell ref="BJ364:BO364"/>
    <mergeCell ref="BP364:BU364"/>
    <mergeCell ref="BV364:CA364"/>
    <mergeCell ref="A359:A364"/>
    <mergeCell ref="D359:J364"/>
    <mergeCell ref="K359:Q364"/>
    <mergeCell ref="R359:S364"/>
    <mergeCell ref="T359:U364"/>
    <mergeCell ref="V359:AC364"/>
    <mergeCell ref="AD359:AK364"/>
    <mergeCell ref="AL359:AR364"/>
    <mergeCell ref="AS359:AY364"/>
    <mergeCell ref="AZ359:BA364"/>
    <mergeCell ref="BC359:BF359"/>
    <mergeCell ref="BG359:BH359"/>
    <mergeCell ref="BJ359:BO359"/>
    <mergeCell ref="BP359:BU359"/>
    <mergeCell ref="BV359:CA359"/>
    <mergeCell ref="CB359:CE359"/>
    <mergeCell ref="CF359:CJ364"/>
    <mergeCell ref="CB364:CE364"/>
    <mergeCell ref="CK353:CO358"/>
    <mergeCell ref="CP353:CT358"/>
    <mergeCell ref="CU353:CY358"/>
    <mergeCell ref="BC354:BF354"/>
    <mergeCell ref="BG354:BH354"/>
    <mergeCell ref="BJ354:BO354"/>
    <mergeCell ref="BP354:BU354"/>
    <mergeCell ref="BV354:CA354"/>
    <mergeCell ref="CB354:CE354"/>
    <mergeCell ref="BC355:BF355"/>
    <mergeCell ref="BG355:BH355"/>
    <mergeCell ref="BJ355:BO355"/>
    <mergeCell ref="BP355:BU355"/>
    <mergeCell ref="BV355:CA355"/>
    <mergeCell ref="CB355:CE355"/>
    <mergeCell ref="BC356:BF356"/>
    <mergeCell ref="BG356:BH356"/>
    <mergeCell ref="BJ356:BO356"/>
    <mergeCell ref="BP356:BU356"/>
    <mergeCell ref="BV356:CA356"/>
    <mergeCell ref="CB356:CE356"/>
    <mergeCell ref="BC357:BF357"/>
    <mergeCell ref="BG357:BH357"/>
    <mergeCell ref="BJ357:BO357"/>
    <mergeCell ref="BP357:BU357"/>
    <mergeCell ref="BV357:CA357"/>
    <mergeCell ref="CB357:CE357"/>
    <mergeCell ref="BC358:BF358"/>
    <mergeCell ref="BG358:BH358"/>
    <mergeCell ref="BJ358:BO358"/>
    <mergeCell ref="BP358:BU358"/>
    <mergeCell ref="BV358:CA358"/>
    <mergeCell ref="A353:A358"/>
    <mergeCell ref="D353:J358"/>
    <mergeCell ref="K353:Q358"/>
    <mergeCell ref="R353:S358"/>
    <mergeCell ref="T353:U358"/>
    <mergeCell ref="V353:AC358"/>
    <mergeCell ref="AD353:AK358"/>
    <mergeCell ref="AL353:AR358"/>
    <mergeCell ref="AS353:AY358"/>
    <mergeCell ref="AZ353:BA358"/>
    <mergeCell ref="BC353:BF353"/>
    <mergeCell ref="BG353:BH353"/>
    <mergeCell ref="BJ353:BO353"/>
    <mergeCell ref="BP353:BU353"/>
    <mergeCell ref="BV353:CA353"/>
    <mergeCell ref="CB353:CE353"/>
    <mergeCell ref="CF353:CJ358"/>
    <mergeCell ref="CB358:CE358"/>
    <mergeCell ref="CK347:CO352"/>
    <mergeCell ref="CP347:CT352"/>
    <mergeCell ref="CU347:CY352"/>
    <mergeCell ref="BC348:BF348"/>
    <mergeCell ref="BG348:BH348"/>
    <mergeCell ref="BJ348:BO348"/>
    <mergeCell ref="BP348:BU348"/>
    <mergeCell ref="BV348:CA348"/>
    <mergeCell ref="CB348:CE348"/>
    <mergeCell ref="BC349:BF349"/>
    <mergeCell ref="BG349:BH349"/>
    <mergeCell ref="BJ349:BO349"/>
    <mergeCell ref="BP349:BU349"/>
    <mergeCell ref="BV349:CA349"/>
    <mergeCell ref="CB349:CE349"/>
    <mergeCell ref="BC350:BF350"/>
    <mergeCell ref="BG350:BH350"/>
    <mergeCell ref="BJ350:BO350"/>
    <mergeCell ref="BP350:BU350"/>
    <mergeCell ref="BV350:CA350"/>
    <mergeCell ref="CB350:CE350"/>
    <mergeCell ref="BC351:BF351"/>
    <mergeCell ref="BG351:BH351"/>
    <mergeCell ref="BJ351:BO351"/>
    <mergeCell ref="BP351:BU351"/>
    <mergeCell ref="BV351:CA351"/>
    <mergeCell ref="CB351:CE351"/>
    <mergeCell ref="BC352:BF352"/>
    <mergeCell ref="BG352:BH352"/>
    <mergeCell ref="BJ352:BO352"/>
    <mergeCell ref="BP352:BU352"/>
    <mergeCell ref="BV352:CA352"/>
    <mergeCell ref="A347:A352"/>
    <mergeCell ref="D347:J352"/>
    <mergeCell ref="K347:Q352"/>
    <mergeCell ref="R347:S352"/>
    <mergeCell ref="T347:U352"/>
    <mergeCell ref="V347:AC352"/>
    <mergeCell ref="AD347:AK352"/>
    <mergeCell ref="AL347:AR352"/>
    <mergeCell ref="AS347:AY352"/>
    <mergeCell ref="AZ347:BA352"/>
    <mergeCell ref="BC347:BF347"/>
    <mergeCell ref="BG347:BH347"/>
    <mergeCell ref="BJ347:BO347"/>
    <mergeCell ref="BP347:BU347"/>
    <mergeCell ref="BV347:CA347"/>
    <mergeCell ref="CB347:CE347"/>
    <mergeCell ref="CF347:CJ352"/>
    <mergeCell ref="CB352:CE352"/>
    <mergeCell ref="CK293:CO298"/>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BV297:CA297"/>
    <mergeCell ref="CB297:CE297"/>
    <mergeCell ref="BC298:BF298"/>
    <mergeCell ref="BG298:BH298"/>
    <mergeCell ref="BJ298:BO298"/>
    <mergeCell ref="BP298:BU298"/>
    <mergeCell ref="BV298:CA298"/>
    <mergeCell ref="A293:A298"/>
    <mergeCell ref="D293:J298"/>
    <mergeCell ref="K293:Q298"/>
    <mergeCell ref="R293:S298"/>
    <mergeCell ref="T293:U298"/>
    <mergeCell ref="V293:AC298"/>
    <mergeCell ref="AD293:AK298"/>
    <mergeCell ref="AL293:AR298"/>
    <mergeCell ref="AS293:AY298"/>
    <mergeCell ref="AZ293:BA298"/>
    <mergeCell ref="BC293:BF293"/>
    <mergeCell ref="BG293:BH293"/>
    <mergeCell ref="BJ293:BO293"/>
    <mergeCell ref="BP293:BU293"/>
    <mergeCell ref="BV293:CA293"/>
    <mergeCell ref="CB293:CE293"/>
    <mergeCell ref="CF293:CJ298"/>
    <mergeCell ref="CB298:CE298"/>
    <mergeCell ref="CK149:CO154"/>
    <mergeCell ref="CP149:CT154"/>
    <mergeCell ref="CU149:CY154"/>
    <mergeCell ref="BC150:BF150"/>
    <mergeCell ref="BG150:BH150"/>
    <mergeCell ref="BJ150:BO150"/>
    <mergeCell ref="BP150:BU150"/>
    <mergeCell ref="BV150:CA150"/>
    <mergeCell ref="CB150:CE150"/>
    <mergeCell ref="BC151:BF151"/>
    <mergeCell ref="BG151:BH151"/>
    <mergeCell ref="BJ151:BO151"/>
    <mergeCell ref="BP151:BU151"/>
    <mergeCell ref="BV151:CA151"/>
    <mergeCell ref="CB151:CE151"/>
    <mergeCell ref="BC152:BF152"/>
    <mergeCell ref="BG152:BH152"/>
    <mergeCell ref="BJ152:BO152"/>
    <mergeCell ref="BP152:BU152"/>
    <mergeCell ref="BV152:CA152"/>
    <mergeCell ref="CB152:CE152"/>
    <mergeCell ref="BC153:BF153"/>
    <mergeCell ref="BG153:BH153"/>
    <mergeCell ref="BJ153:BO153"/>
    <mergeCell ref="BP153:BU153"/>
    <mergeCell ref="BV153:CA153"/>
    <mergeCell ref="CB153:CE153"/>
    <mergeCell ref="BC154:BF154"/>
    <mergeCell ref="BG154:BH154"/>
    <mergeCell ref="BJ154:BO154"/>
    <mergeCell ref="BP154:BU154"/>
    <mergeCell ref="BV154:CA154"/>
    <mergeCell ref="A149:A154"/>
    <mergeCell ref="D149:J154"/>
    <mergeCell ref="K149:Q154"/>
    <mergeCell ref="R149:S154"/>
    <mergeCell ref="T149:U154"/>
    <mergeCell ref="V149:AC154"/>
    <mergeCell ref="AD149:AK154"/>
    <mergeCell ref="AL149:AR154"/>
    <mergeCell ref="AS149:AY154"/>
    <mergeCell ref="AZ149:BA154"/>
    <mergeCell ref="BC149:BF149"/>
    <mergeCell ref="BG149:BH149"/>
    <mergeCell ref="BJ149:BO149"/>
    <mergeCell ref="BP149:BU149"/>
    <mergeCell ref="BV149:CA149"/>
    <mergeCell ref="CB149:CE149"/>
    <mergeCell ref="CF149:CJ154"/>
    <mergeCell ref="CB154:CE154"/>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209:A214"/>
    <mergeCell ref="D209:J214"/>
    <mergeCell ref="K209:Q214"/>
    <mergeCell ref="R209:S214"/>
    <mergeCell ref="T209:U214"/>
    <mergeCell ref="V209:AC214"/>
    <mergeCell ref="AD209:AK214"/>
    <mergeCell ref="AL209:AR214"/>
    <mergeCell ref="AS209:AY214"/>
    <mergeCell ref="AZ209:BA214"/>
    <mergeCell ref="BC209:BF209"/>
    <mergeCell ref="BG209:BH209"/>
    <mergeCell ref="BJ209:BO209"/>
    <mergeCell ref="BP209:BU209"/>
    <mergeCell ref="BV209:CA209"/>
    <mergeCell ref="CB209:CE209"/>
    <mergeCell ref="CF209:CJ214"/>
    <mergeCell ref="CB214:CE214"/>
    <mergeCell ref="CK209:CO214"/>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3:BU213"/>
    <mergeCell ref="BV213:CA213"/>
    <mergeCell ref="CB213:CE213"/>
    <mergeCell ref="BC214:BF214"/>
    <mergeCell ref="BG214:BH214"/>
    <mergeCell ref="BJ214:BO214"/>
    <mergeCell ref="BP214:BU214"/>
    <mergeCell ref="BV214:CA214"/>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51:CE251"/>
    <mergeCell ref="CF251:CJ256"/>
    <mergeCell ref="CB256:CE256"/>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56:BO256"/>
    <mergeCell ref="BP256:BU256"/>
    <mergeCell ref="BV256:CA256"/>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57:CE257"/>
    <mergeCell ref="CF257:CJ262"/>
    <mergeCell ref="CB262:CE262"/>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62:BO262"/>
    <mergeCell ref="BP262:BU262"/>
    <mergeCell ref="BV262:CA262"/>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305:A310"/>
    <mergeCell ref="D305:J310"/>
    <mergeCell ref="K305:Q310"/>
    <mergeCell ref="R305:S310"/>
    <mergeCell ref="T305:U310"/>
    <mergeCell ref="V305:AC310"/>
    <mergeCell ref="AD305:AK310"/>
    <mergeCell ref="AL305:AR310"/>
    <mergeCell ref="AS305:AY310"/>
    <mergeCell ref="AZ305:BA310"/>
    <mergeCell ref="BC305:BF305"/>
    <mergeCell ref="BG305:BH305"/>
    <mergeCell ref="BJ305:BO305"/>
    <mergeCell ref="BP305:BU305"/>
    <mergeCell ref="BV305:CA305"/>
    <mergeCell ref="CB305:CE305"/>
    <mergeCell ref="CF305:CJ310"/>
    <mergeCell ref="CB310:CE310"/>
    <mergeCell ref="CK305:CO310"/>
    <mergeCell ref="CP305:CT310"/>
    <mergeCell ref="CU305:CY310"/>
    <mergeCell ref="BC306:BF306"/>
    <mergeCell ref="BG306:BH306"/>
    <mergeCell ref="BJ306:BO306"/>
    <mergeCell ref="BP306:BU306"/>
    <mergeCell ref="BV306:CA306"/>
    <mergeCell ref="CB306:CE306"/>
    <mergeCell ref="BC307:BF307"/>
    <mergeCell ref="BG307:BH307"/>
    <mergeCell ref="BJ307:BO307"/>
    <mergeCell ref="BP307:BU307"/>
    <mergeCell ref="BV307:CA307"/>
    <mergeCell ref="CB307:CE307"/>
    <mergeCell ref="BC308:BF308"/>
    <mergeCell ref="BG308:BH308"/>
    <mergeCell ref="BJ308:BO308"/>
    <mergeCell ref="BP308:BU308"/>
    <mergeCell ref="BV308:CA308"/>
    <mergeCell ref="CB308:CE308"/>
    <mergeCell ref="BC309:BF309"/>
    <mergeCell ref="BG309:BH309"/>
    <mergeCell ref="BJ309:BO309"/>
    <mergeCell ref="BP309:BU309"/>
    <mergeCell ref="BV309:CA309"/>
    <mergeCell ref="CB309:CE309"/>
    <mergeCell ref="BC310:BF310"/>
    <mergeCell ref="BG310:BH310"/>
    <mergeCell ref="BJ310:BO310"/>
    <mergeCell ref="BP310:BU310"/>
    <mergeCell ref="BV310:CA310"/>
    <mergeCell ref="A311:A316"/>
    <mergeCell ref="D311:J316"/>
    <mergeCell ref="K311:Q316"/>
    <mergeCell ref="R311:S316"/>
    <mergeCell ref="T311:U316"/>
    <mergeCell ref="V311:AC316"/>
    <mergeCell ref="AD311:AK316"/>
    <mergeCell ref="AL311:AR316"/>
    <mergeCell ref="AS311:AY316"/>
    <mergeCell ref="AZ311:BA316"/>
    <mergeCell ref="BC311:BF311"/>
    <mergeCell ref="BG311:BH311"/>
    <mergeCell ref="BJ311:BO311"/>
    <mergeCell ref="BP311:BU311"/>
    <mergeCell ref="BV311:CA311"/>
    <mergeCell ref="CB311:CE311"/>
    <mergeCell ref="CF311:CJ316"/>
    <mergeCell ref="CB316:CE316"/>
    <mergeCell ref="CK311:CO316"/>
    <mergeCell ref="CP311:CT316"/>
    <mergeCell ref="CU311:CY316"/>
    <mergeCell ref="BC312:BF312"/>
    <mergeCell ref="BG312:BH312"/>
    <mergeCell ref="BJ312:BO312"/>
    <mergeCell ref="BP312:BU312"/>
    <mergeCell ref="BV312:CA312"/>
    <mergeCell ref="CB312:CE312"/>
    <mergeCell ref="BC313:BF313"/>
    <mergeCell ref="BG313:BH313"/>
    <mergeCell ref="BJ313:BO313"/>
    <mergeCell ref="BP313:BU313"/>
    <mergeCell ref="BV313:CA313"/>
    <mergeCell ref="CB313:CE313"/>
    <mergeCell ref="BC314:BF314"/>
    <mergeCell ref="BG314:BH314"/>
    <mergeCell ref="BJ314:BO314"/>
    <mergeCell ref="BP314:BU314"/>
    <mergeCell ref="BV314:CA314"/>
    <mergeCell ref="CB314:CE314"/>
    <mergeCell ref="BC315:BF315"/>
    <mergeCell ref="BG315:BH315"/>
    <mergeCell ref="BJ315:BO315"/>
    <mergeCell ref="BP315:BU315"/>
    <mergeCell ref="BV315:CA315"/>
    <mergeCell ref="CB315:CE315"/>
    <mergeCell ref="BC316:BF316"/>
    <mergeCell ref="BG316:BH316"/>
    <mergeCell ref="BJ316:BO316"/>
    <mergeCell ref="BP316:BU316"/>
    <mergeCell ref="BV316:CA316"/>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113:A118"/>
    <mergeCell ref="D113:J118"/>
    <mergeCell ref="K113:Q118"/>
    <mergeCell ref="R113:S118"/>
    <mergeCell ref="T113:U118"/>
    <mergeCell ref="V113:AC118"/>
    <mergeCell ref="AD113:AK118"/>
    <mergeCell ref="AL113:AR118"/>
    <mergeCell ref="AS113:AY118"/>
    <mergeCell ref="AZ113:BA118"/>
    <mergeCell ref="BC113:BF113"/>
    <mergeCell ref="BG113:BH113"/>
    <mergeCell ref="BJ113:BO113"/>
    <mergeCell ref="BP113:BU113"/>
    <mergeCell ref="BV113:CA113"/>
    <mergeCell ref="CB113:CE113"/>
    <mergeCell ref="CF113:CJ118"/>
    <mergeCell ref="CB118:CE118"/>
    <mergeCell ref="CK113:CO118"/>
    <mergeCell ref="CP113:CT118"/>
    <mergeCell ref="CU113:CY118"/>
    <mergeCell ref="BC114:BF114"/>
    <mergeCell ref="BG114:BH114"/>
    <mergeCell ref="BJ114:BO114"/>
    <mergeCell ref="BP114:BU114"/>
    <mergeCell ref="BV114:CA114"/>
    <mergeCell ref="CB114:CE114"/>
    <mergeCell ref="BC115:BF115"/>
    <mergeCell ref="BG115:BH115"/>
    <mergeCell ref="BJ115:BO115"/>
    <mergeCell ref="BP115:BU115"/>
    <mergeCell ref="BV115:CA115"/>
    <mergeCell ref="CB115:CE115"/>
    <mergeCell ref="BC116:BF116"/>
    <mergeCell ref="BG116:BH116"/>
    <mergeCell ref="BJ116:BO116"/>
    <mergeCell ref="BP116:BU116"/>
    <mergeCell ref="BV116:CA116"/>
    <mergeCell ref="CB116:CE116"/>
    <mergeCell ref="BC117:BF117"/>
    <mergeCell ref="BG117:BH117"/>
    <mergeCell ref="BJ117:BO117"/>
    <mergeCell ref="BP117:BU117"/>
    <mergeCell ref="BV117:CA117"/>
    <mergeCell ref="CB117:CE117"/>
    <mergeCell ref="BC118:BF118"/>
    <mergeCell ref="BG118:BH118"/>
    <mergeCell ref="BJ118:BO118"/>
    <mergeCell ref="BP118:BU118"/>
    <mergeCell ref="BV118:CA118"/>
    <mergeCell ref="A107:A112"/>
    <mergeCell ref="D107:J112"/>
    <mergeCell ref="K107:Q112"/>
    <mergeCell ref="R107:S112"/>
    <mergeCell ref="T107:U112"/>
    <mergeCell ref="V107:AC112"/>
    <mergeCell ref="AD107:AK112"/>
    <mergeCell ref="AL107:AR112"/>
    <mergeCell ref="AS107:AY112"/>
    <mergeCell ref="AZ107:BA112"/>
    <mergeCell ref="BC107:BF107"/>
    <mergeCell ref="BG107:BH107"/>
    <mergeCell ref="BJ107:BO107"/>
    <mergeCell ref="BP107:BU107"/>
    <mergeCell ref="BV107:CA107"/>
    <mergeCell ref="CB107:CE107"/>
    <mergeCell ref="CF107:CJ112"/>
    <mergeCell ref="CB112:CE112"/>
    <mergeCell ref="CK107:CO112"/>
    <mergeCell ref="CP107:CT112"/>
    <mergeCell ref="CU107:CY112"/>
    <mergeCell ref="BC108:BF108"/>
    <mergeCell ref="BG108:BH108"/>
    <mergeCell ref="BJ108:BO108"/>
    <mergeCell ref="BP108:BU108"/>
    <mergeCell ref="BV108:CA108"/>
    <mergeCell ref="CB108:CE108"/>
    <mergeCell ref="BC109:BF109"/>
    <mergeCell ref="BG109:BH109"/>
    <mergeCell ref="BJ109:BO109"/>
    <mergeCell ref="BP109:BU109"/>
    <mergeCell ref="BV109:CA109"/>
    <mergeCell ref="CB109:CE109"/>
    <mergeCell ref="BC110:BF110"/>
    <mergeCell ref="BG110:BH110"/>
    <mergeCell ref="BJ110:BO110"/>
    <mergeCell ref="BP110:BU110"/>
    <mergeCell ref="BV110:CA110"/>
    <mergeCell ref="CB110:CE110"/>
    <mergeCell ref="BC111:BF111"/>
    <mergeCell ref="BG111:BH111"/>
    <mergeCell ref="BJ111:BO111"/>
    <mergeCell ref="BP111:BU111"/>
    <mergeCell ref="BV111:CA111"/>
    <mergeCell ref="CB111:CE111"/>
    <mergeCell ref="BC112:BF112"/>
    <mergeCell ref="BG112:BH112"/>
    <mergeCell ref="BJ112:BO112"/>
    <mergeCell ref="BP112:BU112"/>
    <mergeCell ref="BV112:CA112"/>
    <mergeCell ref="A71:A76"/>
    <mergeCell ref="D71:J76"/>
    <mergeCell ref="K71:Q76"/>
    <mergeCell ref="R71:S76"/>
    <mergeCell ref="T71:U76"/>
    <mergeCell ref="V71:AC76"/>
    <mergeCell ref="AD71:AK76"/>
    <mergeCell ref="AL71:AR76"/>
    <mergeCell ref="AS71:AY76"/>
    <mergeCell ref="AZ71:BA76"/>
    <mergeCell ref="BC71:BF71"/>
    <mergeCell ref="BG71:BH71"/>
    <mergeCell ref="BJ71:BO71"/>
    <mergeCell ref="BP71:BU71"/>
    <mergeCell ref="BV71:CA71"/>
    <mergeCell ref="CB71:CE71"/>
    <mergeCell ref="CF71:CJ76"/>
    <mergeCell ref="CB76:CE76"/>
    <mergeCell ref="CK71:CO76"/>
    <mergeCell ref="CP71:CT76"/>
    <mergeCell ref="CU71:CY76"/>
    <mergeCell ref="BC72:BF72"/>
    <mergeCell ref="BG72:BH72"/>
    <mergeCell ref="BJ72:BO72"/>
    <mergeCell ref="BP72:BU72"/>
    <mergeCell ref="BV72:CA72"/>
    <mergeCell ref="CB72:CE72"/>
    <mergeCell ref="BC73:BF73"/>
    <mergeCell ref="BG73:BH73"/>
    <mergeCell ref="BJ73:BO73"/>
    <mergeCell ref="BP73:BU73"/>
    <mergeCell ref="BV73:CA73"/>
    <mergeCell ref="CB73:CE73"/>
    <mergeCell ref="BC74:BF74"/>
    <mergeCell ref="BG74:BH74"/>
    <mergeCell ref="BJ74:BO74"/>
    <mergeCell ref="BP74:BU74"/>
    <mergeCell ref="BV74:CA74"/>
    <mergeCell ref="CB74:CE74"/>
    <mergeCell ref="BC75:BF75"/>
    <mergeCell ref="BG75:BH75"/>
    <mergeCell ref="BJ75:BO75"/>
    <mergeCell ref="BP75:BU75"/>
    <mergeCell ref="BV75:CA75"/>
    <mergeCell ref="CB75:CE75"/>
    <mergeCell ref="BC76:BF76"/>
    <mergeCell ref="BG76:BH76"/>
    <mergeCell ref="BJ76:BO76"/>
    <mergeCell ref="BP76:BU76"/>
    <mergeCell ref="BV76:CA76"/>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CB287:CE287"/>
    <mergeCell ref="CF287:CJ292"/>
    <mergeCell ref="CB292:CE292"/>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BG292:BH292"/>
    <mergeCell ref="BJ292:BO292"/>
    <mergeCell ref="BP292:BU292"/>
    <mergeCell ref="BV292:CA292"/>
    <mergeCell ref="A299:A304"/>
    <mergeCell ref="D299:J304"/>
    <mergeCell ref="K299:Q304"/>
    <mergeCell ref="R299:S304"/>
    <mergeCell ref="T299:U304"/>
    <mergeCell ref="V299:AC304"/>
    <mergeCell ref="AD299:AK304"/>
    <mergeCell ref="AL299:AR304"/>
    <mergeCell ref="AS299:AY304"/>
    <mergeCell ref="AZ299:BA304"/>
    <mergeCell ref="BC299:BF299"/>
    <mergeCell ref="BG299:BH299"/>
    <mergeCell ref="BJ299:BO299"/>
    <mergeCell ref="BP299:BU299"/>
    <mergeCell ref="BV299:CA299"/>
    <mergeCell ref="CB299:CE299"/>
    <mergeCell ref="CF299:CJ304"/>
    <mergeCell ref="CB304:CE304"/>
    <mergeCell ref="CK299:CO304"/>
    <mergeCell ref="CP299:CT304"/>
    <mergeCell ref="CU299:CY304"/>
    <mergeCell ref="BC300:BF300"/>
    <mergeCell ref="BG300:BH300"/>
    <mergeCell ref="BJ300:BO300"/>
    <mergeCell ref="BP300:BU300"/>
    <mergeCell ref="BV300:CA300"/>
    <mergeCell ref="CB300:CE300"/>
    <mergeCell ref="BC301:BF301"/>
    <mergeCell ref="BG301:BH301"/>
    <mergeCell ref="BJ301:BO301"/>
    <mergeCell ref="BP301:BU301"/>
    <mergeCell ref="BV301:CA301"/>
    <mergeCell ref="CB301:CE301"/>
    <mergeCell ref="BC302:BF302"/>
    <mergeCell ref="BG302:BH302"/>
    <mergeCell ref="BJ302:BO302"/>
    <mergeCell ref="BP302:BU302"/>
    <mergeCell ref="BV302:CA302"/>
    <mergeCell ref="CB302:CE302"/>
    <mergeCell ref="BC303:BF303"/>
    <mergeCell ref="BG303:BH303"/>
    <mergeCell ref="BJ303:BO303"/>
    <mergeCell ref="BP303:BU303"/>
    <mergeCell ref="BV303:CA303"/>
    <mergeCell ref="CB303:CE303"/>
    <mergeCell ref="BC304:BF304"/>
    <mergeCell ref="BG304:BH304"/>
    <mergeCell ref="BJ304:BO304"/>
    <mergeCell ref="BP304:BU304"/>
    <mergeCell ref="BV304:CA304"/>
    <mergeCell ref="A215:A220"/>
    <mergeCell ref="D215:J220"/>
    <mergeCell ref="K215:Q220"/>
    <mergeCell ref="R215:S220"/>
    <mergeCell ref="T215:U220"/>
    <mergeCell ref="V215:AC220"/>
    <mergeCell ref="AD215:AK220"/>
    <mergeCell ref="AL215:AR220"/>
    <mergeCell ref="AS215:AY220"/>
    <mergeCell ref="AZ215:BA220"/>
    <mergeCell ref="BC215:BF215"/>
    <mergeCell ref="BG215:BH215"/>
    <mergeCell ref="BJ215:BO215"/>
    <mergeCell ref="BP215:BU215"/>
    <mergeCell ref="BV215:CA215"/>
    <mergeCell ref="CB215:CE215"/>
    <mergeCell ref="CF215:CJ220"/>
    <mergeCell ref="CB220:CE220"/>
    <mergeCell ref="CK215:CO220"/>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19:BU219"/>
    <mergeCell ref="BV219:CA219"/>
    <mergeCell ref="CB219:CE219"/>
    <mergeCell ref="BC220:BF220"/>
    <mergeCell ref="BG220:BH220"/>
    <mergeCell ref="BJ220:BO220"/>
    <mergeCell ref="BP220:BU220"/>
    <mergeCell ref="BV220:CA220"/>
  </mergeCells>
  <phoneticPr fontId="3"/>
  <conditionalFormatting sqref="BP11:BU370">
    <cfRule type="expression" dxfId="19" priority="5">
      <formula>AND($BP11="",OR($BJ11&lt;&gt;"",$BV11&lt;&gt;""))</formula>
    </cfRule>
  </conditionalFormatting>
  <conditionalFormatting sqref="BJ11:BO370">
    <cfRule type="expression" dxfId="18" priority="4">
      <formula>AND($BJ11="",OR($BP11&lt;&gt;"",$BV11&lt;&gt;""))</formula>
    </cfRule>
  </conditionalFormatting>
  <conditionalFormatting sqref="BG11:BH370">
    <cfRule type="expression" dxfId="17" priority="3">
      <formula>AND($BG11="○", OR($BI11&lt;&gt;"", $BJ11&lt;&gt;"", $BP11&lt;&gt;"", $BV11&lt;&gt;""))</formula>
    </cfRule>
  </conditionalFormatting>
  <conditionalFormatting sqref="B11:C370 BB11:CE370">
    <cfRule type="expression" dxfId="16" priority="2" stopIfTrue="1">
      <formula>OFFSET($R11,-($BB11-1),0)="x"</formula>
    </cfRule>
  </conditionalFormatting>
  <conditionalFormatting sqref="A11:CY370">
    <cfRule type="expression" dxfId="15" priority="1" stopIfTrue="1">
      <formula>$R11="x"</formula>
    </cfRule>
  </conditionalFormatting>
  <dataValidations count="7">
    <dataValidation type="list" allowBlank="1" showInputMessage="1" showErrorMessage="1" sqref="R11:S370" xr:uid="{00000000-0002-0000-0600-000000000000}">
      <formula1>"x"</formula1>
    </dataValidation>
    <dataValidation type="date" allowBlank="1" showInputMessage="1" showErrorMessage="1" sqref="CB11:CE370 BC11:BF370" xr:uid="{00000000-0002-0000-0600-000001000000}">
      <formula1>36526</formula1>
      <formula2>2958465</formula2>
    </dataValidation>
    <dataValidation type="whole" operator="greaterThanOrEqual" allowBlank="1" showInputMessage="1" showErrorMessage="1" sqref="BB11:BB370 A11:A370"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70" xr:uid="{00000000-0002-0000-0600-000003000000}">
      <formula1>40</formula1>
    </dataValidation>
    <dataValidation type="list" allowBlank="1" showInputMessage="1" showErrorMessage="1" sqref="BI11:BI370" xr:uid="{00000000-0002-0000-0600-000004000000}">
      <formula1>INDIRECT(工程リスト範囲)</formula1>
    </dataValidation>
    <dataValidation type="list" allowBlank="1" showInputMessage="1" showErrorMessage="1" sqref="T11:U370" xr:uid="{00000000-0002-0000-0600-000005000000}">
      <formula1>"正常,異常"</formula1>
    </dataValidation>
    <dataValidation type="list" allowBlank="1" showInputMessage="1" showErrorMessage="1" sqref="BG11:BG370" xr:uid="{00000000-0002-0000-0600-000006000000}">
      <formula1>"○,×"</formula1>
    </dataValidation>
  </dataValidations>
  <hyperlinks>
    <hyperlink ref="AL113" r:id="rId1" xr:uid="{F5747552-9684-49D3-8E11-5BA820DFDD71}"/>
    <hyperlink ref="AL107" r:id="rId2" xr:uid="{D71AD501-A08F-44A8-8601-4AF8AA8D5694}"/>
    <hyperlink ref="AL221" r:id="rId3" display="\\j2sde081\d$DEV\temp\NSBA1301_x000a__x000a_" xr:uid="{58349DC3-8F23-4045-B08E-C237F11D06A6}"/>
    <hyperlink ref="AL209" r:id="rId4" display="\\j2sde081\d$dev\temp" xr:uid="{AE644A71-2B27-4A81-BE7E-5C07DC7255C7}"/>
    <hyperlink ref="AL215" r:id="rId5" display="\\j2sde081\d$dev\temp" xr:uid="{AA5FD096-9259-4B1B-8AC8-7C40E4996748}"/>
    <hyperlink ref="AL95" r:id="rId6" display="\\j2sde081\d$\DEV\log\YYMMDD\CMNA555S010.NSBA1301.YYYYMMDDhhmmssSSS.log" xr:uid="{E36AB332-F62F-434D-BCD0-89F1AB5B4951}"/>
    <hyperlink ref="AL35" r:id="rId7" display="\\j2sde081\d$\DEV\log\YYMMDD\CMNA555S010.SMKA0501CII.YYYYMMDDhhmmssSSS.log" xr:uid="{02101719-802D-4800-83D3-95B418D638E8}"/>
    <hyperlink ref="AL41" r:id="rId8" display="\\j2sde081\d$\DEV\log\YYMMDD\CMNA555S010.SMKA0501CII.YYYYMMDDhhmmssSSS.log" xr:uid="{E278CE3C-01DE-4B02-BF7E-134B4FF92BC0}"/>
    <hyperlink ref="AL53" r:id="rId9" display="\\j2sde081\d$\DEV\log\YYMMDD\CMNA555S010.SMKA0501CII.YYYYMMDDhhmmssSSS.log" xr:uid="{30028D46-C559-4848-8B1E-8A02599FAB94}"/>
    <hyperlink ref="AL59" r:id="rId10" display="\\j2sde081\d$\DEV\log\YYMMDD\CMNA555S010.SMKA0501.YYYYMMDDhhmmssSSS.log" xr:uid="{C75120AA-CB97-4849-8E4C-6EBBADFD5843}"/>
    <hyperlink ref="AL65" r:id="rId11" display="\\j2sde081\d$\DEV\log\YYMMDD\CMNA555S010.SMKA0501.YYYYMMDDhhmmssSSS.log" xr:uid="{5FE3FA7B-BFB3-4ED3-8209-563EE42F363B}"/>
    <hyperlink ref="AL47" r:id="rId12" display="\\j2sde081\d$\DEV\log\YYMMDD\CMNA555S010.SMKA0501.YYYYMMDDhhmmssSSS.log" xr:uid="{30AD15F6-49D9-42B7-864E-DFD74D199B95}"/>
    <hyperlink ref="AL71" r:id="rId13" display="\\j2sde081\d$\DEV\log\YYMMDD\CMNA555S010.SMKA0501Cii.YYYYMMDDhhmmssSSS.log" xr:uid="{7807BF27-C589-4D87-87CC-C41E5065D12C}"/>
    <hyperlink ref="AL101" r:id="rId14" display="\\j2sde081\d$\DEV\log\YYMMDD\CMNA555S010.NSBA1301.YYYYMMDDhhmmssSSS.log" xr:uid="{95B1B2C4-175D-4103-9E4B-849210CA394C}"/>
    <hyperlink ref="AL227" r:id="rId15" display="\\j2sde081\d$DEV\temp\NSBA1301_x000a__x000a_" xr:uid="{6BDA0AEE-866E-4816-8B03-B96E668AEAA7}"/>
    <hyperlink ref="AL29" r:id="rId16" display="\\j2sde081\d$\DEV\log\YYMMDD\CMNA555S010.SMKA0501.YYYYMMDDhhmmssSSS.log" xr:uid="{12EA3B31-BF83-424B-B0BC-AD73FAA9F242}"/>
  </hyperlinks>
  <pageMargins left="0.43307086614173229" right="0.35433070866141736" top="0.39370078740157483" bottom="0.55118110236220474" header="0.43307086614173229" footer="0.39370078740157483"/>
  <pageSetup paperSize="9" scale="38" orientation="landscape" r:id="rId17"/>
  <headerFooter>
    <oddFooter>&amp;L&amp;"Meiryo UI,標準"FUJITSU CONFIDENTIAL&amp;R&amp;"Meiryo UI,標準"All Rights Reserved, Copyright (C) 富士通株式会社 2017</oddFooter>
  </headerFooter>
  <legacyDrawing r:id="rId1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75"/>
  <cols>
    <col min="1" max="16384" width="9" style="131"/>
  </cols>
  <sheetData>
    <row r="1" spans="1:1">
      <c r="A1" s="131" t="s">
        <v>152</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85" zoomScaleNormal="70" zoomScaleSheetLayoutView="85" zoomScalePageLayoutView="70" workbookViewId="0">
      <pane ySplit="10" topLeftCell="A13" activePane="bottomLeft" state="frozen"/>
      <selection pane="bottomLeft" sqref="A1:M4"/>
      <selection sqref="A1:M4"/>
    </sheetView>
  </sheetViews>
  <sheetFormatPr defaultColWidth="3.7109375" defaultRowHeight="14.25"/>
  <cols>
    <col min="1" max="1" width="5.7109375" style="31" customWidth="1"/>
    <col min="2" max="3" width="3.7109375" style="31" hidden="1" customWidth="1"/>
    <col min="4" max="17" width="3.7109375" style="29"/>
    <col min="18" max="19" width="3.7109375" style="29" customWidth="1"/>
    <col min="20" max="60" width="3.7109375" style="29"/>
    <col min="61" max="61" width="6.85546875" style="29" customWidth="1"/>
    <col min="62" max="62" width="3.28515625" style="29" customWidth="1"/>
    <col min="63" max="98" width="3.7109375" style="29"/>
    <col min="99" max="99" width="3.7109375" style="29" customWidth="1"/>
    <col min="100" max="107" width="3.7109375" style="29"/>
    <col min="108" max="147" width="10.85546875" style="29" hidden="1" customWidth="1"/>
    <col min="148" max="149" width="3.7109375" style="29" customWidth="1"/>
    <col min="150" max="159" width="10.85546875" style="29" hidden="1" customWidth="1"/>
    <col min="160" max="16384" width="3.7109375" style="29"/>
  </cols>
  <sheetData>
    <row r="1" spans="1:159" s="32" customFormat="1" ht="19.5">
      <c r="A1" s="606" t="s">
        <v>332</v>
      </c>
      <c r="B1" s="606"/>
      <c r="C1" s="606"/>
      <c r="D1" s="606"/>
      <c r="E1" s="606"/>
      <c r="F1" s="606"/>
      <c r="G1" s="606"/>
      <c r="H1" s="606"/>
      <c r="I1" s="606"/>
      <c r="J1" s="606"/>
      <c r="K1" s="606"/>
      <c r="L1" s="606"/>
      <c r="M1" s="606"/>
      <c r="N1" s="607" t="s">
        <v>154</v>
      </c>
      <c r="O1" s="608"/>
      <c r="P1" s="608"/>
      <c r="Q1" s="608"/>
      <c r="R1" s="608"/>
      <c r="S1" s="608"/>
      <c r="T1" s="608"/>
      <c r="U1" s="608"/>
      <c r="V1" s="608"/>
      <c r="W1" s="608"/>
      <c r="X1" s="608"/>
      <c r="Y1" s="608"/>
      <c r="Z1" s="608"/>
      <c r="AA1" s="608"/>
      <c r="AB1" s="608"/>
      <c r="AC1" s="608"/>
      <c r="AD1" s="608"/>
      <c r="AE1" s="608"/>
      <c r="AF1" s="608"/>
      <c r="AG1" s="608"/>
      <c r="AH1" s="608"/>
      <c r="AI1" s="608"/>
      <c r="AJ1" s="608"/>
      <c r="AK1" s="608"/>
      <c r="AL1" s="608"/>
      <c r="AM1" s="608"/>
      <c r="AN1" s="608"/>
      <c r="AO1" s="608"/>
      <c r="AP1" s="609" t="str">
        <f>表紙!B6</f>
        <v>サブシステム名</v>
      </c>
      <c r="AQ1" s="610"/>
      <c r="AR1" s="610"/>
      <c r="AS1" s="610"/>
      <c r="AT1" s="611"/>
      <c r="AU1" s="610"/>
      <c r="AV1" s="610"/>
      <c r="AW1" s="610"/>
      <c r="AX1" s="610"/>
      <c r="AY1" s="610"/>
      <c r="AZ1" s="609" t="str">
        <f>表紙!B7</f>
        <v>業務プロセス名</v>
      </c>
      <c r="BA1" s="610"/>
      <c r="BB1" s="610"/>
      <c r="BC1" s="610"/>
      <c r="BD1" s="610"/>
      <c r="BE1" s="610"/>
      <c r="BF1" s="610"/>
      <c r="BG1" s="610"/>
      <c r="BH1" s="610"/>
      <c r="BI1" s="71"/>
    </row>
    <row r="2" spans="1:159" s="32" customFormat="1" ht="24" customHeight="1">
      <c r="A2" s="606"/>
      <c r="B2" s="606"/>
      <c r="C2" s="606"/>
      <c r="D2" s="606"/>
      <c r="E2" s="606"/>
      <c r="F2" s="606"/>
      <c r="G2" s="606"/>
      <c r="H2" s="606"/>
      <c r="I2" s="606"/>
      <c r="J2" s="606"/>
      <c r="K2" s="606"/>
      <c r="L2" s="606"/>
      <c r="M2" s="606"/>
      <c r="N2" s="608"/>
      <c r="O2" s="608"/>
      <c r="P2" s="608"/>
      <c r="Q2" s="608"/>
      <c r="R2" s="608"/>
      <c r="S2" s="608"/>
      <c r="T2" s="608"/>
      <c r="U2" s="608"/>
      <c r="V2" s="608"/>
      <c r="W2" s="608"/>
      <c r="X2" s="608"/>
      <c r="Y2" s="608"/>
      <c r="Z2" s="608"/>
      <c r="AA2" s="608"/>
      <c r="AB2" s="608"/>
      <c r="AC2" s="608"/>
      <c r="AD2" s="608"/>
      <c r="AE2" s="608"/>
      <c r="AF2" s="608"/>
      <c r="AG2" s="608"/>
      <c r="AH2" s="608"/>
      <c r="AI2" s="608"/>
      <c r="AJ2" s="608"/>
      <c r="AK2" s="608"/>
      <c r="AL2" s="608"/>
      <c r="AM2" s="608"/>
      <c r="AN2" s="608"/>
      <c r="AO2" s="608"/>
      <c r="AP2" s="612" t="str">
        <f>IF(表紙!I6="","",表紙!I6)</f>
        <v>EDI</v>
      </c>
      <c r="AQ2" s="612"/>
      <c r="AR2" s="612"/>
      <c r="AS2" s="612"/>
      <c r="AT2" s="612"/>
      <c r="AU2" s="612"/>
      <c r="AV2" s="612"/>
      <c r="AW2" s="612"/>
      <c r="AX2" s="612"/>
      <c r="AY2" s="612"/>
      <c r="AZ2" s="612" t="str">
        <f>IF(表紙!I7="","",表紙!I7)</f>
        <v>SPT</v>
      </c>
      <c r="BA2" s="612"/>
      <c r="BB2" s="612"/>
      <c r="BC2" s="612"/>
      <c r="BD2" s="612"/>
      <c r="BE2" s="612"/>
      <c r="BF2" s="612"/>
      <c r="BG2" s="612"/>
      <c r="BH2" s="612"/>
      <c r="BI2" s="72"/>
      <c r="CN2" s="561" t="s">
        <v>155</v>
      </c>
      <c r="CO2" s="562"/>
      <c r="CP2" s="562"/>
      <c r="CQ2" s="563"/>
      <c r="CR2" s="588">
        <f ca="1">COUNTIFS(INDIRECT("$K11:$K"&amp;ROW(テスト項目定義書_最終行)),"&lt;&gt;",INDIRECT("$R11:$R"&amp;ROW(テスト項目定義書_最終行)),"&lt;&gt;x")</f>
        <v>0</v>
      </c>
      <c r="CS2" s="589"/>
      <c r="CT2" s="561" t="s">
        <v>156</v>
      </c>
      <c r="CU2" s="562"/>
      <c r="CV2" s="562"/>
      <c r="CW2" s="563"/>
      <c r="CX2" s="588">
        <f ca="1">COUNTIFS(INDIRECT("$C11:$C"&amp;ROW(テスト項目定義書_最終行)),"=●",INDIRECT("$BG11:$BG"&amp;ROW(テスト項目定義書_最終行)),"=○")</f>
        <v>0</v>
      </c>
      <c r="CY2" s="589"/>
    </row>
    <row r="3" spans="1:159" s="32" customFormat="1" ht="19.5" customHeight="1">
      <c r="A3" s="606"/>
      <c r="B3" s="606"/>
      <c r="C3" s="606"/>
      <c r="D3" s="606"/>
      <c r="E3" s="606"/>
      <c r="F3" s="606"/>
      <c r="G3" s="606"/>
      <c r="H3" s="606"/>
      <c r="I3" s="606"/>
      <c r="J3" s="606"/>
      <c r="K3" s="606"/>
      <c r="L3" s="606"/>
      <c r="M3" s="606"/>
      <c r="N3" s="608"/>
      <c r="O3" s="608"/>
      <c r="P3" s="608"/>
      <c r="Q3" s="608"/>
      <c r="R3" s="608"/>
      <c r="S3" s="608"/>
      <c r="T3" s="608"/>
      <c r="U3" s="608"/>
      <c r="V3" s="608"/>
      <c r="W3" s="608"/>
      <c r="X3" s="608"/>
      <c r="Y3" s="608"/>
      <c r="Z3" s="608"/>
      <c r="AA3" s="608"/>
      <c r="AB3" s="608"/>
      <c r="AC3" s="608"/>
      <c r="AD3" s="608"/>
      <c r="AE3" s="608"/>
      <c r="AF3" s="608"/>
      <c r="AG3" s="608"/>
      <c r="AH3" s="608"/>
      <c r="AI3" s="608"/>
      <c r="AJ3" s="608"/>
      <c r="AK3" s="608"/>
      <c r="AL3" s="608"/>
      <c r="AM3" s="608"/>
      <c r="AN3" s="608"/>
      <c r="AO3" s="608"/>
      <c r="AP3" s="612"/>
      <c r="AQ3" s="612"/>
      <c r="AR3" s="612"/>
      <c r="AS3" s="612"/>
      <c r="AT3" s="612"/>
      <c r="AU3" s="612"/>
      <c r="AV3" s="612"/>
      <c r="AW3" s="612"/>
      <c r="AX3" s="612"/>
      <c r="AY3" s="612"/>
      <c r="AZ3" s="612"/>
      <c r="BA3" s="612"/>
      <c r="BB3" s="612"/>
      <c r="BC3" s="612"/>
      <c r="BD3" s="612"/>
      <c r="BE3" s="612"/>
      <c r="BF3" s="612"/>
      <c r="BG3" s="612"/>
      <c r="BH3" s="612"/>
      <c r="BI3" s="72"/>
    </row>
    <row r="4" spans="1:159" s="32" customFormat="1" ht="9.75" customHeight="1">
      <c r="A4" s="606"/>
      <c r="B4" s="606"/>
      <c r="C4" s="606"/>
      <c r="D4" s="606"/>
      <c r="E4" s="606"/>
      <c r="F4" s="606"/>
      <c r="G4" s="606"/>
      <c r="H4" s="606"/>
      <c r="I4" s="606"/>
      <c r="J4" s="606"/>
      <c r="K4" s="606"/>
      <c r="L4" s="606"/>
      <c r="M4" s="606"/>
      <c r="N4" s="608"/>
      <c r="O4" s="608"/>
      <c r="P4" s="608"/>
      <c r="Q4" s="608"/>
      <c r="R4" s="608"/>
      <c r="S4" s="608"/>
      <c r="T4" s="608"/>
      <c r="U4" s="608"/>
      <c r="V4" s="608"/>
      <c r="W4" s="608"/>
      <c r="X4" s="608"/>
      <c r="Y4" s="608"/>
      <c r="Z4" s="608"/>
      <c r="AA4" s="608"/>
      <c r="AB4" s="608"/>
      <c r="AC4" s="608"/>
      <c r="AD4" s="608"/>
      <c r="AE4" s="608"/>
      <c r="AF4" s="608"/>
      <c r="AG4" s="608"/>
      <c r="AH4" s="608"/>
      <c r="AI4" s="608"/>
      <c r="AJ4" s="608"/>
      <c r="AK4" s="608"/>
      <c r="AL4" s="608"/>
      <c r="AM4" s="608"/>
      <c r="AN4" s="608"/>
      <c r="AO4" s="608"/>
      <c r="AP4" s="612"/>
      <c r="AQ4" s="612"/>
      <c r="AR4" s="612"/>
      <c r="AS4" s="612"/>
      <c r="AT4" s="612"/>
      <c r="AU4" s="612"/>
      <c r="AV4" s="612"/>
      <c r="AW4" s="612"/>
      <c r="AX4" s="612"/>
      <c r="AY4" s="612"/>
      <c r="AZ4" s="612"/>
      <c r="BA4" s="612"/>
      <c r="BB4" s="612"/>
      <c r="BC4" s="612"/>
      <c r="BD4" s="612"/>
      <c r="BE4" s="612"/>
      <c r="BF4" s="612"/>
      <c r="BG4" s="612"/>
      <c r="BH4" s="612"/>
      <c r="BI4" s="72"/>
    </row>
    <row r="5" spans="1:159" ht="7.5" customHeight="1">
      <c r="A5" s="29"/>
      <c r="B5" s="603"/>
      <c r="C5" s="603"/>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04"/>
      <c r="BA5" s="604"/>
      <c r="BB5" s="604"/>
      <c r="BC5" s="604"/>
      <c r="BD5" s="168"/>
      <c r="BE5" s="168"/>
      <c r="BF5" s="168"/>
      <c r="BG5" s="605"/>
      <c r="BH5" s="605"/>
      <c r="BI5" s="605"/>
      <c r="BJ5" s="605"/>
      <c r="BK5" s="605"/>
      <c r="BL5" s="605"/>
      <c r="BM5" s="605"/>
      <c r="BN5" s="605"/>
      <c r="BO5" s="605"/>
      <c r="BP5" s="605"/>
      <c r="BQ5" s="203"/>
      <c r="BR5" s="203"/>
      <c r="BS5" s="203"/>
    </row>
    <row r="6" spans="1:159" s="30" customFormat="1" ht="24" customHeight="1">
      <c r="A6" s="561" t="str">
        <f>表紙!B8</f>
        <v>プロセス名</v>
      </c>
      <c r="B6" s="583"/>
      <c r="C6" s="583"/>
      <c r="D6" s="583"/>
      <c r="E6" s="583"/>
      <c r="F6" s="583"/>
      <c r="G6" s="583"/>
      <c r="H6" s="584"/>
      <c r="I6" s="597" t="str">
        <f>IF(表紙!I8="","",表紙!I8)</f>
        <v>SPT_発注</v>
      </c>
      <c r="J6" s="598"/>
      <c r="K6" s="598"/>
      <c r="L6" s="598"/>
      <c r="M6" s="598"/>
      <c r="N6" s="598"/>
      <c r="O6" s="598"/>
      <c r="P6" s="598"/>
      <c r="Q6" s="598"/>
      <c r="R6" s="598"/>
      <c r="S6" s="599"/>
      <c r="T6" s="561" t="str">
        <f>表紙!B9</f>
        <v>ジョブ名</v>
      </c>
      <c r="U6" s="583"/>
      <c r="V6" s="583"/>
      <c r="W6" s="583"/>
      <c r="X6" s="583"/>
      <c r="Y6" s="584"/>
      <c r="Z6" s="597" t="str">
        <f>IF(表紙!I9="","",表紙!I9)</f>
        <v>CMNA555S010</v>
      </c>
      <c r="AA6" s="598"/>
      <c r="AB6" s="598"/>
      <c r="AC6" s="598"/>
      <c r="AD6" s="598"/>
      <c r="AE6" s="598"/>
      <c r="AF6" s="598"/>
      <c r="AG6" s="598"/>
      <c r="AH6" s="598"/>
      <c r="AI6" s="598"/>
      <c r="AJ6" s="598"/>
      <c r="AK6" s="599"/>
      <c r="AL6" s="582" t="s">
        <v>157</v>
      </c>
      <c r="AM6" s="583"/>
      <c r="AN6" s="583"/>
      <c r="AO6" s="583"/>
      <c r="AP6" s="583"/>
      <c r="AQ6" s="583"/>
      <c r="AR6" s="583"/>
      <c r="AS6" s="600"/>
      <c r="AT6" s="601"/>
      <c r="AU6" s="601"/>
      <c r="AV6" s="601"/>
      <c r="AW6" s="601"/>
      <c r="AX6" s="601"/>
      <c r="AY6" s="601"/>
      <c r="AZ6" s="601"/>
      <c r="BA6" s="601"/>
      <c r="BB6" s="601"/>
      <c r="BC6" s="601"/>
      <c r="BD6" s="601"/>
      <c r="BE6" s="601"/>
      <c r="BF6" s="602"/>
      <c r="BG6" s="582" t="s">
        <v>158</v>
      </c>
      <c r="BH6" s="583"/>
      <c r="BI6" s="583"/>
      <c r="BJ6" s="583"/>
      <c r="BK6" s="583"/>
      <c r="BL6" s="583"/>
      <c r="BM6" s="584"/>
      <c r="BN6" s="585"/>
      <c r="BO6" s="586"/>
      <c r="BP6" s="586"/>
      <c r="BQ6" s="586"/>
      <c r="BR6" s="586"/>
      <c r="BS6" s="586"/>
      <c r="BT6" s="586"/>
      <c r="BU6" s="586"/>
      <c r="BV6" s="586"/>
      <c r="BW6" s="586"/>
      <c r="BX6" s="587"/>
      <c r="CT6" s="561" t="s">
        <v>71</v>
      </c>
      <c r="CU6" s="562"/>
      <c r="CV6" s="562"/>
      <c r="CW6" s="563"/>
      <c r="CX6" s="588">
        <f ca="1">COUNTIFS(INDIRECT("$C11:$C"&amp;ROW(テスト項目定義書_最終行)),"=●",INDIRECT("$BG11:$BG"&amp;ROW(テスト項目定義書_最終行)),"=×")</f>
        <v>0</v>
      </c>
      <c r="CY6" s="589"/>
    </row>
    <row r="7" spans="1:159" ht="18.75" customHeight="1">
      <c r="A7" s="68"/>
      <c r="B7" s="69"/>
      <c r="C7" s="69"/>
      <c r="D7" s="69"/>
      <c r="E7" s="69"/>
      <c r="F7" s="69"/>
      <c r="G7" s="69"/>
      <c r="H7" s="69"/>
      <c r="I7" s="67"/>
      <c r="J7" s="67"/>
      <c r="K7" s="218" t="s">
        <v>159</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90" t="s">
        <v>160</v>
      </c>
      <c r="B8" s="590" t="s">
        <v>161</v>
      </c>
      <c r="C8" s="593" t="s">
        <v>162</v>
      </c>
      <c r="D8" s="573" t="s">
        <v>163</v>
      </c>
      <c r="E8" s="574"/>
      <c r="F8" s="574"/>
      <c r="G8" s="574"/>
      <c r="H8" s="574"/>
      <c r="I8" s="574"/>
      <c r="J8" s="574"/>
      <c r="K8" s="596" t="s">
        <v>164</v>
      </c>
      <c r="L8" s="574"/>
      <c r="M8" s="574"/>
      <c r="N8" s="574"/>
      <c r="O8" s="574"/>
      <c r="P8" s="574"/>
      <c r="Q8" s="574"/>
      <c r="R8" s="567" t="s">
        <v>165</v>
      </c>
      <c r="S8" s="568"/>
      <c r="T8" s="567" t="s">
        <v>166</v>
      </c>
      <c r="U8" s="568"/>
      <c r="V8" s="573" t="s">
        <v>167</v>
      </c>
      <c r="W8" s="574"/>
      <c r="X8" s="574"/>
      <c r="Y8" s="574"/>
      <c r="Z8" s="574"/>
      <c r="AA8" s="574"/>
      <c r="AB8" s="574"/>
      <c r="AC8" s="574"/>
      <c r="AD8" s="573" t="s">
        <v>168</v>
      </c>
      <c r="AE8" s="574"/>
      <c r="AF8" s="574"/>
      <c r="AG8" s="574"/>
      <c r="AH8" s="574"/>
      <c r="AI8" s="574"/>
      <c r="AJ8" s="574"/>
      <c r="AK8" s="579"/>
      <c r="AL8" s="573" t="s">
        <v>169</v>
      </c>
      <c r="AM8" s="574"/>
      <c r="AN8" s="574"/>
      <c r="AO8" s="574"/>
      <c r="AP8" s="574"/>
      <c r="AQ8" s="574"/>
      <c r="AR8" s="579"/>
      <c r="AS8" s="573" t="s">
        <v>170</v>
      </c>
      <c r="AT8" s="574"/>
      <c r="AU8" s="574"/>
      <c r="AV8" s="574"/>
      <c r="AW8" s="574"/>
      <c r="AX8" s="574"/>
      <c r="AY8" s="579"/>
      <c r="AZ8" s="573" t="s">
        <v>171</v>
      </c>
      <c r="BA8" s="579"/>
      <c r="BB8" s="564" t="s">
        <v>79</v>
      </c>
      <c r="BC8" s="543" t="s">
        <v>172</v>
      </c>
      <c r="BD8" s="544"/>
      <c r="BE8" s="544"/>
      <c r="BF8" s="545"/>
      <c r="BG8" s="543" t="s">
        <v>173</v>
      </c>
      <c r="BH8" s="545"/>
      <c r="BI8" s="564" t="s">
        <v>174</v>
      </c>
      <c r="BJ8" s="543" t="s">
        <v>175</v>
      </c>
      <c r="BK8" s="544"/>
      <c r="BL8" s="544"/>
      <c r="BM8" s="544"/>
      <c r="BN8" s="544"/>
      <c r="BO8" s="545"/>
      <c r="BP8" s="543" t="s">
        <v>176</v>
      </c>
      <c r="BQ8" s="544"/>
      <c r="BR8" s="544"/>
      <c r="BS8" s="544"/>
      <c r="BT8" s="544"/>
      <c r="BU8" s="545"/>
      <c r="BV8" s="543" t="s">
        <v>177</v>
      </c>
      <c r="BW8" s="544"/>
      <c r="BX8" s="544"/>
      <c r="BY8" s="544"/>
      <c r="BZ8" s="544"/>
      <c r="CA8" s="545"/>
      <c r="CB8" s="552" t="s">
        <v>178</v>
      </c>
      <c r="CC8" s="553"/>
      <c r="CD8" s="553"/>
      <c r="CE8" s="554"/>
      <c r="CF8" s="561" t="s">
        <v>179</v>
      </c>
      <c r="CG8" s="562"/>
      <c r="CH8" s="562"/>
      <c r="CI8" s="562"/>
      <c r="CJ8" s="563"/>
      <c r="CK8" s="561" t="s">
        <v>180</v>
      </c>
      <c r="CL8" s="562"/>
      <c r="CM8" s="562"/>
      <c r="CN8" s="562"/>
      <c r="CO8" s="563"/>
      <c r="CP8" s="562" t="s">
        <v>181</v>
      </c>
      <c r="CQ8" s="562"/>
      <c r="CR8" s="562"/>
      <c r="CS8" s="562"/>
      <c r="CT8" s="563"/>
      <c r="CU8" s="561" t="s">
        <v>182</v>
      </c>
      <c r="CV8" s="562"/>
      <c r="CW8" s="562"/>
      <c r="CX8" s="562"/>
      <c r="CY8" s="563"/>
      <c r="CZ8" s="33"/>
      <c r="DA8" s="34"/>
      <c r="DD8" s="537" t="s">
        <v>132</v>
      </c>
      <c r="DE8" s="538"/>
      <c r="DF8" s="538"/>
      <c r="DG8" s="538"/>
      <c r="DH8" s="538"/>
      <c r="DI8" s="538"/>
      <c r="DJ8" s="538"/>
      <c r="DK8" s="538"/>
      <c r="DL8" s="538"/>
      <c r="DM8" s="538"/>
      <c r="DN8" s="538"/>
      <c r="DO8" s="538"/>
      <c r="DP8" s="538"/>
      <c r="DQ8" s="538"/>
      <c r="DR8" s="538"/>
      <c r="DS8" s="538"/>
      <c r="DT8" s="538"/>
      <c r="DU8" s="538"/>
      <c r="DV8" s="538"/>
      <c r="DW8" s="538"/>
      <c r="DX8" s="538"/>
      <c r="DY8" s="538"/>
      <c r="DZ8" s="538"/>
      <c r="EA8" s="538"/>
      <c r="EB8" s="538"/>
      <c r="EC8" s="538"/>
      <c r="ED8" s="538"/>
      <c r="EE8" s="538"/>
      <c r="EF8" s="538"/>
      <c r="EG8" s="538"/>
      <c r="EH8" s="538"/>
      <c r="EI8" s="538"/>
      <c r="EJ8" s="538"/>
      <c r="EK8" s="538"/>
      <c r="EL8" s="538"/>
      <c r="EM8" s="538"/>
      <c r="EN8" s="538"/>
      <c r="EO8" s="538"/>
      <c r="EP8" s="538"/>
      <c r="EQ8" s="539"/>
      <c r="ET8" s="540" t="s">
        <v>183</v>
      </c>
      <c r="EU8" s="541"/>
      <c r="EV8" s="541"/>
      <c r="EW8" s="541"/>
      <c r="EX8" s="541"/>
      <c r="EY8" s="541"/>
      <c r="EZ8" s="541"/>
      <c r="FA8" s="541"/>
      <c r="FB8" s="541"/>
      <c r="FC8" s="542"/>
    </row>
    <row r="9" spans="1:159" ht="57" customHeight="1">
      <c r="A9" s="591"/>
      <c r="B9" s="591"/>
      <c r="C9" s="594"/>
      <c r="D9" s="575"/>
      <c r="E9" s="576"/>
      <c r="F9" s="576"/>
      <c r="G9" s="576"/>
      <c r="H9" s="576"/>
      <c r="I9" s="576"/>
      <c r="J9" s="576"/>
      <c r="K9" s="575"/>
      <c r="L9" s="576"/>
      <c r="M9" s="576"/>
      <c r="N9" s="576"/>
      <c r="O9" s="576"/>
      <c r="P9" s="576"/>
      <c r="Q9" s="576"/>
      <c r="R9" s="569"/>
      <c r="S9" s="570"/>
      <c r="T9" s="569"/>
      <c r="U9" s="570"/>
      <c r="V9" s="575"/>
      <c r="W9" s="576"/>
      <c r="X9" s="576"/>
      <c r="Y9" s="576"/>
      <c r="Z9" s="576"/>
      <c r="AA9" s="576"/>
      <c r="AB9" s="576"/>
      <c r="AC9" s="576"/>
      <c r="AD9" s="575"/>
      <c r="AE9" s="576"/>
      <c r="AF9" s="576"/>
      <c r="AG9" s="576"/>
      <c r="AH9" s="576"/>
      <c r="AI9" s="576"/>
      <c r="AJ9" s="576"/>
      <c r="AK9" s="580"/>
      <c r="AL9" s="575"/>
      <c r="AM9" s="576"/>
      <c r="AN9" s="576"/>
      <c r="AO9" s="576"/>
      <c r="AP9" s="576"/>
      <c r="AQ9" s="576"/>
      <c r="AR9" s="580"/>
      <c r="AS9" s="575"/>
      <c r="AT9" s="576"/>
      <c r="AU9" s="576"/>
      <c r="AV9" s="576"/>
      <c r="AW9" s="576"/>
      <c r="AX9" s="576"/>
      <c r="AY9" s="580"/>
      <c r="AZ9" s="575"/>
      <c r="BA9" s="580"/>
      <c r="BB9" s="565"/>
      <c r="BC9" s="546"/>
      <c r="BD9" s="547"/>
      <c r="BE9" s="547"/>
      <c r="BF9" s="548"/>
      <c r="BG9" s="546"/>
      <c r="BH9" s="548"/>
      <c r="BI9" s="565"/>
      <c r="BJ9" s="546"/>
      <c r="BK9" s="547"/>
      <c r="BL9" s="547"/>
      <c r="BM9" s="547"/>
      <c r="BN9" s="547"/>
      <c r="BO9" s="548"/>
      <c r="BP9" s="546"/>
      <c r="BQ9" s="547"/>
      <c r="BR9" s="547"/>
      <c r="BS9" s="547"/>
      <c r="BT9" s="547"/>
      <c r="BU9" s="548"/>
      <c r="BV9" s="546"/>
      <c r="BW9" s="547"/>
      <c r="BX9" s="547"/>
      <c r="BY9" s="547"/>
      <c r="BZ9" s="547"/>
      <c r="CA9" s="548"/>
      <c r="CB9" s="555"/>
      <c r="CC9" s="556"/>
      <c r="CD9" s="556"/>
      <c r="CE9" s="557"/>
      <c r="CF9" s="561"/>
      <c r="CG9" s="562"/>
      <c r="CH9" s="562"/>
      <c r="CI9" s="562"/>
      <c r="CJ9" s="563"/>
      <c r="CK9" s="561"/>
      <c r="CL9" s="562"/>
      <c r="CM9" s="562"/>
      <c r="CN9" s="562"/>
      <c r="CO9" s="563"/>
      <c r="CP9" s="562"/>
      <c r="CQ9" s="562"/>
      <c r="CR9" s="562"/>
      <c r="CS9" s="562"/>
      <c r="CT9" s="563"/>
      <c r="CU9" s="561"/>
      <c r="CV9" s="562"/>
      <c r="CW9" s="562"/>
      <c r="CX9" s="562"/>
      <c r="CY9" s="56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92"/>
      <c r="B10" s="592"/>
      <c r="C10" s="595"/>
      <c r="D10" s="577"/>
      <c r="E10" s="578"/>
      <c r="F10" s="578"/>
      <c r="G10" s="578"/>
      <c r="H10" s="578"/>
      <c r="I10" s="578"/>
      <c r="J10" s="578"/>
      <c r="K10" s="577"/>
      <c r="L10" s="578"/>
      <c r="M10" s="578"/>
      <c r="N10" s="578"/>
      <c r="O10" s="578"/>
      <c r="P10" s="578"/>
      <c r="Q10" s="578"/>
      <c r="R10" s="571"/>
      <c r="S10" s="572"/>
      <c r="T10" s="571"/>
      <c r="U10" s="572"/>
      <c r="V10" s="577"/>
      <c r="W10" s="578"/>
      <c r="X10" s="578"/>
      <c r="Y10" s="578"/>
      <c r="Z10" s="578"/>
      <c r="AA10" s="578"/>
      <c r="AB10" s="578"/>
      <c r="AC10" s="578"/>
      <c r="AD10" s="577"/>
      <c r="AE10" s="578"/>
      <c r="AF10" s="578"/>
      <c r="AG10" s="578"/>
      <c r="AH10" s="578"/>
      <c r="AI10" s="578"/>
      <c r="AJ10" s="578"/>
      <c r="AK10" s="581"/>
      <c r="AL10" s="577"/>
      <c r="AM10" s="578"/>
      <c r="AN10" s="578"/>
      <c r="AO10" s="578"/>
      <c r="AP10" s="578"/>
      <c r="AQ10" s="578"/>
      <c r="AR10" s="581"/>
      <c r="AS10" s="577"/>
      <c r="AT10" s="578"/>
      <c r="AU10" s="578"/>
      <c r="AV10" s="578"/>
      <c r="AW10" s="578"/>
      <c r="AX10" s="578"/>
      <c r="AY10" s="581"/>
      <c r="AZ10" s="577"/>
      <c r="BA10" s="581"/>
      <c r="BB10" s="566"/>
      <c r="BC10" s="549"/>
      <c r="BD10" s="550"/>
      <c r="BE10" s="550"/>
      <c r="BF10" s="551"/>
      <c r="BG10" s="549"/>
      <c r="BH10" s="551"/>
      <c r="BI10" s="566"/>
      <c r="BJ10" s="549"/>
      <c r="BK10" s="550"/>
      <c r="BL10" s="550"/>
      <c r="BM10" s="550"/>
      <c r="BN10" s="550"/>
      <c r="BO10" s="551"/>
      <c r="BP10" s="549"/>
      <c r="BQ10" s="550"/>
      <c r="BR10" s="550"/>
      <c r="BS10" s="550"/>
      <c r="BT10" s="550"/>
      <c r="BU10" s="551"/>
      <c r="BV10" s="549"/>
      <c r="BW10" s="550"/>
      <c r="BX10" s="550"/>
      <c r="BY10" s="550"/>
      <c r="BZ10" s="550"/>
      <c r="CA10" s="551"/>
      <c r="CB10" s="558"/>
      <c r="CC10" s="559"/>
      <c r="CD10" s="559"/>
      <c r="CE10" s="560"/>
      <c r="CF10" s="561"/>
      <c r="CG10" s="562"/>
      <c r="CH10" s="562"/>
      <c r="CI10" s="562"/>
      <c r="CJ10" s="563"/>
      <c r="CK10" s="561"/>
      <c r="CL10" s="562"/>
      <c r="CM10" s="562"/>
      <c r="CN10" s="562"/>
      <c r="CO10" s="563"/>
      <c r="CP10" s="562"/>
      <c r="CQ10" s="562"/>
      <c r="CR10" s="562"/>
      <c r="CS10" s="562"/>
      <c r="CT10" s="563"/>
      <c r="CU10" s="561"/>
      <c r="CV10" s="562"/>
      <c r="CW10" s="562"/>
      <c r="CX10" s="562"/>
      <c r="CY10" s="56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 r="A11" s="681">
        <v>1</v>
      </c>
      <c r="B11" s="225"/>
      <c r="C11" s="226" t="str">
        <f ca="1">IF(AND(OFFSET($K11,-($BB11-1),0)&lt;&gt;"",OFFSET($R11,-($BB11-1),0)&lt;&gt;"x"),"●","")</f>
        <v/>
      </c>
      <c r="D11" s="684" t="s">
        <v>333</v>
      </c>
      <c r="E11" s="685"/>
      <c r="F11" s="685"/>
      <c r="G11" s="685"/>
      <c r="H11" s="685"/>
      <c r="I11" s="685"/>
      <c r="J11" s="685"/>
      <c r="K11" s="690" t="s">
        <v>334</v>
      </c>
      <c r="L11" s="691"/>
      <c r="M11" s="691"/>
      <c r="N11" s="691"/>
      <c r="O11" s="691"/>
      <c r="P11" s="691"/>
      <c r="Q11" s="691"/>
      <c r="R11" s="442" t="s">
        <v>186</v>
      </c>
      <c r="S11" s="443"/>
      <c r="T11" s="694"/>
      <c r="U11" s="695"/>
      <c r="V11" s="690"/>
      <c r="W11" s="691"/>
      <c r="X11" s="691"/>
      <c r="Y11" s="691"/>
      <c r="Z11" s="691"/>
      <c r="AA11" s="691"/>
      <c r="AB11" s="691"/>
      <c r="AC11" s="691"/>
      <c r="AD11" s="690"/>
      <c r="AE11" s="691"/>
      <c r="AF11" s="691"/>
      <c r="AG11" s="691"/>
      <c r="AH11" s="691"/>
      <c r="AI11" s="691"/>
      <c r="AJ11" s="691"/>
      <c r="AK11" s="700"/>
      <c r="AL11" s="690"/>
      <c r="AM11" s="691"/>
      <c r="AN11" s="691"/>
      <c r="AO11" s="691"/>
      <c r="AP11" s="691"/>
      <c r="AQ11" s="691"/>
      <c r="AR11" s="700"/>
      <c r="AS11" s="702"/>
      <c r="AT11" s="703"/>
      <c r="AU11" s="703"/>
      <c r="AV11" s="703"/>
      <c r="AW11" s="703"/>
      <c r="AX11" s="703"/>
      <c r="AY11" s="704"/>
      <c r="AZ11" s="711"/>
      <c r="BA11" s="712"/>
      <c r="BB11" s="227">
        <v>1</v>
      </c>
      <c r="BC11" s="668"/>
      <c r="BD11" s="669"/>
      <c r="BE11" s="669"/>
      <c r="BF11" s="670"/>
      <c r="BG11" s="671"/>
      <c r="BH11" s="672"/>
      <c r="BI11" s="226"/>
      <c r="BJ11" s="665"/>
      <c r="BK11" s="666"/>
      <c r="BL11" s="666"/>
      <c r="BM11" s="666"/>
      <c r="BN11" s="666"/>
      <c r="BO11" s="667"/>
      <c r="BP11" s="665"/>
      <c r="BQ11" s="666"/>
      <c r="BR11" s="666"/>
      <c r="BS11" s="666"/>
      <c r="BT11" s="666"/>
      <c r="BU11" s="667"/>
      <c r="BV11" s="665"/>
      <c r="BW11" s="666"/>
      <c r="BX11" s="666"/>
      <c r="BY11" s="666"/>
      <c r="BZ11" s="666"/>
      <c r="CA11" s="667"/>
      <c r="CB11" s="668"/>
      <c r="CC11" s="669"/>
      <c r="CD11" s="669"/>
      <c r="CE11" s="670"/>
      <c r="CF11" s="648"/>
      <c r="CG11" s="649"/>
      <c r="CH11" s="649"/>
      <c r="CI11" s="649"/>
      <c r="CJ11" s="650"/>
      <c r="CK11" s="648"/>
      <c r="CL11" s="649"/>
      <c r="CM11" s="649"/>
      <c r="CN11" s="649"/>
      <c r="CO11" s="650"/>
      <c r="CP11" s="648"/>
      <c r="CQ11" s="649"/>
      <c r="CR11" s="649"/>
      <c r="CS11" s="649"/>
      <c r="CT11" s="650"/>
      <c r="CU11" s="654"/>
      <c r="CV11" s="655"/>
      <c r="CW11" s="655"/>
      <c r="CX11" s="655"/>
      <c r="CY11" s="656"/>
      <c r="DA11" s="197"/>
    </row>
    <row r="12" spans="1:159" s="30" customFormat="1" ht="16.5">
      <c r="A12" s="682"/>
      <c r="B12" s="225"/>
      <c r="C12" s="228" t="str">
        <f t="shared" ref="C12:C75" ca="1" si="2">IF(AND(OFFSET($K12,-($BB12-1),0)&lt;&gt;"",OFFSET($R12,-($BB12-1),0)&lt;&gt;"x"),"●","")</f>
        <v/>
      </c>
      <c r="D12" s="686"/>
      <c r="E12" s="687"/>
      <c r="F12" s="687"/>
      <c r="G12" s="687"/>
      <c r="H12" s="687"/>
      <c r="I12" s="687"/>
      <c r="J12" s="687"/>
      <c r="K12" s="692"/>
      <c r="L12" s="693"/>
      <c r="M12" s="693"/>
      <c r="N12" s="693"/>
      <c r="O12" s="693"/>
      <c r="P12" s="693"/>
      <c r="Q12" s="693"/>
      <c r="R12" s="444"/>
      <c r="S12" s="445"/>
      <c r="T12" s="696"/>
      <c r="U12" s="697"/>
      <c r="V12" s="692"/>
      <c r="W12" s="693"/>
      <c r="X12" s="693"/>
      <c r="Y12" s="693"/>
      <c r="Z12" s="693"/>
      <c r="AA12" s="693"/>
      <c r="AB12" s="693"/>
      <c r="AC12" s="693"/>
      <c r="AD12" s="692"/>
      <c r="AE12" s="693"/>
      <c r="AF12" s="693"/>
      <c r="AG12" s="693"/>
      <c r="AH12" s="693"/>
      <c r="AI12" s="693"/>
      <c r="AJ12" s="693"/>
      <c r="AK12" s="701"/>
      <c r="AL12" s="692"/>
      <c r="AM12" s="693"/>
      <c r="AN12" s="693"/>
      <c r="AO12" s="693"/>
      <c r="AP12" s="693"/>
      <c r="AQ12" s="693"/>
      <c r="AR12" s="701"/>
      <c r="AS12" s="705"/>
      <c r="AT12" s="706"/>
      <c r="AU12" s="706"/>
      <c r="AV12" s="706"/>
      <c r="AW12" s="706"/>
      <c r="AX12" s="706"/>
      <c r="AY12" s="707"/>
      <c r="AZ12" s="713"/>
      <c r="BA12" s="714"/>
      <c r="BB12" s="229">
        <v>2</v>
      </c>
      <c r="BC12" s="657"/>
      <c r="BD12" s="658"/>
      <c r="BE12" s="658"/>
      <c r="BF12" s="659"/>
      <c r="BG12" s="660"/>
      <c r="BH12" s="661"/>
      <c r="BI12" s="228"/>
      <c r="BJ12" s="662"/>
      <c r="BK12" s="663"/>
      <c r="BL12" s="663"/>
      <c r="BM12" s="663"/>
      <c r="BN12" s="663"/>
      <c r="BO12" s="664"/>
      <c r="BP12" s="662"/>
      <c r="BQ12" s="663"/>
      <c r="BR12" s="663"/>
      <c r="BS12" s="663"/>
      <c r="BT12" s="663"/>
      <c r="BU12" s="664"/>
      <c r="BV12" s="662"/>
      <c r="BW12" s="663"/>
      <c r="BX12" s="663"/>
      <c r="BY12" s="663"/>
      <c r="BZ12" s="663"/>
      <c r="CA12" s="664"/>
      <c r="CB12" s="657"/>
      <c r="CC12" s="658"/>
      <c r="CD12" s="658"/>
      <c r="CE12" s="659"/>
      <c r="CF12" s="651"/>
      <c r="CG12" s="652"/>
      <c r="CH12" s="652"/>
      <c r="CI12" s="652"/>
      <c r="CJ12" s="653"/>
      <c r="CK12" s="651"/>
      <c r="CL12" s="652"/>
      <c r="CM12" s="652"/>
      <c r="CN12" s="652"/>
      <c r="CO12" s="653"/>
      <c r="CP12" s="651"/>
      <c r="CQ12" s="652"/>
      <c r="CR12" s="652"/>
      <c r="CS12" s="652"/>
      <c r="CT12" s="653"/>
      <c r="CU12" s="654"/>
      <c r="CV12" s="655"/>
      <c r="CW12" s="655"/>
      <c r="CX12" s="655"/>
      <c r="CY12" s="656"/>
      <c r="DA12" s="197"/>
    </row>
    <row r="13" spans="1:159" s="30" customFormat="1" ht="16.5">
      <c r="A13" s="682"/>
      <c r="B13" s="225"/>
      <c r="C13" s="228" t="str">
        <f t="shared" ca="1" si="2"/>
        <v/>
      </c>
      <c r="D13" s="686"/>
      <c r="E13" s="687"/>
      <c r="F13" s="687"/>
      <c r="G13" s="687"/>
      <c r="H13" s="687"/>
      <c r="I13" s="687"/>
      <c r="J13" s="687"/>
      <c r="K13" s="692"/>
      <c r="L13" s="693"/>
      <c r="M13" s="693"/>
      <c r="N13" s="693"/>
      <c r="O13" s="693"/>
      <c r="P13" s="693"/>
      <c r="Q13" s="693"/>
      <c r="R13" s="444"/>
      <c r="S13" s="445"/>
      <c r="T13" s="696"/>
      <c r="U13" s="697"/>
      <c r="V13" s="692"/>
      <c r="W13" s="693"/>
      <c r="X13" s="693"/>
      <c r="Y13" s="693"/>
      <c r="Z13" s="693"/>
      <c r="AA13" s="693"/>
      <c r="AB13" s="693"/>
      <c r="AC13" s="693"/>
      <c r="AD13" s="692"/>
      <c r="AE13" s="693"/>
      <c r="AF13" s="693"/>
      <c r="AG13" s="693"/>
      <c r="AH13" s="693"/>
      <c r="AI13" s="693"/>
      <c r="AJ13" s="693"/>
      <c r="AK13" s="701"/>
      <c r="AL13" s="692"/>
      <c r="AM13" s="693"/>
      <c r="AN13" s="693"/>
      <c r="AO13" s="693"/>
      <c r="AP13" s="693"/>
      <c r="AQ13" s="693"/>
      <c r="AR13" s="701"/>
      <c r="AS13" s="705"/>
      <c r="AT13" s="706"/>
      <c r="AU13" s="706"/>
      <c r="AV13" s="706"/>
      <c r="AW13" s="706"/>
      <c r="AX13" s="706"/>
      <c r="AY13" s="707"/>
      <c r="AZ13" s="713"/>
      <c r="BA13" s="714"/>
      <c r="BB13" s="229">
        <v>3</v>
      </c>
      <c r="BC13" s="657"/>
      <c r="BD13" s="658"/>
      <c r="BE13" s="658"/>
      <c r="BF13" s="659"/>
      <c r="BG13" s="660"/>
      <c r="BH13" s="661"/>
      <c r="BI13" s="228"/>
      <c r="BJ13" s="662"/>
      <c r="BK13" s="663"/>
      <c r="BL13" s="663"/>
      <c r="BM13" s="663"/>
      <c r="BN13" s="663"/>
      <c r="BO13" s="664"/>
      <c r="BP13" s="662"/>
      <c r="BQ13" s="663"/>
      <c r="BR13" s="663"/>
      <c r="BS13" s="663"/>
      <c r="BT13" s="663"/>
      <c r="BU13" s="664"/>
      <c r="BV13" s="662"/>
      <c r="BW13" s="663"/>
      <c r="BX13" s="663"/>
      <c r="BY13" s="663"/>
      <c r="BZ13" s="663"/>
      <c r="CA13" s="664"/>
      <c r="CB13" s="657"/>
      <c r="CC13" s="658"/>
      <c r="CD13" s="658"/>
      <c r="CE13" s="659"/>
      <c r="CF13" s="651"/>
      <c r="CG13" s="652"/>
      <c r="CH13" s="652"/>
      <c r="CI13" s="652"/>
      <c r="CJ13" s="653"/>
      <c r="CK13" s="651"/>
      <c r="CL13" s="652"/>
      <c r="CM13" s="652"/>
      <c r="CN13" s="652"/>
      <c r="CO13" s="653"/>
      <c r="CP13" s="651"/>
      <c r="CQ13" s="652"/>
      <c r="CR13" s="652"/>
      <c r="CS13" s="652"/>
      <c r="CT13" s="653"/>
      <c r="CU13" s="654"/>
      <c r="CV13" s="655"/>
      <c r="CW13" s="655"/>
      <c r="CX13" s="655"/>
      <c r="CY13" s="656"/>
      <c r="DA13" s="197"/>
    </row>
    <row r="14" spans="1:159" s="30" customFormat="1" ht="16.5">
      <c r="A14" s="682"/>
      <c r="B14" s="225"/>
      <c r="C14" s="228" t="str">
        <f t="shared" ca="1" si="2"/>
        <v/>
      </c>
      <c r="D14" s="686"/>
      <c r="E14" s="687"/>
      <c r="F14" s="687"/>
      <c r="G14" s="687"/>
      <c r="H14" s="687"/>
      <c r="I14" s="687"/>
      <c r="J14" s="687"/>
      <c r="K14" s="692"/>
      <c r="L14" s="693"/>
      <c r="M14" s="693"/>
      <c r="N14" s="693"/>
      <c r="O14" s="693"/>
      <c r="P14" s="693"/>
      <c r="Q14" s="693"/>
      <c r="R14" s="444"/>
      <c r="S14" s="445"/>
      <c r="T14" s="696"/>
      <c r="U14" s="697"/>
      <c r="V14" s="692"/>
      <c r="W14" s="693"/>
      <c r="X14" s="693"/>
      <c r="Y14" s="693"/>
      <c r="Z14" s="693"/>
      <c r="AA14" s="693"/>
      <c r="AB14" s="693"/>
      <c r="AC14" s="693"/>
      <c r="AD14" s="692"/>
      <c r="AE14" s="693"/>
      <c r="AF14" s="693"/>
      <c r="AG14" s="693"/>
      <c r="AH14" s="693"/>
      <c r="AI14" s="693"/>
      <c r="AJ14" s="693"/>
      <c r="AK14" s="701"/>
      <c r="AL14" s="692"/>
      <c r="AM14" s="693"/>
      <c r="AN14" s="693"/>
      <c r="AO14" s="693"/>
      <c r="AP14" s="693"/>
      <c r="AQ14" s="693"/>
      <c r="AR14" s="701"/>
      <c r="AS14" s="705"/>
      <c r="AT14" s="706"/>
      <c r="AU14" s="706"/>
      <c r="AV14" s="706"/>
      <c r="AW14" s="706"/>
      <c r="AX14" s="706"/>
      <c r="AY14" s="707"/>
      <c r="AZ14" s="713"/>
      <c r="BA14" s="714"/>
      <c r="BB14" s="229">
        <v>4</v>
      </c>
      <c r="BC14" s="657"/>
      <c r="BD14" s="658"/>
      <c r="BE14" s="658"/>
      <c r="BF14" s="659"/>
      <c r="BG14" s="660"/>
      <c r="BH14" s="661"/>
      <c r="BI14" s="228"/>
      <c r="BJ14" s="662"/>
      <c r="BK14" s="663"/>
      <c r="BL14" s="663"/>
      <c r="BM14" s="663"/>
      <c r="BN14" s="663"/>
      <c r="BO14" s="664"/>
      <c r="BP14" s="662"/>
      <c r="BQ14" s="663"/>
      <c r="BR14" s="663"/>
      <c r="BS14" s="663"/>
      <c r="BT14" s="663"/>
      <c r="BU14" s="664"/>
      <c r="BV14" s="662"/>
      <c r="BW14" s="663"/>
      <c r="BX14" s="663"/>
      <c r="BY14" s="663"/>
      <c r="BZ14" s="663"/>
      <c r="CA14" s="664"/>
      <c r="CB14" s="657"/>
      <c r="CC14" s="658"/>
      <c r="CD14" s="658"/>
      <c r="CE14" s="659"/>
      <c r="CF14" s="651"/>
      <c r="CG14" s="652"/>
      <c r="CH14" s="652"/>
      <c r="CI14" s="652"/>
      <c r="CJ14" s="653"/>
      <c r="CK14" s="651"/>
      <c r="CL14" s="652"/>
      <c r="CM14" s="652"/>
      <c r="CN14" s="652"/>
      <c r="CO14" s="653"/>
      <c r="CP14" s="651"/>
      <c r="CQ14" s="652"/>
      <c r="CR14" s="652"/>
      <c r="CS14" s="652"/>
      <c r="CT14" s="653"/>
      <c r="CU14" s="654"/>
      <c r="CV14" s="655"/>
      <c r="CW14" s="655"/>
      <c r="CX14" s="655"/>
      <c r="CY14" s="656"/>
      <c r="DA14" s="197"/>
    </row>
    <row r="15" spans="1:159" s="30" customFormat="1" ht="16.5">
      <c r="A15" s="682"/>
      <c r="B15" s="225"/>
      <c r="C15" s="228" t="str">
        <f t="shared" ca="1" si="2"/>
        <v/>
      </c>
      <c r="D15" s="686"/>
      <c r="E15" s="687"/>
      <c r="F15" s="687"/>
      <c r="G15" s="687"/>
      <c r="H15" s="687"/>
      <c r="I15" s="687"/>
      <c r="J15" s="687"/>
      <c r="K15" s="692"/>
      <c r="L15" s="693"/>
      <c r="M15" s="693"/>
      <c r="N15" s="693"/>
      <c r="O15" s="693"/>
      <c r="P15" s="693"/>
      <c r="Q15" s="693"/>
      <c r="R15" s="444"/>
      <c r="S15" s="445"/>
      <c r="T15" s="696"/>
      <c r="U15" s="697"/>
      <c r="V15" s="692"/>
      <c r="W15" s="693"/>
      <c r="X15" s="693"/>
      <c r="Y15" s="693"/>
      <c r="Z15" s="693"/>
      <c r="AA15" s="693"/>
      <c r="AB15" s="693"/>
      <c r="AC15" s="693"/>
      <c r="AD15" s="692"/>
      <c r="AE15" s="693"/>
      <c r="AF15" s="693"/>
      <c r="AG15" s="693"/>
      <c r="AH15" s="693"/>
      <c r="AI15" s="693"/>
      <c r="AJ15" s="693"/>
      <c r="AK15" s="701"/>
      <c r="AL15" s="692"/>
      <c r="AM15" s="693"/>
      <c r="AN15" s="693"/>
      <c r="AO15" s="693"/>
      <c r="AP15" s="693"/>
      <c r="AQ15" s="693"/>
      <c r="AR15" s="701"/>
      <c r="AS15" s="705"/>
      <c r="AT15" s="706"/>
      <c r="AU15" s="706"/>
      <c r="AV15" s="706"/>
      <c r="AW15" s="706"/>
      <c r="AX15" s="706"/>
      <c r="AY15" s="707"/>
      <c r="AZ15" s="713"/>
      <c r="BA15" s="714"/>
      <c r="BB15" s="229">
        <v>5</v>
      </c>
      <c r="BC15" s="657"/>
      <c r="BD15" s="658"/>
      <c r="BE15" s="658"/>
      <c r="BF15" s="659"/>
      <c r="BG15" s="660"/>
      <c r="BH15" s="661"/>
      <c r="BI15" s="228"/>
      <c r="BJ15" s="662"/>
      <c r="BK15" s="663"/>
      <c r="BL15" s="663"/>
      <c r="BM15" s="663"/>
      <c r="BN15" s="663"/>
      <c r="BO15" s="664"/>
      <c r="BP15" s="662"/>
      <c r="BQ15" s="663"/>
      <c r="BR15" s="663"/>
      <c r="BS15" s="663"/>
      <c r="BT15" s="663"/>
      <c r="BU15" s="664"/>
      <c r="BV15" s="662"/>
      <c r="BW15" s="663"/>
      <c r="BX15" s="663"/>
      <c r="BY15" s="663"/>
      <c r="BZ15" s="663"/>
      <c r="CA15" s="664"/>
      <c r="CB15" s="657"/>
      <c r="CC15" s="658"/>
      <c r="CD15" s="658"/>
      <c r="CE15" s="659"/>
      <c r="CF15" s="651"/>
      <c r="CG15" s="652"/>
      <c r="CH15" s="652"/>
      <c r="CI15" s="652"/>
      <c r="CJ15" s="653"/>
      <c r="CK15" s="651"/>
      <c r="CL15" s="652"/>
      <c r="CM15" s="652"/>
      <c r="CN15" s="652"/>
      <c r="CO15" s="653"/>
      <c r="CP15" s="651"/>
      <c r="CQ15" s="652"/>
      <c r="CR15" s="652"/>
      <c r="CS15" s="652"/>
      <c r="CT15" s="653"/>
      <c r="CU15" s="654"/>
      <c r="CV15" s="655"/>
      <c r="CW15" s="655"/>
      <c r="CX15" s="655"/>
      <c r="CY15" s="656"/>
      <c r="DA15" s="197"/>
    </row>
    <row r="16" spans="1:159" s="30" customFormat="1" ht="16.5">
      <c r="A16" s="683"/>
      <c r="B16" s="230"/>
      <c r="C16" s="231" t="str">
        <f t="shared" ca="1" si="2"/>
        <v/>
      </c>
      <c r="D16" s="688"/>
      <c r="E16" s="689"/>
      <c r="F16" s="689"/>
      <c r="G16" s="689"/>
      <c r="H16" s="689"/>
      <c r="I16" s="689"/>
      <c r="J16" s="689"/>
      <c r="K16" s="648"/>
      <c r="L16" s="649"/>
      <c r="M16" s="649"/>
      <c r="N16" s="649"/>
      <c r="O16" s="649"/>
      <c r="P16" s="649"/>
      <c r="Q16" s="649"/>
      <c r="R16" s="446"/>
      <c r="S16" s="447"/>
      <c r="T16" s="698"/>
      <c r="U16" s="699"/>
      <c r="V16" s="648"/>
      <c r="W16" s="649"/>
      <c r="X16" s="649"/>
      <c r="Y16" s="649"/>
      <c r="Z16" s="649"/>
      <c r="AA16" s="649"/>
      <c r="AB16" s="649"/>
      <c r="AC16" s="649"/>
      <c r="AD16" s="648"/>
      <c r="AE16" s="649"/>
      <c r="AF16" s="649"/>
      <c r="AG16" s="649"/>
      <c r="AH16" s="649"/>
      <c r="AI16" s="649"/>
      <c r="AJ16" s="649"/>
      <c r="AK16" s="650"/>
      <c r="AL16" s="648"/>
      <c r="AM16" s="649"/>
      <c r="AN16" s="649"/>
      <c r="AO16" s="649"/>
      <c r="AP16" s="649"/>
      <c r="AQ16" s="649"/>
      <c r="AR16" s="650"/>
      <c r="AS16" s="708"/>
      <c r="AT16" s="709"/>
      <c r="AU16" s="709"/>
      <c r="AV16" s="709"/>
      <c r="AW16" s="709"/>
      <c r="AX16" s="709"/>
      <c r="AY16" s="710"/>
      <c r="AZ16" s="715"/>
      <c r="BA16" s="716"/>
      <c r="BB16" s="232">
        <v>6</v>
      </c>
      <c r="BC16" s="673"/>
      <c r="BD16" s="674"/>
      <c r="BE16" s="674"/>
      <c r="BF16" s="675"/>
      <c r="BG16" s="676"/>
      <c r="BH16" s="677"/>
      <c r="BI16" s="231"/>
      <c r="BJ16" s="678"/>
      <c r="BK16" s="679"/>
      <c r="BL16" s="679"/>
      <c r="BM16" s="679"/>
      <c r="BN16" s="679"/>
      <c r="BO16" s="680"/>
      <c r="BP16" s="678"/>
      <c r="BQ16" s="679"/>
      <c r="BR16" s="679"/>
      <c r="BS16" s="679"/>
      <c r="BT16" s="679"/>
      <c r="BU16" s="680"/>
      <c r="BV16" s="678"/>
      <c r="BW16" s="679"/>
      <c r="BX16" s="679"/>
      <c r="BY16" s="679"/>
      <c r="BZ16" s="679"/>
      <c r="CA16" s="680"/>
      <c r="CB16" s="673"/>
      <c r="CC16" s="674"/>
      <c r="CD16" s="674"/>
      <c r="CE16" s="675"/>
      <c r="CF16" s="651"/>
      <c r="CG16" s="652"/>
      <c r="CH16" s="652"/>
      <c r="CI16" s="652"/>
      <c r="CJ16" s="653"/>
      <c r="CK16" s="651"/>
      <c r="CL16" s="652"/>
      <c r="CM16" s="652"/>
      <c r="CN16" s="652"/>
      <c r="CO16" s="653"/>
      <c r="CP16" s="651"/>
      <c r="CQ16" s="652"/>
      <c r="CR16" s="652"/>
      <c r="CS16" s="652"/>
      <c r="CT16" s="653"/>
      <c r="CU16" s="654"/>
      <c r="CV16" s="655"/>
      <c r="CW16" s="655"/>
      <c r="CX16" s="655"/>
      <c r="CY16" s="656"/>
      <c r="DA16" s="197"/>
    </row>
    <row r="17" spans="1:105" ht="16.5">
      <c r="A17" s="681">
        <v>2</v>
      </c>
      <c r="B17" s="225"/>
      <c r="C17" s="226" t="str">
        <f t="shared" ca="1" si="2"/>
        <v/>
      </c>
      <c r="D17" s="684"/>
      <c r="E17" s="685"/>
      <c r="F17" s="685"/>
      <c r="G17" s="685"/>
      <c r="H17" s="685"/>
      <c r="I17" s="685"/>
      <c r="J17" s="685"/>
      <c r="K17" s="690" t="s">
        <v>335</v>
      </c>
      <c r="L17" s="691"/>
      <c r="M17" s="691"/>
      <c r="N17" s="691"/>
      <c r="O17" s="691"/>
      <c r="P17" s="691"/>
      <c r="Q17" s="691"/>
      <c r="R17" s="442" t="s">
        <v>186</v>
      </c>
      <c r="S17" s="443"/>
      <c r="T17" s="694"/>
      <c r="U17" s="695"/>
      <c r="V17" s="690"/>
      <c r="W17" s="691"/>
      <c r="X17" s="691"/>
      <c r="Y17" s="691"/>
      <c r="Z17" s="691"/>
      <c r="AA17" s="691"/>
      <c r="AB17" s="691"/>
      <c r="AC17" s="691"/>
      <c r="AD17" s="690"/>
      <c r="AE17" s="691"/>
      <c r="AF17" s="691"/>
      <c r="AG17" s="691"/>
      <c r="AH17" s="691"/>
      <c r="AI17" s="691"/>
      <c r="AJ17" s="691"/>
      <c r="AK17" s="700"/>
      <c r="AL17" s="690"/>
      <c r="AM17" s="691"/>
      <c r="AN17" s="691"/>
      <c r="AO17" s="691"/>
      <c r="AP17" s="691"/>
      <c r="AQ17" s="691"/>
      <c r="AR17" s="700"/>
      <c r="AS17" s="702"/>
      <c r="AT17" s="703"/>
      <c r="AU17" s="703"/>
      <c r="AV17" s="703"/>
      <c r="AW17" s="703"/>
      <c r="AX17" s="703"/>
      <c r="AY17" s="704"/>
      <c r="AZ17" s="711"/>
      <c r="BA17" s="712"/>
      <c r="BB17" s="227">
        <v>1</v>
      </c>
      <c r="BC17" s="668"/>
      <c r="BD17" s="669"/>
      <c r="BE17" s="669"/>
      <c r="BF17" s="670"/>
      <c r="BG17" s="671"/>
      <c r="BH17" s="672"/>
      <c r="BI17" s="226"/>
      <c r="BJ17" s="665"/>
      <c r="BK17" s="666"/>
      <c r="BL17" s="666"/>
      <c r="BM17" s="666"/>
      <c r="BN17" s="666"/>
      <c r="BO17" s="667"/>
      <c r="BP17" s="665"/>
      <c r="BQ17" s="666"/>
      <c r="BR17" s="666"/>
      <c r="BS17" s="666"/>
      <c r="BT17" s="666"/>
      <c r="BU17" s="667"/>
      <c r="BV17" s="665"/>
      <c r="BW17" s="666"/>
      <c r="BX17" s="666"/>
      <c r="BY17" s="666"/>
      <c r="BZ17" s="666"/>
      <c r="CA17" s="667"/>
      <c r="CB17" s="668"/>
      <c r="CC17" s="669"/>
      <c r="CD17" s="669"/>
      <c r="CE17" s="670"/>
      <c r="CF17" s="648"/>
      <c r="CG17" s="649"/>
      <c r="CH17" s="649"/>
      <c r="CI17" s="649"/>
      <c r="CJ17" s="650"/>
      <c r="CK17" s="648"/>
      <c r="CL17" s="649"/>
      <c r="CM17" s="649"/>
      <c r="CN17" s="649"/>
      <c r="CO17" s="650"/>
      <c r="CP17" s="648"/>
      <c r="CQ17" s="649"/>
      <c r="CR17" s="649"/>
      <c r="CS17" s="649"/>
      <c r="CT17" s="650"/>
      <c r="CU17" s="654"/>
      <c r="CV17" s="655"/>
      <c r="CW17" s="655"/>
      <c r="CX17" s="655"/>
      <c r="CY17" s="656"/>
      <c r="DA17" s="197"/>
    </row>
    <row r="18" spans="1:105" ht="16.5">
      <c r="A18" s="682"/>
      <c r="B18" s="225"/>
      <c r="C18" s="228" t="str">
        <f t="shared" ca="1" si="2"/>
        <v/>
      </c>
      <c r="D18" s="686"/>
      <c r="E18" s="687"/>
      <c r="F18" s="687"/>
      <c r="G18" s="687"/>
      <c r="H18" s="687"/>
      <c r="I18" s="687"/>
      <c r="J18" s="687"/>
      <c r="K18" s="692"/>
      <c r="L18" s="693"/>
      <c r="M18" s="693"/>
      <c r="N18" s="693"/>
      <c r="O18" s="693"/>
      <c r="P18" s="693"/>
      <c r="Q18" s="693"/>
      <c r="R18" s="444"/>
      <c r="S18" s="445"/>
      <c r="T18" s="696"/>
      <c r="U18" s="697"/>
      <c r="V18" s="692"/>
      <c r="W18" s="693"/>
      <c r="X18" s="693"/>
      <c r="Y18" s="693"/>
      <c r="Z18" s="693"/>
      <c r="AA18" s="693"/>
      <c r="AB18" s="693"/>
      <c r="AC18" s="693"/>
      <c r="AD18" s="692"/>
      <c r="AE18" s="693"/>
      <c r="AF18" s="693"/>
      <c r="AG18" s="693"/>
      <c r="AH18" s="693"/>
      <c r="AI18" s="693"/>
      <c r="AJ18" s="693"/>
      <c r="AK18" s="701"/>
      <c r="AL18" s="692"/>
      <c r="AM18" s="693"/>
      <c r="AN18" s="693"/>
      <c r="AO18" s="693"/>
      <c r="AP18" s="693"/>
      <c r="AQ18" s="693"/>
      <c r="AR18" s="701"/>
      <c r="AS18" s="705"/>
      <c r="AT18" s="706"/>
      <c r="AU18" s="706"/>
      <c r="AV18" s="706"/>
      <c r="AW18" s="706"/>
      <c r="AX18" s="706"/>
      <c r="AY18" s="707"/>
      <c r="AZ18" s="713"/>
      <c r="BA18" s="714"/>
      <c r="BB18" s="229">
        <v>2</v>
      </c>
      <c r="BC18" s="657"/>
      <c r="BD18" s="658"/>
      <c r="BE18" s="658"/>
      <c r="BF18" s="659"/>
      <c r="BG18" s="660"/>
      <c r="BH18" s="661"/>
      <c r="BI18" s="228"/>
      <c r="BJ18" s="662"/>
      <c r="BK18" s="663"/>
      <c r="BL18" s="663"/>
      <c r="BM18" s="663"/>
      <c r="BN18" s="663"/>
      <c r="BO18" s="664"/>
      <c r="BP18" s="662"/>
      <c r="BQ18" s="663"/>
      <c r="BR18" s="663"/>
      <c r="BS18" s="663"/>
      <c r="BT18" s="663"/>
      <c r="BU18" s="664"/>
      <c r="BV18" s="662"/>
      <c r="BW18" s="663"/>
      <c r="BX18" s="663"/>
      <c r="BY18" s="663"/>
      <c r="BZ18" s="663"/>
      <c r="CA18" s="664"/>
      <c r="CB18" s="657"/>
      <c r="CC18" s="658"/>
      <c r="CD18" s="658"/>
      <c r="CE18" s="659"/>
      <c r="CF18" s="651"/>
      <c r="CG18" s="652"/>
      <c r="CH18" s="652"/>
      <c r="CI18" s="652"/>
      <c r="CJ18" s="653"/>
      <c r="CK18" s="651"/>
      <c r="CL18" s="652"/>
      <c r="CM18" s="652"/>
      <c r="CN18" s="652"/>
      <c r="CO18" s="653"/>
      <c r="CP18" s="651"/>
      <c r="CQ18" s="652"/>
      <c r="CR18" s="652"/>
      <c r="CS18" s="652"/>
      <c r="CT18" s="653"/>
      <c r="CU18" s="654"/>
      <c r="CV18" s="655"/>
      <c r="CW18" s="655"/>
      <c r="CX18" s="655"/>
      <c r="CY18" s="656"/>
      <c r="DA18" s="197"/>
    </row>
    <row r="19" spans="1:105" ht="16.5">
      <c r="A19" s="682"/>
      <c r="B19" s="225"/>
      <c r="C19" s="228" t="str">
        <f t="shared" ca="1" si="2"/>
        <v/>
      </c>
      <c r="D19" s="686"/>
      <c r="E19" s="687"/>
      <c r="F19" s="687"/>
      <c r="G19" s="687"/>
      <c r="H19" s="687"/>
      <c r="I19" s="687"/>
      <c r="J19" s="687"/>
      <c r="K19" s="692"/>
      <c r="L19" s="693"/>
      <c r="M19" s="693"/>
      <c r="N19" s="693"/>
      <c r="O19" s="693"/>
      <c r="P19" s="693"/>
      <c r="Q19" s="693"/>
      <c r="R19" s="444"/>
      <c r="S19" s="445"/>
      <c r="T19" s="696"/>
      <c r="U19" s="697"/>
      <c r="V19" s="692"/>
      <c r="W19" s="693"/>
      <c r="X19" s="693"/>
      <c r="Y19" s="693"/>
      <c r="Z19" s="693"/>
      <c r="AA19" s="693"/>
      <c r="AB19" s="693"/>
      <c r="AC19" s="693"/>
      <c r="AD19" s="692"/>
      <c r="AE19" s="693"/>
      <c r="AF19" s="693"/>
      <c r="AG19" s="693"/>
      <c r="AH19" s="693"/>
      <c r="AI19" s="693"/>
      <c r="AJ19" s="693"/>
      <c r="AK19" s="701"/>
      <c r="AL19" s="692"/>
      <c r="AM19" s="693"/>
      <c r="AN19" s="693"/>
      <c r="AO19" s="693"/>
      <c r="AP19" s="693"/>
      <c r="AQ19" s="693"/>
      <c r="AR19" s="701"/>
      <c r="AS19" s="705"/>
      <c r="AT19" s="706"/>
      <c r="AU19" s="706"/>
      <c r="AV19" s="706"/>
      <c r="AW19" s="706"/>
      <c r="AX19" s="706"/>
      <c r="AY19" s="707"/>
      <c r="AZ19" s="713"/>
      <c r="BA19" s="714"/>
      <c r="BB19" s="229">
        <v>3</v>
      </c>
      <c r="BC19" s="657"/>
      <c r="BD19" s="658"/>
      <c r="BE19" s="658"/>
      <c r="BF19" s="659"/>
      <c r="BG19" s="660"/>
      <c r="BH19" s="661"/>
      <c r="BI19" s="228"/>
      <c r="BJ19" s="662"/>
      <c r="BK19" s="663"/>
      <c r="BL19" s="663"/>
      <c r="BM19" s="663"/>
      <c r="BN19" s="663"/>
      <c r="BO19" s="664"/>
      <c r="BP19" s="662"/>
      <c r="BQ19" s="663"/>
      <c r="BR19" s="663"/>
      <c r="BS19" s="663"/>
      <c r="BT19" s="663"/>
      <c r="BU19" s="664"/>
      <c r="BV19" s="662"/>
      <c r="BW19" s="663"/>
      <c r="BX19" s="663"/>
      <c r="BY19" s="663"/>
      <c r="BZ19" s="663"/>
      <c r="CA19" s="664"/>
      <c r="CB19" s="657"/>
      <c r="CC19" s="658"/>
      <c r="CD19" s="658"/>
      <c r="CE19" s="659"/>
      <c r="CF19" s="651"/>
      <c r="CG19" s="652"/>
      <c r="CH19" s="652"/>
      <c r="CI19" s="652"/>
      <c r="CJ19" s="653"/>
      <c r="CK19" s="651"/>
      <c r="CL19" s="652"/>
      <c r="CM19" s="652"/>
      <c r="CN19" s="652"/>
      <c r="CO19" s="653"/>
      <c r="CP19" s="651"/>
      <c r="CQ19" s="652"/>
      <c r="CR19" s="652"/>
      <c r="CS19" s="652"/>
      <c r="CT19" s="653"/>
      <c r="CU19" s="654"/>
      <c r="CV19" s="655"/>
      <c r="CW19" s="655"/>
      <c r="CX19" s="655"/>
      <c r="CY19" s="656"/>
      <c r="DA19" s="197"/>
    </row>
    <row r="20" spans="1:105" ht="16.5">
      <c r="A20" s="682"/>
      <c r="B20" s="225"/>
      <c r="C20" s="228" t="str">
        <f t="shared" ca="1" si="2"/>
        <v/>
      </c>
      <c r="D20" s="686"/>
      <c r="E20" s="687"/>
      <c r="F20" s="687"/>
      <c r="G20" s="687"/>
      <c r="H20" s="687"/>
      <c r="I20" s="687"/>
      <c r="J20" s="687"/>
      <c r="K20" s="692"/>
      <c r="L20" s="693"/>
      <c r="M20" s="693"/>
      <c r="N20" s="693"/>
      <c r="O20" s="693"/>
      <c r="P20" s="693"/>
      <c r="Q20" s="693"/>
      <c r="R20" s="444"/>
      <c r="S20" s="445"/>
      <c r="T20" s="696"/>
      <c r="U20" s="697"/>
      <c r="V20" s="692"/>
      <c r="W20" s="693"/>
      <c r="X20" s="693"/>
      <c r="Y20" s="693"/>
      <c r="Z20" s="693"/>
      <c r="AA20" s="693"/>
      <c r="AB20" s="693"/>
      <c r="AC20" s="693"/>
      <c r="AD20" s="692"/>
      <c r="AE20" s="693"/>
      <c r="AF20" s="693"/>
      <c r="AG20" s="693"/>
      <c r="AH20" s="693"/>
      <c r="AI20" s="693"/>
      <c r="AJ20" s="693"/>
      <c r="AK20" s="701"/>
      <c r="AL20" s="692"/>
      <c r="AM20" s="693"/>
      <c r="AN20" s="693"/>
      <c r="AO20" s="693"/>
      <c r="AP20" s="693"/>
      <c r="AQ20" s="693"/>
      <c r="AR20" s="701"/>
      <c r="AS20" s="705"/>
      <c r="AT20" s="706"/>
      <c r="AU20" s="706"/>
      <c r="AV20" s="706"/>
      <c r="AW20" s="706"/>
      <c r="AX20" s="706"/>
      <c r="AY20" s="707"/>
      <c r="AZ20" s="713"/>
      <c r="BA20" s="714"/>
      <c r="BB20" s="229">
        <v>4</v>
      </c>
      <c r="BC20" s="657"/>
      <c r="BD20" s="658"/>
      <c r="BE20" s="658"/>
      <c r="BF20" s="659"/>
      <c r="BG20" s="660"/>
      <c r="BH20" s="661"/>
      <c r="BI20" s="228"/>
      <c r="BJ20" s="662"/>
      <c r="BK20" s="663"/>
      <c r="BL20" s="663"/>
      <c r="BM20" s="663"/>
      <c r="BN20" s="663"/>
      <c r="BO20" s="664"/>
      <c r="BP20" s="662"/>
      <c r="BQ20" s="663"/>
      <c r="BR20" s="663"/>
      <c r="BS20" s="663"/>
      <c r="BT20" s="663"/>
      <c r="BU20" s="664"/>
      <c r="BV20" s="662"/>
      <c r="BW20" s="663"/>
      <c r="BX20" s="663"/>
      <c r="BY20" s="663"/>
      <c r="BZ20" s="663"/>
      <c r="CA20" s="664"/>
      <c r="CB20" s="657"/>
      <c r="CC20" s="658"/>
      <c r="CD20" s="658"/>
      <c r="CE20" s="659"/>
      <c r="CF20" s="651"/>
      <c r="CG20" s="652"/>
      <c r="CH20" s="652"/>
      <c r="CI20" s="652"/>
      <c r="CJ20" s="653"/>
      <c r="CK20" s="651"/>
      <c r="CL20" s="652"/>
      <c r="CM20" s="652"/>
      <c r="CN20" s="652"/>
      <c r="CO20" s="653"/>
      <c r="CP20" s="651"/>
      <c r="CQ20" s="652"/>
      <c r="CR20" s="652"/>
      <c r="CS20" s="652"/>
      <c r="CT20" s="653"/>
      <c r="CU20" s="654"/>
      <c r="CV20" s="655"/>
      <c r="CW20" s="655"/>
      <c r="CX20" s="655"/>
      <c r="CY20" s="656"/>
      <c r="DA20" s="197"/>
    </row>
    <row r="21" spans="1:105" ht="16.5">
      <c r="A21" s="682"/>
      <c r="B21" s="225"/>
      <c r="C21" s="228" t="str">
        <f t="shared" ca="1" si="2"/>
        <v/>
      </c>
      <c r="D21" s="686"/>
      <c r="E21" s="687"/>
      <c r="F21" s="687"/>
      <c r="G21" s="687"/>
      <c r="H21" s="687"/>
      <c r="I21" s="687"/>
      <c r="J21" s="687"/>
      <c r="K21" s="692"/>
      <c r="L21" s="693"/>
      <c r="M21" s="693"/>
      <c r="N21" s="693"/>
      <c r="O21" s="693"/>
      <c r="P21" s="693"/>
      <c r="Q21" s="693"/>
      <c r="R21" s="444"/>
      <c r="S21" s="445"/>
      <c r="T21" s="696"/>
      <c r="U21" s="697"/>
      <c r="V21" s="692"/>
      <c r="W21" s="693"/>
      <c r="X21" s="693"/>
      <c r="Y21" s="693"/>
      <c r="Z21" s="693"/>
      <c r="AA21" s="693"/>
      <c r="AB21" s="693"/>
      <c r="AC21" s="693"/>
      <c r="AD21" s="692"/>
      <c r="AE21" s="693"/>
      <c r="AF21" s="693"/>
      <c r="AG21" s="693"/>
      <c r="AH21" s="693"/>
      <c r="AI21" s="693"/>
      <c r="AJ21" s="693"/>
      <c r="AK21" s="701"/>
      <c r="AL21" s="692"/>
      <c r="AM21" s="693"/>
      <c r="AN21" s="693"/>
      <c r="AO21" s="693"/>
      <c r="AP21" s="693"/>
      <c r="AQ21" s="693"/>
      <c r="AR21" s="701"/>
      <c r="AS21" s="705"/>
      <c r="AT21" s="706"/>
      <c r="AU21" s="706"/>
      <c r="AV21" s="706"/>
      <c r="AW21" s="706"/>
      <c r="AX21" s="706"/>
      <c r="AY21" s="707"/>
      <c r="AZ21" s="713"/>
      <c r="BA21" s="714"/>
      <c r="BB21" s="229">
        <v>5</v>
      </c>
      <c r="BC21" s="657"/>
      <c r="BD21" s="658"/>
      <c r="BE21" s="658"/>
      <c r="BF21" s="659"/>
      <c r="BG21" s="660"/>
      <c r="BH21" s="661"/>
      <c r="BI21" s="228"/>
      <c r="BJ21" s="662"/>
      <c r="BK21" s="663"/>
      <c r="BL21" s="663"/>
      <c r="BM21" s="663"/>
      <c r="BN21" s="663"/>
      <c r="BO21" s="664"/>
      <c r="BP21" s="662"/>
      <c r="BQ21" s="663"/>
      <c r="BR21" s="663"/>
      <c r="BS21" s="663"/>
      <c r="BT21" s="663"/>
      <c r="BU21" s="664"/>
      <c r="BV21" s="662"/>
      <c r="BW21" s="663"/>
      <c r="BX21" s="663"/>
      <c r="BY21" s="663"/>
      <c r="BZ21" s="663"/>
      <c r="CA21" s="664"/>
      <c r="CB21" s="657"/>
      <c r="CC21" s="658"/>
      <c r="CD21" s="658"/>
      <c r="CE21" s="659"/>
      <c r="CF21" s="651"/>
      <c r="CG21" s="652"/>
      <c r="CH21" s="652"/>
      <c r="CI21" s="652"/>
      <c r="CJ21" s="653"/>
      <c r="CK21" s="651"/>
      <c r="CL21" s="652"/>
      <c r="CM21" s="652"/>
      <c r="CN21" s="652"/>
      <c r="CO21" s="653"/>
      <c r="CP21" s="651"/>
      <c r="CQ21" s="652"/>
      <c r="CR21" s="652"/>
      <c r="CS21" s="652"/>
      <c r="CT21" s="653"/>
      <c r="CU21" s="654"/>
      <c r="CV21" s="655"/>
      <c r="CW21" s="655"/>
      <c r="CX21" s="655"/>
      <c r="CY21" s="656"/>
      <c r="DA21" s="197"/>
    </row>
    <row r="22" spans="1:105" ht="16.5">
      <c r="A22" s="683"/>
      <c r="B22" s="230"/>
      <c r="C22" s="231" t="str">
        <f t="shared" ca="1" si="2"/>
        <v/>
      </c>
      <c r="D22" s="688"/>
      <c r="E22" s="689"/>
      <c r="F22" s="689"/>
      <c r="G22" s="689"/>
      <c r="H22" s="689"/>
      <c r="I22" s="689"/>
      <c r="J22" s="689"/>
      <c r="K22" s="648"/>
      <c r="L22" s="649"/>
      <c r="M22" s="649"/>
      <c r="N22" s="649"/>
      <c r="O22" s="649"/>
      <c r="P22" s="649"/>
      <c r="Q22" s="649"/>
      <c r="R22" s="446"/>
      <c r="S22" s="447"/>
      <c r="T22" s="698"/>
      <c r="U22" s="699"/>
      <c r="V22" s="648"/>
      <c r="W22" s="649"/>
      <c r="X22" s="649"/>
      <c r="Y22" s="649"/>
      <c r="Z22" s="649"/>
      <c r="AA22" s="649"/>
      <c r="AB22" s="649"/>
      <c r="AC22" s="649"/>
      <c r="AD22" s="648"/>
      <c r="AE22" s="649"/>
      <c r="AF22" s="649"/>
      <c r="AG22" s="649"/>
      <c r="AH22" s="649"/>
      <c r="AI22" s="649"/>
      <c r="AJ22" s="649"/>
      <c r="AK22" s="650"/>
      <c r="AL22" s="648"/>
      <c r="AM22" s="649"/>
      <c r="AN22" s="649"/>
      <c r="AO22" s="649"/>
      <c r="AP22" s="649"/>
      <c r="AQ22" s="649"/>
      <c r="AR22" s="650"/>
      <c r="AS22" s="708"/>
      <c r="AT22" s="709"/>
      <c r="AU22" s="709"/>
      <c r="AV22" s="709"/>
      <c r="AW22" s="709"/>
      <c r="AX22" s="709"/>
      <c r="AY22" s="710"/>
      <c r="AZ22" s="715"/>
      <c r="BA22" s="716"/>
      <c r="BB22" s="232">
        <v>6</v>
      </c>
      <c r="BC22" s="673"/>
      <c r="BD22" s="674"/>
      <c r="BE22" s="674"/>
      <c r="BF22" s="675"/>
      <c r="BG22" s="676"/>
      <c r="BH22" s="677"/>
      <c r="BI22" s="231"/>
      <c r="BJ22" s="678"/>
      <c r="BK22" s="679"/>
      <c r="BL22" s="679"/>
      <c r="BM22" s="679"/>
      <c r="BN22" s="679"/>
      <c r="BO22" s="680"/>
      <c r="BP22" s="678"/>
      <c r="BQ22" s="679"/>
      <c r="BR22" s="679"/>
      <c r="BS22" s="679"/>
      <c r="BT22" s="679"/>
      <c r="BU22" s="680"/>
      <c r="BV22" s="678"/>
      <c r="BW22" s="679"/>
      <c r="BX22" s="679"/>
      <c r="BY22" s="679"/>
      <c r="BZ22" s="679"/>
      <c r="CA22" s="680"/>
      <c r="CB22" s="673"/>
      <c r="CC22" s="674"/>
      <c r="CD22" s="674"/>
      <c r="CE22" s="675"/>
      <c r="CF22" s="651"/>
      <c r="CG22" s="652"/>
      <c r="CH22" s="652"/>
      <c r="CI22" s="652"/>
      <c r="CJ22" s="653"/>
      <c r="CK22" s="651"/>
      <c r="CL22" s="652"/>
      <c r="CM22" s="652"/>
      <c r="CN22" s="652"/>
      <c r="CO22" s="653"/>
      <c r="CP22" s="651"/>
      <c r="CQ22" s="652"/>
      <c r="CR22" s="652"/>
      <c r="CS22" s="652"/>
      <c r="CT22" s="653"/>
      <c r="CU22" s="654"/>
      <c r="CV22" s="655"/>
      <c r="CW22" s="655"/>
      <c r="CX22" s="655"/>
      <c r="CY22" s="656"/>
      <c r="DA22" s="197"/>
    </row>
    <row r="23" spans="1:105" ht="16.5">
      <c r="A23" s="681">
        <v>3</v>
      </c>
      <c r="B23" s="225"/>
      <c r="C23" s="226" t="str">
        <f t="shared" ca="1" si="2"/>
        <v/>
      </c>
      <c r="D23" s="684"/>
      <c r="E23" s="685"/>
      <c r="F23" s="685"/>
      <c r="G23" s="685"/>
      <c r="H23" s="685"/>
      <c r="I23" s="685"/>
      <c r="J23" s="685"/>
      <c r="K23" s="690" t="s">
        <v>336</v>
      </c>
      <c r="L23" s="691"/>
      <c r="M23" s="691"/>
      <c r="N23" s="691"/>
      <c r="O23" s="691"/>
      <c r="P23" s="691"/>
      <c r="Q23" s="691"/>
      <c r="R23" s="442" t="s">
        <v>186</v>
      </c>
      <c r="S23" s="443"/>
      <c r="T23" s="694"/>
      <c r="U23" s="695"/>
      <c r="V23" s="690"/>
      <c r="W23" s="691"/>
      <c r="X23" s="691"/>
      <c r="Y23" s="691"/>
      <c r="Z23" s="691"/>
      <c r="AA23" s="691"/>
      <c r="AB23" s="691"/>
      <c r="AC23" s="691"/>
      <c r="AD23" s="690"/>
      <c r="AE23" s="691"/>
      <c r="AF23" s="691"/>
      <c r="AG23" s="691"/>
      <c r="AH23" s="691"/>
      <c r="AI23" s="691"/>
      <c r="AJ23" s="691"/>
      <c r="AK23" s="700"/>
      <c r="AL23" s="690"/>
      <c r="AM23" s="691"/>
      <c r="AN23" s="691"/>
      <c r="AO23" s="691"/>
      <c r="AP23" s="691"/>
      <c r="AQ23" s="691"/>
      <c r="AR23" s="700"/>
      <c r="AS23" s="702"/>
      <c r="AT23" s="703"/>
      <c r="AU23" s="703"/>
      <c r="AV23" s="703"/>
      <c r="AW23" s="703"/>
      <c r="AX23" s="703"/>
      <c r="AY23" s="704"/>
      <c r="AZ23" s="711"/>
      <c r="BA23" s="712"/>
      <c r="BB23" s="227">
        <v>1</v>
      </c>
      <c r="BC23" s="668"/>
      <c r="BD23" s="669"/>
      <c r="BE23" s="669"/>
      <c r="BF23" s="670"/>
      <c r="BG23" s="671"/>
      <c r="BH23" s="672"/>
      <c r="BI23" s="226"/>
      <c r="BJ23" s="665"/>
      <c r="BK23" s="666"/>
      <c r="BL23" s="666"/>
      <c r="BM23" s="666"/>
      <c r="BN23" s="666"/>
      <c r="BO23" s="667"/>
      <c r="BP23" s="665"/>
      <c r="BQ23" s="666"/>
      <c r="BR23" s="666"/>
      <c r="BS23" s="666"/>
      <c r="BT23" s="666"/>
      <c r="BU23" s="667"/>
      <c r="BV23" s="665"/>
      <c r="BW23" s="666"/>
      <c r="BX23" s="666"/>
      <c r="BY23" s="666"/>
      <c r="BZ23" s="666"/>
      <c r="CA23" s="667"/>
      <c r="CB23" s="668"/>
      <c r="CC23" s="669"/>
      <c r="CD23" s="669"/>
      <c r="CE23" s="670"/>
      <c r="CF23" s="648"/>
      <c r="CG23" s="649"/>
      <c r="CH23" s="649"/>
      <c r="CI23" s="649"/>
      <c r="CJ23" s="650"/>
      <c r="CK23" s="648"/>
      <c r="CL23" s="649"/>
      <c r="CM23" s="649"/>
      <c r="CN23" s="649"/>
      <c r="CO23" s="650"/>
      <c r="CP23" s="648"/>
      <c r="CQ23" s="649"/>
      <c r="CR23" s="649"/>
      <c r="CS23" s="649"/>
      <c r="CT23" s="650"/>
      <c r="CU23" s="654"/>
      <c r="CV23" s="655"/>
      <c r="CW23" s="655"/>
      <c r="CX23" s="655"/>
      <c r="CY23" s="656"/>
      <c r="DA23" s="197"/>
    </row>
    <row r="24" spans="1:105" ht="16.5">
      <c r="A24" s="682"/>
      <c r="B24" s="225"/>
      <c r="C24" s="228" t="str">
        <f t="shared" ca="1" si="2"/>
        <v/>
      </c>
      <c r="D24" s="686"/>
      <c r="E24" s="687"/>
      <c r="F24" s="687"/>
      <c r="G24" s="687"/>
      <c r="H24" s="687"/>
      <c r="I24" s="687"/>
      <c r="J24" s="687"/>
      <c r="K24" s="692"/>
      <c r="L24" s="693"/>
      <c r="M24" s="693"/>
      <c r="N24" s="693"/>
      <c r="O24" s="693"/>
      <c r="P24" s="693"/>
      <c r="Q24" s="693"/>
      <c r="R24" s="444"/>
      <c r="S24" s="445"/>
      <c r="T24" s="696"/>
      <c r="U24" s="697"/>
      <c r="V24" s="692"/>
      <c r="W24" s="693"/>
      <c r="X24" s="693"/>
      <c r="Y24" s="693"/>
      <c r="Z24" s="693"/>
      <c r="AA24" s="693"/>
      <c r="AB24" s="693"/>
      <c r="AC24" s="693"/>
      <c r="AD24" s="692"/>
      <c r="AE24" s="693"/>
      <c r="AF24" s="693"/>
      <c r="AG24" s="693"/>
      <c r="AH24" s="693"/>
      <c r="AI24" s="693"/>
      <c r="AJ24" s="693"/>
      <c r="AK24" s="701"/>
      <c r="AL24" s="692"/>
      <c r="AM24" s="693"/>
      <c r="AN24" s="693"/>
      <c r="AO24" s="693"/>
      <c r="AP24" s="693"/>
      <c r="AQ24" s="693"/>
      <c r="AR24" s="701"/>
      <c r="AS24" s="705"/>
      <c r="AT24" s="706"/>
      <c r="AU24" s="706"/>
      <c r="AV24" s="706"/>
      <c r="AW24" s="706"/>
      <c r="AX24" s="706"/>
      <c r="AY24" s="707"/>
      <c r="AZ24" s="713"/>
      <c r="BA24" s="714"/>
      <c r="BB24" s="229">
        <v>2</v>
      </c>
      <c r="BC24" s="657"/>
      <c r="BD24" s="658"/>
      <c r="BE24" s="658"/>
      <c r="BF24" s="659"/>
      <c r="BG24" s="660"/>
      <c r="BH24" s="661"/>
      <c r="BI24" s="228"/>
      <c r="BJ24" s="662"/>
      <c r="BK24" s="663"/>
      <c r="BL24" s="663"/>
      <c r="BM24" s="663"/>
      <c r="BN24" s="663"/>
      <c r="BO24" s="664"/>
      <c r="BP24" s="662"/>
      <c r="BQ24" s="663"/>
      <c r="BR24" s="663"/>
      <c r="BS24" s="663"/>
      <c r="BT24" s="663"/>
      <c r="BU24" s="664"/>
      <c r="BV24" s="662"/>
      <c r="BW24" s="663"/>
      <c r="BX24" s="663"/>
      <c r="BY24" s="663"/>
      <c r="BZ24" s="663"/>
      <c r="CA24" s="664"/>
      <c r="CB24" s="657"/>
      <c r="CC24" s="658"/>
      <c r="CD24" s="658"/>
      <c r="CE24" s="659"/>
      <c r="CF24" s="651"/>
      <c r="CG24" s="652"/>
      <c r="CH24" s="652"/>
      <c r="CI24" s="652"/>
      <c r="CJ24" s="653"/>
      <c r="CK24" s="651"/>
      <c r="CL24" s="652"/>
      <c r="CM24" s="652"/>
      <c r="CN24" s="652"/>
      <c r="CO24" s="653"/>
      <c r="CP24" s="651"/>
      <c r="CQ24" s="652"/>
      <c r="CR24" s="652"/>
      <c r="CS24" s="652"/>
      <c r="CT24" s="653"/>
      <c r="CU24" s="654"/>
      <c r="CV24" s="655"/>
      <c r="CW24" s="655"/>
      <c r="CX24" s="655"/>
      <c r="CY24" s="656"/>
      <c r="DA24" s="197"/>
    </row>
    <row r="25" spans="1:105" ht="16.5">
      <c r="A25" s="682"/>
      <c r="B25" s="225"/>
      <c r="C25" s="228" t="str">
        <f t="shared" ca="1" si="2"/>
        <v/>
      </c>
      <c r="D25" s="686"/>
      <c r="E25" s="687"/>
      <c r="F25" s="687"/>
      <c r="G25" s="687"/>
      <c r="H25" s="687"/>
      <c r="I25" s="687"/>
      <c r="J25" s="687"/>
      <c r="K25" s="692"/>
      <c r="L25" s="693"/>
      <c r="M25" s="693"/>
      <c r="N25" s="693"/>
      <c r="O25" s="693"/>
      <c r="P25" s="693"/>
      <c r="Q25" s="693"/>
      <c r="R25" s="444"/>
      <c r="S25" s="445"/>
      <c r="T25" s="696"/>
      <c r="U25" s="697"/>
      <c r="V25" s="692"/>
      <c r="W25" s="693"/>
      <c r="X25" s="693"/>
      <c r="Y25" s="693"/>
      <c r="Z25" s="693"/>
      <c r="AA25" s="693"/>
      <c r="AB25" s="693"/>
      <c r="AC25" s="693"/>
      <c r="AD25" s="692"/>
      <c r="AE25" s="693"/>
      <c r="AF25" s="693"/>
      <c r="AG25" s="693"/>
      <c r="AH25" s="693"/>
      <c r="AI25" s="693"/>
      <c r="AJ25" s="693"/>
      <c r="AK25" s="701"/>
      <c r="AL25" s="692"/>
      <c r="AM25" s="693"/>
      <c r="AN25" s="693"/>
      <c r="AO25" s="693"/>
      <c r="AP25" s="693"/>
      <c r="AQ25" s="693"/>
      <c r="AR25" s="701"/>
      <c r="AS25" s="705"/>
      <c r="AT25" s="706"/>
      <c r="AU25" s="706"/>
      <c r="AV25" s="706"/>
      <c r="AW25" s="706"/>
      <c r="AX25" s="706"/>
      <c r="AY25" s="707"/>
      <c r="AZ25" s="713"/>
      <c r="BA25" s="714"/>
      <c r="BB25" s="229">
        <v>3</v>
      </c>
      <c r="BC25" s="657"/>
      <c r="BD25" s="658"/>
      <c r="BE25" s="658"/>
      <c r="BF25" s="659"/>
      <c r="BG25" s="660"/>
      <c r="BH25" s="661"/>
      <c r="BI25" s="228"/>
      <c r="BJ25" s="662"/>
      <c r="BK25" s="663"/>
      <c r="BL25" s="663"/>
      <c r="BM25" s="663"/>
      <c r="BN25" s="663"/>
      <c r="BO25" s="664"/>
      <c r="BP25" s="662"/>
      <c r="BQ25" s="663"/>
      <c r="BR25" s="663"/>
      <c r="BS25" s="663"/>
      <c r="BT25" s="663"/>
      <c r="BU25" s="664"/>
      <c r="BV25" s="662"/>
      <c r="BW25" s="663"/>
      <c r="BX25" s="663"/>
      <c r="BY25" s="663"/>
      <c r="BZ25" s="663"/>
      <c r="CA25" s="664"/>
      <c r="CB25" s="657"/>
      <c r="CC25" s="658"/>
      <c r="CD25" s="658"/>
      <c r="CE25" s="659"/>
      <c r="CF25" s="651"/>
      <c r="CG25" s="652"/>
      <c r="CH25" s="652"/>
      <c r="CI25" s="652"/>
      <c r="CJ25" s="653"/>
      <c r="CK25" s="651"/>
      <c r="CL25" s="652"/>
      <c r="CM25" s="652"/>
      <c r="CN25" s="652"/>
      <c r="CO25" s="653"/>
      <c r="CP25" s="651"/>
      <c r="CQ25" s="652"/>
      <c r="CR25" s="652"/>
      <c r="CS25" s="652"/>
      <c r="CT25" s="653"/>
      <c r="CU25" s="654"/>
      <c r="CV25" s="655"/>
      <c r="CW25" s="655"/>
      <c r="CX25" s="655"/>
      <c r="CY25" s="656"/>
      <c r="DA25" s="197"/>
    </row>
    <row r="26" spans="1:105" ht="16.5">
      <c r="A26" s="682"/>
      <c r="B26" s="225"/>
      <c r="C26" s="228" t="str">
        <f t="shared" ca="1" si="2"/>
        <v/>
      </c>
      <c r="D26" s="686"/>
      <c r="E26" s="687"/>
      <c r="F26" s="687"/>
      <c r="G26" s="687"/>
      <c r="H26" s="687"/>
      <c r="I26" s="687"/>
      <c r="J26" s="687"/>
      <c r="K26" s="692"/>
      <c r="L26" s="693"/>
      <c r="M26" s="693"/>
      <c r="N26" s="693"/>
      <c r="O26" s="693"/>
      <c r="P26" s="693"/>
      <c r="Q26" s="693"/>
      <c r="R26" s="444"/>
      <c r="S26" s="445"/>
      <c r="T26" s="696"/>
      <c r="U26" s="697"/>
      <c r="V26" s="692"/>
      <c r="W26" s="693"/>
      <c r="X26" s="693"/>
      <c r="Y26" s="693"/>
      <c r="Z26" s="693"/>
      <c r="AA26" s="693"/>
      <c r="AB26" s="693"/>
      <c r="AC26" s="693"/>
      <c r="AD26" s="692"/>
      <c r="AE26" s="693"/>
      <c r="AF26" s="693"/>
      <c r="AG26" s="693"/>
      <c r="AH26" s="693"/>
      <c r="AI26" s="693"/>
      <c r="AJ26" s="693"/>
      <c r="AK26" s="701"/>
      <c r="AL26" s="692"/>
      <c r="AM26" s="693"/>
      <c r="AN26" s="693"/>
      <c r="AO26" s="693"/>
      <c r="AP26" s="693"/>
      <c r="AQ26" s="693"/>
      <c r="AR26" s="701"/>
      <c r="AS26" s="705"/>
      <c r="AT26" s="706"/>
      <c r="AU26" s="706"/>
      <c r="AV26" s="706"/>
      <c r="AW26" s="706"/>
      <c r="AX26" s="706"/>
      <c r="AY26" s="707"/>
      <c r="AZ26" s="713"/>
      <c r="BA26" s="714"/>
      <c r="BB26" s="229">
        <v>4</v>
      </c>
      <c r="BC26" s="657"/>
      <c r="BD26" s="658"/>
      <c r="BE26" s="658"/>
      <c r="BF26" s="659"/>
      <c r="BG26" s="660"/>
      <c r="BH26" s="661"/>
      <c r="BI26" s="228"/>
      <c r="BJ26" s="662"/>
      <c r="BK26" s="663"/>
      <c r="BL26" s="663"/>
      <c r="BM26" s="663"/>
      <c r="BN26" s="663"/>
      <c r="BO26" s="664"/>
      <c r="BP26" s="662"/>
      <c r="BQ26" s="663"/>
      <c r="BR26" s="663"/>
      <c r="BS26" s="663"/>
      <c r="BT26" s="663"/>
      <c r="BU26" s="664"/>
      <c r="BV26" s="662"/>
      <c r="BW26" s="663"/>
      <c r="BX26" s="663"/>
      <c r="BY26" s="663"/>
      <c r="BZ26" s="663"/>
      <c r="CA26" s="664"/>
      <c r="CB26" s="657"/>
      <c r="CC26" s="658"/>
      <c r="CD26" s="658"/>
      <c r="CE26" s="659"/>
      <c r="CF26" s="651"/>
      <c r="CG26" s="652"/>
      <c r="CH26" s="652"/>
      <c r="CI26" s="652"/>
      <c r="CJ26" s="653"/>
      <c r="CK26" s="651"/>
      <c r="CL26" s="652"/>
      <c r="CM26" s="652"/>
      <c r="CN26" s="652"/>
      <c r="CO26" s="653"/>
      <c r="CP26" s="651"/>
      <c r="CQ26" s="652"/>
      <c r="CR26" s="652"/>
      <c r="CS26" s="652"/>
      <c r="CT26" s="653"/>
      <c r="CU26" s="654"/>
      <c r="CV26" s="655"/>
      <c r="CW26" s="655"/>
      <c r="CX26" s="655"/>
      <c r="CY26" s="656"/>
      <c r="DA26" s="197"/>
    </row>
    <row r="27" spans="1:105" ht="16.5">
      <c r="A27" s="682"/>
      <c r="B27" s="225"/>
      <c r="C27" s="228" t="str">
        <f t="shared" ca="1" si="2"/>
        <v/>
      </c>
      <c r="D27" s="686"/>
      <c r="E27" s="687"/>
      <c r="F27" s="687"/>
      <c r="G27" s="687"/>
      <c r="H27" s="687"/>
      <c r="I27" s="687"/>
      <c r="J27" s="687"/>
      <c r="K27" s="692"/>
      <c r="L27" s="693"/>
      <c r="M27" s="693"/>
      <c r="N27" s="693"/>
      <c r="O27" s="693"/>
      <c r="P27" s="693"/>
      <c r="Q27" s="693"/>
      <c r="R27" s="444"/>
      <c r="S27" s="445"/>
      <c r="T27" s="696"/>
      <c r="U27" s="697"/>
      <c r="V27" s="692"/>
      <c r="W27" s="693"/>
      <c r="X27" s="693"/>
      <c r="Y27" s="693"/>
      <c r="Z27" s="693"/>
      <c r="AA27" s="693"/>
      <c r="AB27" s="693"/>
      <c r="AC27" s="693"/>
      <c r="AD27" s="692"/>
      <c r="AE27" s="693"/>
      <c r="AF27" s="693"/>
      <c r="AG27" s="693"/>
      <c r="AH27" s="693"/>
      <c r="AI27" s="693"/>
      <c r="AJ27" s="693"/>
      <c r="AK27" s="701"/>
      <c r="AL27" s="692"/>
      <c r="AM27" s="693"/>
      <c r="AN27" s="693"/>
      <c r="AO27" s="693"/>
      <c r="AP27" s="693"/>
      <c r="AQ27" s="693"/>
      <c r="AR27" s="701"/>
      <c r="AS27" s="705"/>
      <c r="AT27" s="706"/>
      <c r="AU27" s="706"/>
      <c r="AV27" s="706"/>
      <c r="AW27" s="706"/>
      <c r="AX27" s="706"/>
      <c r="AY27" s="707"/>
      <c r="AZ27" s="713"/>
      <c r="BA27" s="714"/>
      <c r="BB27" s="229">
        <v>5</v>
      </c>
      <c r="BC27" s="657"/>
      <c r="BD27" s="658"/>
      <c r="BE27" s="658"/>
      <c r="BF27" s="659"/>
      <c r="BG27" s="660"/>
      <c r="BH27" s="661"/>
      <c r="BI27" s="228"/>
      <c r="BJ27" s="662"/>
      <c r="BK27" s="663"/>
      <c r="BL27" s="663"/>
      <c r="BM27" s="663"/>
      <c r="BN27" s="663"/>
      <c r="BO27" s="664"/>
      <c r="BP27" s="662"/>
      <c r="BQ27" s="663"/>
      <c r="BR27" s="663"/>
      <c r="BS27" s="663"/>
      <c r="BT27" s="663"/>
      <c r="BU27" s="664"/>
      <c r="BV27" s="662"/>
      <c r="BW27" s="663"/>
      <c r="BX27" s="663"/>
      <c r="BY27" s="663"/>
      <c r="BZ27" s="663"/>
      <c r="CA27" s="664"/>
      <c r="CB27" s="657"/>
      <c r="CC27" s="658"/>
      <c r="CD27" s="658"/>
      <c r="CE27" s="659"/>
      <c r="CF27" s="651"/>
      <c r="CG27" s="652"/>
      <c r="CH27" s="652"/>
      <c r="CI27" s="652"/>
      <c r="CJ27" s="653"/>
      <c r="CK27" s="651"/>
      <c r="CL27" s="652"/>
      <c r="CM27" s="652"/>
      <c r="CN27" s="652"/>
      <c r="CO27" s="653"/>
      <c r="CP27" s="651"/>
      <c r="CQ27" s="652"/>
      <c r="CR27" s="652"/>
      <c r="CS27" s="652"/>
      <c r="CT27" s="653"/>
      <c r="CU27" s="654"/>
      <c r="CV27" s="655"/>
      <c r="CW27" s="655"/>
      <c r="CX27" s="655"/>
      <c r="CY27" s="656"/>
      <c r="DA27" s="197"/>
    </row>
    <row r="28" spans="1:105" ht="16.5">
      <c r="A28" s="683"/>
      <c r="B28" s="230"/>
      <c r="C28" s="231" t="str">
        <f t="shared" ca="1" si="2"/>
        <v/>
      </c>
      <c r="D28" s="688"/>
      <c r="E28" s="689"/>
      <c r="F28" s="689"/>
      <c r="G28" s="689"/>
      <c r="H28" s="689"/>
      <c r="I28" s="689"/>
      <c r="J28" s="689"/>
      <c r="K28" s="648"/>
      <c r="L28" s="649"/>
      <c r="M28" s="649"/>
      <c r="N28" s="649"/>
      <c r="O28" s="649"/>
      <c r="P28" s="649"/>
      <c r="Q28" s="649"/>
      <c r="R28" s="446"/>
      <c r="S28" s="447"/>
      <c r="T28" s="698"/>
      <c r="U28" s="699"/>
      <c r="V28" s="648"/>
      <c r="W28" s="649"/>
      <c r="X28" s="649"/>
      <c r="Y28" s="649"/>
      <c r="Z28" s="649"/>
      <c r="AA28" s="649"/>
      <c r="AB28" s="649"/>
      <c r="AC28" s="649"/>
      <c r="AD28" s="648"/>
      <c r="AE28" s="649"/>
      <c r="AF28" s="649"/>
      <c r="AG28" s="649"/>
      <c r="AH28" s="649"/>
      <c r="AI28" s="649"/>
      <c r="AJ28" s="649"/>
      <c r="AK28" s="650"/>
      <c r="AL28" s="648"/>
      <c r="AM28" s="649"/>
      <c r="AN28" s="649"/>
      <c r="AO28" s="649"/>
      <c r="AP28" s="649"/>
      <c r="AQ28" s="649"/>
      <c r="AR28" s="650"/>
      <c r="AS28" s="708"/>
      <c r="AT28" s="709"/>
      <c r="AU28" s="709"/>
      <c r="AV28" s="709"/>
      <c r="AW28" s="709"/>
      <c r="AX28" s="709"/>
      <c r="AY28" s="710"/>
      <c r="AZ28" s="715"/>
      <c r="BA28" s="716"/>
      <c r="BB28" s="232">
        <v>6</v>
      </c>
      <c r="BC28" s="673"/>
      <c r="BD28" s="674"/>
      <c r="BE28" s="674"/>
      <c r="BF28" s="675"/>
      <c r="BG28" s="676"/>
      <c r="BH28" s="677"/>
      <c r="BI28" s="231"/>
      <c r="BJ28" s="678"/>
      <c r="BK28" s="679"/>
      <c r="BL28" s="679"/>
      <c r="BM28" s="679"/>
      <c r="BN28" s="679"/>
      <c r="BO28" s="680"/>
      <c r="BP28" s="678"/>
      <c r="BQ28" s="679"/>
      <c r="BR28" s="679"/>
      <c r="BS28" s="679"/>
      <c r="BT28" s="679"/>
      <c r="BU28" s="680"/>
      <c r="BV28" s="678"/>
      <c r="BW28" s="679"/>
      <c r="BX28" s="679"/>
      <c r="BY28" s="679"/>
      <c r="BZ28" s="679"/>
      <c r="CA28" s="680"/>
      <c r="CB28" s="673"/>
      <c r="CC28" s="674"/>
      <c r="CD28" s="674"/>
      <c r="CE28" s="675"/>
      <c r="CF28" s="651"/>
      <c r="CG28" s="652"/>
      <c r="CH28" s="652"/>
      <c r="CI28" s="652"/>
      <c r="CJ28" s="653"/>
      <c r="CK28" s="651"/>
      <c r="CL28" s="652"/>
      <c r="CM28" s="652"/>
      <c r="CN28" s="652"/>
      <c r="CO28" s="653"/>
      <c r="CP28" s="651"/>
      <c r="CQ28" s="652"/>
      <c r="CR28" s="652"/>
      <c r="CS28" s="652"/>
      <c r="CT28" s="653"/>
      <c r="CU28" s="654"/>
      <c r="CV28" s="655"/>
      <c r="CW28" s="655"/>
      <c r="CX28" s="655"/>
      <c r="CY28" s="656"/>
      <c r="DA28" s="197"/>
    </row>
    <row r="29" spans="1:105" ht="16.5">
      <c r="A29" s="681">
        <v>4</v>
      </c>
      <c r="B29" s="225"/>
      <c r="C29" s="226" t="str">
        <f t="shared" ca="1" si="2"/>
        <v/>
      </c>
      <c r="D29" s="684"/>
      <c r="E29" s="685"/>
      <c r="F29" s="685"/>
      <c r="G29" s="685"/>
      <c r="H29" s="685"/>
      <c r="I29" s="685"/>
      <c r="J29" s="685"/>
      <c r="K29" s="690" t="s">
        <v>337</v>
      </c>
      <c r="L29" s="691"/>
      <c r="M29" s="691"/>
      <c r="N29" s="691"/>
      <c r="O29" s="691"/>
      <c r="P29" s="691"/>
      <c r="Q29" s="691"/>
      <c r="R29" s="442" t="s">
        <v>186</v>
      </c>
      <c r="S29" s="443"/>
      <c r="T29" s="694"/>
      <c r="U29" s="695"/>
      <c r="V29" s="690"/>
      <c r="W29" s="691"/>
      <c r="X29" s="691"/>
      <c r="Y29" s="691"/>
      <c r="Z29" s="691"/>
      <c r="AA29" s="691"/>
      <c r="AB29" s="691"/>
      <c r="AC29" s="691"/>
      <c r="AD29" s="690"/>
      <c r="AE29" s="691"/>
      <c r="AF29" s="691"/>
      <c r="AG29" s="691"/>
      <c r="AH29" s="691"/>
      <c r="AI29" s="691"/>
      <c r="AJ29" s="691"/>
      <c r="AK29" s="700"/>
      <c r="AL29" s="690"/>
      <c r="AM29" s="691"/>
      <c r="AN29" s="691"/>
      <c r="AO29" s="691"/>
      <c r="AP29" s="691"/>
      <c r="AQ29" s="691"/>
      <c r="AR29" s="700"/>
      <c r="AS29" s="702"/>
      <c r="AT29" s="703"/>
      <c r="AU29" s="703"/>
      <c r="AV29" s="703"/>
      <c r="AW29" s="703"/>
      <c r="AX29" s="703"/>
      <c r="AY29" s="704"/>
      <c r="AZ29" s="711"/>
      <c r="BA29" s="712"/>
      <c r="BB29" s="227">
        <v>1</v>
      </c>
      <c r="BC29" s="668"/>
      <c r="BD29" s="669"/>
      <c r="BE29" s="669"/>
      <c r="BF29" s="670"/>
      <c r="BG29" s="671"/>
      <c r="BH29" s="672"/>
      <c r="BI29" s="226"/>
      <c r="BJ29" s="665"/>
      <c r="BK29" s="666"/>
      <c r="BL29" s="666"/>
      <c r="BM29" s="666"/>
      <c r="BN29" s="666"/>
      <c r="BO29" s="667"/>
      <c r="BP29" s="665"/>
      <c r="BQ29" s="666"/>
      <c r="BR29" s="666"/>
      <c r="BS29" s="666"/>
      <c r="BT29" s="666"/>
      <c r="BU29" s="667"/>
      <c r="BV29" s="665"/>
      <c r="BW29" s="666"/>
      <c r="BX29" s="666"/>
      <c r="BY29" s="666"/>
      <c r="BZ29" s="666"/>
      <c r="CA29" s="667"/>
      <c r="CB29" s="668"/>
      <c r="CC29" s="669"/>
      <c r="CD29" s="669"/>
      <c r="CE29" s="670"/>
      <c r="CF29" s="648"/>
      <c r="CG29" s="649"/>
      <c r="CH29" s="649"/>
      <c r="CI29" s="649"/>
      <c r="CJ29" s="650"/>
      <c r="CK29" s="648"/>
      <c r="CL29" s="649"/>
      <c r="CM29" s="649"/>
      <c r="CN29" s="649"/>
      <c r="CO29" s="650"/>
      <c r="CP29" s="648"/>
      <c r="CQ29" s="649"/>
      <c r="CR29" s="649"/>
      <c r="CS29" s="649"/>
      <c r="CT29" s="650"/>
      <c r="CU29" s="654"/>
      <c r="CV29" s="655"/>
      <c r="CW29" s="655"/>
      <c r="CX29" s="655"/>
      <c r="CY29" s="656"/>
      <c r="DA29" s="197"/>
    </row>
    <row r="30" spans="1:105" ht="16.5">
      <c r="A30" s="682"/>
      <c r="B30" s="225"/>
      <c r="C30" s="228" t="str">
        <f t="shared" ca="1" si="2"/>
        <v/>
      </c>
      <c r="D30" s="686"/>
      <c r="E30" s="687"/>
      <c r="F30" s="687"/>
      <c r="G30" s="687"/>
      <c r="H30" s="687"/>
      <c r="I30" s="687"/>
      <c r="J30" s="687"/>
      <c r="K30" s="692"/>
      <c r="L30" s="693"/>
      <c r="M30" s="693"/>
      <c r="N30" s="693"/>
      <c r="O30" s="693"/>
      <c r="P30" s="693"/>
      <c r="Q30" s="693"/>
      <c r="R30" s="444"/>
      <c r="S30" s="445"/>
      <c r="T30" s="696"/>
      <c r="U30" s="697"/>
      <c r="V30" s="692"/>
      <c r="W30" s="693"/>
      <c r="X30" s="693"/>
      <c r="Y30" s="693"/>
      <c r="Z30" s="693"/>
      <c r="AA30" s="693"/>
      <c r="AB30" s="693"/>
      <c r="AC30" s="693"/>
      <c r="AD30" s="692"/>
      <c r="AE30" s="693"/>
      <c r="AF30" s="693"/>
      <c r="AG30" s="693"/>
      <c r="AH30" s="693"/>
      <c r="AI30" s="693"/>
      <c r="AJ30" s="693"/>
      <c r="AK30" s="701"/>
      <c r="AL30" s="692"/>
      <c r="AM30" s="693"/>
      <c r="AN30" s="693"/>
      <c r="AO30" s="693"/>
      <c r="AP30" s="693"/>
      <c r="AQ30" s="693"/>
      <c r="AR30" s="701"/>
      <c r="AS30" s="705"/>
      <c r="AT30" s="706"/>
      <c r="AU30" s="706"/>
      <c r="AV30" s="706"/>
      <c r="AW30" s="706"/>
      <c r="AX30" s="706"/>
      <c r="AY30" s="707"/>
      <c r="AZ30" s="713"/>
      <c r="BA30" s="714"/>
      <c r="BB30" s="229">
        <v>2</v>
      </c>
      <c r="BC30" s="657"/>
      <c r="BD30" s="658"/>
      <c r="BE30" s="658"/>
      <c r="BF30" s="659"/>
      <c r="BG30" s="660"/>
      <c r="BH30" s="661"/>
      <c r="BI30" s="228"/>
      <c r="BJ30" s="662"/>
      <c r="BK30" s="663"/>
      <c r="BL30" s="663"/>
      <c r="BM30" s="663"/>
      <c r="BN30" s="663"/>
      <c r="BO30" s="664"/>
      <c r="BP30" s="662"/>
      <c r="BQ30" s="663"/>
      <c r="BR30" s="663"/>
      <c r="BS30" s="663"/>
      <c r="BT30" s="663"/>
      <c r="BU30" s="664"/>
      <c r="BV30" s="662"/>
      <c r="BW30" s="663"/>
      <c r="BX30" s="663"/>
      <c r="BY30" s="663"/>
      <c r="BZ30" s="663"/>
      <c r="CA30" s="664"/>
      <c r="CB30" s="657"/>
      <c r="CC30" s="658"/>
      <c r="CD30" s="658"/>
      <c r="CE30" s="659"/>
      <c r="CF30" s="651"/>
      <c r="CG30" s="652"/>
      <c r="CH30" s="652"/>
      <c r="CI30" s="652"/>
      <c r="CJ30" s="653"/>
      <c r="CK30" s="651"/>
      <c r="CL30" s="652"/>
      <c r="CM30" s="652"/>
      <c r="CN30" s="652"/>
      <c r="CO30" s="653"/>
      <c r="CP30" s="651"/>
      <c r="CQ30" s="652"/>
      <c r="CR30" s="652"/>
      <c r="CS30" s="652"/>
      <c r="CT30" s="653"/>
      <c r="CU30" s="654"/>
      <c r="CV30" s="655"/>
      <c r="CW30" s="655"/>
      <c r="CX30" s="655"/>
      <c r="CY30" s="656"/>
      <c r="DA30" s="197"/>
    </row>
    <row r="31" spans="1:105" ht="16.5">
      <c r="A31" s="682"/>
      <c r="B31" s="225"/>
      <c r="C31" s="228" t="str">
        <f t="shared" ca="1" si="2"/>
        <v/>
      </c>
      <c r="D31" s="686"/>
      <c r="E31" s="687"/>
      <c r="F31" s="687"/>
      <c r="G31" s="687"/>
      <c r="H31" s="687"/>
      <c r="I31" s="687"/>
      <c r="J31" s="687"/>
      <c r="K31" s="692"/>
      <c r="L31" s="693"/>
      <c r="M31" s="693"/>
      <c r="N31" s="693"/>
      <c r="O31" s="693"/>
      <c r="P31" s="693"/>
      <c r="Q31" s="693"/>
      <c r="R31" s="444"/>
      <c r="S31" s="445"/>
      <c r="T31" s="696"/>
      <c r="U31" s="697"/>
      <c r="V31" s="692"/>
      <c r="W31" s="693"/>
      <c r="X31" s="693"/>
      <c r="Y31" s="693"/>
      <c r="Z31" s="693"/>
      <c r="AA31" s="693"/>
      <c r="AB31" s="693"/>
      <c r="AC31" s="693"/>
      <c r="AD31" s="692"/>
      <c r="AE31" s="693"/>
      <c r="AF31" s="693"/>
      <c r="AG31" s="693"/>
      <c r="AH31" s="693"/>
      <c r="AI31" s="693"/>
      <c r="AJ31" s="693"/>
      <c r="AK31" s="701"/>
      <c r="AL31" s="692"/>
      <c r="AM31" s="693"/>
      <c r="AN31" s="693"/>
      <c r="AO31" s="693"/>
      <c r="AP31" s="693"/>
      <c r="AQ31" s="693"/>
      <c r="AR31" s="701"/>
      <c r="AS31" s="705"/>
      <c r="AT31" s="706"/>
      <c r="AU31" s="706"/>
      <c r="AV31" s="706"/>
      <c r="AW31" s="706"/>
      <c r="AX31" s="706"/>
      <c r="AY31" s="707"/>
      <c r="AZ31" s="713"/>
      <c r="BA31" s="714"/>
      <c r="BB31" s="229">
        <v>3</v>
      </c>
      <c r="BC31" s="657"/>
      <c r="BD31" s="658"/>
      <c r="BE31" s="658"/>
      <c r="BF31" s="659"/>
      <c r="BG31" s="660"/>
      <c r="BH31" s="661"/>
      <c r="BI31" s="228"/>
      <c r="BJ31" s="662"/>
      <c r="BK31" s="663"/>
      <c r="BL31" s="663"/>
      <c r="BM31" s="663"/>
      <c r="BN31" s="663"/>
      <c r="BO31" s="664"/>
      <c r="BP31" s="662"/>
      <c r="BQ31" s="663"/>
      <c r="BR31" s="663"/>
      <c r="BS31" s="663"/>
      <c r="BT31" s="663"/>
      <c r="BU31" s="664"/>
      <c r="BV31" s="662"/>
      <c r="BW31" s="663"/>
      <c r="BX31" s="663"/>
      <c r="BY31" s="663"/>
      <c r="BZ31" s="663"/>
      <c r="CA31" s="664"/>
      <c r="CB31" s="657"/>
      <c r="CC31" s="658"/>
      <c r="CD31" s="658"/>
      <c r="CE31" s="659"/>
      <c r="CF31" s="651"/>
      <c r="CG31" s="652"/>
      <c r="CH31" s="652"/>
      <c r="CI31" s="652"/>
      <c r="CJ31" s="653"/>
      <c r="CK31" s="651"/>
      <c r="CL31" s="652"/>
      <c r="CM31" s="652"/>
      <c r="CN31" s="652"/>
      <c r="CO31" s="653"/>
      <c r="CP31" s="651"/>
      <c r="CQ31" s="652"/>
      <c r="CR31" s="652"/>
      <c r="CS31" s="652"/>
      <c r="CT31" s="653"/>
      <c r="CU31" s="654"/>
      <c r="CV31" s="655"/>
      <c r="CW31" s="655"/>
      <c r="CX31" s="655"/>
      <c r="CY31" s="656"/>
      <c r="DA31" s="197"/>
    </row>
    <row r="32" spans="1:105" ht="16.5">
      <c r="A32" s="682"/>
      <c r="B32" s="225"/>
      <c r="C32" s="228" t="str">
        <f t="shared" ca="1" si="2"/>
        <v/>
      </c>
      <c r="D32" s="686"/>
      <c r="E32" s="687"/>
      <c r="F32" s="687"/>
      <c r="G32" s="687"/>
      <c r="H32" s="687"/>
      <c r="I32" s="687"/>
      <c r="J32" s="687"/>
      <c r="K32" s="692"/>
      <c r="L32" s="693"/>
      <c r="M32" s="693"/>
      <c r="N32" s="693"/>
      <c r="O32" s="693"/>
      <c r="P32" s="693"/>
      <c r="Q32" s="693"/>
      <c r="R32" s="444"/>
      <c r="S32" s="445"/>
      <c r="T32" s="696"/>
      <c r="U32" s="697"/>
      <c r="V32" s="692"/>
      <c r="W32" s="693"/>
      <c r="X32" s="693"/>
      <c r="Y32" s="693"/>
      <c r="Z32" s="693"/>
      <c r="AA32" s="693"/>
      <c r="AB32" s="693"/>
      <c r="AC32" s="693"/>
      <c r="AD32" s="692"/>
      <c r="AE32" s="693"/>
      <c r="AF32" s="693"/>
      <c r="AG32" s="693"/>
      <c r="AH32" s="693"/>
      <c r="AI32" s="693"/>
      <c r="AJ32" s="693"/>
      <c r="AK32" s="701"/>
      <c r="AL32" s="692"/>
      <c r="AM32" s="693"/>
      <c r="AN32" s="693"/>
      <c r="AO32" s="693"/>
      <c r="AP32" s="693"/>
      <c r="AQ32" s="693"/>
      <c r="AR32" s="701"/>
      <c r="AS32" s="705"/>
      <c r="AT32" s="706"/>
      <c r="AU32" s="706"/>
      <c r="AV32" s="706"/>
      <c r="AW32" s="706"/>
      <c r="AX32" s="706"/>
      <c r="AY32" s="707"/>
      <c r="AZ32" s="713"/>
      <c r="BA32" s="714"/>
      <c r="BB32" s="229">
        <v>4</v>
      </c>
      <c r="BC32" s="657"/>
      <c r="BD32" s="658"/>
      <c r="BE32" s="658"/>
      <c r="BF32" s="659"/>
      <c r="BG32" s="660"/>
      <c r="BH32" s="661"/>
      <c r="BI32" s="228"/>
      <c r="BJ32" s="662"/>
      <c r="BK32" s="663"/>
      <c r="BL32" s="663"/>
      <c r="BM32" s="663"/>
      <c r="BN32" s="663"/>
      <c r="BO32" s="664"/>
      <c r="BP32" s="662"/>
      <c r="BQ32" s="663"/>
      <c r="BR32" s="663"/>
      <c r="BS32" s="663"/>
      <c r="BT32" s="663"/>
      <c r="BU32" s="664"/>
      <c r="BV32" s="662"/>
      <c r="BW32" s="663"/>
      <c r="BX32" s="663"/>
      <c r="BY32" s="663"/>
      <c r="BZ32" s="663"/>
      <c r="CA32" s="664"/>
      <c r="CB32" s="657"/>
      <c r="CC32" s="658"/>
      <c r="CD32" s="658"/>
      <c r="CE32" s="659"/>
      <c r="CF32" s="651"/>
      <c r="CG32" s="652"/>
      <c r="CH32" s="652"/>
      <c r="CI32" s="652"/>
      <c r="CJ32" s="653"/>
      <c r="CK32" s="651"/>
      <c r="CL32" s="652"/>
      <c r="CM32" s="652"/>
      <c r="CN32" s="652"/>
      <c r="CO32" s="653"/>
      <c r="CP32" s="651"/>
      <c r="CQ32" s="652"/>
      <c r="CR32" s="652"/>
      <c r="CS32" s="652"/>
      <c r="CT32" s="653"/>
      <c r="CU32" s="654"/>
      <c r="CV32" s="655"/>
      <c r="CW32" s="655"/>
      <c r="CX32" s="655"/>
      <c r="CY32" s="656"/>
      <c r="DA32" s="197"/>
    </row>
    <row r="33" spans="1:105" ht="16.5">
      <c r="A33" s="682"/>
      <c r="B33" s="225"/>
      <c r="C33" s="228" t="str">
        <f t="shared" ca="1" si="2"/>
        <v/>
      </c>
      <c r="D33" s="686"/>
      <c r="E33" s="687"/>
      <c r="F33" s="687"/>
      <c r="G33" s="687"/>
      <c r="H33" s="687"/>
      <c r="I33" s="687"/>
      <c r="J33" s="687"/>
      <c r="K33" s="692"/>
      <c r="L33" s="693"/>
      <c r="M33" s="693"/>
      <c r="N33" s="693"/>
      <c r="O33" s="693"/>
      <c r="P33" s="693"/>
      <c r="Q33" s="693"/>
      <c r="R33" s="444"/>
      <c r="S33" s="445"/>
      <c r="T33" s="696"/>
      <c r="U33" s="697"/>
      <c r="V33" s="692"/>
      <c r="W33" s="693"/>
      <c r="X33" s="693"/>
      <c r="Y33" s="693"/>
      <c r="Z33" s="693"/>
      <c r="AA33" s="693"/>
      <c r="AB33" s="693"/>
      <c r="AC33" s="693"/>
      <c r="AD33" s="692"/>
      <c r="AE33" s="693"/>
      <c r="AF33" s="693"/>
      <c r="AG33" s="693"/>
      <c r="AH33" s="693"/>
      <c r="AI33" s="693"/>
      <c r="AJ33" s="693"/>
      <c r="AK33" s="701"/>
      <c r="AL33" s="692"/>
      <c r="AM33" s="693"/>
      <c r="AN33" s="693"/>
      <c r="AO33" s="693"/>
      <c r="AP33" s="693"/>
      <c r="AQ33" s="693"/>
      <c r="AR33" s="701"/>
      <c r="AS33" s="705"/>
      <c r="AT33" s="706"/>
      <c r="AU33" s="706"/>
      <c r="AV33" s="706"/>
      <c r="AW33" s="706"/>
      <c r="AX33" s="706"/>
      <c r="AY33" s="707"/>
      <c r="AZ33" s="713"/>
      <c r="BA33" s="714"/>
      <c r="BB33" s="229">
        <v>5</v>
      </c>
      <c r="BC33" s="657"/>
      <c r="BD33" s="658"/>
      <c r="BE33" s="658"/>
      <c r="BF33" s="659"/>
      <c r="BG33" s="660"/>
      <c r="BH33" s="661"/>
      <c r="BI33" s="228"/>
      <c r="BJ33" s="662"/>
      <c r="BK33" s="663"/>
      <c r="BL33" s="663"/>
      <c r="BM33" s="663"/>
      <c r="BN33" s="663"/>
      <c r="BO33" s="664"/>
      <c r="BP33" s="662"/>
      <c r="BQ33" s="663"/>
      <c r="BR33" s="663"/>
      <c r="BS33" s="663"/>
      <c r="BT33" s="663"/>
      <c r="BU33" s="664"/>
      <c r="BV33" s="662"/>
      <c r="BW33" s="663"/>
      <c r="BX33" s="663"/>
      <c r="BY33" s="663"/>
      <c r="BZ33" s="663"/>
      <c r="CA33" s="664"/>
      <c r="CB33" s="657"/>
      <c r="CC33" s="658"/>
      <c r="CD33" s="658"/>
      <c r="CE33" s="659"/>
      <c r="CF33" s="651"/>
      <c r="CG33" s="652"/>
      <c r="CH33" s="652"/>
      <c r="CI33" s="652"/>
      <c r="CJ33" s="653"/>
      <c r="CK33" s="651"/>
      <c r="CL33" s="652"/>
      <c r="CM33" s="652"/>
      <c r="CN33" s="652"/>
      <c r="CO33" s="653"/>
      <c r="CP33" s="651"/>
      <c r="CQ33" s="652"/>
      <c r="CR33" s="652"/>
      <c r="CS33" s="652"/>
      <c r="CT33" s="653"/>
      <c r="CU33" s="654"/>
      <c r="CV33" s="655"/>
      <c r="CW33" s="655"/>
      <c r="CX33" s="655"/>
      <c r="CY33" s="656"/>
      <c r="DA33" s="197"/>
    </row>
    <row r="34" spans="1:105" ht="16.5">
      <c r="A34" s="683"/>
      <c r="B34" s="230"/>
      <c r="C34" s="231" t="str">
        <f t="shared" ca="1" si="2"/>
        <v/>
      </c>
      <c r="D34" s="688"/>
      <c r="E34" s="689"/>
      <c r="F34" s="689"/>
      <c r="G34" s="689"/>
      <c r="H34" s="689"/>
      <c r="I34" s="689"/>
      <c r="J34" s="689"/>
      <c r="K34" s="648"/>
      <c r="L34" s="649"/>
      <c r="M34" s="649"/>
      <c r="N34" s="649"/>
      <c r="O34" s="649"/>
      <c r="P34" s="649"/>
      <c r="Q34" s="649"/>
      <c r="R34" s="446"/>
      <c r="S34" s="447"/>
      <c r="T34" s="698"/>
      <c r="U34" s="699"/>
      <c r="V34" s="648"/>
      <c r="W34" s="649"/>
      <c r="X34" s="649"/>
      <c r="Y34" s="649"/>
      <c r="Z34" s="649"/>
      <c r="AA34" s="649"/>
      <c r="AB34" s="649"/>
      <c r="AC34" s="649"/>
      <c r="AD34" s="648"/>
      <c r="AE34" s="649"/>
      <c r="AF34" s="649"/>
      <c r="AG34" s="649"/>
      <c r="AH34" s="649"/>
      <c r="AI34" s="649"/>
      <c r="AJ34" s="649"/>
      <c r="AK34" s="650"/>
      <c r="AL34" s="648"/>
      <c r="AM34" s="649"/>
      <c r="AN34" s="649"/>
      <c r="AO34" s="649"/>
      <c r="AP34" s="649"/>
      <c r="AQ34" s="649"/>
      <c r="AR34" s="650"/>
      <c r="AS34" s="708"/>
      <c r="AT34" s="709"/>
      <c r="AU34" s="709"/>
      <c r="AV34" s="709"/>
      <c r="AW34" s="709"/>
      <c r="AX34" s="709"/>
      <c r="AY34" s="710"/>
      <c r="AZ34" s="715"/>
      <c r="BA34" s="716"/>
      <c r="BB34" s="232">
        <v>6</v>
      </c>
      <c r="BC34" s="673"/>
      <c r="BD34" s="674"/>
      <c r="BE34" s="674"/>
      <c r="BF34" s="675"/>
      <c r="BG34" s="676"/>
      <c r="BH34" s="677"/>
      <c r="BI34" s="231"/>
      <c r="BJ34" s="678"/>
      <c r="BK34" s="679"/>
      <c r="BL34" s="679"/>
      <c r="BM34" s="679"/>
      <c r="BN34" s="679"/>
      <c r="BO34" s="680"/>
      <c r="BP34" s="678"/>
      <c r="BQ34" s="679"/>
      <c r="BR34" s="679"/>
      <c r="BS34" s="679"/>
      <c r="BT34" s="679"/>
      <c r="BU34" s="680"/>
      <c r="BV34" s="678"/>
      <c r="BW34" s="679"/>
      <c r="BX34" s="679"/>
      <c r="BY34" s="679"/>
      <c r="BZ34" s="679"/>
      <c r="CA34" s="680"/>
      <c r="CB34" s="673"/>
      <c r="CC34" s="674"/>
      <c r="CD34" s="674"/>
      <c r="CE34" s="675"/>
      <c r="CF34" s="651"/>
      <c r="CG34" s="652"/>
      <c r="CH34" s="652"/>
      <c r="CI34" s="652"/>
      <c r="CJ34" s="653"/>
      <c r="CK34" s="651"/>
      <c r="CL34" s="652"/>
      <c r="CM34" s="652"/>
      <c r="CN34" s="652"/>
      <c r="CO34" s="653"/>
      <c r="CP34" s="651"/>
      <c r="CQ34" s="652"/>
      <c r="CR34" s="652"/>
      <c r="CS34" s="652"/>
      <c r="CT34" s="653"/>
      <c r="CU34" s="654"/>
      <c r="CV34" s="655"/>
      <c r="CW34" s="655"/>
      <c r="CX34" s="655"/>
      <c r="CY34" s="656"/>
      <c r="DA34" s="197"/>
    </row>
    <row r="35" spans="1:105" ht="16.5">
      <c r="A35" s="681">
        <v>5</v>
      </c>
      <c r="B35" s="225"/>
      <c r="C35" s="226" t="str">
        <f t="shared" ca="1" si="2"/>
        <v/>
      </c>
      <c r="D35" s="684"/>
      <c r="E35" s="685"/>
      <c r="F35" s="685"/>
      <c r="G35" s="685"/>
      <c r="H35" s="685"/>
      <c r="I35" s="685"/>
      <c r="J35" s="685"/>
      <c r="K35" s="690" t="s">
        <v>338</v>
      </c>
      <c r="L35" s="691"/>
      <c r="M35" s="691"/>
      <c r="N35" s="691"/>
      <c r="O35" s="691"/>
      <c r="P35" s="691"/>
      <c r="Q35" s="691"/>
      <c r="R35" s="442" t="s">
        <v>186</v>
      </c>
      <c r="S35" s="443"/>
      <c r="T35" s="694"/>
      <c r="U35" s="695"/>
      <c r="V35" s="690"/>
      <c r="W35" s="691"/>
      <c r="X35" s="691"/>
      <c r="Y35" s="691"/>
      <c r="Z35" s="691"/>
      <c r="AA35" s="691"/>
      <c r="AB35" s="691"/>
      <c r="AC35" s="691"/>
      <c r="AD35" s="690"/>
      <c r="AE35" s="691"/>
      <c r="AF35" s="691"/>
      <c r="AG35" s="691"/>
      <c r="AH35" s="691"/>
      <c r="AI35" s="691"/>
      <c r="AJ35" s="691"/>
      <c r="AK35" s="700"/>
      <c r="AL35" s="690"/>
      <c r="AM35" s="691"/>
      <c r="AN35" s="691"/>
      <c r="AO35" s="691"/>
      <c r="AP35" s="691"/>
      <c r="AQ35" s="691"/>
      <c r="AR35" s="700"/>
      <c r="AS35" s="702"/>
      <c r="AT35" s="703"/>
      <c r="AU35" s="703"/>
      <c r="AV35" s="703"/>
      <c r="AW35" s="703"/>
      <c r="AX35" s="703"/>
      <c r="AY35" s="704"/>
      <c r="AZ35" s="711"/>
      <c r="BA35" s="712"/>
      <c r="BB35" s="227">
        <v>1</v>
      </c>
      <c r="BC35" s="668"/>
      <c r="BD35" s="669"/>
      <c r="BE35" s="669"/>
      <c r="BF35" s="670"/>
      <c r="BG35" s="671"/>
      <c r="BH35" s="672"/>
      <c r="BI35" s="226"/>
      <c r="BJ35" s="665"/>
      <c r="BK35" s="666"/>
      <c r="BL35" s="666"/>
      <c r="BM35" s="666"/>
      <c r="BN35" s="666"/>
      <c r="BO35" s="667"/>
      <c r="BP35" s="665"/>
      <c r="BQ35" s="666"/>
      <c r="BR35" s="666"/>
      <c r="BS35" s="666"/>
      <c r="BT35" s="666"/>
      <c r="BU35" s="667"/>
      <c r="BV35" s="665"/>
      <c r="BW35" s="666"/>
      <c r="BX35" s="666"/>
      <c r="BY35" s="666"/>
      <c r="BZ35" s="666"/>
      <c r="CA35" s="667"/>
      <c r="CB35" s="668"/>
      <c r="CC35" s="669"/>
      <c r="CD35" s="669"/>
      <c r="CE35" s="670"/>
      <c r="CF35" s="648"/>
      <c r="CG35" s="649"/>
      <c r="CH35" s="649"/>
      <c r="CI35" s="649"/>
      <c r="CJ35" s="650"/>
      <c r="CK35" s="648"/>
      <c r="CL35" s="649"/>
      <c r="CM35" s="649"/>
      <c r="CN35" s="649"/>
      <c r="CO35" s="650"/>
      <c r="CP35" s="648"/>
      <c r="CQ35" s="649"/>
      <c r="CR35" s="649"/>
      <c r="CS35" s="649"/>
      <c r="CT35" s="650"/>
      <c r="CU35" s="654"/>
      <c r="CV35" s="655"/>
      <c r="CW35" s="655"/>
      <c r="CX35" s="655"/>
      <c r="CY35" s="656"/>
      <c r="DA35" s="197"/>
    </row>
    <row r="36" spans="1:105" ht="16.5">
      <c r="A36" s="682"/>
      <c r="B36" s="225"/>
      <c r="C36" s="228" t="str">
        <f t="shared" ca="1" si="2"/>
        <v/>
      </c>
      <c r="D36" s="686"/>
      <c r="E36" s="687"/>
      <c r="F36" s="687"/>
      <c r="G36" s="687"/>
      <c r="H36" s="687"/>
      <c r="I36" s="687"/>
      <c r="J36" s="687"/>
      <c r="K36" s="692"/>
      <c r="L36" s="693"/>
      <c r="M36" s="693"/>
      <c r="N36" s="693"/>
      <c r="O36" s="693"/>
      <c r="P36" s="693"/>
      <c r="Q36" s="693"/>
      <c r="R36" s="444"/>
      <c r="S36" s="445"/>
      <c r="T36" s="696"/>
      <c r="U36" s="697"/>
      <c r="V36" s="692"/>
      <c r="W36" s="693"/>
      <c r="X36" s="693"/>
      <c r="Y36" s="693"/>
      <c r="Z36" s="693"/>
      <c r="AA36" s="693"/>
      <c r="AB36" s="693"/>
      <c r="AC36" s="693"/>
      <c r="AD36" s="692"/>
      <c r="AE36" s="693"/>
      <c r="AF36" s="693"/>
      <c r="AG36" s="693"/>
      <c r="AH36" s="693"/>
      <c r="AI36" s="693"/>
      <c r="AJ36" s="693"/>
      <c r="AK36" s="701"/>
      <c r="AL36" s="692"/>
      <c r="AM36" s="693"/>
      <c r="AN36" s="693"/>
      <c r="AO36" s="693"/>
      <c r="AP36" s="693"/>
      <c r="AQ36" s="693"/>
      <c r="AR36" s="701"/>
      <c r="AS36" s="705"/>
      <c r="AT36" s="706"/>
      <c r="AU36" s="706"/>
      <c r="AV36" s="706"/>
      <c r="AW36" s="706"/>
      <c r="AX36" s="706"/>
      <c r="AY36" s="707"/>
      <c r="AZ36" s="713"/>
      <c r="BA36" s="714"/>
      <c r="BB36" s="229">
        <v>2</v>
      </c>
      <c r="BC36" s="657"/>
      <c r="BD36" s="658"/>
      <c r="BE36" s="658"/>
      <c r="BF36" s="659"/>
      <c r="BG36" s="660"/>
      <c r="BH36" s="661"/>
      <c r="BI36" s="228"/>
      <c r="BJ36" s="662"/>
      <c r="BK36" s="663"/>
      <c r="BL36" s="663"/>
      <c r="BM36" s="663"/>
      <c r="BN36" s="663"/>
      <c r="BO36" s="664"/>
      <c r="BP36" s="662"/>
      <c r="BQ36" s="663"/>
      <c r="BR36" s="663"/>
      <c r="BS36" s="663"/>
      <c r="BT36" s="663"/>
      <c r="BU36" s="664"/>
      <c r="BV36" s="662"/>
      <c r="BW36" s="663"/>
      <c r="BX36" s="663"/>
      <c r="BY36" s="663"/>
      <c r="BZ36" s="663"/>
      <c r="CA36" s="664"/>
      <c r="CB36" s="657"/>
      <c r="CC36" s="658"/>
      <c r="CD36" s="658"/>
      <c r="CE36" s="659"/>
      <c r="CF36" s="651"/>
      <c r="CG36" s="652"/>
      <c r="CH36" s="652"/>
      <c r="CI36" s="652"/>
      <c r="CJ36" s="653"/>
      <c r="CK36" s="651"/>
      <c r="CL36" s="652"/>
      <c r="CM36" s="652"/>
      <c r="CN36" s="652"/>
      <c r="CO36" s="653"/>
      <c r="CP36" s="651"/>
      <c r="CQ36" s="652"/>
      <c r="CR36" s="652"/>
      <c r="CS36" s="652"/>
      <c r="CT36" s="653"/>
      <c r="CU36" s="654"/>
      <c r="CV36" s="655"/>
      <c r="CW36" s="655"/>
      <c r="CX36" s="655"/>
      <c r="CY36" s="656"/>
      <c r="DA36" s="197"/>
    </row>
    <row r="37" spans="1:105" ht="16.5">
      <c r="A37" s="682"/>
      <c r="B37" s="225"/>
      <c r="C37" s="228" t="str">
        <f t="shared" ca="1" si="2"/>
        <v/>
      </c>
      <c r="D37" s="686"/>
      <c r="E37" s="687"/>
      <c r="F37" s="687"/>
      <c r="G37" s="687"/>
      <c r="H37" s="687"/>
      <c r="I37" s="687"/>
      <c r="J37" s="687"/>
      <c r="K37" s="692"/>
      <c r="L37" s="693"/>
      <c r="M37" s="693"/>
      <c r="N37" s="693"/>
      <c r="O37" s="693"/>
      <c r="P37" s="693"/>
      <c r="Q37" s="693"/>
      <c r="R37" s="444"/>
      <c r="S37" s="445"/>
      <c r="T37" s="696"/>
      <c r="U37" s="697"/>
      <c r="V37" s="692"/>
      <c r="W37" s="693"/>
      <c r="X37" s="693"/>
      <c r="Y37" s="693"/>
      <c r="Z37" s="693"/>
      <c r="AA37" s="693"/>
      <c r="AB37" s="693"/>
      <c r="AC37" s="693"/>
      <c r="AD37" s="692"/>
      <c r="AE37" s="693"/>
      <c r="AF37" s="693"/>
      <c r="AG37" s="693"/>
      <c r="AH37" s="693"/>
      <c r="AI37" s="693"/>
      <c r="AJ37" s="693"/>
      <c r="AK37" s="701"/>
      <c r="AL37" s="692"/>
      <c r="AM37" s="693"/>
      <c r="AN37" s="693"/>
      <c r="AO37" s="693"/>
      <c r="AP37" s="693"/>
      <c r="AQ37" s="693"/>
      <c r="AR37" s="701"/>
      <c r="AS37" s="705"/>
      <c r="AT37" s="706"/>
      <c r="AU37" s="706"/>
      <c r="AV37" s="706"/>
      <c r="AW37" s="706"/>
      <c r="AX37" s="706"/>
      <c r="AY37" s="707"/>
      <c r="AZ37" s="713"/>
      <c r="BA37" s="714"/>
      <c r="BB37" s="229">
        <v>3</v>
      </c>
      <c r="BC37" s="657"/>
      <c r="BD37" s="658"/>
      <c r="BE37" s="658"/>
      <c r="BF37" s="659"/>
      <c r="BG37" s="660"/>
      <c r="BH37" s="661"/>
      <c r="BI37" s="228"/>
      <c r="BJ37" s="662"/>
      <c r="BK37" s="663"/>
      <c r="BL37" s="663"/>
      <c r="BM37" s="663"/>
      <c r="BN37" s="663"/>
      <c r="BO37" s="664"/>
      <c r="BP37" s="662"/>
      <c r="BQ37" s="663"/>
      <c r="BR37" s="663"/>
      <c r="BS37" s="663"/>
      <c r="BT37" s="663"/>
      <c r="BU37" s="664"/>
      <c r="BV37" s="662"/>
      <c r="BW37" s="663"/>
      <c r="BX37" s="663"/>
      <c r="BY37" s="663"/>
      <c r="BZ37" s="663"/>
      <c r="CA37" s="664"/>
      <c r="CB37" s="657"/>
      <c r="CC37" s="658"/>
      <c r="CD37" s="658"/>
      <c r="CE37" s="659"/>
      <c r="CF37" s="651"/>
      <c r="CG37" s="652"/>
      <c r="CH37" s="652"/>
      <c r="CI37" s="652"/>
      <c r="CJ37" s="653"/>
      <c r="CK37" s="651"/>
      <c r="CL37" s="652"/>
      <c r="CM37" s="652"/>
      <c r="CN37" s="652"/>
      <c r="CO37" s="653"/>
      <c r="CP37" s="651"/>
      <c r="CQ37" s="652"/>
      <c r="CR37" s="652"/>
      <c r="CS37" s="652"/>
      <c r="CT37" s="653"/>
      <c r="CU37" s="654"/>
      <c r="CV37" s="655"/>
      <c r="CW37" s="655"/>
      <c r="CX37" s="655"/>
      <c r="CY37" s="656"/>
      <c r="DA37" s="197"/>
    </row>
    <row r="38" spans="1:105" ht="16.5">
      <c r="A38" s="682"/>
      <c r="B38" s="225"/>
      <c r="C38" s="228" t="str">
        <f t="shared" ca="1" si="2"/>
        <v/>
      </c>
      <c r="D38" s="686"/>
      <c r="E38" s="687"/>
      <c r="F38" s="687"/>
      <c r="G38" s="687"/>
      <c r="H38" s="687"/>
      <c r="I38" s="687"/>
      <c r="J38" s="687"/>
      <c r="K38" s="692"/>
      <c r="L38" s="693"/>
      <c r="M38" s="693"/>
      <c r="N38" s="693"/>
      <c r="O38" s="693"/>
      <c r="P38" s="693"/>
      <c r="Q38" s="693"/>
      <c r="R38" s="444"/>
      <c r="S38" s="445"/>
      <c r="T38" s="696"/>
      <c r="U38" s="697"/>
      <c r="V38" s="692"/>
      <c r="W38" s="693"/>
      <c r="X38" s="693"/>
      <c r="Y38" s="693"/>
      <c r="Z38" s="693"/>
      <c r="AA38" s="693"/>
      <c r="AB38" s="693"/>
      <c r="AC38" s="693"/>
      <c r="AD38" s="692"/>
      <c r="AE38" s="693"/>
      <c r="AF38" s="693"/>
      <c r="AG38" s="693"/>
      <c r="AH38" s="693"/>
      <c r="AI38" s="693"/>
      <c r="AJ38" s="693"/>
      <c r="AK38" s="701"/>
      <c r="AL38" s="692"/>
      <c r="AM38" s="693"/>
      <c r="AN38" s="693"/>
      <c r="AO38" s="693"/>
      <c r="AP38" s="693"/>
      <c r="AQ38" s="693"/>
      <c r="AR38" s="701"/>
      <c r="AS38" s="705"/>
      <c r="AT38" s="706"/>
      <c r="AU38" s="706"/>
      <c r="AV38" s="706"/>
      <c r="AW38" s="706"/>
      <c r="AX38" s="706"/>
      <c r="AY38" s="707"/>
      <c r="AZ38" s="713"/>
      <c r="BA38" s="714"/>
      <c r="BB38" s="229">
        <v>4</v>
      </c>
      <c r="BC38" s="657"/>
      <c r="BD38" s="658"/>
      <c r="BE38" s="658"/>
      <c r="BF38" s="659"/>
      <c r="BG38" s="660"/>
      <c r="BH38" s="661"/>
      <c r="BI38" s="228"/>
      <c r="BJ38" s="662"/>
      <c r="BK38" s="663"/>
      <c r="BL38" s="663"/>
      <c r="BM38" s="663"/>
      <c r="BN38" s="663"/>
      <c r="BO38" s="664"/>
      <c r="BP38" s="662"/>
      <c r="BQ38" s="663"/>
      <c r="BR38" s="663"/>
      <c r="BS38" s="663"/>
      <c r="BT38" s="663"/>
      <c r="BU38" s="664"/>
      <c r="BV38" s="662"/>
      <c r="BW38" s="663"/>
      <c r="BX38" s="663"/>
      <c r="BY38" s="663"/>
      <c r="BZ38" s="663"/>
      <c r="CA38" s="664"/>
      <c r="CB38" s="657"/>
      <c r="CC38" s="658"/>
      <c r="CD38" s="658"/>
      <c r="CE38" s="659"/>
      <c r="CF38" s="651"/>
      <c r="CG38" s="652"/>
      <c r="CH38" s="652"/>
      <c r="CI38" s="652"/>
      <c r="CJ38" s="653"/>
      <c r="CK38" s="651"/>
      <c r="CL38" s="652"/>
      <c r="CM38" s="652"/>
      <c r="CN38" s="652"/>
      <c r="CO38" s="653"/>
      <c r="CP38" s="651"/>
      <c r="CQ38" s="652"/>
      <c r="CR38" s="652"/>
      <c r="CS38" s="652"/>
      <c r="CT38" s="653"/>
      <c r="CU38" s="654"/>
      <c r="CV38" s="655"/>
      <c r="CW38" s="655"/>
      <c r="CX38" s="655"/>
      <c r="CY38" s="656"/>
      <c r="DA38" s="197"/>
    </row>
    <row r="39" spans="1:105" ht="16.5">
      <c r="A39" s="682"/>
      <c r="B39" s="225"/>
      <c r="C39" s="228" t="str">
        <f t="shared" ca="1" si="2"/>
        <v/>
      </c>
      <c r="D39" s="686"/>
      <c r="E39" s="687"/>
      <c r="F39" s="687"/>
      <c r="G39" s="687"/>
      <c r="H39" s="687"/>
      <c r="I39" s="687"/>
      <c r="J39" s="687"/>
      <c r="K39" s="692"/>
      <c r="L39" s="693"/>
      <c r="M39" s="693"/>
      <c r="N39" s="693"/>
      <c r="O39" s="693"/>
      <c r="P39" s="693"/>
      <c r="Q39" s="693"/>
      <c r="R39" s="444"/>
      <c r="S39" s="445"/>
      <c r="T39" s="696"/>
      <c r="U39" s="697"/>
      <c r="V39" s="692"/>
      <c r="W39" s="693"/>
      <c r="X39" s="693"/>
      <c r="Y39" s="693"/>
      <c r="Z39" s="693"/>
      <c r="AA39" s="693"/>
      <c r="AB39" s="693"/>
      <c r="AC39" s="693"/>
      <c r="AD39" s="692"/>
      <c r="AE39" s="693"/>
      <c r="AF39" s="693"/>
      <c r="AG39" s="693"/>
      <c r="AH39" s="693"/>
      <c r="AI39" s="693"/>
      <c r="AJ39" s="693"/>
      <c r="AK39" s="701"/>
      <c r="AL39" s="692"/>
      <c r="AM39" s="693"/>
      <c r="AN39" s="693"/>
      <c r="AO39" s="693"/>
      <c r="AP39" s="693"/>
      <c r="AQ39" s="693"/>
      <c r="AR39" s="701"/>
      <c r="AS39" s="705"/>
      <c r="AT39" s="706"/>
      <c r="AU39" s="706"/>
      <c r="AV39" s="706"/>
      <c r="AW39" s="706"/>
      <c r="AX39" s="706"/>
      <c r="AY39" s="707"/>
      <c r="AZ39" s="713"/>
      <c r="BA39" s="714"/>
      <c r="BB39" s="229">
        <v>5</v>
      </c>
      <c r="BC39" s="657"/>
      <c r="BD39" s="658"/>
      <c r="BE39" s="658"/>
      <c r="BF39" s="659"/>
      <c r="BG39" s="660"/>
      <c r="BH39" s="661"/>
      <c r="BI39" s="228"/>
      <c r="BJ39" s="662"/>
      <c r="BK39" s="663"/>
      <c r="BL39" s="663"/>
      <c r="BM39" s="663"/>
      <c r="BN39" s="663"/>
      <c r="BO39" s="664"/>
      <c r="BP39" s="662"/>
      <c r="BQ39" s="663"/>
      <c r="BR39" s="663"/>
      <c r="BS39" s="663"/>
      <c r="BT39" s="663"/>
      <c r="BU39" s="664"/>
      <c r="BV39" s="662"/>
      <c r="BW39" s="663"/>
      <c r="BX39" s="663"/>
      <c r="BY39" s="663"/>
      <c r="BZ39" s="663"/>
      <c r="CA39" s="664"/>
      <c r="CB39" s="657"/>
      <c r="CC39" s="658"/>
      <c r="CD39" s="658"/>
      <c r="CE39" s="659"/>
      <c r="CF39" s="651"/>
      <c r="CG39" s="652"/>
      <c r="CH39" s="652"/>
      <c r="CI39" s="652"/>
      <c r="CJ39" s="653"/>
      <c r="CK39" s="651"/>
      <c r="CL39" s="652"/>
      <c r="CM39" s="652"/>
      <c r="CN39" s="652"/>
      <c r="CO39" s="653"/>
      <c r="CP39" s="651"/>
      <c r="CQ39" s="652"/>
      <c r="CR39" s="652"/>
      <c r="CS39" s="652"/>
      <c r="CT39" s="653"/>
      <c r="CU39" s="654"/>
      <c r="CV39" s="655"/>
      <c r="CW39" s="655"/>
      <c r="CX39" s="655"/>
      <c r="CY39" s="656"/>
      <c r="DA39" s="197"/>
    </row>
    <row r="40" spans="1:105" ht="16.5">
      <c r="A40" s="683"/>
      <c r="B40" s="230"/>
      <c r="C40" s="231" t="str">
        <f t="shared" ca="1" si="2"/>
        <v/>
      </c>
      <c r="D40" s="688"/>
      <c r="E40" s="689"/>
      <c r="F40" s="689"/>
      <c r="G40" s="689"/>
      <c r="H40" s="689"/>
      <c r="I40" s="689"/>
      <c r="J40" s="689"/>
      <c r="K40" s="648"/>
      <c r="L40" s="649"/>
      <c r="M40" s="649"/>
      <c r="N40" s="649"/>
      <c r="O40" s="649"/>
      <c r="P40" s="649"/>
      <c r="Q40" s="649"/>
      <c r="R40" s="446"/>
      <c r="S40" s="447"/>
      <c r="T40" s="698"/>
      <c r="U40" s="699"/>
      <c r="V40" s="648"/>
      <c r="W40" s="649"/>
      <c r="X40" s="649"/>
      <c r="Y40" s="649"/>
      <c r="Z40" s="649"/>
      <c r="AA40" s="649"/>
      <c r="AB40" s="649"/>
      <c r="AC40" s="649"/>
      <c r="AD40" s="648"/>
      <c r="AE40" s="649"/>
      <c r="AF40" s="649"/>
      <c r="AG40" s="649"/>
      <c r="AH40" s="649"/>
      <c r="AI40" s="649"/>
      <c r="AJ40" s="649"/>
      <c r="AK40" s="650"/>
      <c r="AL40" s="648"/>
      <c r="AM40" s="649"/>
      <c r="AN40" s="649"/>
      <c r="AO40" s="649"/>
      <c r="AP40" s="649"/>
      <c r="AQ40" s="649"/>
      <c r="AR40" s="650"/>
      <c r="AS40" s="708"/>
      <c r="AT40" s="709"/>
      <c r="AU40" s="709"/>
      <c r="AV40" s="709"/>
      <c r="AW40" s="709"/>
      <c r="AX40" s="709"/>
      <c r="AY40" s="710"/>
      <c r="AZ40" s="715"/>
      <c r="BA40" s="716"/>
      <c r="BB40" s="232">
        <v>6</v>
      </c>
      <c r="BC40" s="673"/>
      <c r="BD40" s="674"/>
      <c r="BE40" s="674"/>
      <c r="BF40" s="675"/>
      <c r="BG40" s="676"/>
      <c r="BH40" s="677"/>
      <c r="BI40" s="231"/>
      <c r="BJ40" s="678"/>
      <c r="BK40" s="679"/>
      <c r="BL40" s="679"/>
      <c r="BM40" s="679"/>
      <c r="BN40" s="679"/>
      <c r="BO40" s="680"/>
      <c r="BP40" s="678"/>
      <c r="BQ40" s="679"/>
      <c r="BR40" s="679"/>
      <c r="BS40" s="679"/>
      <c r="BT40" s="679"/>
      <c r="BU40" s="680"/>
      <c r="BV40" s="678"/>
      <c r="BW40" s="679"/>
      <c r="BX40" s="679"/>
      <c r="BY40" s="679"/>
      <c r="BZ40" s="679"/>
      <c r="CA40" s="680"/>
      <c r="CB40" s="673"/>
      <c r="CC40" s="674"/>
      <c r="CD40" s="674"/>
      <c r="CE40" s="675"/>
      <c r="CF40" s="651"/>
      <c r="CG40" s="652"/>
      <c r="CH40" s="652"/>
      <c r="CI40" s="652"/>
      <c r="CJ40" s="653"/>
      <c r="CK40" s="651"/>
      <c r="CL40" s="652"/>
      <c r="CM40" s="652"/>
      <c r="CN40" s="652"/>
      <c r="CO40" s="653"/>
      <c r="CP40" s="651"/>
      <c r="CQ40" s="652"/>
      <c r="CR40" s="652"/>
      <c r="CS40" s="652"/>
      <c r="CT40" s="653"/>
      <c r="CU40" s="654"/>
      <c r="CV40" s="655"/>
      <c r="CW40" s="655"/>
      <c r="CX40" s="655"/>
      <c r="CY40" s="656"/>
      <c r="DA40" s="197"/>
    </row>
    <row r="41" spans="1:105" ht="16.5">
      <c r="A41" s="681">
        <v>6</v>
      </c>
      <c r="B41" s="225"/>
      <c r="C41" s="226" t="str">
        <f t="shared" ca="1" si="2"/>
        <v/>
      </c>
      <c r="D41" s="684"/>
      <c r="E41" s="685"/>
      <c r="F41" s="685"/>
      <c r="G41" s="685"/>
      <c r="H41" s="685"/>
      <c r="I41" s="685"/>
      <c r="J41" s="685"/>
      <c r="K41" s="690" t="s">
        <v>339</v>
      </c>
      <c r="L41" s="691"/>
      <c r="M41" s="691"/>
      <c r="N41" s="691"/>
      <c r="O41" s="691"/>
      <c r="P41" s="691"/>
      <c r="Q41" s="691"/>
      <c r="R41" s="442" t="s">
        <v>186</v>
      </c>
      <c r="S41" s="443"/>
      <c r="T41" s="694"/>
      <c r="U41" s="695"/>
      <c r="V41" s="690"/>
      <c r="W41" s="691"/>
      <c r="X41" s="691"/>
      <c r="Y41" s="691"/>
      <c r="Z41" s="691"/>
      <c r="AA41" s="691"/>
      <c r="AB41" s="691"/>
      <c r="AC41" s="691"/>
      <c r="AD41" s="690"/>
      <c r="AE41" s="691"/>
      <c r="AF41" s="691"/>
      <c r="AG41" s="691"/>
      <c r="AH41" s="691"/>
      <c r="AI41" s="691"/>
      <c r="AJ41" s="691"/>
      <c r="AK41" s="700"/>
      <c r="AL41" s="690"/>
      <c r="AM41" s="691"/>
      <c r="AN41" s="691"/>
      <c r="AO41" s="691"/>
      <c r="AP41" s="691"/>
      <c r="AQ41" s="691"/>
      <c r="AR41" s="700"/>
      <c r="AS41" s="702"/>
      <c r="AT41" s="703"/>
      <c r="AU41" s="703"/>
      <c r="AV41" s="703"/>
      <c r="AW41" s="703"/>
      <c r="AX41" s="703"/>
      <c r="AY41" s="704"/>
      <c r="AZ41" s="711"/>
      <c r="BA41" s="712"/>
      <c r="BB41" s="227">
        <v>1</v>
      </c>
      <c r="BC41" s="668"/>
      <c r="BD41" s="669"/>
      <c r="BE41" s="669"/>
      <c r="BF41" s="670"/>
      <c r="BG41" s="671"/>
      <c r="BH41" s="672"/>
      <c r="BI41" s="226"/>
      <c r="BJ41" s="665"/>
      <c r="BK41" s="666"/>
      <c r="BL41" s="666"/>
      <c r="BM41" s="666"/>
      <c r="BN41" s="666"/>
      <c r="BO41" s="667"/>
      <c r="BP41" s="665"/>
      <c r="BQ41" s="666"/>
      <c r="BR41" s="666"/>
      <c r="BS41" s="666"/>
      <c r="BT41" s="666"/>
      <c r="BU41" s="667"/>
      <c r="BV41" s="665"/>
      <c r="BW41" s="666"/>
      <c r="BX41" s="666"/>
      <c r="BY41" s="666"/>
      <c r="BZ41" s="666"/>
      <c r="CA41" s="667"/>
      <c r="CB41" s="668"/>
      <c r="CC41" s="669"/>
      <c r="CD41" s="669"/>
      <c r="CE41" s="670"/>
      <c r="CF41" s="648"/>
      <c r="CG41" s="649"/>
      <c r="CH41" s="649"/>
      <c r="CI41" s="649"/>
      <c r="CJ41" s="650"/>
      <c r="CK41" s="648"/>
      <c r="CL41" s="649"/>
      <c r="CM41" s="649"/>
      <c r="CN41" s="649"/>
      <c r="CO41" s="650"/>
      <c r="CP41" s="648"/>
      <c r="CQ41" s="649"/>
      <c r="CR41" s="649"/>
      <c r="CS41" s="649"/>
      <c r="CT41" s="650"/>
      <c r="CU41" s="654"/>
      <c r="CV41" s="655"/>
      <c r="CW41" s="655"/>
      <c r="CX41" s="655"/>
      <c r="CY41" s="656"/>
      <c r="DA41" s="197"/>
    </row>
    <row r="42" spans="1:105" ht="16.5">
      <c r="A42" s="682"/>
      <c r="B42" s="225"/>
      <c r="C42" s="228" t="str">
        <f t="shared" ca="1" si="2"/>
        <v/>
      </c>
      <c r="D42" s="686"/>
      <c r="E42" s="687"/>
      <c r="F42" s="687"/>
      <c r="G42" s="687"/>
      <c r="H42" s="687"/>
      <c r="I42" s="687"/>
      <c r="J42" s="687"/>
      <c r="K42" s="692"/>
      <c r="L42" s="693"/>
      <c r="M42" s="693"/>
      <c r="N42" s="693"/>
      <c r="O42" s="693"/>
      <c r="P42" s="693"/>
      <c r="Q42" s="693"/>
      <c r="R42" s="444"/>
      <c r="S42" s="445"/>
      <c r="T42" s="696"/>
      <c r="U42" s="697"/>
      <c r="V42" s="692"/>
      <c r="W42" s="693"/>
      <c r="X42" s="693"/>
      <c r="Y42" s="693"/>
      <c r="Z42" s="693"/>
      <c r="AA42" s="693"/>
      <c r="AB42" s="693"/>
      <c r="AC42" s="693"/>
      <c r="AD42" s="692"/>
      <c r="AE42" s="693"/>
      <c r="AF42" s="693"/>
      <c r="AG42" s="693"/>
      <c r="AH42" s="693"/>
      <c r="AI42" s="693"/>
      <c r="AJ42" s="693"/>
      <c r="AK42" s="701"/>
      <c r="AL42" s="692"/>
      <c r="AM42" s="693"/>
      <c r="AN42" s="693"/>
      <c r="AO42" s="693"/>
      <c r="AP42" s="693"/>
      <c r="AQ42" s="693"/>
      <c r="AR42" s="701"/>
      <c r="AS42" s="705"/>
      <c r="AT42" s="706"/>
      <c r="AU42" s="706"/>
      <c r="AV42" s="706"/>
      <c r="AW42" s="706"/>
      <c r="AX42" s="706"/>
      <c r="AY42" s="707"/>
      <c r="AZ42" s="713"/>
      <c r="BA42" s="714"/>
      <c r="BB42" s="229">
        <v>2</v>
      </c>
      <c r="BC42" s="657"/>
      <c r="BD42" s="658"/>
      <c r="BE42" s="658"/>
      <c r="BF42" s="659"/>
      <c r="BG42" s="660"/>
      <c r="BH42" s="661"/>
      <c r="BI42" s="228"/>
      <c r="BJ42" s="662"/>
      <c r="BK42" s="663"/>
      <c r="BL42" s="663"/>
      <c r="BM42" s="663"/>
      <c r="BN42" s="663"/>
      <c r="BO42" s="664"/>
      <c r="BP42" s="662"/>
      <c r="BQ42" s="663"/>
      <c r="BR42" s="663"/>
      <c r="BS42" s="663"/>
      <c r="BT42" s="663"/>
      <c r="BU42" s="664"/>
      <c r="BV42" s="662"/>
      <c r="BW42" s="663"/>
      <c r="BX42" s="663"/>
      <c r="BY42" s="663"/>
      <c r="BZ42" s="663"/>
      <c r="CA42" s="664"/>
      <c r="CB42" s="657"/>
      <c r="CC42" s="658"/>
      <c r="CD42" s="658"/>
      <c r="CE42" s="659"/>
      <c r="CF42" s="651"/>
      <c r="CG42" s="652"/>
      <c r="CH42" s="652"/>
      <c r="CI42" s="652"/>
      <c r="CJ42" s="653"/>
      <c r="CK42" s="651"/>
      <c r="CL42" s="652"/>
      <c r="CM42" s="652"/>
      <c r="CN42" s="652"/>
      <c r="CO42" s="653"/>
      <c r="CP42" s="651"/>
      <c r="CQ42" s="652"/>
      <c r="CR42" s="652"/>
      <c r="CS42" s="652"/>
      <c r="CT42" s="653"/>
      <c r="CU42" s="654"/>
      <c r="CV42" s="655"/>
      <c r="CW42" s="655"/>
      <c r="CX42" s="655"/>
      <c r="CY42" s="656"/>
      <c r="DA42" s="197"/>
    </row>
    <row r="43" spans="1:105" ht="16.5">
      <c r="A43" s="682"/>
      <c r="B43" s="225"/>
      <c r="C43" s="228" t="str">
        <f t="shared" ca="1" si="2"/>
        <v/>
      </c>
      <c r="D43" s="686"/>
      <c r="E43" s="687"/>
      <c r="F43" s="687"/>
      <c r="G43" s="687"/>
      <c r="H43" s="687"/>
      <c r="I43" s="687"/>
      <c r="J43" s="687"/>
      <c r="K43" s="692"/>
      <c r="L43" s="693"/>
      <c r="M43" s="693"/>
      <c r="N43" s="693"/>
      <c r="O43" s="693"/>
      <c r="P43" s="693"/>
      <c r="Q43" s="693"/>
      <c r="R43" s="444"/>
      <c r="S43" s="445"/>
      <c r="T43" s="696"/>
      <c r="U43" s="697"/>
      <c r="V43" s="692"/>
      <c r="W43" s="693"/>
      <c r="X43" s="693"/>
      <c r="Y43" s="693"/>
      <c r="Z43" s="693"/>
      <c r="AA43" s="693"/>
      <c r="AB43" s="693"/>
      <c r="AC43" s="693"/>
      <c r="AD43" s="692"/>
      <c r="AE43" s="693"/>
      <c r="AF43" s="693"/>
      <c r="AG43" s="693"/>
      <c r="AH43" s="693"/>
      <c r="AI43" s="693"/>
      <c r="AJ43" s="693"/>
      <c r="AK43" s="701"/>
      <c r="AL43" s="692"/>
      <c r="AM43" s="693"/>
      <c r="AN43" s="693"/>
      <c r="AO43" s="693"/>
      <c r="AP43" s="693"/>
      <c r="AQ43" s="693"/>
      <c r="AR43" s="701"/>
      <c r="AS43" s="705"/>
      <c r="AT43" s="706"/>
      <c r="AU43" s="706"/>
      <c r="AV43" s="706"/>
      <c r="AW43" s="706"/>
      <c r="AX43" s="706"/>
      <c r="AY43" s="707"/>
      <c r="AZ43" s="713"/>
      <c r="BA43" s="714"/>
      <c r="BB43" s="229">
        <v>3</v>
      </c>
      <c r="BC43" s="657"/>
      <c r="BD43" s="658"/>
      <c r="BE43" s="658"/>
      <c r="BF43" s="659"/>
      <c r="BG43" s="660"/>
      <c r="BH43" s="661"/>
      <c r="BI43" s="228"/>
      <c r="BJ43" s="662"/>
      <c r="BK43" s="663"/>
      <c r="BL43" s="663"/>
      <c r="BM43" s="663"/>
      <c r="BN43" s="663"/>
      <c r="BO43" s="664"/>
      <c r="BP43" s="662"/>
      <c r="BQ43" s="663"/>
      <c r="BR43" s="663"/>
      <c r="BS43" s="663"/>
      <c r="BT43" s="663"/>
      <c r="BU43" s="664"/>
      <c r="BV43" s="662"/>
      <c r="BW43" s="663"/>
      <c r="BX43" s="663"/>
      <c r="BY43" s="663"/>
      <c r="BZ43" s="663"/>
      <c r="CA43" s="664"/>
      <c r="CB43" s="657"/>
      <c r="CC43" s="658"/>
      <c r="CD43" s="658"/>
      <c r="CE43" s="659"/>
      <c r="CF43" s="651"/>
      <c r="CG43" s="652"/>
      <c r="CH43" s="652"/>
      <c r="CI43" s="652"/>
      <c r="CJ43" s="653"/>
      <c r="CK43" s="651"/>
      <c r="CL43" s="652"/>
      <c r="CM43" s="652"/>
      <c r="CN43" s="652"/>
      <c r="CO43" s="653"/>
      <c r="CP43" s="651"/>
      <c r="CQ43" s="652"/>
      <c r="CR43" s="652"/>
      <c r="CS43" s="652"/>
      <c r="CT43" s="653"/>
      <c r="CU43" s="654"/>
      <c r="CV43" s="655"/>
      <c r="CW43" s="655"/>
      <c r="CX43" s="655"/>
      <c r="CY43" s="656"/>
      <c r="DA43" s="197"/>
    </row>
    <row r="44" spans="1:105" ht="16.5">
      <c r="A44" s="682"/>
      <c r="B44" s="225"/>
      <c r="C44" s="228" t="str">
        <f t="shared" ca="1" si="2"/>
        <v/>
      </c>
      <c r="D44" s="686"/>
      <c r="E44" s="687"/>
      <c r="F44" s="687"/>
      <c r="G44" s="687"/>
      <c r="H44" s="687"/>
      <c r="I44" s="687"/>
      <c r="J44" s="687"/>
      <c r="K44" s="692"/>
      <c r="L44" s="693"/>
      <c r="M44" s="693"/>
      <c r="N44" s="693"/>
      <c r="O44" s="693"/>
      <c r="P44" s="693"/>
      <c r="Q44" s="693"/>
      <c r="R44" s="444"/>
      <c r="S44" s="445"/>
      <c r="T44" s="696"/>
      <c r="U44" s="697"/>
      <c r="V44" s="692"/>
      <c r="W44" s="693"/>
      <c r="X44" s="693"/>
      <c r="Y44" s="693"/>
      <c r="Z44" s="693"/>
      <c r="AA44" s="693"/>
      <c r="AB44" s="693"/>
      <c r="AC44" s="693"/>
      <c r="AD44" s="692"/>
      <c r="AE44" s="693"/>
      <c r="AF44" s="693"/>
      <c r="AG44" s="693"/>
      <c r="AH44" s="693"/>
      <c r="AI44" s="693"/>
      <c r="AJ44" s="693"/>
      <c r="AK44" s="701"/>
      <c r="AL44" s="692"/>
      <c r="AM44" s="693"/>
      <c r="AN44" s="693"/>
      <c r="AO44" s="693"/>
      <c r="AP44" s="693"/>
      <c r="AQ44" s="693"/>
      <c r="AR44" s="701"/>
      <c r="AS44" s="705"/>
      <c r="AT44" s="706"/>
      <c r="AU44" s="706"/>
      <c r="AV44" s="706"/>
      <c r="AW44" s="706"/>
      <c r="AX44" s="706"/>
      <c r="AY44" s="707"/>
      <c r="AZ44" s="713"/>
      <c r="BA44" s="714"/>
      <c r="BB44" s="229">
        <v>4</v>
      </c>
      <c r="BC44" s="657"/>
      <c r="BD44" s="658"/>
      <c r="BE44" s="658"/>
      <c r="BF44" s="659"/>
      <c r="BG44" s="660"/>
      <c r="BH44" s="661"/>
      <c r="BI44" s="228"/>
      <c r="BJ44" s="662"/>
      <c r="BK44" s="663"/>
      <c r="BL44" s="663"/>
      <c r="BM44" s="663"/>
      <c r="BN44" s="663"/>
      <c r="BO44" s="664"/>
      <c r="BP44" s="662"/>
      <c r="BQ44" s="663"/>
      <c r="BR44" s="663"/>
      <c r="BS44" s="663"/>
      <c r="BT44" s="663"/>
      <c r="BU44" s="664"/>
      <c r="BV44" s="662"/>
      <c r="BW44" s="663"/>
      <c r="BX44" s="663"/>
      <c r="BY44" s="663"/>
      <c r="BZ44" s="663"/>
      <c r="CA44" s="664"/>
      <c r="CB44" s="657"/>
      <c r="CC44" s="658"/>
      <c r="CD44" s="658"/>
      <c r="CE44" s="659"/>
      <c r="CF44" s="651"/>
      <c r="CG44" s="652"/>
      <c r="CH44" s="652"/>
      <c r="CI44" s="652"/>
      <c r="CJ44" s="653"/>
      <c r="CK44" s="651"/>
      <c r="CL44" s="652"/>
      <c r="CM44" s="652"/>
      <c r="CN44" s="652"/>
      <c r="CO44" s="653"/>
      <c r="CP44" s="651"/>
      <c r="CQ44" s="652"/>
      <c r="CR44" s="652"/>
      <c r="CS44" s="652"/>
      <c r="CT44" s="653"/>
      <c r="CU44" s="654"/>
      <c r="CV44" s="655"/>
      <c r="CW44" s="655"/>
      <c r="CX44" s="655"/>
      <c r="CY44" s="656"/>
      <c r="DA44" s="197"/>
    </row>
    <row r="45" spans="1:105" ht="16.5">
      <c r="A45" s="682"/>
      <c r="B45" s="225"/>
      <c r="C45" s="228" t="str">
        <f t="shared" ca="1" si="2"/>
        <v/>
      </c>
      <c r="D45" s="686"/>
      <c r="E45" s="687"/>
      <c r="F45" s="687"/>
      <c r="G45" s="687"/>
      <c r="H45" s="687"/>
      <c r="I45" s="687"/>
      <c r="J45" s="687"/>
      <c r="K45" s="692"/>
      <c r="L45" s="693"/>
      <c r="M45" s="693"/>
      <c r="N45" s="693"/>
      <c r="O45" s="693"/>
      <c r="P45" s="693"/>
      <c r="Q45" s="693"/>
      <c r="R45" s="444"/>
      <c r="S45" s="445"/>
      <c r="T45" s="696"/>
      <c r="U45" s="697"/>
      <c r="V45" s="692"/>
      <c r="W45" s="693"/>
      <c r="X45" s="693"/>
      <c r="Y45" s="693"/>
      <c r="Z45" s="693"/>
      <c r="AA45" s="693"/>
      <c r="AB45" s="693"/>
      <c r="AC45" s="693"/>
      <c r="AD45" s="692"/>
      <c r="AE45" s="693"/>
      <c r="AF45" s="693"/>
      <c r="AG45" s="693"/>
      <c r="AH45" s="693"/>
      <c r="AI45" s="693"/>
      <c r="AJ45" s="693"/>
      <c r="AK45" s="701"/>
      <c r="AL45" s="692"/>
      <c r="AM45" s="693"/>
      <c r="AN45" s="693"/>
      <c r="AO45" s="693"/>
      <c r="AP45" s="693"/>
      <c r="AQ45" s="693"/>
      <c r="AR45" s="701"/>
      <c r="AS45" s="705"/>
      <c r="AT45" s="706"/>
      <c r="AU45" s="706"/>
      <c r="AV45" s="706"/>
      <c r="AW45" s="706"/>
      <c r="AX45" s="706"/>
      <c r="AY45" s="707"/>
      <c r="AZ45" s="713"/>
      <c r="BA45" s="714"/>
      <c r="BB45" s="229">
        <v>5</v>
      </c>
      <c r="BC45" s="657"/>
      <c r="BD45" s="658"/>
      <c r="BE45" s="658"/>
      <c r="BF45" s="659"/>
      <c r="BG45" s="660"/>
      <c r="BH45" s="661"/>
      <c r="BI45" s="228"/>
      <c r="BJ45" s="662"/>
      <c r="BK45" s="663"/>
      <c r="BL45" s="663"/>
      <c r="BM45" s="663"/>
      <c r="BN45" s="663"/>
      <c r="BO45" s="664"/>
      <c r="BP45" s="662"/>
      <c r="BQ45" s="663"/>
      <c r="BR45" s="663"/>
      <c r="BS45" s="663"/>
      <c r="BT45" s="663"/>
      <c r="BU45" s="664"/>
      <c r="BV45" s="662"/>
      <c r="BW45" s="663"/>
      <c r="BX45" s="663"/>
      <c r="BY45" s="663"/>
      <c r="BZ45" s="663"/>
      <c r="CA45" s="664"/>
      <c r="CB45" s="657"/>
      <c r="CC45" s="658"/>
      <c r="CD45" s="658"/>
      <c r="CE45" s="659"/>
      <c r="CF45" s="651"/>
      <c r="CG45" s="652"/>
      <c r="CH45" s="652"/>
      <c r="CI45" s="652"/>
      <c r="CJ45" s="653"/>
      <c r="CK45" s="651"/>
      <c r="CL45" s="652"/>
      <c r="CM45" s="652"/>
      <c r="CN45" s="652"/>
      <c r="CO45" s="653"/>
      <c r="CP45" s="651"/>
      <c r="CQ45" s="652"/>
      <c r="CR45" s="652"/>
      <c r="CS45" s="652"/>
      <c r="CT45" s="653"/>
      <c r="CU45" s="654"/>
      <c r="CV45" s="655"/>
      <c r="CW45" s="655"/>
      <c r="CX45" s="655"/>
      <c r="CY45" s="656"/>
      <c r="DA45" s="197"/>
    </row>
    <row r="46" spans="1:105" ht="16.5">
      <c r="A46" s="683"/>
      <c r="B46" s="230"/>
      <c r="C46" s="231" t="str">
        <f t="shared" ca="1" si="2"/>
        <v/>
      </c>
      <c r="D46" s="688"/>
      <c r="E46" s="689"/>
      <c r="F46" s="689"/>
      <c r="G46" s="689"/>
      <c r="H46" s="689"/>
      <c r="I46" s="689"/>
      <c r="J46" s="689"/>
      <c r="K46" s="648"/>
      <c r="L46" s="649"/>
      <c r="M46" s="649"/>
      <c r="N46" s="649"/>
      <c r="O46" s="649"/>
      <c r="P46" s="649"/>
      <c r="Q46" s="649"/>
      <c r="R46" s="446"/>
      <c r="S46" s="447"/>
      <c r="T46" s="698"/>
      <c r="U46" s="699"/>
      <c r="V46" s="648"/>
      <c r="W46" s="649"/>
      <c r="X46" s="649"/>
      <c r="Y46" s="649"/>
      <c r="Z46" s="649"/>
      <c r="AA46" s="649"/>
      <c r="AB46" s="649"/>
      <c r="AC46" s="649"/>
      <c r="AD46" s="648"/>
      <c r="AE46" s="649"/>
      <c r="AF46" s="649"/>
      <c r="AG46" s="649"/>
      <c r="AH46" s="649"/>
      <c r="AI46" s="649"/>
      <c r="AJ46" s="649"/>
      <c r="AK46" s="650"/>
      <c r="AL46" s="648"/>
      <c r="AM46" s="649"/>
      <c r="AN46" s="649"/>
      <c r="AO46" s="649"/>
      <c r="AP46" s="649"/>
      <c r="AQ46" s="649"/>
      <c r="AR46" s="650"/>
      <c r="AS46" s="708"/>
      <c r="AT46" s="709"/>
      <c r="AU46" s="709"/>
      <c r="AV46" s="709"/>
      <c r="AW46" s="709"/>
      <c r="AX46" s="709"/>
      <c r="AY46" s="710"/>
      <c r="AZ46" s="715"/>
      <c r="BA46" s="716"/>
      <c r="BB46" s="232">
        <v>6</v>
      </c>
      <c r="BC46" s="673"/>
      <c r="BD46" s="674"/>
      <c r="BE46" s="674"/>
      <c r="BF46" s="675"/>
      <c r="BG46" s="676"/>
      <c r="BH46" s="677"/>
      <c r="BI46" s="231"/>
      <c r="BJ46" s="678"/>
      <c r="BK46" s="679"/>
      <c r="BL46" s="679"/>
      <c r="BM46" s="679"/>
      <c r="BN46" s="679"/>
      <c r="BO46" s="680"/>
      <c r="BP46" s="678"/>
      <c r="BQ46" s="679"/>
      <c r="BR46" s="679"/>
      <c r="BS46" s="679"/>
      <c r="BT46" s="679"/>
      <c r="BU46" s="680"/>
      <c r="BV46" s="678"/>
      <c r="BW46" s="679"/>
      <c r="BX46" s="679"/>
      <c r="BY46" s="679"/>
      <c r="BZ46" s="679"/>
      <c r="CA46" s="680"/>
      <c r="CB46" s="673"/>
      <c r="CC46" s="674"/>
      <c r="CD46" s="674"/>
      <c r="CE46" s="675"/>
      <c r="CF46" s="651"/>
      <c r="CG46" s="652"/>
      <c r="CH46" s="652"/>
      <c r="CI46" s="652"/>
      <c r="CJ46" s="653"/>
      <c r="CK46" s="651"/>
      <c r="CL46" s="652"/>
      <c r="CM46" s="652"/>
      <c r="CN46" s="652"/>
      <c r="CO46" s="653"/>
      <c r="CP46" s="651"/>
      <c r="CQ46" s="652"/>
      <c r="CR46" s="652"/>
      <c r="CS46" s="652"/>
      <c r="CT46" s="653"/>
      <c r="CU46" s="654"/>
      <c r="CV46" s="655"/>
      <c r="CW46" s="655"/>
      <c r="CX46" s="655"/>
      <c r="CY46" s="656"/>
      <c r="DA46" s="197"/>
    </row>
    <row r="47" spans="1:105" ht="16.5">
      <c r="A47" s="681">
        <v>7</v>
      </c>
      <c r="B47" s="225"/>
      <c r="C47" s="226" t="str">
        <f t="shared" ca="1" si="2"/>
        <v/>
      </c>
      <c r="D47" s="684"/>
      <c r="E47" s="685"/>
      <c r="F47" s="685"/>
      <c r="G47" s="685"/>
      <c r="H47" s="685"/>
      <c r="I47" s="685"/>
      <c r="J47" s="685"/>
      <c r="K47" s="690" t="s">
        <v>340</v>
      </c>
      <c r="L47" s="691"/>
      <c r="M47" s="691"/>
      <c r="N47" s="691"/>
      <c r="O47" s="691"/>
      <c r="P47" s="691"/>
      <c r="Q47" s="691"/>
      <c r="R47" s="442" t="s">
        <v>186</v>
      </c>
      <c r="S47" s="443"/>
      <c r="T47" s="694"/>
      <c r="U47" s="695"/>
      <c r="V47" s="690"/>
      <c r="W47" s="691"/>
      <c r="X47" s="691"/>
      <c r="Y47" s="691"/>
      <c r="Z47" s="691"/>
      <c r="AA47" s="691"/>
      <c r="AB47" s="691"/>
      <c r="AC47" s="691"/>
      <c r="AD47" s="690"/>
      <c r="AE47" s="691"/>
      <c r="AF47" s="691"/>
      <c r="AG47" s="691"/>
      <c r="AH47" s="691"/>
      <c r="AI47" s="691"/>
      <c r="AJ47" s="691"/>
      <c r="AK47" s="700"/>
      <c r="AL47" s="690"/>
      <c r="AM47" s="691"/>
      <c r="AN47" s="691"/>
      <c r="AO47" s="691"/>
      <c r="AP47" s="691"/>
      <c r="AQ47" s="691"/>
      <c r="AR47" s="700"/>
      <c r="AS47" s="702"/>
      <c r="AT47" s="703"/>
      <c r="AU47" s="703"/>
      <c r="AV47" s="703"/>
      <c r="AW47" s="703"/>
      <c r="AX47" s="703"/>
      <c r="AY47" s="704"/>
      <c r="AZ47" s="711"/>
      <c r="BA47" s="712"/>
      <c r="BB47" s="227">
        <v>1</v>
      </c>
      <c r="BC47" s="668"/>
      <c r="BD47" s="669"/>
      <c r="BE47" s="669"/>
      <c r="BF47" s="670"/>
      <c r="BG47" s="671"/>
      <c r="BH47" s="672"/>
      <c r="BI47" s="226"/>
      <c r="BJ47" s="665"/>
      <c r="BK47" s="666"/>
      <c r="BL47" s="666"/>
      <c r="BM47" s="666"/>
      <c r="BN47" s="666"/>
      <c r="BO47" s="667"/>
      <c r="BP47" s="665"/>
      <c r="BQ47" s="666"/>
      <c r="BR47" s="666"/>
      <c r="BS47" s="666"/>
      <c r="BT47" s="666"/>
      <c r="BU47" s="667"/>
      <c r="BV47" s="665"/>
      <c r="BW47" s="666"/>
      <c r="BX47" s="666"/>
      <c r="BY47" s="666"/>
      <c r="BZ47" s="666"/>
      <c r="CA47" s="667"/>
      <c r="CB47" s="668"/>
      <c r="CC47" s="669"/>
      <c r="CD47" s="669"/>
      <c r="CE47" s="670"/>
      <c r="CF47" s="648"/>
      <c r="CG47" s="649"/>
      <c r="CH47" s="649"/>
      <c r="CI47" s="649"/>
      <c r="CJ47" s="650"/>
      <c r="CK47" s="648"/>
      <c r="CL47" s="649"/>
      <c r="CM47" s="649"/>
      <c r="CN47" s="649"/>
      <c r="CO47" s="650"/>
      <c r="CP47" s="648"/>
      <c r="CQ47" s="649"/>
      <c r="CR47" s="649"/>
      <c r="CS47" s="649"/>
      <c r="CT47" s="650"/>
      <c r="CU47" s="654"/>
      <c r="CV47" s="655"/>
      <c r="CW47" s="655"/>
      <c r="CX47" s="655"/>
      <c r="CY47" s="656"/>
      <c r="DA47" s="197"/>
    </row>
    <row r="48" spans="1:105" ht="16.5">
      <c r="A48" s="682"/>
      <c r="B48" s="225"/>
      <c r="C48" s="228" t="str">
        <f t="shared" ca="1" si="2"/>
        <v/>
      </c>
      <c r="D48" s="686"/>
      <c r="E48" s="687"/>
      <c r="F48" s="687"/>
      <c r="G48" s="687"/>
      <c r="H48" s="687"/>
      <c r="I48" s="687"/>
      <c r="J48" s="687"/>
      <c r="K48" s="692"/>
      <c r="L48" s="693"/>
      <c r="M48" s="693"/>
      <c r="N48" s="693"/>
      <c r="O48" s="693"/>
      <c r="P48" s="693"/>
      <c r="Q48" s="693"/>
      <c r="R48" s="444"/>
      <c r="S48" s="445"/>
      <c r="T48" s="696"/>
      <c r="U48" s="697"/>
      <c r="V48" s="692"/>
      <c r="W48" s="693"/>
      <c r="X48" s="693"/>
      <c r="Y48" s="693"/>
      <c r="Z48" s="693"/>
      <c r="AA48" s="693"/>
      <c r="AB48" s="693"/>
      <c r="AC48" s="693"/>
      <c r="AD48" s="692"/>
      <c r="AE48" s="693"/>
      <c r="AF48" s="693"/>
      <c r="AG48" s="693"/>
      <c r="AH48" s="693"/>
      <c r="AI48" s="693"/>
      <c r="AJ48" s="693"/>
      <c r="AK48" s="701"/>
      <c r="AL48" s="692"/>
      <c r="AM48" s="693"/>
      <c r="AN48" s="693"/>
      <c r="AO48" s="693"/>
      <c r="AP48" s="693"/>
      <c r="AQ48" s="693"/>
      <c r="AR48" s="701"/>
      <c r="AS48" s="705"/>
      <c r="AT48" s="706"/>
      <c r="AU48" s="706"/>
      <c r="AV48" s="706"/>
      <c r="AW48" s="706"/>
      <c r="AX48" s="706"/>
      <c r="AY48" s="707"/>
      <c r="AZ48" s="713"/>
      <c r="BA48" s="714"/>
      <c r="BB48" s="229">
        <v>2</v>
      </c>
      <c r="BC48" s="657"/>
      <c r="BD48" s="658"/>
      <c r="BE48" s="658"/>
      <c r="BF48" s="659"/>
      <c r="BG48" s="660"/>
      <c r="BH48" s="661"/>
      <c r="BI48" s="228"/>
      <c r="BJ48" s="662"/>
      <c r="BK48" s="663"/>
      <c r="BL48" s="663"/>
      <c r="BM48" s="663"/>
      <c r="BN48" s="663"/>
      <c r="BO48" s="664"/>
      <c r="BP48" s="662"/>
      <c r="BQ48" s="663"/>
      <c r="BR48" s="663"/>
      <c r="BS48" s="663"/>
      <c r="BT48" s="663"/>
      <c r="BU48" s="664"/>
      <c r="BV48" s="662"/>
      <c r="BW48" s="663"/>
      <c r="BX48" s="663"/>
      <c r="BY48" s="663"/>
      <c r="BZ48" s="663"/>
      <c r="CA48" s="664"/>
      <c r="CB48" s="657"/>
      <c r="CC48" s="658"/>
      <c r="CD48" s="658"/>
      <c r="CE48" s="659"/>
      <c r="CF48" s="651"/>
      <c r="CG48" s="652"/>
      <c r="CH48" s="652"/>
      <c r="CI48" s="652"/>
      <c r="CJ48" s="653"/>
      <c r="CK48" s="651"/>
      <c r="CL48" s="652"/>
      <c r="CM48" s="652"/>
      <c r="CN48" s="652"/>
      <c r="CO48" s="653"/>
      <c r="CP48" s="651"/>
      <c r="CQ48" s="652"/>
      <c r="CR48" s="652"/>
      <c r="CS48" s="652"/>
      <c r="CT48" s="653"/>
      <c r="CU48" s="654"/>
      <c r="CV48" s="655"/>
      <c r="CW48" s="655"/>
      <c r="CX48" s="655"/>
      <c r="CY48" s="656"/>
      <c r="DA48" s="197"/>
    </row>
    <row r="49" spans="1:105" ht="16.5">
      <c r="A49" s="682"/>
      <c r="B49" s="225"/>
      <c r="C49" s="228" t="str">
        <f t="shared" ca="1" si="2"/>
        <v/>
      </c>
      <c r="D49" s="686"/>
      <c r="E49" s="687"/>
      <c r="F49" s="687"/>
      <c r="G49" s="687"/>
      <c r="H49" s="687"/>
      <c r="I49" s="687"/>
      <c r="J49" s="687"/>
      <c r="K49" s="692"/>
      <c r="L49" s="693"/>
      <c r="M49" s="693"/>
      <c r="N49" s="693"/>
      <c r="O49" s="693"/>
      <c r="P49" s="693"/>
      <c r="Q49" s="693"/>
      <c r="R49" s="444"/>
      <c r="S49" s="445"/>
      <c r="T49" s="696"/>
      <c r="U49" s="697"/>
      <c r="V49" s="692"/>
      <c r="W49" s="693"/>
      <c r="X49" s="693"/>
      <c r="Y49" s="693"/>
      <c r="Z49" s="693"/>
      <c r="AA49" s="693"/>
      <c r="AB49" s="693"/>
      <c r="AC49" s="693"/>
      <c r="AD49" s="692"/>
      <c r="AE49" s="693"/>
      <c r="AF49" s="693"/>
      <c r="AG49" s="693"/>
      <c r="AH49" s="693"/>
      <c r="AI49" s="693"/>
      <c r="AJ49" s="693"/>
      <c r="AK49" s="701"/>
      <c r="AL49" s="692"/>
      <c r="AM49" s="693"/>
      <c r="AN49" s="693"/>
      <c r="AO49" s="693"/>
      <c r="AP49" s="693"/>
      <c r="AQ49" s="693"/>
      <c r="AR49" s="701"/>
      <c r="AS49" s="705"/>
      <c r="AT49" s="706"/>
      <c r="AU49" s="706"/>
      <c r="AV49" s="706"/>
      <c r="AW49" s="706"/>
      <c r="AX49" s="706"/>
      <c r="AY49" s="707"/>
      <c r="AZ49" s="713"/>
      <c r="BA49" s="714"/>
      <c r="BB49" s="229">
        <v>3</v>
      </c>
      <c r="BC49" s="657"/>
      <c r="BD49" s="658"/>
      <c r="BE49" s="658"/>
      <c r="BF49" s="659"/>
      <c r="BG49" s="660"/>
      <c r="BH49" s="661"/>
      <c r="BI49" s="228"/>
      <c r="BJ49" s="662"/>
      <c r="BK49" s="663"/>
      <c r="BL49" s="663"/>
      <c r="BM49" s="663"/>
      <c r="BN49" s="663"/>
      <c r="BO49" s="664"/>
      <c r="BP49" s="662"/>
      <c r="BQ49" s="663"/>
      <c r="BR49" s="663"/>
      <c r="BS49" s="663"/>
      <c r="BT49" s="663"/>
      <c r="BU49" s="664"/>
      <c r="BV49" s="662"/>
      <c r="BW49" s="663"/>
      <c r="BX49" s="663"/>
      <c r="BY49" s="663"/>
      <c r="BZ49" s="663"/>
      <c r="CA49" s="664"/>
      <c r="CB49" s="657"/>
      <c r="CC49" s="658"/>
      <c r="CD49" s="658"/>
      <c r="CE49" s="659"/>
      <c r="CF49" s="651"/>
      <c r="CG49" s="652"/>
      <c r="CH49" s="652"/>
      <c r="CI49" s="652"/>
      <c r="CJ49" s="653"/>
      <c r="CK49" s="651"/>
      <c r="CL49" s="652"/>
      <c r="CM49" s="652"/>
      <c r="CN49" s="652"/>
      <c r="CO49" s="653"/>
      <c r="CP49" s="651"/>
      <c r="CQ49" s="652"/>
      <c r="CR49" s="652"/>
      <c r="CS49" s="652"/>
      <c r="CT49" s="653"/>
      <c r="CU49" s="654"/>
      <c r="CV49" s="655"/>
      <c r="CW49" s="655"/>
      <c r="CX49" s="655"/>
      <c r="CY49" s="656"/>
      <c r="DA49" s="197"/>
    </row>
    <row r="50" spans="1:105" ht="16.5">
      <c r="A50" s="682"/>
      <c r="B50" s="225"/>
      <c r="C50" s="228" t="str">
        <f t="shared" ca="1" si="2"/>
        <v/>
      </c>
      <c r="D50" s="686"/>
      <c r="E50" s="687"/>
      <c r="F50" s="687"/>
      <c r="G50" s="687"/>
      <c r="H50" s="687"/>
      <c r="I50" s="687"/>
      <c r="J50" s="687"/>
      <c r="K50" s="692"/>
      <c r="L50" s="693"/>
      <c r="M50" s="693"/>
      <c r="N50" s="693"/>
      <c r="O50" s="693"/>
      <c r="P50" s="693"/>
      <c r="Q50" s="693"/>
      <c r="R50" s="444"/>
      <c r="S50" s="445"/>
      <c r="T50" s="696"/>
      <c r="U50" s="697"/>
      <c r="V50" s="692"/>
      <c r="W50" s="693"/>
      <c r="X50" s="693"/>
      <c r="Y50" s="693"/>
      <c r="Z50" s="693"/>
      <c r="AA50" s="693"/>
      <c r="AB50" s="693"/>
      <c r="AC50" s="693"/>
      <c r="AD50" s="692"/>
      <c r="AE50" s="693"/>
      <c r="AF50" s="693"/>
      <c r="AG50" s="693"/>
      <c r="AH50" s="693"/>
      <c r="AI50" s="693"/>
      <c r="AJ50" s="693"/>
      <c r="AK50" s="701"/>
      <c r="AL50" s="692"/>
      <c r="AM50" s="693"/>
      <c r="AN50" s="693"/>
      <c r="AO50" s="693"/>
      <c r="AP50" s="693"/>
      <c r="AQ50" s="693"/>
      <c r="AR50" s="701"/>
      <c r="AS50" s="705"/>
      <c r="AT50" s="706"/>
      <c r="AU50" s="706"/>
      <c r="AV50" s="706"/>
      <c r="AW50" s="706"/>
      <c r="AX50" s="706"/>
      <c r="AY50" s="707"/>
      <c r="AZ50" s="713"/>
      <c r="BA50" s="714"/>
      <c r="BB50" s="229">
        <v>4</v>
      </c>
      <c r="BC50" s="657"/>
      <c r="BD50" s="658"/>
      <c r="BE50" s="658"/>
      <c r="BF50" s="659"/>
      <c r="BG50" s="660"/>
      <c r="BH50" s="661"/>
      <c r="BI50" s="228"/>
      <c r="BJ50" s="662"/>
      <c r="BK50" s="663"/>
      <c r="BL50" s="663"/>
      <c r="BM50" s="663"/>
      <c r="BN50" s="663"/>
      <c r="BO50" s="664"/>
      <c r="BP50" s="662"/>
      <c r="BQ50" s="663"/>
      <c r="BR50" s="663"/>
      <c r="BS50" s="663"/>
      <c r="BT50" s="663"/>
      <c r="BU50" s="664"/>
      <c r="BV50" s="662"/>
      <c r="BW50" s="663"/>
      <c r="BX50" s="663"/>
      <c r="BY50" s="663"/>
      <c r="BZ50" s="663"/>
      <c r="CA50" s="664"/>
      <c r="CB50" s="657"/>
      <c r="CC50" s="658"/>
      <c r="CD50" s="658"/>
      <c r="CE50" s="659"/>
      <c r="CF50" s="651"/>
      <c r="CG50" s="652"/>
      <c r="CH50" s="652"/>
      <c r="CI50" s="652"/>
      <c r="CJ50" s="653"/>
      <c r="CK50" s="651"/>
      <c r="CL50" s="652"/>
      <c r="CM50" s="652"/>
      <c r="CN50" s="652"/>
      <c r="CO50" s="653"/>
      <c r="CP50" s="651"/>
      <c r="CQ50" s="652"/>
      <c r="CR50" s="652"/>
      <c r="CS50" s="652"/>
      <c r="CT50" s="653"/>
      <c r="CU50" s="654"/>
      <c r="CV50" s="655"/>
      <c r="CW50" s="655"/>
      <c r="CX50" s="655"/>
      <c r="CY50" s="656"/>
      <c r="DA50" s="197"/>
    </row>
    <row r="51" spans="1:105" ht="16.5">
      <c r="A51" s="682"/>
      <c r="B51" s="225"/>
      <c r="C51" s="228" t="str">
        <f t="shared" ca="1" si="2"/>
        <v/>
      </c>
      <c r="D51" s="686"/>
      <c r="E51" s="687"/>
      <c r="F51" s="687"/>
      <c r="G51" s="687"/>
      <c r="H51" s="687"/>
      <c r="I51" s="687"/>
      <c r="J51" s="687"/>
      <c r="K51" s="692"/>
      <c r="L51" s="693"/>
      <c r="M51" s="693"/>
      <c r="N51" s="693"/>
      <c r="O51" s="693"/>
      <c r="P51" s="693"/>
      <c r="Q51" s="693"/>
      <c r="R51" s="444"/>
      <c r="S51" s="445"/>
      <c r="T51" s="696"/>
      <c r="U51" s="697"/>
      <c r="V51" s="692"/>
      <c r="W51" s="693"/>
      <c r="X51" s="693"/>
      <c r="Y51" s="693"/>
      <c r="Z51" s="693"/>
      <c r="AA51" s="693"/>
      <c r="AB51" s="693"/>
      <c r="AC51" s="693"/>
      <c r="AD51" s="692"/>
      <c r="AE51" s="693"/>
      <c r="AF51" s="693"/>
      <c r="AG51" s="693"/>
      <c r="AH51" s="693"/>
      <c r="AI51" s="693"/>
      <c r="AJ51" s="693"/>
      <c r="AK51" s="701"/>
      <c r="AL51" s="692"/>
      <c r="AM51" s="693"/>
      <c r="AN51" s="693"/>
      <c r="AO51" s="693"/>
      <c r="AP51" s="693"/>
      <c r="AQ51" s="693"/>
      <c r="AR51" s="701"/>
      <c r="AS51" s="705"/>
      <c r="AT51" s="706"/>
      <c r="AU51" s="706"/>
      <c r="AV51" s="706"/>
      <c r="AW51" s="706"/>
      <c r="AX51" s="706"/>
      <c r="AY51" s="707"/>
      <c r="AZ51" s="713"/>
      <c r="BA51" s="714"/>
      <c r="BB51" s="229">
        <v>5</v>
      </c>
      <c r="BC51" s="657"/>
      <c r="BD51" s="658"/>
      <c r="BE51" s="658"/>
      <c r="BF51" s="659"/>
      <c r="BG51" s="660"/>
      <c r="BH51" s="661"/>
      <c r="BI51" s="228"/>
      <c r="BJ51" s="662"/>
      <c r="BK51" s="663"/>
      <c r="BL51" s="663"/>
      <c r="BM51" s="663"/>
      <c r="BN51" s="663"/>
      <c r="BO51" s="664"/>
      <c r="BP51" s="662"/>
      <c r="BQ51" s="663"/>
      <c r="BR51" s="663"/>
      <c r="BS51" s="663"/>
      <c r="BT51" s="663"/>
      <c r="BU51" s="664"/>
      <c r="BV51" s="662"/>
      <c r="BW51" s="663"/>
      <c r="BX51" s="663"/>
      <c r="BY51" s="663"/>
      <c r="BZ51" s="663"/>
      <c r="CA51" s="664"/>
      <c r="CB51" s="657"/>
      <c r="CC51" s="658"/>
      <c r="CD51" s="658"/>
      <c r="CE51" s="659"/>
      <c r="CF51" s="651"/>
      <c r="CG51" s="652"/>
      <c r="CH51" s="652"/>
      <c r="CI51" s="652"/>
      <c r="CJ51" s="653"/>
      <c r="CK51" s="651"/>
      <c r="CL51" s="652"/>
      <c r="CM51" s="652"/>
      <c r="CN51" s="652"/>
      <c r="CO51" s="653"/>
      <c r="CP51" s="651"/>
      <c r="CQ51" s="652"/>
      <c r="CR51" s="652"/>
      <c r="CS51" s="652"/>
      <c r="CT51" s="653"/>
      <c r="CU51" s="654"/>
      <c r="CV51" s="655"/>
      <c r="CW51" s="655"/>
      <c r="CX51" s="655"/>
      <c r="CY51" s="656"/>
      <c r="DA51" s="197"/>
    </row>
    <row r="52" spans="1:105" ht="16.5">
      <c r="A52" s="683"/>
      <c r="B52" s="230"/>
      <c r="C52" s="231" t="str">
        <f t="shared" ca="1" si="2"/>
        <v/>
      </c>
      <c r="D52" s="688"/>
      <c r="E52" s="689"/>
      <c r="F52" s="689"/>
      <c r="G52" s="689"/>
      <c r="H52" s="689"/>
      <c r="I52" s="689"/>
      <c r="J52" s="689"/>
      <c r="K52" s="648"/>
      <c r="L52" s="649"/>
      <c r="M52" s="649"/>
      <c r="N52" s="649"/>
      <c r="O52" s="649"/>
      <c r="P52" s="649"/>
      <c r="Q52" s="649"/>
      <c r="R52" s="446"/>
      <c r="S52" s="447"/>
      <c r="T52" s="698"/>
      <c r="U52" s="699"/>
      <c r="V52" s="648"/>
      <c r="W52" s="649"/>
      <c r="X52" s="649"/>
      <c r="Y52" s="649"/>
      <c r="Z52" s="649"/>
      <c r="AA52" s="649"/>
      <c r="AB52" s="649"/>
      <c r="AC52" s="649"/>
      <c r="AD52" s="648"/>
      <c r="AE52" s="649"/>
      <c r="AF52" s="649"/>
      <c r="AG52" s="649"/>
      <c r="AH52" s="649"/>
      <c r="AI52" s="649"/>
      <c r="AJ52" s="649"/>
      <c r="AK52" s="650"/>
      <c r="AL52" s="648"/>
      <c r="AM52" s="649"/>
      <c r="AN52" s="649"/>
      <c r="AO52" s="649"/>
      <c r="AP52" s="649"/>
      <c r="AQ52" s="649"/>
      <c r="AR52" s="650"/>
      <c r="AS52" s="708"/>
      <c r="AT52" s="709"/>
      <c r="AU52" s="709"/>
      <c r="AV52" s="709"/>
      <c r="AW52" s="709"/>
      <c r="AX52" s="709"/>
      <c r="AY52" s="710"/>
      <c r="AZ52" s="715"/>
      <c r="BA52" s="716"/>
      <c r="BB52" s="232">
        <v>6</v>
      </c>
      <c r="BC52" s="673"/>
      <c r="BD52" s="674"/>
      <c r="BE52" s="674"/>
      <c r="BF52" s="675"/>
      <c r="BG52" s="676"/>
      <c r="BH52" s="677"/>
      <c r="BI52" s="231"/>
      <c r="BJ52" s="678"/>
      <c r="BK52" s="679"/>
      <c r="BL52" s="679"/>
      <c r="BM52" s="679"/>
      <c r="BN52" s="679"/>
      <c r="BO52" s="680"/>
      <c r="BP52" s="678"/>
      <c r="BQ52" s="679"/>
      <c r="BR52" s="679"/>
      <c r="BS52" s="679"/>
      <c r="BT52" s="679"/>
      <c r="BU52" s="680"/>
      <c r="BV52" s="678"/>
      <c r="BW52" s="679"/>
      <c r="BX52" s="679"/>
      <c r="BY52" s="679"/>
      <c r="BZ52" s="679"/>
      <c r="CA52" s="680"/>
      <c r="CB52" s="673"/>
      <c r="CC52" s="674"/>
      <c r="CD52" s="674"/>
      <c r="CE52" s="675"/>
      <c r="CF52" s="651"/>
      <c r="CG52" s="652"/>
      <c r="CH52" s="652"/>
      <c r="CI52" s="652"/>
      <c r="CJ52" s="653"/>
      <c r="CK52" s="651"/>
      <c r="CL52" s="652"/>
      <c r="CM52" s="652"/>
      <c r="CN52" s="652"/>
      <c r="CO52" s="653"/>
      <c r="CP52" s="651"/>
      <c r="CQ52" s="652"/>
      <c r="CR52" s="652"/>
      <c r="CS52" s="652"/>
      <c r="CT52" s="653"/>
      <c r="CU52" s="654"/>
      <c r="CV52" s="655"/>
      <c r="CW52" s="655"/>
      <c r="CX52" s="655"/>
      <c r="CY52" s="656"/>
      <c r="DA52" s="197"/>
    </row>
    <row r="53" spans="1:105" ht="16.5">
      <c r="A53" s="681">
        <v>8</v>
      </c>
      <c r="B53" s="225"/>
      <c r="C53" s="226" t="str">
        <f t="shared" ca="1" si="2"/>
        <v/>
      </c>
      <c r="D53" s="684"/>
      <c r="E53" s="685"/>
      <c r="F53" s="685"/>
      <c r="G53" s="685"/>
      <c r="H53" s="685"/>
      <c r="I53" s="685"/>
      <c r="J53" s="685"/>
      <c r="K53" s="690" t="s">
        <v>341</v>
      </c>
      <c r="L53" s="691"/>
      <c r="M53" s="691"/>
      <c r="N53" s="691"/>
      <c r="O53" s="691"/>
      <c r="P53" s="691"/>
      <c r="Q53" s="691"/>
      <c r="R53" s="442" t="s">
        <v>186</v>
      </c>
      <c r="S53" s="443"/>
      <c r="T53" s="694"/>
      <c r="U53" s="695"/>
      <c r="V53" s="690"/>
      <c r="W53" s="691"/>
      <c r="X53" s="691"/>
      <c r="Y53" s="691"/>
      <c r="Z53" s="691"/>
      <c r="AA53" s="691"/>
      <c r="AB53" s="691"/>
      <c r="AC53" s="691"/>
      <c r="AD53" s="690"/>
      <c r="AE53" s="691"/>
      <c r="AF53" s="691"/>
      <c r="AG53" s="691"/>
      <c r="AH53" s="691"/>
      <c r="AI53" s="691"/>
      <c r="AJ53" s="691"/>
      <c r="AK53" s="700"/>
      <c r="AL53" s="690"/>
      <c r="AM53" s="691"/>
      <c r="AN53" s="691"/>
      <c r="AO53" s="691"/>
      <c r="AP53" s="691"/>
      <c r="AQ53" s="691"/>
      <c r="AR53" s="700"/>
      <c r="AS53" s="702"/>
      <c r="AT53" s="703"/>
      <c r="AU53" s="703"/>
      <c r="AV53" s="703"/>
      <c r="AW53" s="703"/>
      <c r="AX53" s="703"/>
      <c r="AY53" s="704"/>
      <c r="AZ53" s="711"/>
      <c r="BA53" s="712"/>
      <c r="BB53" s="227">
        <v>1</v>
      </c>
      <c r="BC53" s="668"/>
      <c r="BD53" s="669"/>
      <c r="BE53" s="669"/>
      <c r="BF53" s="670"/>
      <c r="BG53" s="671"/>
      <c r="BH53" s="672"/>
      <c r="BI53" s="226"/>
      <c r="BJ53" s="665"/>
      <c r="BK53" s="666"/>
      <c r="BL53" s="666"/>
      <c r="BM53" s="666"/>
      <c r="BN53" s="666"/>
      <c r="BO53" s="667"/>
      <c r="BP53" s="665"/>
      <c r="BQ53" s="666"/>
      <c r="BR53" s="666"/>
      <c r="BS53" s="666"/>
      <c r="BT53" s="666"/>
      <c r="BU53" s="667"/>
      <c r="BV53" s="665"/>
      <c r="BW53" s="666"/>
      <c r="BX53" s="666"/>
      <c r="BY53" s="666"/>
      <c r="BZ53" s="666"/>
      <c r="CA53" s="667"/>
      <c r="CB53" s="668"/>
      <c r="CC53" s="669"/>
      <c r="CD53" s="669"/>
      <c r="CE53" s="670"/>
      <c r="CF53" s="648"/>
      <c r="CG53" s="649"/>
      <c r="CH53" s="649"/>
      <c r="CI53" s="649"/>
      <c r="CJ53" s="650"/>
      <c r="CK53" s="648"/>
      <c r="CL53" s="649"/>
      <c r="CM53" s="649"/>
      <c r="CN53" s="649"/>
      <c r="CO53" s="650"/>
      <c r="CP53" s="648"/>
      <c r="CQ53" s="649"/>
      <c r="CR53" s="649"/>
      <c r="CS53" s="649"/>
      <c r="CT53" s="650"/>
      <c r="CU53" s="654"/>
      <c r="CV53" s="655"/>
      <c r="CW53" s="655"/>
      <c r="CX53" s="655"/>
      <c r="CY53" s="656"/>
      <c r="DA53" s="197"/>
    </row>
    <row r="54" spans="1:105" ht="16.5">
      <c r="A54" s="682"/>
      <c r="B54" s="225"/>
      <c r="C54" s="228" t="str">
        <f t="shared" ca="1" si="2"/>
        <v/>
      </c>
      <c r="D54" s="686"/>
      <c r="E54" s="687"/>
      <c r="F54" s="687"/>
      <c r="G54" s="687"/>
      <c r="H54" s="687"/>
      <c r="I54" s="687"/>
      <c r="J54" s="687"/>
      <c r="K54" s="692"/>
      <c r="L54" s="693"/>
      <c r="M54" s="693"/>
      <c r="N54" s="693"/>
      <c r="O54" s="693"/>
      <c r="P54" s="693"/>
      <c r="Q54" s="693"/>
      <c r="R54" s="444"/>
      <c r="S54" s="445"/>
      <c r="T54" s="696"/>
      <c r="U54" s="697"/>
      <c r="V54" s="692"/>
      <c r="W54" s="693"/>
      <c r="X54" s="693"/>
      <c r="Y54" s="693"/>
      <c r="Z54" s="693"/>
      <c r="AA54" s="693"/>
      <c r="AB54" s="693"/>
      <c r="AC54" s="693"/>
      <c r="AD54" s="692"/>
      <c r="AE54" s="693"/>
      <c r="AF54" s="693"/>
      <c r="AG54" s="693"/>
      <c r="AH54" s="693"/>
      <c r="AI54" s="693"/>
      <c r="AJ54" s="693"/>
      <c r="AK54" s="701"/>
      <c r="AL54" s="692"/>
      <c r="AM54" s="693"/>
      <c r="AN54" s="693"/>
      <c r="AO54" s="693"/>
      <c r="AP54" s="693"/>
      <c r="AQ54" s="693"/>
      <c r="AR54" s="701"/>
      <c r="AS54" s="705"/>
      <c r="AT54" s="706"/>
      <c r="AU54" s="706"/>
      <c r="AV54" s="706"/>
      <c r="AW54" s="706"/>
      <c r="AX54" s="706"/>
      <c r="AY54" s="707"/>
      <c r="AZ54" s="713"/>
      <c r="BA54" s="714"/>
      <c r="BB54" s="229">
        <v>2</v>
      </c>
      <c r="BC54" s="657"/>
      <c r="BD54" s="658"/>
      <c r="BE54" s="658"/>
      <c r="BF54" s="659"/>
      <c r="BG54" s="660"/>
      <c r="BH54" s="661"/>
      <c r="BI54" s="228"/>
      <c r="BJ54" s="662"/>
      <c r="BK54" s="663"/>
      <c r="BL54" s="663"/>
      <c r="BM54" s="663"/>
      <c r="BN54" s="663"/>
      <c r="BO54" s="664"/>
      <c r="BP54" s="662"/>
      <c r="BQ54" s="663"/>
      <c r="BR54" s="663"/>
      <c r="BS54" s="663"/>
      <c r="BT54" s="663"/>
      <c r="BU54" s="664"/>
      <c r="BV54" s="662"/>
      <c r="BW54" s="663"/>
      <c r="BX54" s="663"/>
      <c r="BY54" s="663"/>
      <c r="BZ54" s="663"/>
      <c r="CA54" s="664"/>
      <c r="CB54" s="657"/>
      <c r="CC54" s="658"/>
      <c r="CD54" s="658"/>
      <c r="CE54" s="659"/>
      <c r="CF54" s="651"/>
      <c r="CG54" s="652"/>
      <c r="CH54" s="652"/>
      <c r="CI54" s="652"/>
      <c r="CJ54" s="653"/>
      <c r="CK54" s="651"/>
      <c r="CL54" s="652"/>
      <c r="CM54" s="652"/>
      <c r="CN54" s="652"/>
      <c r="CO54" s="653"/>
      <c r="CP54" s="651"/>
      <c r="CQ54" s="652"/>
      <c r="CR54" s="652"/>
      <c r="CS54" s="652"/>
      <c r="CT54" s="653"/>
      <c r="CU54" s="654"/>
      <c r="CV54" s="655"/>
      <c r="CW54" s="655"/>
      <c r="CX54" s="655"/>
      <c r="CY54" s="656"/>
      <c r="DA54" s="197"/>
    </row>
    <row r="55" spans="1:105" ht="16.5">
      <c r="A55" s="682"/>
      <c r="B55" s="225"/>
      <c r="C55" s="228" t="str">
        <f t="shared" ca="1" si="2"/>
        <v/>
      </c>
      <c r="D55" s="686"/>
      <c r="E55" s="687"/>
      <c r="F55" s="687"/>
      <c r="G55" s="687"/>
      <c r="H55" s="687"/>
      <c r="I55" s="687"/>
      <c r="J55" s="687"/>
      <c r="K55" s="692"/>
      <c r="L55" s="693"/>
      <c r="M55" s="693"/>
      <c r="N55" s="693"/>
      <c r="O55" s="693"/>
      <c r="P55" s="693"/>
      <c r="Q55" s="693"/>
      <c r="R55" s="444"/>
      <c r="S55" s="445"/>
      <c r="T55" s="696"/>
      <c r="U55" s="697"/>
      <c r="V55" s="692"/>
      <c r="W55" s="693"/>
      <c r="X55" s="693"/>
      <c r="Y55" s="693"/>
      <c r="Z55" s="693"/>
      <c r="AA55" s="693"/>
      <c r="AB55" s="693"/>
      <c r="AC55" s="693"/>
      <c r="AD55" s="692"/>
      <c r="AE55" s="693"/>
      <c r="AF55" s="693"/>
      <c r="AG55" s="693"/>
      <c r="AH55" s="693"/>
      <c r="AI55" s="693"/>
      <c r="AJ55" s="693"/>
      <c r="AK55" s="701"/>
      <c r="AL55" s="692"/>
      <c r="AM55" s="693"/>
      <c r="AN55" s="693"/>
      <c r="AO55" s="693"/>
      <c r="AP55" s="693"/>
      <c r="AQ55" s="693"/>
      <c r="AR55" s="701"/>
      <c r="AS55" s="705"/>
      <c r="AT55" s="706"/>
      <c r="AU55" s="706"/>
      <c r="AV55" s="706"/>
      <c r="AW55" s="706"/>
      <c r="AX55" s="706"/>
      <c r="AY55" s="707"/>
      <c r="AZ55" s="713"/>
      <c r="BA55" s="714"/>
      <c r="BB55" s="229">
        <v>3</v>
      </c>
      <c r="BC55" s="657"/>
      <c r="BD55" s="658"/>
      <c r="BE55" s="658"/>
      <c r="BF55" s="659"/>
      <c r="BG55" s="660"/>
      <c r="BH55" s="661"/>
      <c r="BI55" s="228"/>
      <c r="BJ55" s="662"/>
      <c r="BK55" s="663"/>
      <c r="BL55" s="663"/>
      <c r="BM55" s="663"/>
      <c r="BN55" s="663"/>
      <c r="BO55" s="664"/>
      <c r="BP55" s="662"/>
      <c r="BQ55" s="663"/>
      <c r="BR55" s="663"/>
      <c r="BS55" s="663"/>
      <c r="BT55" s="663"/>
      <c r="BU55" s="664"/>
      <c r="BV55" s="662"/>
      <c r="BW55" s="663"/>
      <c r="BX55" s="663"/>
      <c r="BY55" s="663"/>
      <c r="BZ55" s="663"/>
      <c r="CA55" s="664"/>
      <c r="CB55" s="657"/>
      <c r="CC55" s="658"/>
      <c r="CD55" s="658"/>
      <c r="CE55" s="659"/>
      <c r="CF55" s="651"/>
      <c r="CG55" s="652"/>
      <c r="CH55" s="652"/>
      <c r="CI55" s="652"/>
      <c r="CJ55" s="653"/>
      <c r="CK55" s="651"/>
      <c r="CL55" s="652"/>
      <c r="CM55" s="652"/>
      <c r="CN55" s="652"/>
      <c r="CO55" s="653"/>
      <c r="CP55" s="651"/>
      <c r="CQ55" s="652"/>
      <c r="CR55" s="652"/>
      <c r="CS55" s="652"/>
      <c r="CT55" s="653"/>
      <c r="CU55" s="654"/>
      <c r="CV55" s="655"/>
      <c r="CW55" s="655"/>
      <c r="CX55" s="655"/>
      <c r="CY55" s="656"/>
      <c r="DA55" s="197"/>
    </row>
    <row r="56" spans="1:105" ht="16.5">
      <c r="A56" s="682"/>
      <c r="B56" s="225"/>
      <c r="C56" s="228" t="str">
        <f t="shared" ca="1" si="2"/>
        <v/>
      </c>
      <c r="D56" s="686"/>
      <c r="E56" s="687"/>
      <c r="F56" s="687"/>
      <c r="G56" s="687"/>
      <c r="H56" s="687"/>
      <c r="I56" s="687"/>
      <c r="J56" s="687"/>
      <c r="K56" s="692"/>
      <c r="L56" s="693"/>
      <c r="M56" s="693"/>
      <c r="N56" s="693"/>
      <c r="O56" s="693"/>
      <c r="P56" s="693"/>
      <c r="Q56" s="693"/>
      <c r="R56" s="444"/>
      <c r="S56" s="445"/>
      <c r="T56" s="696"/>
      <c r="U56" s="697"/>
      <c r="V56" s="692"/>
      <c r="W56" s="693"/>
      <c r="X56" s="693"/>
      <c r="Y56" s="693"/>
      <c r="Z56" s="693"/>
      <c r="AA56" s="693"/>
      <c r="AB56" s="693"/>
      <c r="AC56" s="693"/>
      <c r="AD56" s="692"/>
      <c r="AE56" s="693"/>
      <c r="AF56" s="693"/>
      <c r="AG56" s="693"/>
      <c r="AH56" s="693"/>
      <c r="AI56" s="693"/>
      <c r="AJ56" s="693"/>
      <c r="AK56" s="701"/>
      <c r="AL56" s="692"/>
      <c r="AM56" s="693"/>
      <c r="AN56" s="693"/>
      <c r="AO56" s="693"/>
      <c r="AP56" s="693"/>
      <c r="AQ56" s="693"/>
      <c r="AR56" s="701"/>
      <c r="AS56" s="705"/>
      <c r="AT56" s="706"/>
      <c r="AU56" s="706"/>
      <c r="AV56" s="706"/>
      <c r="AW56" s="706"/>
      <c r="AX56" s="706"/>
      <c r="AY56" s="707"/>
      <c r="AZ56" s="713"/>
      <c r="BA56" s="714"/>
      <c r="BB56" s="229">
        <v>4</v>
      </c>
      <c r="BC56" s="657"/>
      <c r="BD56" s="658"/>
      <c r="BE56" s="658"/>
      <c r="BF56" s="659"/>
      <c r="BG56" s="660"/>
      <c r="BH56" s="661"/>
      <c r="BI56" s="228"/>
      <c r="BJ56" s="662"/>
      <c r="BK56" s="663"/>
      <c r="BL56" s="663"/>
      <c r="BM56" s="663"/>
      <c r="BN56" s="663"/>
      <c r="BO56" s="664"/>
      <c r="BP56" s="662"/>
      <c r="BQ56" s="663"/>
      <c r="BR56" s="663"/>
      <c r="BS56" s="663"/>
      <c r="BT56" s="663"/>
      <c r="BU56" s="664"/>
      <c r="BV56" s="662"/>
      <c r="BW56" s="663"/>
      <c r="BX56" s="663"/>
      <c r="BY56" s="663"/>
      <c r="BZ56" s="663"/>
      <c r="CA56" s="664"/>
      <c r="CB56" s="657"/>
      <c r="CC56" s="658"/>
      <c r="CD56" s="658"/>
      <c r="CE56" s="659"/>
      <c r="CF56" s="651"/>
      <c r="CG56" s="652"/>
      <c r="CH56" s="652"/>
      <c r="CI56" s="652"/>
      <c r="CJ56" s="653"/>
      <c r="CK56" s="651"/>
      <c r="CL56" s="652"/>
      <c r="CM56" s="652"/>
      <c r="CN56" s="652"/>
      <c r="CO56" s="653"/>
      <c r="CP56" s="651"/>
      <c r="CQ56" s="652"/>
      <c r="CR56" s="652"/>
      <c r="CS56" s="652"/>
      <c r="CT56" s="653"/>
      <c r="CU56" s="654"/>
      <c r="CV56" s="655"/>
      <c r="CW56" s="655"/>
      <c r="CX56" s="655"/>
      <c r="CY56" s="656"/>
      <c r="DA56" s="197"/>
    </row>
    <row r="57" spans="1:105" ht="16.5">
      <c r="A57" s="682"/>
      <c r="B57" s="225"/>
      <c r="C57" s="228" t="str">
        <f t="shared" ca="1" si="2"/>
        <v/>
      </c>
      <c r="D57" s="686"/>
      <c r="E57" s="687"/>
      <c r="F57" s="687"/>
      <c r="G57" s="687"/>
      <c r="H57" s="687"/>
      <c r="I57" s="687"/>
      <c r="J57" s="687"/>
      <c r="K57" s="692"/>
      <c r="L57" s="693"/>
      <c r="M57" s="693"/>
      <c r="N57" s="693"/>
      <c r="O57" s="693"/>
      <c r="P57" s="693"/>
      <c r="Q57" s="693"/>
      <c r="R57" s="444"/>
      <c r="S57" s="445"/>
      <c r="T57" s="696"/>
      <c r="U57" s="697"/>
      <c r="V57" s="692"/>
      <c r="W57" s="693"/>
      <c r="X57" s="693"/>
      <c r="Y57" s="693"/>
      <c r="Z57" s="693"/>
      <c r="AA57" s="693"/>
      <c r="AB57" s="693"/>
      <c r="AC57" s="693"/>
      <c r="AD57" s="692"/>
      <c r="AE57" s="693"/>
      <c r="AF57" s="693"/>
      <c r="AG57" s="693"/>
      <c r="AH57" s="693"/>
      <c r="AI57" s="693"/>
      <c r="AJ57" s="693"/>
      <c r="AK57" s="701"/>
      <c r="AL57" s="692"/>
      <c r="AM57" s="693"/>
      <c r="AN57" s="693"/>
      <c r="AO57" s="693"/>
      <c r="AP57" s="693"/>
      <c r="AQ57" s="693"/>
      <c r="AR57" s="701"/>
      <c r="AS57" s="705"/>
      <c r="AT57" s="706"/>
      <c r="AU57" s="706"/>
      <c r="AV57" s="706"/>
      <c r="AW57" s="706"/>
      <c r="AX57" s="706"/>
      <c r="AY57" s="707"/>
      <c r="AZ57" s="713"/>
      <c r="BA57" s="714"/>
      <c r="BB57" s="229">
        <v>5</v>
      </c>
      <c r="BC57" s="657"/>
      <c r="BD57" s="658"/>
      <c r="BE57" s="658"/>
      <c r="BF57" s="659"/>
      <c r="BG57" s="660"/>
      <c r="BH57" s="661"/>
      <c r="BI57" s="228"/>
      <c r="BJ57" s="662"/>
      <c r="BK57" s="663"/>
      <c r="BL57" s="663"/>
      <c r="BM57" s="663"/>
      <c r="BN57" s="663"/>
      <c r="BO57" s="664"/>
      <c r="BP57" s="662"/>
      <c r="BQ57" s="663"/>
      <c r="BR57" s="663"/>
      <c r="BS57" s="663"/>
      <c r="BT57" s="663"/>
      <c r="BU57" s="664"/>
      <c r="BV57" s="662"/>
      <c r="BW57" s="663"/>
      <c r="BX57" s="663"/>
      <c r="BY57" s="663"/>
      <c r="BZ57" s="663"/>
      <c r="CA57" s="664"/>
      <c r="CB57" s="657"/>
      <c r="CC57" s="658"/>
      <c r="CD57" s="658"/>
      <c r="CE57" s="659"/>
      <c r="CF57" s="651"/>
      <c r="CG57" s="652"/>
      <c r="CH57" s="652"/>
      <c r="CI57" s="652"/>
      <c r="CJ57" s="653"/>
      <c r="CK57" s="651"/>
      <c r="CL57" s="652"/>
      <c r="CM57" s="652"/>
      <c r="CN57" s="652"/>
      <c r="CO57" s="653"/>
      <c r="CP57" s="651"/>
      <c r="CQ57" s="652"/>
      <c r="CR57" s="652"/>
      <c r="CS57" s="652"/>
      <c r="CT57" s="653"/>
      <c r="CU57" s="654"/>
      <c r="CV57" s="655"/>
      <c r="CW57" s="655"/>
      <c r="CX57" s="655"/>
      <c r="CY57" s="656"/>
      <c r="DA57" s="197"/>
    </row>
    <row r="58" spans="1:105" ht="16.5">
      <c r="A58" s="683"/>
      <c r="B58" s="230"/>
      <c r="C58" s="231" t="str">
        <f t="shared" ca="1" si="2"/>
        <v/>
      </c>
      <c r="D58" s="688"/>
      <c r="E58" s="689"/>
      <c r="F58" s="689"/>
      <c r="G58" s="689"/>
      <c r="H58" s="689"/>
      <c r="I58" s="689"/>
      <c r="J58" s="689"/>
      <c r="K58" s="648"/>
      <c r="L58" s="649"/>
      <c r="M58" s="649"/>
      <c r="N58" s="649"/>
      <c r="O58" s="649"/>
      <c r="P58" s="649"/>
      <c r="Q58" s="649"/>
      <c r="R58" s="446"/>
      <c r="S58" s="447"/>
      <c r="T58" s="698"/>
      <c r="U58" s="699"/>
      <c r="V58" s="648"/>
      <c r="W58" s="649"/>
      <c r="X58" s="649"/>
      <c r="Y58" s="649"/>
      <c r="Z58" s="649"/>
      <c r="AA58" s="649"/>
      <c r="AB58" s="649"/>
      <c r="AC58" s="649"/>
      <c r="AD58" s="648"/>
      <c r="AE58" s="649"/>
      <c r="AF58" s="649"/>
      <c r="AG58" s="649"/>
      <c r="AH58" s="649"/>
      <c r="AI58" s="649"/>
      <c r="AJ58" s="649"/>
      <c r="AK58" s="650"/>
      <c r="AL58" s="648"/>
      <c r="AM58" s="649"/>
      <c r="AN58" s="649"/>
      <c r="AO58" s="649"/>
      <c r="AP58" s="649"/>
      <c r="AQ58" s="649"/>
      <c r="AR58" s="650"/>
      <c r="AS58" s="708"/>
      <c r="AT58" s="709"/>
      <c r="AU58" s="709"/>
      <c r="AV58" s="709"/>
      <c r="AW58" s="709"/>
      <c r="AX58" s="709"/>
      <c r="AY58" s="710"/>
      <c r="AZ58" s="715"/>
      <c r="BA58" s="716"/>
      <c r="BB58" s="232">
        <v>6</v>
      </c>
      <c r="BC58" s="673"/>
      <c r="BD58" s="674"/>
      <c r="BE58" s="674"/>
      <c r="BF58" s="675"/>
      <c r="BG58" s="676"/>
      <c r="BH58" s="677"/>
      <c r="BI58" s="231"/>
      <c r="BJ58" s="678"/>
      <c r="BK58" s="679"/>
      <c r="BL58" s="679"/>
      <c r="BM58" s="679"/>
      <c r="BN58" s="679"/>
      <c r="BO58" s="680"/>
      <c r="BP58" s="678"/>
      <c r="BQ58" s="679"/>
      <c r="BR58" s="679"/>
      <c r="BS58" s="679"/>
      <c r="BT58" s="679"/>
      <c r="BU58" s="680"/>
      <c r="BV58" s="678"/>
      <c r="BW58" s="679"/>
      <c r="BX58" s="679"/>
      <c r="BY58" s="679"/>
      <c r="BZ58" s="679"/>
      <c r="CA58" s="680"/>
      <c r="CB58" s="673"/>
      <c r="CC58" s="674"/>
      <c r="CD58" s="674"/>
      <c r="CE58" s="675"/>
      <c r="CF58" s="651"/>
      <c r="CG58" s="652"/>
      <c r="CH58" s="652"/>
      <c r="CI58" s="652"/>
      <c r="CJ58" s="653"/>
      <c r="CK58" s="651"/>
      <c r="CL58" s="652"/>
      <c r="CM58" s="652"/>
      <c r="CN58" s="652"/>
      <c r="CO58" s="653"/>
      <c r="CP58" s="651"/>
      <c r="CQ58" s="652"/>
      <c r="CR58" s="652"/>
      <c r="CS58" s="652"/>
      <c r="CT58" s="653"/>
      <c r="CU58" s="654"/>
      <c r="CV58" s="655"/>
      <c r="CW58" s="655"/>
      <c r="CX58" s="655"/>
      <c r="CY58" s="656"/>
      <c r="DA58" s="197"/>
    </row>
    <row r="59" spans="1:105" ht="16.5">
      <c r="A59" s="681">
        <v>9</v>
      </c>
      <c r="B59" s="225"/>
      <c r="C59" s="226" t="str">
        <f t="shared" ca="1" si="2"/>
        <v/>
      </c>
      <c r="D59" s="684"/>
      <c r="E59" s="685"/>
      <c r="F59" s="685"/>
      <c r="G59" s="685"/>
      <c r="H59" s="685"/>
      <c r="I59" s="685"/>
      <c r="J59" s="685"/>
      <c r="K59" s="690" t="s">
        <v>342</v>
      </c>
      <c r="L59" s="691"/>
      <c r="M59" s="691"/>
      <c r="N59" s="691"/>
      <c r="O59" s="691"/>
      <c r="P59" s="691"/>
      <c r="Q59" s="691"/>
      <c r="R59" s="442" t="s">
        <v>186</v>
      </c>
      <c r="S59" s="443"/>
      <c r="T59" s="694"/>
      <c r="U59" s="695"/>
      <c r="V59" s="690"/>
      <c r="W59" s="691"/>
      <c r="X59" s="691"/>
      <c r="Y59" s="691"/>
      <c r="Z59" s="691"/>
      <c r="AA59" s="691"/>
      <c r="AB59" s="691"/>
      <c r="AC59" s="691"/>
      <c r="AD59" s="690"/>
      <c r="AE59" s="691"/>
      <c r="AF59" s="691"/>
      <c r="AG59" s="691"/>
      <c r="AH59" s="691"/>
      <c r="AI59" s="691"/>
      <c r="AJ59" s="691"/>
      <c r="AK59" s="700"/>
      <c r="AL59" s="690"/>
      <c r="AM59" s="691"/>
      <c r="AN59" s="691"/>
      <c r="AO59" s="691"/>
      <c r="AP59" s="691"/>
      <c r="AQ59" s="691"/>
      <c r="AR59" s="700"/>
      <c r="AS59" s="702"/>
      <c r="AT59" s="703"/>
      <c r="AU59" s="703"/>
      <c r="AV59" s="703"/>
      <c r="AW59" s="703"/>
      <c r="AX59" s="703"/>
      <c r="AY59" s="704"/>
      <c r="AZ59" s="711"/>
      <c r="BA59" s="712"/>
      <c r="BB59" s="227">
        <v>1</v>
      </c>
      <c r="BC59" s="668"/>
      <c r="BD59" s="669"/>
      <c r="BE59" s="669"/>
      <c r="BF59" s="670"/>
      <c r="BG59" s="671"/>
      <c r="BH59" s="672"/>
      <c r="BI59" s="226"/>
      <c r="BJ59" s="665"/>
      <c r="BK59" s="666"/>
      <c r="BL59" s="666"/>
      <c r="BM59" s="666"/>
      <c r="BN59" s="666"/>
      <c r="BO59" s="667"/>
      <c r="BP59" s="665"/>
      <c r="BQ59" s="666"/>
      <c r="BR59" s="666"/>
      <c r="BS59" s="666"/>
      <c r="BT59" s="666"/>
      <c r="BU59" s="667"/>
      <c r="BV59" s="665"/>
      <c r="BW59" s="666"/>
      <c r="BX59" s="666"/>
      <c r="BY59" s="666"/>
      <c r="BZ59" s="666"/>
      <c r="CA59" s="667"/>
      <c r="CB59" s="668"/>
      <c r="CC59" s="669"/>
      <c r="CD59" s="669"/>
      <c r="CE59" s="670"/>
      <c r="CF59" s="648"/>
      <c r="CG59" s="649"/>
      <c r="CH59" s="649"/>
      <c r="CI59" s="649"/>
      <c r="CJ59" s="650"/>
      <c r="CK59" s="648"/>
      <c r="CL59" s="649"/>
      <c r="CM59" s="649"/>
      <c r="CN59" s="649"/>
      <c r="CO59" s="650"/>
      <c r="CP59" s="648"/>
      <c r="CQ59" s="649"/>
      <c r="CR59" s="649"/>
      <c r="CS59" s="649"/>
      <c r="CT59" s="650"/>
      <c r="CU59" s="654"/>
      <c r="CV59" s="655"/>
      <c r="CW59" s="655"/>
      <c r="CX59" s="655"/>
      <c r="CY59" s="656"/>
      <c r="DA59" s="197"/>
    </row>
    <row r="60" spans="1:105" ht="16.5">
      <c r="A60" s="682"/>
      <c r="B60" s="225"/>
      <c r="C60" s="228" t="str">
        <f t="shared" ca="1" si="2"/>
        <v/>
      </c>
      <c r="D60" s="686"/>
      <c r="E60" s="687"/>
      <c r="F60" s="687"/>
      <c r="G60" s="687"/>
      <c r="H60" s="687"/>
      <c r="I60" s="687"/>
      <c r="J60" s="687"/>
      <c r="K60" s="692"/>
      <c r="L60" s="693"/>
      <c r="M60" s="693"/>
      <c r="N60" s="693"/>
      <c r="O60" s="693"/>
      <c r="P60" s="693"/>
      <c r="Q60" s="693"/>
      <c r="R60" s="444"/>
      <c r="S60" s="445"/>
      <c r="T60" s="696"/>
      <c r="U60" s="697"/>
      <c r="V60" s="692"/>
      <c r="W60" s="693"/>
      <c r="X60" s="693"/>
      <c r="Y60" s="693"/>
      <c r="Z60" s="693"/>
      <c r="AA60" s="693"/>
      <c r="AB60" s="693"/>
      <c r="AC60" s="693"/>
      <c r="AD60" s="692"/>
      <c r="AE60" s="693"/>
      <c r="AF60" s="693"/>
      <c r="AG60" s="693"/>
      <c r="AH60" s="693"/>
      <c r="AI60" s="693"/>
      <c r="AJ60" s="693"/>
      <c r="AK60" s="701"/>
      <c r="AL60" s="692"/>
      <c r="AM60" s="693"/>
      <c r="AN60" s="693"/>
      <c r="AO60" s="693"/>
      <c r="AP60" s="693"/>
      <c r="AQ60" s="693"/>
      <c r="AR60" s="701"/>
      <c r="AS60" s="705"/>
      <c r="AT60" s="706"/>
      <c r="AU60" s="706"/>
      <c r="AV60" s="706"/>
      <c r="AW60" s="706"/>
      <c r="AX60" s="706"/>
      <c r="AY60" s="707"/>
      <c r="AZ60" s="713"/>
      <c r="BA60" s="714"/>
      <c r="BB60" s="229">
        <v>2</v>
      </c>
      <c r="BC60" s="657"/>
      <c r="BD60" s="658"/>
      <c r="BE60" s="658"/>
      <c r="BF60" s="659"/>
      <c r="BG60" s="660"/>
      <c r="BH60" s="661"/>
      <c r="BI60" s="228"/>
      <c r="BJ60" s="662"/>
      <c r="BK60" s="663"/>
      <c r="BL60" s="663"/>
      <c r="BM60" s="663"/>
      <c r="BN60" s="663"/>
      <c r="BO60" s="664"/>
      <c r="BP60" s="662"/>
      <c r="BQ60" s="663"/>
      <c r="BR60" s="663"/>
      <c r="BS60" s="663"/>
      <c r="BT60" s="663"/>
      <c r="BU60" s="664"/>
      <c r="BV60" s="662"/>
      <c r="BW60" s="663"/>
      <c r="BX60" s="663"/>
      <c r="BY60" s="663"/>
      <c r="BZ60" s="663"/>
      <c r="CA60" s="664"/>
      <c r="CB60" s="657"/>
      <c r="CC60" s="658"/>
      <c r="CD60" s="658"/>
      <c r="CE60" s="659"/>
      <c r="CF60" s="651"/>
      <c r="CG60" s="652"/>
      <c r="CH60" s="652"/>
      <c r="CI60" s="652"/>
      <c r="CJ60" s="653"/>
      <c r="CK60" s="651"/>
      <c r="CL60" s="652"/>
      <c r="CM60" s="652"/>
      <c r="CN60" s="652"/>
      <c r="CO60" s="653"/>
      <c r="CP60" s="651"/>
      <c r="CQ60" s="652"/>
      <c r="CR60" s="652"/>
      <c r="CS60" s="652"/>
      <c r="CT60" s="653"/>
      <c r="CU60" s="654"/>
      <c r="CV60" s="655"/>
      <c r="CW60" s="655"/>
      <c r="CX60" s="655"/>
      <c r="CY60" s="656"/>
      <c r="DA60" s="197"/>
    </row>
    <row r="61" spans="1:105" ht="16.5">
      <c r="A61" s="682"/>
      <c r="B61" s="225"/>
      <c r="C61" s="228" t="str">
        <f t="shared" ca="1" si="2"/>
        <v/>
      </c>
      <c r="D61" s="686"/>
      <c r="E61" s="687"/>
      <c r="F61" s="687"/>
      <c r="G61" s="687"/>
      <c r="H61" s="687"/>
      <c r="I61" s="687"/>
      <c r="J61" s="687"/>
      <c r="K61" s="692"/>
      <c r="L61" s="693"/>
      <c r="M61" s="693"/>
      <c r="N61" s="693"/>
      <c r="O61" s="693"/>
      <c r="P61" s="693"/>
      <c r="Q61" s="693"/>
      <c r="R61" s="444"/>
      <c r="S61" s="445"/>
      <c r="T61" s="696"/>
      <c r="U61" s="697"/>
      <c r="V61" s="692"/>
      <c r="W61" s="693"/>
      <c r="X61" s="693"/>
      <c r="Y61" s="693"/>
      <c r="Z61" s="693"/>
      <c r="AA61" s="693"/>
      <c r="AB61" s="693"/>
      <c r="AC61" s="693"/>
      <c r="AD61" s="692"/>
      <c r="AE61" s="693"/>
      <c r="AF61" s="693"/>
      <c r="AG61" s="693"/>
      <c r="AH61" s="693"/>
      <c r="AI61" s="693"/>
      <c r="AJ61" s="693"/>
      <c r="AK61" s="701"/>
      <c r="AL61" s="692"/>
      <c r="AM61" s="693"/>
      <c r="AN61" s="693"/>
      <c r="AO61" s="693"/>
      <c r="AP61" s="693"/>
      <c r="AQ61" s="693"/>
      <c r="AR61" s="701"/>
      <c r="AS61" s="705"/>
      <c r="AT61" s="706"/>
      <c r="AU61" s="706"/>
      <c r="AV61" s="706"/>
      <c r="AW61" s="706"/>
      <c r="AX61" s="706"/>
      <c r="AY61" s="707"/>
      <c r="AZ61" s="713"/>
      <c r="BA61" s="714"/>
      <c r="BB61" s="229">
        <v>3</v>
      </c>
      <c r="BC61" s="657"/>
      <c r="BD61" s="658"/>
      <c r="BE61" s="658"/>
      <c r="BF61" s="659"/>
      <c r="BG61" s="660"/>
      <c r="BH61" s="661"/>
      <c r="BI61" s="228"/>
      <c r="BJ61" s="662"/>
      <c r="BK61" s="663"/>
      <c r="BL61" s="663"/>
      <c r="BM61" s="663"/>
      <c r="BN61" s="663"/>
      <c r="BO61" s="664"/>
      <c r="BP61" s="662"/>
      <c r="BQ61" s="663"/>
      <c r="BR61" s="663"/>
      <c r="BS61" s="663"/>
      <c r="BT61" s="663"/>
      <c r="BU61" s="664"/>
      <c r="BV61" s="662"/>
      <c r="BW61" s="663"/>
      <c r="BX61" s="663"/>
      <c r="BY61" s="663"/>
      <c r="BZ61" s="663"/>
      <c r="CA61" s="664"/>
      <c r="CB61" s="657"/>
      <c r="CC61" s="658"/>
      <c r="CD61" s="658"/>
      <c r="CE61" s="659"/>
      <c r="CF61" s="651"/>
      <c r="CG61" s="652"/>
      <c r="CH61" s="652"/>
      <c r="CI61" s="652"/>
      <c r="CJ61" s="653"/>
      <c r="CK61" s="651"/>
      <c r="CL61" s="652"/>
      <c r="CM61" s="652"/>
      <c r="CN61" s="652"/>
      <c r="CO61" s="653"/>
      <c r="CP61" s="651"/>
      <c r="CQ61" s="652"/>
      <c r="CR61" s="652"/>
      <c r="CS61" s="652"/>
      <c r="CT61" s="653"/>
      <c r="CU61" s="654"/>
      <c r="CV61" s="655"/>
      <c r="CW61" s="655"/>
      <c r="CX61" s="655"/>
      <c r="CY61" s="656"/>
      <c r="DA61" s="197"/>
    </row>
    <row r="62" spans="1:105" ht="16.5">
      <c r="A62" s="682"/>
      <c r="B62" s="225"/>
      <c r="C62" s="228" t="str">
        <f t="shared" ca="1" si="2"/>
        <v/>
      </c>
      <c r="D62" s="686"/>
      <c r="E62" s="687"/>
      <c r="F62" s="687"/>
      <c r="G62" s="687"/>
      <c r="H62" s="687"/>
      <c r="I62" s="687"/>
      <c r="J62" s="687"/>
      <c r="K62" s="692"/>
      <c r="L62" s="693"/>
      <c r="M62" s="693"/>
      <c r="N62" s="693"/>
      <c r="O62" s="693"/>
      <c r="P62" s="693"/>
      <c r="Q62" s="693"/>
      <c r="R62" s="444"/>
      <c r="S62" s="445"/>
      <c r="T62" s="696"/>
      <c r="U62" s="697"/>
      <c r="V62" s="692"/>
      <c r="W62" s="693"/>
      <c r="X62" s="693"/>
      <c r="Y62" s="693"/>
      <c r="Z62" s="693"/>
      <c r="AA62" s="693"/>
      <c r="AB62" s="693"/>
      <c r="AC62" s="693"/>
      <c r="AD62" s="692"/>
      <c r="AE62" s="693"/>
      <c r="AF62" s="693"/>
      <c r="AG62" s="693"/>
      <c r="AH62" s="693"/>
      <c r="AI62" s="693"/>
      <c r="AJ62" s="693"/>
      <c r="AK62" s="701"/>
      <c r="AL62" s="692"/>
      <c r="AM62" s="693"/>
      <c r="AN62" s="693"/>
      <c r="AO62" s="693"/>
      <c r="AP62" s="693"/>
      <c r="AQ62" s="693"/>
      <c r="AR62" s="701"/>
      <c r="AS62" s="705"/>
      <c r="AT62" s="706"/>
      <c r="AU62" s="706"/>
      <c r="AV62" s="706"/>
      <c r="AW62" s="706"/>
      <c r="AX62" s="706"/>
      <c r="AY62" s="707"/>
      <c r="AZ62" s="713"/>
      <c r="BA62" s="714"/>
      <c r="BB62" s="229">
        <v>4</v>
      </c>
      <c r="BC62" s="657"/>
      <c r="BD62" s="658"/>
      <c r="BE62" s="658"/>
      <c r="BF62" s="659"/>
      <c r="BG62" s="660"/>
      <c r="BH62" s="661"/>
      <c r="BI62" s="228"/>
      <c r="BJ62" s="662"/>
      <c r="BK62" s="663"/>
      <c r="BL62" s="663"/>
      <c r="BM62" s="663"/>
      <c r="BN62" s="663"/>
      <c r="BO62" s="664"/>
      <c r="BP62" s="662"/>
      <c r="BQ62" s="663"/>
      <c r="BR62" s="663"/>
      <c r="BS62" s="663"/>
      <c r="BT62" s="663"/>
      <c r="BU62" s="664"/>
      <c r="BV62" s="662"/>
      <c r="BW62" s="663"/>
      <c r="BX62" s="663"/>
      <c r="BY62" s="663"/>
      <c r="BZ62" s="663"/>
      <c r="CA62" s="664"/>
      <c r="CB62" s="657"/>
      <c r="CC62" s="658"/>
      <c r="CD62" s="658"/>
      <c r="CE62" s="659"/>
      <c r="CF62" s="651"/>
      <c r="CG62" s="652"/>
      <c r="CH62" s="652"/>
      <c r="CI62" s="652"/>
      <c r="CJ62" s="653"/>
      <c r="CK62" s="651"/>
      <c r="CL62" s="652"/>
      <c r="CM62" s="652"/>
      <c r="CN62" s="652"/>
      <c r="CO62" s="653"/>
      <c r="CP62" s="651"/>
      <c r="CQ62" s="652"/>
      <c r="CR62" s="652"/>
      <c r="CS62" s="652"/>
      <c r="CT62" s="653"/>
      <c r="CU62" s="654"/>
      <c r="CV62" s="655"/>
      <c r="CW62" s="655"/>
      <c r="CX62" s="655"/>
      <c r="CY62" s="656"/>
      <c r="DA62" s="197"/>
    </row>
    <row r="63" spans="1:105" ht="16.5">
      <c r="A63" s="682"/>
      <c r="B63" s="225"/>
      <c r="C63" s="228" t="str">
        <f t="shared" ca="1" si="2"/>
        <v/>
      </c>
      <c r="D63" s="686"/>
      <c r="E63" s="687"/>
      <c r="F63" s="687"/>
      <c r="G63" s="687"/>
      <c r="H63" s="687"/>
      <c r="I63" s="687"/>
      <c r="J63" s="687"/>
      <c r="K63" s="692"/>
      <c r="L63" s="693"/>
      <c r="M63" s="693"/>
      <c r="N63" s="693"/>
      <c r="O63" s="693"/>
      <c r="P63" s="693"/>
      <c r="Q63" s="693"/>
      <c r="R63" s="444"/>
      <c r="S63" s="445"/>
      <c r="T63" s="696"/>
      <c r="U63" s="697"/>
      <c r="V63" s="692"/>
      <c r="W63" s="693"/>
      <c r="X63" s="693"/>
      <c r="Y63" s="693"/>
      <c r="Z63" s="693"/>
      <c r="AA63" s="693"/>
      <c r="AB63" s="693"/>
      <c r="AC63" s="693"/>
      <c r="AD63" s="692"/>
      <c r="AE63" s="693"/>
      <c r="AF63" s="693"/>
      <c r="AG63" s="693"/>
      <c r="AH63" s="693"/>
      <c r="AI63" s="693"/>
      <c r="AJ63" s="693"/>
      <c r="AK63" s="701"/>
      <c r="AL63" s="692"/>
      <c r="AM63" s="693"/>
      <c r="AN63" s="693"/>
      <c r="AO63" s="693"/>
      <c r="AP63" s="693"/>
      <c r="AQ63" s="693"/>
      <c r="AR63" s="701"/>
      <c r="AS63" s="705"/>
      <c r="AT63" s="706"/>
      <c r="AU63" s="706"/>
      <c r="AV63" s="706"/>
      <c r="AW63" s="706"/>
      <c r="AX63" s="706"/>
      <c r="AY63" s="707"/>
      <c r="AZ63" s="713"/>
      <c r="BA63" s="714"/>
      <c r="BB63" s="229">
        <v>5</v>
      </c>
      <c r="BC63" s="657"/>
      <c r="BD63" s="658"/>
      <c r="BE63" s="658"/>
      <c r="BF63" s="659"/>
      <c r="BG63" s="660"/>
      <c r="BH63" s="661"/>
      <c r="BI63" s="228"/>
      <c r="BJ63" s="662"/>
      <c r="BK63" s="663"/>
      <c r="BL63" s="663"/>
      <c r="BM63" s="663"/>
      <c r="BN63" s="663"/>
      <c r="BO63" s="664"/>
      <c r="BP63" s="662"/>
      <c r="BQ63" s="663"/>
      <c r="BR63" s="663"/>
      <c r="BS63" s="663"/>
      <c r="BT63" s="663"/>
      <c r="BU63" s="664"/>
      <c r="BV63" s="662"/>
      <c r="BW63" s="663"/>
      <c r="BX63" s="663"/>
      <c r="BY63" s="663"/>
      <c r="BZ63" s="663"/>
      <c r="CA63" s="664"/>
      <c r="CB63" s="657"/>
      <c r="CC63" s="658"/>
      <c r="CD63" s="658"/>
      <c r="CE63" s="659"/>
      <c r="CF63" s="651"/>
      <c r="CG63" s="652"/>
      <c r="CH63" s="652"/>
      <c r="CI63" s="652"/>
      <c r="CJ63" s="653"/>
      <c r="CK63" s="651"/>
      <c r="CL63" s="652"/>
      <c r="CM63" s="652"/>
      <c r="CN63" s="652"/>
      <c r="CO63" s="653"/>
      <c r="CP63" s="651"/>
      <c r="CQ63" s="652"/>
      <c r="CR63" s="652"/>
      <c r="CS63" s="652"/>
      <c r="CT63" s="653"/>
      <c r="CU63" s="654"/>
      <c r="CV63" s="655"/>
      <c r="CW63" s="655"/>
      <c r="CX63" s="655"/>
      <c r="CY63" s="656"/>
      <c r="DA63" s="197"/>
    </row>
    <row r="64" spans="1:105" ht="16.5">
      <c r="A64" s="683"/>
      <c r="B64" s="230"/>
      <c r="C64" s="231" t="str">
        <f t="shared" ca="1" si="2"/>
        <v/>
      </c>
      <c r="D64" s="688"/>
      <c r="E64" s="689"/>
      <c r="F64" s="689"/>
      <c r="G64" s="689"/>
      <c r="H64" s="689"/>
      <c r="I64" s="689"/>
      <c r="J64" s="689"/>
      <c r="K64" s="648"/>
      <c r="L64" s="649"/>
      <c r="M64" s="649"/>
      <c r="N64" s="649"/>
      <c r="O64" s="649"/>
      <c r="P64" s="649"/>
      <c r="Q64" s="649"/>
      <c r="R64" s="446"/>
      <c r="S64" s="447"/>
      <c r="T64" s="698"/>
      <c r="U64" s="699"/>
      <c r="V64" s="648"/>
      <c r="W64" s="649"/>
      <c r="X64" s="649"/>
      <c r="Y64" s="649"/>
      <c r="Z64" s="649"/>
      <c r="AA64" s="649"/>
      <c r="AB64" s="649"/>
      <c r="AC64" s="649"/>
      <c r="AD64" s="648"/>
      <c r="AE64" s="649"/>
      <c r="AF64" s="649"/>
      <c r="AG64" s="649"/>
      <c r="AH64" s="649"/>
      <c r="AI64" s="649"/>
      <c r="AJ64" s="649"/>
      <c r="AK64" s="650"/>
      <c r="AL64" s="648"/>
      <c r="AM64" s="649"/>
      <c r="AN64" s="649"/>
      <c r="AO64" s="649"/>
      <c r="AP64" s="649"/>
      <c r="AQ64" s="649"/>
      <c r="AR64" s="650"/>
      <c r="AS64" s="708"/>
      <c r="AT64" s="709"/>
      <c r="AU64" s="709"/>
      <c r="AV64" s="709"/>
      <c r="AW64" s="709"/>
      <c r="AX64" s="709"/>
      <c r="AY64" s="710"/>
      <c r="AZ64" s="715"/>
      <c r="BA64" s="716"/>
      <c r="BB64" s="232">
        <v>6</v>
      </c>
      <c r="BC64" s="673"/>
      <c r="BD64" s="674"/>
      <c r="BE64" s="674"/>
      <c r="BF64" s="675"/>
      <c r="BG64" s="676"/>
      <c r="BH64" s="677"/>
      <c r="BI64" s="231"/>
      <c r="BJ64" s="678"/>
      <c r="BK64" s="679"/>
      <c r="BL64" s="679"/>
      <c r="BM64" s="679"/>
      <c r="BN64" s="679"/>
      <c r="BO64" s="680"/>
      <c r="BP64" s="678"/>
      <c r="BQ64" s="679"/>
      <c r="BR64" s="679"/>
      <c r="BS64" s="679"/>
      <c r="BT64" s="679"/>
      <c r="BU64" s="680"/>
      <c r="BV64" s="678"/>
      <c r="BW64" s="679"/>
      <c r="BX64" s="679"/>
      <c r="BY64" s="679"/>
      <c r="BZ64" s="679"/>
      <c r="CA64" s="680"/>
      <c r="CB64" s="673"/>
      <c r="CC64" s="674"/>
      <c r="CD64" s="674"/>
      <c r="CE64" s="675"/>
      <c r="CF64" s="651"/>
      <c r="CG64" s="652"/>
      <c r="CH64" s="652"/>
      <c r="CI64" s="652"/>
      <c r="CJ64" s="653"/>
      <c r="CK64" s="651"/>
      <c r="CL64" s="652"/>
      <c r="CM64" s="652"/>
      <c r="CN64" s="652"/>
      <c r="CO64" s="653"/>
      <c r="CP64" s="651"/>
      <c r="CQ64" s="652"/>
      <c r="CR64" s="652"/>
      <c r="CS64" s="652"/>
      <c r="CT64" s="653"/>
      <c r="CU64" s="654"/>
      <c r="CV64" s="655"/>
      <c r="CW64" s="655"/>
      <c r="CX64" s="655"/>
      <c r="CY64" s="656"/>
      <c r="DA64" s="197"/>
    </row>
    <row r="65" spans="1:105" ht="16.5">
      <c r="A65" s="681">
        <v>10</v>
      </c>
      <c r="B65" s="225"/>
      <c r="C65" s="226" t="str">
        <f t="shared" ca="1" si="2"/>
        <v/>
      </c>
      <c r="D65" s="684"/>
      <c r="E65" s="685"/>
      <c r="F65" s="685"/>
      <c r="G65" s="685"/>
      <c r="H65" s="685"/>
      <c r="I65" s="685"/>
      <c r="J65" s="685"/>
      <c r="K65" s="690" t="s">
        <v>343</v>
      </c>
      <c r="L65" s="691"/>
      <c r="M65" s="691"/>
      <c r="N65" s="691"/>
      <c r="O65" s="691"/>
      <c r="P65" s="691"/>
      <c r="Q65" s="691"/>
      <c r="R65" s="442" t="s">
        <v>186</v>
      </c>
      <c r="S65" s="443"/>
      <c r="T65" s="694"/>
      <c r="U65" s="695"/>
      <c r="V65" s="690"/>
      <c r="W65" s="691"/>
      <c r="X65" s="691"/>
      <c r="Y65" s="691"/>
      <c r="Z65" s="691"/>
      <c r="AA65" s="691"/>
      <c r="AB65" s="691"/>
      <c r="AC65" s="691"/>
      <c r="AD65" s="690"/>
      <c r="AE65" s="691"/>
      <c r="AF65" s="691"/>
      <c r="AG65" s="691"/>
      <c r="AH65" s="691"/>
      <c r="AI65" s="691"/>
      <c r="AJ65" s="691"/>
      <c r="AK65" s="700"/>
      <c r="AL65" s="690"/>
      <c r="AM65" s="691"/>
      <c r="AN65" s="691"/>
      <c r="AO65" s="691"/>
      <c r="AP65" s="691"/>
      <c r="AQ65" s="691"/>
      <c r="AR65" s="700"/>
      <c r="AS65" s="702"/>
      <c r="AT65" s="703"/>
      <c r="AU65" s="703"/>
      <c r="AV65" s="703"/>
      <c r="AW65" s="703"/>
      <c r="AX65" s="703"/>
      <c r="AY65" s="704"/>
      <c r="AZ65" s="711"/>
      <c r="BA65" s="712"/>
      <c r="BB65" s="227">
        <v>1</v>
      </c>
      <c r="BC65" s="668"/>
      <c r="BD65" s="669"/>
      <c r="BE65" s="669"/>
      <c r="BF65" s="670"/>
      <c r="BG65" s="671"/>
      <c r="BH65" s="672"/>
      <c r="BI65" s="226"/>
      <c r="BJ65" s="665"/>
      <c r="BK65" s="666"/>
      <c r="BL65" s="666"/>
      <c r="BM65" s="666"/>
      <c r="BN65" s="666"/>
      <c r="BO65" s="667"/>
      <c r="BP65" s="665"/>
      <c r="BQ65" s="666"/>
      <c r="BR65" s="666"/>
      <c r="BS65" s="666"/>
      <c r="BT65" s="666"/>
      <c r="BU65" s="667"/>
      <c r="BV65" s="665"/>
      <c r="BW65" s="666"/>
      <c r="BX65" s="666"/>
      <c r="BY65" s="666"/>
      <c r="BZ65" s="666"/>
      <c r="CA65" s="667"/>
      <c r="CB65" s="668"/>
      <c r="CC65" s="669"/>
      <c r="CD65" s="669"/>
      <c r="CE65" s="670"/>
      <c r="CF65" s="648"/>
      <c r="CG65" s="649"/>
      <c r="CH65" s="649"/>
      <c r="CI65" s="649"/>
      <c r="CJ65" s="650"/>
      <c r="CK65" s="648"/>
      <c r="CL65" s="649"/>
      <c r="CM65" s="649"/>
      <c r="CN65" s="649"/>
      <c r="CO65" s="650"/>
      <c r="CP65" s="648"/>
      <c r="CQ65" s="649"/>
      <c r="CR65" s="649"/>
      <c r="CS65" s="649"/>
      <c r="CT65" s="650"/>
      <c r="CU65" s="654"/>
      <c r="CV65" s="655"/>
      <c r="CW65" s="655"/>
      <c r="CX65" s="655"/>
      <c r="CY65" s="656"/>
      <c r="DA65" s="197"/>
    </row>
    <row r="66" spans="1:105" ht="16.5">
      <c r="A66" s="682"/>
      <c r="B66" s="225"/>
      <c r="C66" s="228" t="str">
        <f t="shared" ca="1" si="2"/>
        <v/>
      </c>
      <c r="D66" s="686"/>
      <c r="E66" s="687"/>
      <c r="F66" s="687"/>
      <c r="G66" s="687"/>
      <c r="H66" s="687"/>
      <c r="I66" s="687"/>
      <c r="J66" s="687"/>
      <c r="K66" s="692"/>
      <c r="L66" s="693"/>
      <c r="M66" s="693"/>
      <c r="N66" s="693"/>
      <c r="O66" s="693"/>
      <c r="P66" s="693"/>
      <c r="Q66" s="693"/>
      <c r="R66" s="444"/>
      <c r="S66" s="445"/>
      <c r="T66" s="696"/>
      <c r="U66" s="697"/>
      <c r="V66" s="692"/>
      <c r="W66" s="693"/>
      <c r="X66" s="693"/>
      <c r="Y66" s="693"/>
      <c r="Z66" s="693"/>
      <c r="AA66" s="693"/>
      <c r="AB66" s="693"/>
      <c r="AC66" s="693"/>
      <c r="AD66" s="692"/>
      <c r="AE66" s="693"/>
      <c r="AF66" s="693"/>
      <c r="AG66" s="693"/>
      <c r="AH66" s="693"/>
      <c r="AI66" s="693"/>
      <c r="AJ66" s="693"/>
      <c r="AK66" s="701"/>
      <c r="AL66" s="692"/>
      <c r="AM66" s="693"/>
      <c r="AN66" s="693"/>
      <c r="AO66" s="693"/>
      <c r="AP66" s="693"/>
      <c r="AQ66" s="693"/>
      <c r="AR66" s="701"/>
      <c r="AS66" s="705"/>
      <c r="AT66" s="706"/>
      <c r="AU66" s="706"/>
      <c r="AV66" s="706"/>
      <c r="AW66" s="706"/>
      <c r="AX66" s="706"/>
      <c r="AY66" s="707"/>
      <c r="AZ66" s="713"/>
      <c r="BA66" s="714"/>
      <c r="BB66" s="229">
        <v>2</v>
      </c>
      <c r="BC66" s="657"/>
      <c r="BD66" s="658"/>
      <c r="BE66" s="658"/>
      <c r="BF66" s="659"/>
      <c r="BG66" s="660"/>
      <c r="BH66" s="661"/>
      <c r="BI66" s="228"/>
      <c r="BJ66" s="662"/>
      <c r="BK66" s="663"/>
      <c r="BL66" s="663"/>
      <c r="BM66" s="663"/>
      <c r="BN66" s="663"/>
      <c r="BO66" s="664"/>
      <c r="BP66" s="662"/>
      <c r="BQ66" s="663"/>
      <c r="BR66" s="663"/>
      <c r="BS66" s="663"/>
      <c r="BT66" s="663"/>
      <c r="BU66" s="664"/>
      <c r="BV66" s="662"/>
      <c r="BW66" s="663"/>
      <c r="BX66" s="663"/>
      <c r="BY66" s="663"/>
      <c r="BZ66" s="663"/>
      <c r="CA66" s="664"/>
      <c r="CB66" s="657"/>
      <c r="CC66" s="658"/>
      <c r="CD66" s="658"/>
      <c r="CE66" s="659"/>
      <c r="CF66" s="651"/>
      <c r="CG66" s="652"/>
      <c r="CH66" s="652"/>
      <c r="CI66" s="652"/>
      <c r="CJ66" s="653"/>
      <c r="CK66" s="651"/>
      <c r="CL66" s="652"/>
      <c r="CM66" s="652"/>
      <c r="CN66" s="652"/>
      <c r="CO66" s="653"/>
      <c r="CP66" s="651"/>
      <c r="CQ66" s="652"/>
      <c r="CR66" s="652"/>
      <c r="CS66" s="652"/>
      <c r="CT66" s="653"/>
      <c r="CU66" s="654"/>
      <c r="CV66" s="655"/>
      <c r="CW66" s="655"/>
      <c r="CX66" s="655"/>
      <c r="CY66" s="656"/>
      <c r="DA66" s="197"/>
    </row>
    <row r="67" spans="1:105" ht="16.5">
      <c r="A67" s="682"/>
      <c r="B67" s="225"/>
      <c r="C67" s="228" t="str">
        <f t="shared" ca="1" si="2"/>
        <v/>
      </c>
      <c r="D67" s="686"/>
      <c r="E67" s="687"/>
      <c r="F67" s="687"/>
      <c r="G67" s="687"/>
      <c r="H67" s="687"/>
      <c r="I67" s="687"/>
      <c r="J67" s="687"/>
      <c r="K67" s="692"/>
      <c r="L67" s="693"/>
      <c r="M67" s="693"/>
      <c r="N67" s="693"/>
      <c r="O67" s="693"/>
      <c r="P67" s="693"/>
      <c r="Q67" s="693"/>
      <c r="R67" s="444"/>
      <c r="S67" s="445"/>
      <c r="T67" s="696"/>
      <c r="U67" s="697"/>
      <c r="V67" s="692"/>
      <c r="W67" s="693"/>
      <c r="X67" s="693"/>
      <c r="Y67" s="693"/>
      <c r="Z67" s="693"/>
      <c r="AA67" s="693"/>
      <c r="AB67" s="693"/>
      <c r="AC67" s="693"/>
      <c r="AD67" s="692"/>
      <c r="AE67" s="693"/>
      <c r="AF67" s="693"/>
      <c r="AG67" s="693"/>
      <c r="AH67" s="693"/>
      <c r="AI67" s="693"/>
      <c r="AJ67" s="693"/>
      <c r="AK67" s="701"/>
      <c r="AL67" s="692"/>
      <c r="AM67" s="693"/>
      <c r="AN67" s="693"/>
      <c r="AO67" s="693"/>
      <c r="AP67" s="693"/>
      <c r="AQ67" s="693"/>
      <c r="AR67" s="701"/>
      <c r="AS67" s="705"/>
      <c r="AT67" s="706"/>
      <c r="AU67" s="706"/>
      <c r="AV67" s="706"/>
      <c r="AW67" s="706"/>
      <c r="AX67" s="706"/>
      <c r="AY67" s="707"/>
      <c r="AZ67" s="713"/>
      <c r="BA67" s="714"/>
      <c r="BB67" s="229">
        <v>3</v>
      </c>
      <c r="BC67" s="657"/>
      <c r="BD67" s="658"/>
      <c r="BE67" s="658"/>
      <c r="BF67" s="659"/>
      <c r="BG67" s="660"/>
      <c r="BH67" s="661"/>
      <c r="BI67" s="228"/>
      <c r="BJ67" s="662"/>
      <c r="BK67" s="663"/>
      <c r="BL67" s="663"/>
      <c r="BM67" s="663"/>
      <c r="BN67" s="663"/>
      <c r="BO67" s="664"/>
      <c r="BP67" s="662"/>
      <c r="BQ67" s="663"/>
      <c r="BR67" s="663"/>
      <c r="BS67" s="663"/>
      <c r="BT67" s="663"/>
      <c r="BU67" s="664"/>
      <c r="BV67" s="662"/>
      <c r="BW67" s="663"/>
      <c r="BX67" s="663"/>
      <c r="BY67" s="663"/>
      <c r="BZ67" s="663"/>
      <c r="CA67" s="664"/>
      <c r="CB67" s="657"/>
      <c r="CC67" s="658"/>
      <c r="CD67" s="658"/>
      <c r="CE67" s="659"/>
      <c r="CF67" s="651"/>
      <c r="CG67" s="652"/>
      <c r="CH67" s="652"/>
      <c r="CI67" s="652"/>
      <c r="CJ67" s="653"/>
      <c r="CK67" s="651"/>
      <c r="CL67" s="652"/>
      <c r="CM67" s="652"/>
      <c r="CN67" s="652"/>
      <c r="CO67" s="653"/>
      <c r="CP67" s="651"/>
      <c r="CQ67" s="652"/>
      <c r="CR67" s="652"/>
      <c r="CS67" s="652"/>
      <c r="CT67" s="653"/>
      <c r="CU67" s="654"/>
      <c r="CV67" s="655"/>
      <c r="CW67" s="655"/>
      <c r="CX67" s="655"/>
      <c r="CY67" s="656"/>
      <c r="DA67" s="197"/>
    </row>
    <row r="68" spans="1:105" ht="16.5">
      <c r="A68" s="682"/>
      <c r="B68" s="225"/>
      <c r="C68" s="228" t="str">
        <f t="shared" ca="1" si="2"/>
        <v/>
      </c>
      <c r="D68" s="686"/>
      <c r="E68" s="687"/>
      <c r="F68" s="687"/>
      <c r="G68" s="687"/>
      <c r="H68" s="687"/>
      <c r="I68" s="687"/>
      <c r="J68" s="687"/>
      <c r="K68" s="692"/>
      <c r="L68" s="693"/>
      <c r="M68" s="693"/>
      <c r="N68" s="693"/>
      <c r="O68" s="693"/>
      <c r="P68" s="693"/>
      <c r="Q68" s="693"/>
      <c r="R68" s="444"/>
      <c r="S68" s="445"/>
      <c r="T68" s="696"/>
      <c r="U68" s="697"/>
      <c r="V68" s="692"/>
      <c r="W68" s="693"/>
      <c r="X68" s="693"/>
      <c r="Y68" s="693"/>
      <c r="Z68" s="693"/>
      <c r="AA68" s="693"/>
      <c r="AB68" s="693"/>
      <c r="AC68" s="693"/>
      <c r="AD68" s="692"/>
      <c r="AE68" s="693"/>
      <c r="AF68" s="693"/>
      <c r="AG68" s="693"/>
      <c r="AH68" s="693"/>
      <c r="AI68" s="693"/>
      <c r="AJ68" s="693"/>
      <c r="AK68" s="701"/>
      <c r="AL68" s="692"/>
      <c r="AM68" s="693"/>
      <c r="AN68" s="693"/>
      <c r="AO68" s="693"/>
      <c r="AP68" s="693"/>
      <c r="AQ68" s="693"/>
      <c r="AR68" s="701"/>
      <c r="AS68" s="705"/>
      <c r="AT68" s="706"/>
      <c r="AU68" s="706"/>
      <c r="AV68" s="706"/>
      <c r="AW68" s="706"/>
      <c r="AX68" s="706"/>
      <c r="AY68" s="707"/>
      <c r="AZ68" s="713"/>
      <c r="BA68" s="714"/>
      <c r="BB68" s="229">
        <v>4</v>
      </c>
      <c r="BC68" s="657"/>
      <c r="BD68" s="658"/>
      <c r="BE68" s="658"/>
      <c r="BF68" s="659"/>
      <c r="BG68" s="660"/>
      <c r="BH68" s="661"/>
      <c r="BI68" s="228"/>
      <c r="BJ68" s="662"/>
      <c r="BK68" s="663"/>
      <c r="BL68" s="663"/>
      <c r="BM68" s="663"/>
      <c r="BN68" s="663"/>
      <c r="BO68" s="664"/>
      <c r="BP68" s="662"/>
      <c r="BQ68" s="663"/>
      <c r="BR68" s="663"/>
      <c r="BS68" s="663"/>
      <c r="BT68" s="663"/>
      <c r="BU68" s="664"/>
      <c r="BV68" s="662"/>
      <c r="BW68" s="663"/>
      <c r="BX68" s="663"/>
      <c r="BY68" s="663"/>
      <c r="BZ68" s="663"/>
      <c r="CA68" s="664"/>
      <c r="CB68" s="657"/>
      <c r="CC68" s="658"/>
      <c r="CD68" s="658"/>
      <c r="CE68" s="659"/>
      <c r="CF68" s="651"/>
      <c r="CG68" s="652"/>
      <c r="CH68" s="652"/>
      <c r="CI68" s="652"/>
      <c r="CJ68" s="653"/>
      <c r="CK68" s="651"/>
      <c r="CL68" s="652"/>
      <c r="CM68" s="652"/>
      <c r="CN68" s="652"/>
      <c r="CO68" s="653"/>
      <c r="CP68" s="651"/>
      <c r="CQ68" s="652"/>
      <c r="CR68" s="652"/>
      <c r="CS68" s="652"/>
      <c r="CT68" s="653"/>
      <c r="CU68" s="654"/>
      <c r="CV68" s="655"/>
      <c r="CW68" s="655"/>
      <c r="CX68" s="655"/>
      <c r="CY68" s="656"/>
      <c r="DA68" s="197"/>
    </row>
    <row r="69" spans="1:105" ht="16.5">
      <c r="A69" s="682"/>
      <c r="B69" s="225"/>
      <c r="C69" s="228" t="str">
        <f t="shared" ca="1" si="2"/>
        <v/>
      </c>
      <c r="D69" s="686"/>
      <c r="E69" s="687"/>
      <c r="F69" s="687"/>
      <c r="G69" s="687"/>
      <c r="H69" s="687"/>
      <c r="I69" s="687"/>
      <c r="J69" s="687"/>
      <c r="K69" s="692"/>
      <c r="L69" s="693"/>
      <c r="M69" s="693"/>
      <c r="N69" s="693"/>
      <c r="O69" s="693"/>
      <c r="P69" s="693"/>
      <c r="Q69" s="693"/>
      <c r="R69" s="444"/>
      <c r="S69" s="445"/>
      <c r="T69" s="696"/>
      <c r="U69" s="697"/>
      <c r="V69" s="692"/>
      <c r="W69" s="693"/>
      <c r="X69" s="693"/>
      <c r="Y69" s="693"/>
      <c r="Z69" s="693"/>
      <c r="AA69" s="693"/>
      <c r="AB69" s="693"/>
      <c r="AC69" s="693"/>
      <c r="AD69" s="692"/>
      <c r="AE69" s="693"/>
      <c r="AF69" s="693"/>
      <c r="AG69" s="693"/>
      <c r="AH69" s="693"/>
      <c r="AI69" s="693"/>
      <c r="AJ69" s="693"/>
      <c r="AK69" s="701"/>
      <c r="AL69" s="692"/>
      <c r="AM69" s="693"/>
      <c r="AN69" s="693"/>
      <c r="AO69" s="693"/>
      <c r="AP69" s="693"/>
      <c r="AQ69" s="693"/>
      <c r="AR69" s="701"/>
      <c r="AS69" s="705"/>
      <c r="AT69" s="706"/>
      <c r="AU69" s="706"/>
      <c r="AV69" s="706"/>
      <c r="AW69" s="706"/>
      <c r="AX69" s="706"/>
      <c r="AY69" s="707"/>
      <c r="AZ69" s="713"/>
      <c r="BA69" s="714"/>
      <c r="BB69" s="229">
        <v>5</v>
      </c>
      <c r="BC69" s="657"/>
      <c r="BD69" s="658"/>
      <c r="BE69" s="658"/>
      <c r="BF69" s="659"/>
      <c r="BG69" s="660"/>
      <c r="BH69" s="661"/>
      <c r="BI69" s="228"/>
      <c r="BJ69" s="662"/>
      <c r="BK69" s="663"/>
      <c r="BL69" s="663"/>
      <c r="BM69" s="663"/>
      <c r="BN69" s="663"/>
      <c r="BO69" s="664"/>
      <c r="BP69" s="662"/>
      <c r="BQ69" s="663"/>
      <c r="BR69" s="663"/>
      <c r="BS69" s="663"/>
      <c r="BT69" s="663"/>
      <c r="BU69" s="664"/>
      <c r="BV69" s="662"/>
      <c r="BW69" s="663"/>
      <c r="BX69" s="663"/>
      <c r="BY69" s="663"/>
      <c r="BZ69" s="663"/>
      <c r="CA69" s="664"/>
      <c r="CB69" s="657"/>
      <c r="CC69" s="658"/>
      <c r="CD69" s="658"/>
      <c r="CE69" s="659"/>
      <c r="CF69" s="651"/>
      <c r="CG69" s="652"/>
      <c r="CH69" s="652"/>
      <c r="CI69" s="652"/>
      <c r="CJ69" s="653"/>
      <c r="CK69" s="651"/>
      <c r="CL69" s="652"/>
      <c r="CM69" s="652"/>
      <c r="CN69" s="652"/>
      <c r="CO69" s="653"/>
      <c r="CP69" s="651"/>
      <c r="CQ69" s="652"/>
      <c r="CR69" s="652"/>
      <c r="CS69" s="652"/>
      <c r="CT69" s="653"/>
      <c r="CU69" s="654"/>
      <c r="CV69" s="655"/>
      <c r="CW69" s="655"/>
      <c r="CX69" s="655"/>
      <c r="CY69" s="656"/>
      <c r="DA69" s="197"/>
    </row>
    <row r="70" spans="1:105" ht="16.5">
      <c r="A70" s="683"/>
      <c r="B70" s="230"/>
      <c r="C70" s="231" t="str">
        <f t="shared" ca="1" si="2"/>
        <v/>
      </c>
      <c r="D70" s="688"/>
      <c r="E70" s="689"/>
      <c r="F70" s="689"/>
      <c r="G70" s="689"/>
      <c r="H70" s="689"/>
      <c r="I70" s="689"/>
      <c r="J70" s="689"/>
      <c r="K70" s="648"/>
      <c r="L70" s="649"/>
      <c r="M70" s="649"/>
      <c r="N70" s="649"/>
      <c r="O70" s="649"/>
      <c r="P70" s="649"/>
      <c r="Q70" s="649"/>
      <c r="R70" s="446"/>
      <c r="S70" s="447"/>
      <c r="T70" s="698"/>
      <c r="U70" s="699"/>
      <c r="V70" s="648"/>
      <c r="W70" s="649"/>
      <c r="X70" s="649"/>
      <c r="Y70" s="649"/>
      <c r="Z70" s="649"/>
      <c r="AA70" s="649"/>
      <c r="AB70" s="649"/>
      <c r="AC70" s="649"/>
      <c r="AD70" s="648"/>
      <c r="AE70" s="649"/>
      <c r="AF70" s="649"/>
      <c r="AG70" s="649"/>
      <c r="AH70" s="649"/>
      <c r="AI70" s="649"/>
      <c r="AJ70" s="649"/>
      <c r="AK70" s="650"/>
      <c r="AL70" s="648"/>
      <c r="AM70" s="649"/>
      <c r="AN70" s="649"/>
      <c r="AO70" s="649"/>
      <c r="AP70" s="649"/>
      <c r="AQ70" s="649"/>
      <c r="AR70" s="650"/>
      <c r="AS70" s="708"/>
      <c r="AT70" s="709"/>
      <c r="AU70" s="709"/>
      <c r="AV70" s="709"/>
      <c r="AW70" s="709"/>
      <c r="AX70" s="709"/>
      <c r="AY70" s="710"/>
      <c r="AZ70" s="715"/>
      <c r="BA70" s="716"/>
      <c r="BB70" s="232">
        <v>6</v>
      </c>
      <c r="BC70" s="673"/>
      <c r="BD70" s="674"/>
      <c r="BE70" s="674"/>
      <c r="BF70" s="675"/>
      <c r="BG70" s="676"/>
      <c r="BH70" s="677"/>
      <c r="BI70" s="231"/>
      <c r="BJ70" s="678"/>
      <c r="BK70" s="679"/>
      <c r="BL70" s="679"/>
      <c r="BM70" s="679"/>
      <c r="BN70" s="679"/>
      <c r="BO70" s="680"/>
      <c r="BP70" s="678"/>
      <c r="BQ70" s="679"/>
      <c r="BR70" s="679"/>
      <c r="BS70" s="679"/>
      <c r="BT70" s="679"/>
      <c r="BU70" s="680"/>
      <c r="BV70" s="678"/>
      <c r="BW70" s="679"/>
      <c r="BX70" s="679"/>
      <c r="BY70" s="679"/>
      <c r="BZ70" s="679"/>
      <c r="CA70" s="680"/>
      <c r="CB70" s="673"/>
      <c r="CC70" s="674"/>
      <c r="CD70" s="674"/>
      <c r="CE70" s="675"/>
      <c r="CF70" s="651"/>
      <c r="CG70" s="652"/>
      <c r="CH70" s="652"/>
      <c r="CI70" s="652"/>
      <c r="CJ70" s="653"/>
      <c r="CK70" s="651"/>
      <c r="CL70" s="652"/>
      <c r="CM70" s="652"/>
      <c r="CN70" s="652"/>
      <c r="CO70" s="653"/>
      <c r="CP70" s="651"/>
      <c r="CQ70" s="652"/>
      <c r="CR70" s="652"/>
      <c r="CS70" s="652"/>
      <c r="CT70" s="653"/>
      <c r="CU70" s="654"/>
      <c r="CV70" s="655"/>
      <c r="CW70" s="655"/>
      <c r="CX70" s="655"/>
      <c r="CY70" s="656"/>
      <c r="DA70" s="197"/>
    </row>
    <row r="71" spans="1:105" ht="16.5">
      <c r="A71" s="434">
        <v>11</v>
      </c>
      <c r="B71" s="233"/>
      <c r="C71" s="234" t="str">
        <f t="shared" ca="1" si="2"/>
        <v/>
      </c>
      <c r="D71" s="510" t="s">
        <v>344</v>
      </c>
      <c r="E71" s="511"/>
      <c r="F71" s="511"/>
      <c r="G71" s="511"/>
      <c r="H71" s="511"/>
      <c r="I71" s="511"/>
      <c r="J71" s="511"/>
      <c r="K71" s="516" t="s">
        <v>345</v>
      </c>
      <c r="L71" s="517"/>
      <c r="M71" s="517"/>
      <c r="N71" s="517"/>
      <c r="O71" s="517"/>
      <c r="P71" s="517"/>
      <c r="Q71" s="517"/>
      <c r="R71" s="520" t="s">
        <v>186</v>
      </c>
      <c r="S71" s="521"/>
      <c r="T71" s="520"/>
      <c r="U71" s="521"/>
      <c r="V71" s="516"/>
      <c r="W71" s="517"/>
      <c r="X71" s="517"/>
      <c r="Y71" s="517"/>
      <c r="Z71" s="517"/>
      <c r="AA71" s="517"/>
      <c r="AB71" s="517"/>
      <c r="AC71" s="517"/>
      <c r="AD71" s="516"/>
      <c r="AE71" s="517"/>
      <c r="AF71" s="517"/>
      <c r="AG71" s="517"/>
      <c r="AH71" s="517"/>
      <c r="AI71" s="517"/>
      <c r="AJ71" s="517"/>
      <c r="AK71" s="517"/>
      <c r="AL71" s="516"/>
      <c r="AM71" s="517"/>
      <c r="AN71" s="517"/>
      <c r="AO71" s="517"/>
      <c r="AP71" s="517"/>
      <c r="AQ71" s="517"/>
      <c r="AR71" s="526"/>
      <c r="AS71" s="639"/>
      <c r="AT71" s="640"/>
      <c r="AU71" s="640"/>
      <c r="AV71" s="640"/>
      <c r="AW71" s="640"/>
      <c r="AX71" s="640"/>
      <c r="AY71" s="641"/>
      <c r="AZ71" s="633"/>
      <c r="BA71" s="634"/>
      <c r="BB71" s="60">
        <v>1</v>
      </c>
      <c r="BC71" s="623"/>
      <c r="BD71" s="624"/>
      <c r="BE71" s="624"/>
      <c r="BF71" s="625"/>
      <c r="BG71" s="626"/>
      <c r="BH71" s="627"/>
      <c r="BI71" s="234"/>
      <c r="BJ71" s="471"/>
      <c r="BK71" s="472"/>
      <c r="BL71" s="472"/>
      <c r="BM71" s="472"/>
      <c r="BN71" s="472"/>
      <c r="BO71" s="473"/>
      <c r="BP71" s="471"/>
      <c r="BQ71" s="472"/>
      <c r="BR71" s="472"/>
      <c r="BS71" s="472"/>
      <c r="BT71" s="472"/>
      <c r="BU71" s="473"/>
      <c r="BV71" s="471"/>
      <c r="BW71" s="472"/>
      <c r="BX71" s="472"/>
      <c r="BY71" s="472"/>
      <c r="BZ71" s="472"/>
      <c r="CA71" s="473"/>
      <c r="CB71" s="623"/>
      <c r="CC71" s="624"/>
      <c r="CD71" s="624"/>
      <c r="CE71" s="625"/>
      <c r="CF71" s="501"/>
      <c r="CG71" s="502"/>
      <c r="CH71" s="502"/>
      <c r="CI71" s="502"/>
      <c r="CJ71" s="503"/>
      <c r="CK71" s="501"/>
      <c r="CL71" s="502"/>
      <c r="CM71" s="502"/>
      <c r="CN71" s="502"/>
      <c r="CO71" s="503"/>
      <c r="CP71" s="501"/>
      <c r="CQ71" s="502"/>
      <c r="CR71" s="502"/>
      <c r="CS71" s="502"/>
      <c r="CT71" s="503"/>
      <c r="CU71" s="507"/>
      <c r="CV71" s="508"/>
      <c r="CW71" s="508"/>
      <c r="CX71" s="508"/>
      <c r="CY71" s="509"/>
      <c r="DA71" s="197"/>
    </row>
    <row r="72" spans="1:105" ht="16.5">
      <c r="A72" s="435"/>
      <c r="B72" s="233"/>
      <c r="C72" s="235" t="str">
        <f t="shared" ca="1" si="2"/>
        <v/>
      </c>
      <c r="D72" s="512"/>
      <c r="E72" s="513"/>
      <c r="F72" s="513"/>
      <c r="G72" s="513"/>
      <c r="H72" s="513"/>
      <c r="I72" s="513"/>
      <c r="J72" s="513"/>
      <c r="K72" s="518"/>
      <c r="L72" s="519"/>
      <c r="M72" s="519"/>
      <c r="N72" s="519"/>
      <c r="O72" s="519"/>
      <c r="P72" s="519"/>
      <c r="Q72" s="519"/>
      <c r="R72" s="522"/>
      <c r="S72" s="523"/>
      <c r="T72" s="522"/>
      <c r="U72" s="523"/>
      <c r="V72" s="518"/>
      <c r="W72" s="519"/>
      <c r="X72" s="519"/>
      <c r="Y72" s="519"/>
      <c r="Z72" s="519"/>
      <c r="AA72" s="519"/>
      <c r="AB72" s="519"/>
      <c r="AC72" s="519"/>
      <c r="AD72" s="518"/>
      <c r="AE72" s="519"/>
      <c r="AF72" s="519"/>
      <c r="AG72" s="519"/>
      <c r="AH72" s="519"/>
      <c r="AI72" s="519"/>
      <c r="AJ72" s="519"/>
      <c r="AK72" s="519"/>
      <c r="AL72" s="518"/>
      <c r="AM72" s="519"/>
      <c r="AN72" s="519"/>
      <c r="AO72" s="519"/>
      <c r="AP72" s="519"/>
      <c r="AQ72" s="519"/>
      <c r="AR72" s="527"/>
      <c r="AS72" s="642"/>
      <c r="AT72" s="643"/>
      <c r="AU72" s="643"/>
      <c r="AV72" s="643"/>
      <c r="AW72" s="643"/>
      <c r="AX72" s="643"/>
      <c r="AY72" s="644"/>
      <c r="AZ72" s="635"/>
      <c r="BA72" s="636"/>
      <c r="BB72" s="61">
        <v>2</v>
      </c>
      <c r="BC72" s="618"/>
      <c r="BD72" s="619"/>
      <c r="BE72" s="619"/>
      <c r="BF72" s="620"/>
      <c r="BG72" s="621"/>
      <c r="BH72" s="622"/>
      <c r="BI72" s="235"/>
      <c r="BJ72" s="423"/>
      <c r="BK72" s="424"/>
      <c r="BL72" s="424"/>
      <c r="BM72" s="424"/>
      <c r="BN72" s="424"/>
      <c r="BO72" s="425"/>
      <c r="BP72" s="423"/>
      <c r="BQ72" s="424"/>
      <c r="BR72" s="424"/>
      <c r="BS72" s="424"/>
      <c r="BT72" s="424"/>
      <c r="BU72" s="425"/>
      <c r="BV72" s="423"/>
      <c r="BW72" s="424"/>
      <c r="BX72" s="424"/>
      <c r="BY72" s="424"/>
      <c r="BZ72" s="424"/>
      <c r="CA72" s="425"/>
      <c r="CB72" s="618"/>
      <c r="CC72" s="619"/>
      <c r="CD72" s="619"/>
      <c r="CE72" s="620"/>
      <c r="CF72" s="504"/>
      <c r="CG72" s="505"/>
      <c r="CH72" s="505"/>
      <c r="CI72" s="505"/>
      <c r="CJ72" s="506"/>
      <c r="CK72" s="504"/>
      <c r="CL72" s="505"/>
      <c r="CM72" s="505"/>
      <c r="CN72" s="505"/>
      <c r="CO72" s="506"/>
      <c r="CP72" s="504"/>
      <c r="CQ72" s="505"/>
      <c r="CR72" s="505"/>
      <c r="CS72" s="505"/>
      <c r="CT72" s="506"/>
      <c r="CU72" s="507"/>
      <c r="CV72" s="508"/>
      <c r="CW72" s="508"/>
      <c r="CX72" s="508"/>
      <c r="CY72" s="509"/>
      <c r="DA72" s="197"/>
    </row>
    <row r="73" spans="1:105" ht="16.5">
      <c r="A73" s="435"/>
      <c r="B73" s="233"/>
      <c r="C73" s="235" t="str">
        <f t="shared" ca="1" si="2"/>
        <v/>
      </c>
      <c r="D73" s="512"/>
      <c r="E73" s="513"/>
      <c r="F73" s="513"/>
      <c r="G73" s="513"/>
      <c r="H73" s="513"/>
      <c r="I73" s="513"/>
      <c r="J73" s="513"/>
      <c r="K73" s="518"/>
      <c r="L73" s="519"/>
      <c r="M73" s="519"/>
      <c r="N73" s="519"/>
      <c r="O73" s="519"/>
      <c r="P73" s="519"/>
      <c r="Q73" s="519"/>
      <c r="R73" s="522"/>
      <c r="S73" s="523"/>
      <c r="T73" s="522"/>
      <c r="U73" s="523"/>
      <c r="V73" s="518"/>
      <c r="W73" s="519"/>
      <c r="X73" s="519"/>
      <c r="Y73" s="519"/>
      <c r="Z73" s="519"/>
      <c r="AA73" s="519"/>
      <c r="AB73" s="519"/>
      <c r="AC73" s="519"/>
      <c r="AD73" s="518"/>
      <c r="AE73" s="519"/>
      <c r="AF73" s="519"/>
      <c r="AG73" s="519"/>
      <c r="AH73" s="519"/>
      <c r="AI73" s="519"/>
      <c r="AJ73" s="519"/>
      <c r="AK73" s="519"/>
      <c r="AL73" s="518"/>
      <c r="AM73" s="519"/>
      <c r="AN73" s="519"/>
      <c r="AO73" s="519"/>
      <c r="AP73" s="519"/>
      <c r="AQ73" s="519"/>
      <c r="AR73" s="527"/>
      <c r="AS73" s="642"/>
      <c r="AT73" s="643"/>
      <c r="AU73" s="643"/>
      <c r="AV73" s="643"/>
      <c r="AW73" s="643"/>
      <c r="AX73" s="643"/>
      <c r="AY73" s="644"/>
      <c r="AZ73" s="635"/>
      <c r="BA73" s="636"/>
      <c r="BB73" s="61">
        <v>3</v>
      </c>
      <c r="BC73" s="618"/>
      <c r="BD73" s="619"/>
      <c r="BE73" s="619"/>
      <c r="BF73" s="620"/>
      <c r="BG73" s="621"/>
      <c r="BH73" s="622"/>
      <c r="BI73" s="235"/>
      <c r="BJ73" s="423"/>
      <c r="BK73" s="424"/>
      <c r="BL73" s="424"/>
      <c r="BM73" s="424"/>
      <c r="BN73" s="424"/>
      <c r="BO73" s="425"/>
      <c r="BP73" s="423"/>
      <c r="BQ73" s="424"/>
      <c r="BR73" s="424"/>
      <c r="BS73" s="424"/>
      <c r="BT73" s="424"/>
      <c r="BU73" s="425"/>
      <c r="BV73" s="423"/>
      <c r="BW73" s="424"/>
      <c r="BX73" s="424"/>
      <c r="BY73" s="424"/>
      <c r="BZ73" s="424"/>
      <c r="CA73" s="425"/>
      <c r="CB73" s="618"/>
      <c r="CC73" s="619"/>
      <c r="CD73" s="619"/>
      <c r="CE73" s="620"/>
      <c r="CF73" s="504"/>
      <c r="CG73" s="505"/>
      <c r="CH73" s="505"/>
      <c r="CI73" s="505"/>
      <c r="CJ73" s="506"/>
      <c r="CK73" s="504"/>
      <c r="CL73" s="505"/>
      <c r="CM73" s="505"/>
      <c r="CN73" s="505"/>
      <c r="CO73" s="506"/>
      <c r="CP73" s="504"/>
      <c r="CQ73" s="505"/>
      <c r="CR73" s="505"/>
      <c r="CS73" s="505"/>
      <c r="CT73" s="506"/>
      <c r="CU73" s="507"/>
      <c r="CV73" s="508"/>
      <c r="CW73" s="508"/>
      <c r="CX73" s="508"/>
      <c r="CY73" s="509"/>
      <c r="DA73" s="197"/>
    </row>
    <row r="74" spans="1:105" ht="16.5">
      <c r="A74" s="435"/>
      <c r="B74" s="233"/>
      <c r="C74" s="235" t="str">
        <f t="shared" ca="1" si="2"/>
        <v/>
      </c>
      <c r="D74" s="512"/>
      <c r="E74" s="513"/>
      <c r="F74" s="513"/>
      <c r="G74" s="513"/>
      <c r="H74" s="513"/>
      <c r="I74" s="513"/>
      <c r="J74" s="513"/>
      <c r="K74" s="518"/>
      <c r="L74" s="519"/>
      <c r="M74" s="519"/>
      <c r="N74" s="519"/>
      <c r="O74" s="519"/>
      <c r="P74" s="519"/>
      <c r="Q74" s="519"/>
      <c r="R74" s="522"/>
      <c r="S74" s="523"/>
      <c r="T74" s="522"/>
      <c r="U74" s="523"/>
      <c r="V74" s="518"/>
      <c r="W74" s="519"/>
      <c r="X74" s="519"/>
      <c r="Y74" s="519"/>
      <c r="Z74" s="519"/>
      <c r="AA74" s="519"/>
      <c r="AB74" s="519"/>
      <c r="AC74" s="519"/>
      <c r="AD74" s="518"/>
      <c r="AE74" s="519"/>
      <c r="AF74" s="519"/>
      <c r="AG74" s="519"/>
      <c r="AH74" s="519"/>
      <c r="AI74" s="519"/>
      <c r="AJ74" s="519"/>
      <c r="AK74" s="519"/>
      <c r="AL74" s="518"/>
      <c r="AM74" s="519"/>
      <c r="AN74" s="519"/>
      <c r="AO74" s="519"/>
      <c r="AP74" s="519"/>
      <c r="AQ74" s="519"/>
      <c r="AR74" s="527"/>
      <c r="AS74" s="642"/>
      <c r="AT74" s="643"/>
      <c r="AU74" s="643"/>
      <c r="AV74" s="643"/>
      <c r="AW74" s="643"/>
      <c r="AX74" s="643"/>
      <c r="AY74" s="644"/>
      <c r="AZ74" s="635"/>
      <c r="BA74" s="636"/>
      <c r="BB74" s="61">
        <v>4</v>
      </c>
      <c r="BC74" s="618"/>
      <c r="BD74" s="619"/>
      <c r="BE74" s="619"/>
      <c r="BF74" s="620"/>
      <c r="BG74" s="621"/>
      <c r="BH74" s="622"/>
      <c r="BI74" s="235"/>
      <c r="BJ74" s="423"/>
      <c r="BK74" s="424"/>
      <c r="BL74" s="424"/>
      <c r="BM74" s="424"/>
      <c r="BN74" s="424"/>
      <c r="BO74" s="425"/>
      <c r="BP74" s="423"/>
      <c r="BQ74" s="424"/>
      <c r="BR74" s="424"/>
      <c r="BS74" s="424"/>
      <c r="BT74" s="424"/>
      <c r="BU74" s="425"/>
      <c r="BV74" s="423"/>
      <c r="BW74" s="424"/>
      <c r="BX74" s="424"/>
      <c r="BY74" s="424"/>
      <c r="BZ74" s="424"/>
      <c r="CA74" s="425"/>
      <c r="CB74" s="618"/>
      <c r="CC74" s="619"/>
      <c r="CD74" s="619"/>
      <c r="CE74" s="620"/>
      <c r="CF74" s="504"/>
      <c r="CG74" s="505"/>
      <c r="CH74" s="505"/>
      <c r="CI74" s="505"/>
      <c r="CJ74" s="506"/>
      <c r="CK74" s="504"/>
      <c r="CL74" s="505"/>
      <c r="CM74" s="505"/>
      <c r="CN74" s="505"/>
      <c r="CO74" s="506"/>
      <c r="CP74" s="504"/>
      <c r="CQ74" s="505"/>
      <c r="CR74" s="505"/>
      <c r="CS74" s="505"/>
      <c r="CT74" s="506"/>
      <c r="CU74" s="507"/>
      <c r="CV74" s="508"/>
      <c r="CW74" s="508"/>
      <c r="CX74" s="508"/>
      <c r="CY74" s="509"/>
      <c r="DA74" s="197"/>
    </row>
    <row r="75" spans="1:105" ht="16.5">
      <c r="A75" s="435"/>
      <c r="B75" s="233"/>
      <c r="C75" s="235" t="str">
        <f t="shared" ca="1" si="2"/>
        <v/>
      </c>
      <c r="D75" s="512"/>
      <c r="E75" s="513"/>
      <c r="F75" s="513"/>
      <c r="G75" s="513"/>
      <c r="H75" s="513"/>
      <c r="I75" s="513"/>
      <c r="J75" s="513"/>
      <c r="K75" s="518"/>
      <c r="L75" s="519"/>
      <c r="M75" s="519"/>
      <c r="N75" s="519"/>
      <c r="O75" s="519"/>
      <c r="P75" s="519"/>
      <c r="Q75" s="519"/>
      <c r="R75" s="522"/>
      <c r="S75" s="523"/>
      <c r="T75" s="522"/>
      <c r="U75" s="523"/>
      <c r="V75" s="518"/>
      <c r="W75" s="519"/>
      <c r="X75" s="519"/>
      <c r="Y75" s="519"/>
      <c r="Z75" s="519"/>
      <c r="AA75" s="519"/>
      <c r="AB75" s="519"/>
      <c r="AC75" s="519"/>
      <c r="AD75" s="518"/>
      <c r="AE75" s="519"/>
      <c r="AF75" s="519"/>
      <c r="AG75" s="519"/>
      <c r="AH75" s="519"/>
      <c r="AI75" s="519"/>
      <c r="AJ75" s="519"/>
      <c r="AK75" s="519"/>
      <c r="AL75" s="518"/>
      <c r="AM75" s="519"/>
      <c r="AN75" s="519"/>
      <c r="AO75" s="519"/>
      <c r="AP75" s="519"/>
      <c r="AQ75" s="519"/>
      <c r="AR75" s="527"/>
      <c r="AS75" s="642"/>
      <c r="AT75" s="643"/>
      <c r="AU75" s="643"/>
      <c r="AV75" s="643"/>
      <c r="AW75" s="643"/>
      <c r="AX75" s="643"/>
      <c r="AY75" s="644"/>
      <c r="AZ75" s="635"/>
      <c r="BA75" s="636"/>
      <c r="BB75" s="61">
        <v>5</v>
      </c>
      <c r="BC75" s="618"/>
      <c r="BD75" s="619"/>
      <c r="BE75" s="619"/>
      <c r="BF75" s="620"/>
      <c r="BG75" s="621"/>
      <c r="BH75" s="622"/>
      <c r="BI75" s="235"/>
      <c r="BJ75" s="423"/>
      <c r="BK75" s="424"/>
      <c r="BL75" s="424"/>
      <c r="BM75" s="424"/>
      <c r="BN75" s="424"/>
      <c r="BO75" s="425"/>
      <c r="BP75" s="423"/>
      <c r="BQ75" s="424"/>
      <c r="BR75" s="424"/>
      <c r="BS75" s="424"/>
      <c r="BT75" s="424"/>
      <c r="BU75" s="425"/>
      <c r="BV75" s="423"/>
      <c r="BW75" s="424"/>
      <c r="BX75" s="424"/>
      <c r="BY75" s="424"/>
      <c r="BZ75" s="424"/>
      <c r="CA75" s="425"/>
      <c r="CB75" s="618"/>
      <c r="CC75" s="619"/>
      <c r="CD75" s="619"/>
      <c r="CE75" s="620"/>
      <c r="CF75" s="504"/>
      <c r="CG75" s="505"/>
      <c r="CH75" s="505"/>
      <c r="CI75" s="505"/>
      <c r="CJ75" s="506"/>
      <c r="CK75" s="504"/>
      <c r="CL75" s="505"/>
      <c r="CM75" s="505"/>
      <c r="CN75" s="505"/>
      <c r="CO75" s="506"/>
      <c r="CP75" s="504"/>
      <c r="CQ75" s="505"/>
      <c r="CR75" s="505"/>
      <c r="CS75" s="505"/>
      <c r="CT75" s="506"/>
      <c r="CU75" s="507"/>
      <c r="CV75" s="508"/>
      <c r="CW75" s="508"/>
      <c r="CX75" s="508"/>
      <c r="CY75" s="509"/>
      <c r="DA75" s="197"/>
    </row>
    <row r="76" spans="1:105" ht="16.5">
      <c r="A76" s="436"/>
      <c r="B76" s="236"/>
      <c r="C76" s="237" t="str">
        <f t="shared" ref="C76:C139" ca="1" si="3">IF(AND(OFFSET($K76,-($BB76-1),0)&lt;&gt;"",OFFSET($R76,-($BB76-1),0)&lt;&gt;"x"),"●","")</f>
        <v/>
      </c>
      <c r="D76" s="514"/>
      <c r="E76" s="515"/>
      <c r="F76" s="515"/>
      <c r="G76" s="515"/>
      <c r="H76" s="515"/>
      <c r="I76" s="515"/>
      <c r="J76" s="515"/>
      <c r="K76" s="501"/>
      <c r="L76" s="502"/>
      <c r="M76" s="502"/>
      <c r="N76" s="502"/>
      <c r="O76" s="502"/>
      <c r="P76" s="502"/>
      <c r="Q76" s="502"/>
      <c r="R76" s="524"/>
      <c r="S76" s="525"/>
      <c r="T76" s="524"/>
      <c r="U76" s="525"/>
      <c r="V76" s="501"/>
      <c r="W76" s="502"/>
      <c r="X76" s="502"/>
      <c r="Y76" s="502"/>
      <c r="Z76" s="502"/>
      <c r="AA76" s="502"/>
      <c r="AB76" s="502"/>
      <c r="AC76" s="502"/>
      <c r="AD76" s="501"/>
      <c r="AE76" s="502"/>
      <c r="AF76" s="502"/>
      <c r="AG76" s="502"/>
      <c r="AH76" s="502"/>
      <c r="AI76" s="502"/>
      <c r="AJ76" s="502"/>
      <c r="AK76" s="502"/>
      <c r="AL76" s="501"/>
      <c r="AM76" s="502"/>
      <c r="AN76" s="502"/>
      <c r="AO76" s="502"/>
      <c r="AP76" s="502"/>
      <c r="AQ76" s="502"/>
      <c r="AR76" s="503"/>
      <c r="AS76" s="645"/>
      <c r="AT76" s="646"/>
      <c r="AU76" s="646"/>
      <c r="AV76" s="646"/>
      <c r="AW76" s="646"/>
      <c r="AX76" s="646"/>
      <c r="AY76" s="647"/>
      <c r="AZ76" s="637"/>
      <c r="BA76" s="638"/>
      <c r="BB76" s="62">
        <v>6</v>
      </c>
      <c r="BC76" s="628"/>
      <c r="BD76" s="629"/>
      <c r="BE76" s="629"/>
      <c r="BF76" s="630"/>
      <c r="BG76" s="631"/>
      <c r="BH76" s="632"/>
      <c r="BI76" s="237"/>
      <c r="BJ76" s="474"/>
      <c r="BK76" s="475"/>
      <c r="BL76" s="475"/>
      <c r="BM76" s="475"/>
      <c r="BN76" s="475"/>
      <c r="BO76" s="476"/>
      <c r="BP76" s="474"/>
      <c r="BQ76" s="475"/>
      <c r="BR76" s="475"/>
      <c r="BS76" s="475"/>
      <c r="BT76" s="475"/>
      <c r="BU76" s="476"/>
      <c r="BV76" s="474"/>
      <c r="BW76" s="475"/>
      <c r="BX76" s="475"/>
      <c r="BY76" s="475"/>
      <c r="BZ76" s="475"/>
      <c r="CA76" s="476"/>
      <c r="CB76" s="628"/>
      <c r="CC76" s="629"/>
      <c r="CD76" s="629"/>
      <c r="CE76" s="630"/>
      <c r="CF76" s="504"/>
      <c r="CG76" s="505"/>
      <c r="CH76" s="505"/>
      <c r="CI76" s="505"/>
      <c r="CJ76" s="506"/>
      <c r="CK76" s="504"/>
      <c r="CL76" s="505"/>
      <c r="CM76" s="505"/>
      <c r="CN76" s="505"/>
      <c r="CO76" s="506"/>
      <c r="CP76" s="504"/>
      <c r="CQ76" s="505"/>
      <c r="CR76" s="505"/>
      <c r="CS76" s="505"/>
      <c r="CT76" s="506"/>
      <c r="CU76" s="507"/>
      <c r="CV76" s="508"/>
      <c r="CW76" s="508"/>
      <c r="CX76" s="508"/>
      <c r="CY76" s="509"/>
      <c r="DA76" s="197"/>
    </row>
    <row r="77" spans="1:105" ht="16.5">
      <c r="A77" s="434">
        <v>12</v>
      </c>
      <c r="B77" s="36"/>
      <c r="C77" s="198" t="str">
        <f t="shared" ca="1" si="3"/>
        <v/>
      </c>
      <c r="D77" s="477"/>
      <c r="E77" s="478"/>
      <c r="F77" s="478"/>
      <c r="G77" s="478"/>
      <c r="H77" s="478"/>
      <c r="I77" s="478"/>
      <c r="J77" s="478"/>
      <c r="K77" s="438" t="s">
        <v>346</v>
      </c>
      <c r="L77" s="439"/>
      <c r="M77" s="439"/>
      <c r="N77" s="439"/>
      <c r="O77" s="439"/>
      <c r="P77" s="439"/>
      <c r="Q77" s="439"/>
      <c r="R77" s="442" t="s">
        <v>186</v>
      </c>
      <c r="S77" s="443"/>
      <c r="T77" s="520"/>
      <c r="U77" s="521"/>
      <c r="V77" s="438"/>
      <c r="W77" s="439"/>
      <c r="X77" s="439"/>
      <c r="Y77" s="439"/>
      <c r="Z77" s="439"/>
      <c r="AA77" s="439"/>
      <c r="AB77" s="439"/>
      <c r="AC77" s="439"/>
      <c r="AD77" s="438"/>
      <c r="AE77" s="439"/>
      <c r="AF77" s="439"/>
      <c r="AG77" s="439"/>
      <c r="AH77" s="439"/>
      <c r="AI77" s="439"/>
      <c r="AJ77" s="439"/>
      <c r="AK77" s="449"/>
      <c r="AL77" s="516"/>
      <c r="AM77" s="517"/>
      <c r="AN77" s="517"/>
      <c r="AO77" s="517"/>
      <c r="AP77" s="517"/>
      <c r="AQ77" s="517"/>
      <c r="AR77" s="526"/>
      <c r="AS77" s="500"/>
      <c r="AT77" s="483"/>
      <c r="AU77" s="483"/>
      <c r="AV77" s="483"/>
      <c r="AW77" s="483"/>
      <c r="AX77" s="483"/>
      <c r="AY77" s="484"/>
      <c r="AZ77" s="633"/>
      <c r="BA77" s="634"/>
      <c r="BB77" s="60">
        <v>1</v>
      </c>
      <c r="BC77" s="623"/>
      <c r="BD77" s="624"/>
      <c r="BE77" s="624"/>
      <c r="BF77" s="625"/>
      <c r="BG77" s="626"/>
      <c r="BH77" s="627"/>
      <c r="BI77" s="234"/>
      <c r="BJ77" s="471"/>
      <c r="BK77" s="472"/>
      <c r="BL77" s="472"/>
      <c r="BM77" s="472"/>
      <c r="BN77" s="472"/>
      <c r="BO77" s="473"/>
      <c r="BP77" s="471"/>
      <c r="BQ77" s="472"/>
      <c r="BR77" s="472"/>
      <c r="BS77" s="472"/>
      <c r="BT77" s="472"/>
      <c r="BU77" s="473"/>
      <c r="BV77" s="471"/>
      <c r="BW77" s="472"/>
      <c r="BX77" s="472"/>
      <c r="BY77" s="472"/>
      <c r="BZ77" s="472"/>
      <c r="CA77" s="473"/>
      <c r="CB77" s="623"/>
      <c r="CC77" s="624"/>
      <c r="CD77" s="624"/>
      <c r="CE77" s="625"/>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5">
      <c r="A78" s="435"/>
      <c r="B78" s="36"/>
      <c r="C78" s="199" t="str">
        <f t="shared" ca="1" si="3"/>
        <v/>
      </c>
      <c r="D78" s="479"/>
      <c r="E78" s="480"/>
      <c r="F78" s="480"/>
      <c r="G78" s="480"/>
      <c r="H78" s="480"/>
      <c r="I78" s="480"/>
      <c r="J78" s="480"/>
      <c r="K78" s="440"/>
      <c r="L78" s="441"/>
      <c r="M78" s="441"/>
      <c r="N78" s="441"/>
      <c r="O78" s="441"/>
      <c r="P78" s="441"/>
      <c r="Q78" s="441"/>
      <c r="R78" s="444"/>
      <c r="S78" s="445"/>
      <c r="T78" s="522"/>
      <c r="U78" s="523"/>
      <c r="V78" s="440"/>
      <c r="W78" s="441"/>
      <c r="X78" s="441"/>
      <c r="Y78" s="441"/>
      <c r="Z78" s="441"/>
      <c r="AA78" s="441"/>
      <c r="AB78" s="441"/>
      <c r="AC78" s="441"/>
      <c r="AD78" s="440"/>
      <c r="AE78" s="441"/>
      <c r="AF78" s="441"/>
      <c r="AG78" s="441"/>
      <c r="AH78" s="441"/>
      <c r="AI78" s="441"/>
      <c r="AJ78" s="441"/>
      <c r="AK78" s="450"/>
      <c r="AL78" s="518"/>
      <c r="AM78" s="519"/>
      <c r="AN78" s="519"/>
      <c r="AO78" s="519"/>
      <c r="AP78" s="519"/>
      <c r="AQ78" s="519"/>
      <c r="AR78" s="527"/>
      <c r="AS78" s="485"/>
      <c r="AT78" s="486"/>
      <c r="AU78" s="486"/>
      <c r="AV78" s="486"/>
      <c r="AW78" s="486"/>
      <c r="AX78" s="486"/>
      <c r="AY78" s="487"/>
      <c r="AZ78" s="635"/>
      <c r="BA78" s="636"/>
      <c r="BB78" s="61">
        <v>2</v>
      </c>
      <c r="BC78" s="618"/>
      <c r="BD78" s="619"/>
      <c r="BE78" s="619"/>
      <c r="BF78" s="620"/>
      <c r="BG78" s="621"/>
      <c r="BH78" s="622"/>
      <c r="BI78" s="235"/>
      <c r="BJ78" s="423"/>
      <c r="BK78" s="424"/>
      <c r="BL78" s="424"/>
      <c r="BM78" s="424"/>
      <c r="BN78" s="424"/>
      <c r="BO78" s="425"/>
      <c r="BP78" s="423"/>
      <c r="BQ78" s="424"/>
      <c r="BR78" s="424"/>
      <c r="BS78" s="424"/>
      <c r="BT78" s="424"/>
      <c r="BU78" s="425"/>
      <c r="BV78" s="423"/>
      <c r="BW78" s="424"/>
      <c r="BX78" s="424"/>
      <c r="BY78" s="424"/>
      <c r="BZ78" s="424"/>
      <c r="CA78" s="425"/>
      <c r="CB78" s="618"/>
      <c r="CC78" s="619"/>
      <c r="CD78" s="619"/>
      <c r="CE78" s="6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5">
      <c r="A79" s="435"/>
      <c r="B79" s="36"/>
      <c r="C79" s="199" t="str">
        <f t="shared" ca="1" si="3"/>
        <v/>
      </c>
      <c r="D79" s="479"/>
      <c r="E79" s="480"/>
      <c r="F79" s="480"/>
      <c r="G79" s="480"/>
      <c r="H79" s="480"/>
      <c r="I79" s="480"/>
      <c r="J79" s="480"/>
      <c r="K79" s="440"/>
      <c r="L79" s="441"/>
      <c r="M79" s="441"/>
      <c r="N79" s="441"/>
      <c r="O79" s="441"/>
      <c r="P79" s="441"/>
      <c r="Q79" s="441"/>
      <c r="R79" s="444"/>
      <c r="S79" s="445"/>
      <c r="T79" s="522"/>
      <c r="U79" s="523"/>
      <c r="V79" s="440"/>
      <c r="W79" s="441"/>
      <c r="X79" s="441"/>
      <c r="Y79" s="441"/>
      <c r="Z79" s="441"/>
      <c r="AA79" s="441"/>
      <c r="AB79" s="441"/>
      <c r="AC79" s="441"/>
      <c r="AD79" s="440"/>
      <c r="AE79" s="441"/>
      <c r="AF79" s="441"/>
      <c r="AG79" s="441"/>
      <c r="AH79" s="441"/>
      <c r="AI79" s="441"/>
      <c r="AJ79" s="441"/>
      <c r="AK79" s="450"/>
      <c r="AL79" s="518"/>
      <c r="AM79" s="519"/>
      <c r="AN79" s="519"/>
      <c r="AO79" s="519"/>
      <c r="AP79" s="519"/>
      <c r="AQ79" s="519"/>
      <c r="AR79" s="527"/>
      <c r="AS79" s="485"/>
      <c r="AT79" s="486"/>
      <c r="AU79" s="486"/>
      <c r="AV79" s="486"/>
      <c r="AW79" s="486"/>
      <c r="AX79" s="486"/>
      <c r="AY79" s="487"/>
      <c r="AZ79" s="635"/>
      <c r="BA79" s="636"/>
      <c r="BB79" s="61">
        <v>3</v>
      </c>
      <c r="BC79" s="618"/>
      <c r="BD79" s="619"/>
      <c r="BE79" s="619"/>
      <c r="BF79" s="620"/>
      <c r="BG79" s="621"/>
      <c r="BH79" s="622"/>
      <c r="BI79" s="235"/>
      <c r="BJ79" s="423"/>
      <c r="BK79" s="424"/>
      <c r="BL79" s="424"/>
      <c r="BM79" s="424"/>
      <c r="BN79" s="424"/>
      <c r="BO79" s="425"/>
      <c r="BP79" s="423"/>
      <c r="BQ79" s="424"/>
      <c r="BR79" s="424"/>
      <c r="BS79" s="424"/>
      <c r="BT79" s="424"/>
      <c r="BU79" s="425"/>
      <c r="BV79" s="423"/>
      <c r="BW79" s="424"/>
      <c r="BX79" s="424"/>
      <c r="BY79" s="424"/>
      <c r="BZ79" s="424"/>
      <c r="CA79" s="425"/>
      <c r="CB79" s="618"/>
      <c r="CC79" s="619"/>
      <c r="CD79" s="619"/>
      <c r="CE79" s="6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5">
      <c r="A80" s="435"/>
      <c r="B80" s="36"/>
      <c r="C80" s="199" t="str">
        <f t="shared" ca="1" si="3"/>
        <v/>
      </c>
      <c r="D80" s="479"/>
      <c r="E80" s="480"/>
      <c r="F80" s="480"/>
      <c r="G80" s="480"/>
      <c r="H80" s="480"/>
      <c r="I80" s="480"/>
      <c r="J80" s="480"/>
      <c r="K80" s="440"/>
      <c r="L80" s="441"/>
      <c r="M80" s="441"/>
      <c r="N80" s="441"/>
      <c r="O80" s="441"/>
      <c r="P80" s="441"/>
      <c r="Q80" s="441"/>
      <c r="R80" s="444"/>
      <c r="S80" s="445"/>
      <c r="T80" s="522"/>
      <c r="U80" s="523"/>
      <c r="V80" s="440"/>
      <c r="W80" s="441"/>
      <c r="X80" s="441"/>
      <c r="Y80" s="441"/>
      <c r="Z80" s="441"/>
      <c r="AA80" s="441"/>
      <c r="AB80" s="441"/>
      <c r="AC80" s="441"/>
      <c r="AD80" s="440"/>
      <c r="AE80" s="441"/>
      <c r="AF80" s="441"/>
      <c r="AG80" s="441"/>
      <c r="AH80" s="441"/>
      <c r="AI80" s="441"/>
      <c r="AJ80" s="441"/>
      <c r="AK80" s="450"/>
      <c r="AL80" s="518"/>
      <c r="AM80" s="519"/>
      <c r="AN80" s="519"/>
      <c r="AO80" s="519"/>
      <c r="AP80" s="519"/>
      <c r="AQ80" s="519"/>
      <c r="AR80" s="527"/>
      <c r="AS80" s="485"/>
      <c r="AT80" s="486"/>
      <c r="AU80" s="486"/>
      <c r="AV80" s="486"/>
      <c r="AW80" s="486"/>
      <c r="AX80" s="486"/>
      <c r="AY80" s="487"/>
      <c r="AZ80" s="635"/>
      <c r="BA80" s="636"/>
      <c r="BB80" s="61">
        <v>4</v>
      </c>
      <c r="BC80" s="618"/>
      <c r="BD80" s="619"/>
      <c r="BE80" s="619"/>
      <c r="BF80" s="620"/>
      <c r="BG80" s="621"/>
      <c r="BH80" s="622"/>
      <c r="BI80" s="235"/>
      <c r="BJ80" s="423"/>
      <c r="BK80" s="424"/>
      <c r="BL80" s="424"/>
      <c r="BM80" s="424"/>
      <c r="BN80" s="424"/>
      <c r="BO80" s="425"/>
      <c r="BP80" s="423"/>
      <c r="BQ80" s="424"/>
      <c r="BR80" s="424"/>
      <c r="BS80" s="424"/>
      <c r="BT80" s="424"/>
      <c r="BU80" s="425"/>
      <c r="BV80" s="423"/>
      <c r="BW80" s="424"/>
      <c r="BX80" s="424"/>
      <c r="BY80" s="424"/>
      <c r="BZ80" s="424"/>
      <c r="CA80" s="425"/>
      <c r="CB80" s="618"/>
      <c r="CC80" s="619"/>
      <c r="CD80" s="619"/>
      <c r="CE80" s="6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5">
      <c r="A81" s="435"/>
      <c r="B81" s="36"/>
      <c r="C81" s="199" t="str">
        <f t="shared" ca="1" si="3"/>
        <v/>
      </c>
      <c r="D81" s="479"/>
      <c r="E81" s="480"/>
      <c r="F81" s="480"/>
      <c r="G81" s="480"/>
      <c r="H81" s="480"/>
      <c r="I81" s="480"/>
      <c r="J81" s="480"/>
      <c r="K81" s="440"/>
      <c r="L81" s="441"/>
      <c r="M81" s="441"/>
      <c r="N81" s="441"/>
      <c r="O81" s="441"/>
      <c r="P81" s="441"/>
      <c r="Q81" s="441"/>
      <c r="R81" s="444"/>
      <c r="S81" s="445"/>
      <c r="T81" s="522"/>
      <c r="U81" s="523"/>
      <c r="V81" s="440"/>
      <c r="W81" s="441"/>
      <c r="X81" s="441"/>
      <c r="Y81" s="441"/>
      <c r="Z81" s="441"/>
      <c r="AA81" s="441"/>
      <c r="AB81" s="441"/>
      <c r="AC81" s="441"/>
      <c r="AD81" s="440"/>
      <c r="AE81" s="441"/>
      <c r="AF81" s="441"/>
      <c r="AG81" s="441"/>
      <c r="AH81" s="441"/>
      <c r="AI81" s="441"/>
      <c r="AJ81" s="441"/>
      <c r="AK81" s="450"/>
      <c r="AL81" s="518"/>
      <c r="AM81" s="519"/>
      <c r="AN81" s="519"/>
      <c r="AO81" s="519"/>
      <c r="AP81" s="519"/>
      <c r="AQ81" s="519"/>
      <c r="AR81" s="527"/>
      <c r="AS81" s="485"/>
      <c r="AT81" s="486"/>
      <c r="AU81" s="486"/>
      <c r="AV81" s="486"/>
      <c r="AW81" s="486"/>
      <c r="AX81" s="486"/>
      <c r="AY81" s="487"/>
      <c r="AZ81" s="635"/>
      <c r="BA81" s="636"/>
      <c r="BB81" s="61">
        <v>5</v>
      </c>
      <c r="BC81" s="618"/>
      <c r="BD81" s="619"/>
      <c r="BE81" s="619"/>
      <c r="BF81" s="620"/>
      <c r="BG81" s="621"/>
      <c r="BH81" s="622"/>
      <c r="BI81" s="235"/>
      <c r="BJ81" s="423"/>
      <c r="BK81" s="424"/>
      <c r="BL81" s="424"/>
      <c r="BM81" s="424"/>
      <c r="BN81" s="424"/>
      <c r="BO81" s="425"/>
      <c r="BP81" s="423"/>
      <c r="BQ81" s="424"/>
      <c r="BR81" s="424"/>
      <c r="BS81" s="424"/>
      <c r="BT81" s="424"/>
      <c r="BU81" s="425"/>
      <c r="BV81" s="423"/>
      <c r="BW81" s="424"/>
      <c r="BX81" s="424"/>
      <c r="BY81" s="424"/>
      <c r="BZ81" s="424"/>
      <c r="CA81" s="425"/>
      <c r="CB81" s="618"/>
      <c r="CC81" s="619"/>
      <c r="CD81" s="619"/>
      <c r="CE81" s="6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5">
      <c r="A82" s="436"/>
      <c r="B82" s="37"/>
      <c r="C82" s="200" t="str">
        <f t="shared" ca="1" si="3"/>
        <v/>
      </c>
      <c r="D82" s="481"/>
      <c r="E82" s="482"/>
      <c r="F82" s="482"/>
      <c r="G82" s="482"/>
      <c r="H82" s="482"/>
      <c r="I82" s="482"/>
      <c r="J82" s="482"/>
      <c r="K82" s="409"/>
      <c r="L82" s="410"/>
      <c r="M82" s="410"/>
      <c r="N82" s="410"/>
      <c r="O82" s="410"/>
      <c r="P82" s="410"/>
      <c r="Q82" s="410"/>
      <c r="R82" s="446"/>
      <c r="S82" s="447"/>
      <c r="T82" s="524"/>
      <c r="U82" s="525"/>
      <c r="V82" s="409"/>
      <c r="W82" s="410"/>
      <c r="X82" s="410"/>
      <c r="Y82" s="410"/>
      <c r="Z82" s="410"/>
      <c r="AA82" s="410"/>
      <c r="AB82" s="410"/>
      <c r="AC82" s="410"/>
      <c r="AD82" s="409"/>
      <c r="AE82" s="410"/>
      <c r="AF82" s="410"/>
      <c r="AG82" s="410"/>
      <c r="AH82" s="410"/>
      <c r="AI82" s="410"/>
      <c r="AJ82" s="410"/>
      <c r="AK82" s="411"/>
      <c r="AL82" s="501"/>
      <c r="AM82" s="502"/>
      <c r="AN82" s="502"/>
      <c r="AO82" s="502"/>
      <c r="AP82" s="502"/>
      <c r="AQ82" s="502"/>
      <c r="AR82" s="503"/>
      <c r="AS82" s="488"/>
      <c r="AT82" s="489"/>
      <c r="AU82" s="489"/>
      <c r="AV82" s="489"/>
      <c r="AW82" s="489"/>
      <c r="AX82" s="489"/>
      <c r="AY82" s="490"/>
      <c r="AZ82" s="637"/>
      <c r="BA82" s="638"/>
      <c r="BB82" s="62">
        <v>6</v>
      </c>
      <c r="BC82" s="628"/>
      <c r="BD82" s="629"/>
      <c r="BE82" s="629"/>
      <c r="BF82" s="630"/>
      <c r="BG82" s="631"/>
      <c r="BH82" s="632"/>
      <c r="BI82" s="237"/>
      <c r="BJ82" s="474"/>
      <c r="BK82" s="475"/>
      <c r="BL82" s="475"/>
      <c r="BM82" s="475"/>
      <c r="BN82" s="475"/>
      <c r="BO82" s="476"/>
      <c r="BP82" s="474"/>
      <c r="BQ82" s="475"/>
      <c r="BR82" s="475"/>
      <c r="BS82" s="475"/>
      <c r="BT82" s="475"/>
      <c r="BU82" s="476"/>
      <c r="BV82" s="474"/>
      <c r="BW82" s="475"/>
      <c r="BX82" s="475"/>
      <c r="BY82" s="475"/>
      <c r="BZ82" s="475"/>
      <c r="CA82" s="476"/>
      <c r="CB82" s="628"/>
      <c r="CC82" s="629"/>
      <c r="CD82" s="629"/>
      <c r="CE82" s="630"/>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5">
      <c r="A83" s="434">
        <v>13</v>
      </c>
      <c r="B83" s="36"/>
      <c r="C83" s="198" t="str">
        <f t="shared" ca="1" si="3"/>
        <v/>
      </c>
      <c r="D83" s="477"/>
      <c r="E83" s="478"/>
      <c r="F83" s="478"/>
      <c r="G83" s="478"/>
      <c r="H83" s="478"/>
      <c r="I83" s="478"/>
      <c r="J83" s="478"/>
      <c r="K83" s="438" t="s">
        <v>347</v>
      </c>
      <c r="L83" s="439"/>
      <c r="M83" s="439"/>
      <c r="N83" s="439"/>
      <c r="O83" s="439"/>
      <c r="P83" s="439"/>
      <c r="Q83" s="439"/>
      <c r="R83" s="442" t="s">
        <v>186</v>
      </c>
      <c r="S83" s="443"/>
      <c r="T83" s="442"/>
      <c r="U83" s="443"/>
      <c r="V83" s="438"/>
      <c r="W83" s="439"/>
      <c r="X83" s="439"/>
      <c r="Y83" s="439"/>
      <c r="Z83" s="439"/>
      <c r="AA83" s="439"/>
      <c r="AB83" s="439"/>
      <c r="AC83" s="439"/>
      <c r="AD83" s="438"/>
      <c r="AE83" s="439"/>
      <c r="AF83" s="439"/>
      <c r="AG83" s="439"/>
      <c r="AH83" s="439"/>
      <c r="AI83" s="439"/>
      <c r="AJ83" s="439"/>
      <c r="AK83" s="449"/>
      <c r="AL83" s="438"/>
      <c r="AM83" s="439"/>
      <c r="AN83" s="439"/>
      <c r="AO83" s="439"/>
      <c r="AP83" s="439"/>
      <c r="AQ83" s="439"/>
      <c r="AR83" s="449"/>
      <c r="AS83" s="500"/>
      <c r="AT83" s="483"/>
      <c r="AU83" s="483"/>
      <c r="AV83" s="483"/>
      <c r="AW83" s="483"/>
      <c r="AX83" s="483"/>
      <c r="AY83" s="484"/>
      <c r="AZ83" s="460"/>
      <c r="BA83" s="461"/>
      <c r="BB83" s="60">
        <v>1</v>
      </c>
      <c r="BC83" s="466"/>
      <c r="BD83" s="467"/>
      <c r="BE83" s="467"/>
      <c r="BF83" s="468"/>
      <c r="BG83" s="469"/>
      <c r="BH83" s="470"/>
      <c r="BI83" s="194"/>
      <c r="BJ83" s="471"/>
      <c r="BK83" s="472"/>
      <c r="BL83" s="472"/>
      <c r="BM83" s="472"/>
      <c r="BN83" s="472"/>
      <c r="BO83" s="473"/>
      <c r="BP83" s="471"/>
      <c r="BQ83" s="472"/>
      <c r="BR83" s="472"/>
      <c r="BS83" s="472"/>
      <c r="BT83" s="472"/>
      <c r="BU83" s="473"/>
      <c r="BV83" s="471"/>
      <c r="BW83" s="472"/>
      <c r="BX83" s="472"/>
      <c r="BY83" s="472"/>
      <c r="BZ83" s="472"/>
      <c r="CA83" s="473"/>
      <c r="CB83" s="466"/>
      <c r="CC83" s="467"/>
      <c r="CD83" s="467"/>
      <c r="CE83" s="468"/>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5">
      <c r="A84" s="435"/>
      <c r="B84" s="36"/>
      <c r="C84" s="199" t="str">
        <f t="shared" ca="1" si="3"/>
        <v/>
      </c>
      <c r="D84" s="479"/>
      <c r="E84" s="480"/>
      <c r="F84" s="480"/>
      <c r="G84" s="480"/>
      <c r="H84" s="480"/>
      <c r="I84" s="480"/>
      <c r="J84" s="480"/>
      <c r="K84" s="440"/>
      <c r="L84" s="441"/>
      <c r="M84" s="441"/>
      <c r="N84" s="441"/>
      <c r="O84" s="441"/>
      <c r="P84" s="441"/>
      <c r="Q84" s="441"/>
      <c r="R84" s="444"/>
      <c r="S84" s="445"/>
      <c r="T84" s="444"/>
      <c r="U84" s="445"/>
      <c r="V84" s="440"/>
      <c r="W84" s="441"/>
      <c r="X84" s="441"/>
      <c r="Y84" s="441"/>
      <c r="Z84" s="441"/>
      <c r="AA84" s="441"/>
      <c r="AB84" s="441"/>
      <c r="AC84" s="441"/>
      <c r="AD84" s="440"/>
      <c r="AE84" s="441"/>
      <c r="AF84" s="441"/>
      <c r="AG84" s="441"/>
      <c r="AH84" s="441"/>
      <c r="AI84" s="441"/>
      <c r="AJ84" s="441"/>
      <c r="AK84" s="450"/>
      <c r="AL84" s="440"/>
      <c r="AM84" s="441"/>
      <c r="AN84" s="441"/>
      <c r="AO84" s="441"/>
      <c r="AP84" s="441"/>
      <c r="AQ84" s="441"/>
      <c r="AR84" s="450"/>
      <c r="AS84" s="485"/>
      <c r="AT84" s="486"/>
      <c r="AU84" s="486"/>
      <c r="AV84" s="486"/>
      <c r="AW84" s="486"/>
      <c r="AX84" s="486"/>
      <c r="AY84" s="487"/>
      <c r="AZ84" s="462"/>
      <c r="BA84" s="463"/>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5">
      <c r="A85" s="435"/>
      <c r="B85" s="36"/>
      <c r="C85" s="199" t="str">
        <f t="shared" ca="1" si="3"/>
        <v/>
      </c>
      <c r="D85" s="479"/>
      <c r="E85" s="480"/>
      <c r="F85" s="480"/>
      <c r="G85" s="480"/>
      <c r="H85" s="480"/>
      <c r="I85" s="480"/>
      <c r="J85" s="480"/>
      <c r="K85" s="440"/>
      <c r="L85" s="441"/>
      <c r="M85" s="441"/>
      <c r="N85" s="441"/>
      <c r="O85" s="441"/>
      <c r="P85" s="441"/>
      <c r="Q85" s="441"/>
      <c r="R85" s="444"/>
      <c r="S85" s="445"/>
      <c r="T85" s="444"/>
      <c r="U85" s="445"/>
      <c r="V85" s="440"/>
      <c r="W85" s="441"/>
      <c r="X85" s="441"/>
      <c r="Y85" s="441"/>
      <c r="Z85" s="441"/>
      <c r="AA85" s="441"/>
      <c r="AB85" s="441"/>
      <c r="AC85" s="441"/>
      <c r="AD85" s="440"/>
      <c r="AE85" s="441"/>
      <c r="AF85" s="441"/>
      <c r="AG85" s="441"/>
      <c r="AH85" s="441"/>
      <c r="AI85" s="441"/>
      <c r="AJ85" s="441"/>
      <c r="AK85" s="450"/>
      <c r="AL85" s="440"/>
      <c r="AM85" s="441"/>
      <c r="AN85" s="441"/>
      <c r="AO85" s="441"/>
      <c r="AP85" s="441"/>
      <c r="AQ85" s="441"/>
      <c r="AR85" s="450"/>
      <c r="AS85" s="485"/>
      <c r="AT85" s="486"/>
      <c r="AU85" s="486"/>
      <c r="AV85" s="486"/>
      <c r="AW85" s="486"/>
      <c r="AX85" s="486"/>
      <c r="AY85" s="487"/>
      <c r="AZ85" s="462"/>
      <c r="BA85" s="463"/>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5">
      <c r="A86" s="435"/>
      <c r="B86" s="36"/>
      <c r="C86" s="199" t="str">
        <f t="shared" ca="1" si="3"/>
        <v/>
      </c>
      <c r="D86" s="479"/>
      <c r="E86" s="480"/>
      <c r="F86" s="480"/>
      <c r="G86" s="480"/>
      <c r="H86" s="480"/>
      <c r="I86" s="480"/>
      <c r="J86" s="480"/>
      <c r="K86" s="440"/>
      <c r="L86" s="441"/>
      <c r="M86" s="441"/>
      <c r="N86" s="441"/>
      <c r="O86" s="441"/>
      <c r="P86" s="441"/>
      <c r="Q86" s="441"/>
      <c r="R86" s="444"/>
      <c r="S86" s="445"/>
      <c r="T86" s="444"/>
      <c r="U86" s="445"/>
      <c r="V86" s="440"/>
      <c r="W86" s="441"/>
      <c r="X86" s="441"/>
      <c r="Y86" s="441"/>
      <c r="Z86" s="441"/>
      <c r="AA86" s="441"/>
      <c r="AB86" s="441"/>
      <c r="AC86" s="441"/>
      <c r="AD86" s="440"/>
      <c r="AE86" s="441"/>
      <c r="AF86" s="441"/>
      <c r="AG86" s="441"/>
      <c r="AH86" s="441"/>
      <c r="AI86" s="441"/>
      <c r="AJ86" s="441"/>
      <c r="AK86" s="450"/>
      <c r="AL86" s="440"/>
      <c r="AM86" s="441"/>
      <c r="AN86" s="441"/>
      <c r="AO86" s="441"/>
      <c r="AP86" s="441"/>
      <c r="AQ86" s="441"/>
      <c r="AR86" s="450"/>
      <c r="AS86" s="485"/>
      <c r="AT86" s="486"/>
      <c r="AU86" s="486"/>
      <c r="AV86" s="486"/>
      <c r="AW86" s="486"/>
      <c r="AX86" s="486"/>
      <c r="AY86" s="487"/>
      <c r="AZ86" s="462"/>
      <c r="BA86" s="463"/>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5">
      <c r="A87" s="435"/>
      <c r="B87" s="36"/>
      <c r="C87" s="199" t="str">
        <f t="shared" ca="1" si="3"/>
        <v/>
      </c>
      <c r="D87" s="479"/>
      <c r="E87" s="480"/>
      <c r="F87" s="480"/>
      <c r="G87" s="480"/>
      <c r="H87" s="480"/>
      <c r="I87" s="480"/>
      <c r="J87" s="480"/>
      <c r="K87" s="440"/>
      <c r="L87" s="441"/>
      <c r="M87" s="441"/>
      <c r="N87" s="441"/>
      <c r="O87" s="441"/>
      <c r="P87" s="441"/>
      <c r="Q87" s="441"/>
      <c r="R87" s="444"/>
      <c r="S87" s="445"/>
      <c r="T87" s="444"/>
      <c r="U87" s="445"/>
      <c r="V87" s="440"/>
      <c r="W87" s="441"/>
      <c r="X87" s="441"/>
      <c r="Y87" s="441"/>
      <c r="Z87" s="441"/>
      <c r="AA87" s="441"/>
      <c r="AB87" s="441"/>
      <c r="AC87" s="441"/>
      <c r="AD87" s="440"/>
      <c r="AE87" s="441"/>
      <c r="AF87" s="441"/>
      <c r="AG87" s="441"/>
      <c r="AH87" s="441"/>
      <c r="AI87" s="441"/>
      <c r="AJ87" s="441"/>
      <c r="AK87" s="450"/>
      <c r="AL87" s="440"/>
      <c r="AM87" s="441"/>
      <c r="AN87" s="441"/>
      <c r="AO87" s="441"/>
      <c r="AP87" s="441"/>
      <c r="AQ87" s="441"/>
      <c r="AR87" s="450"/>
      <c r="AS87" s="485"/>
      <c r="AT87" s="486"/>
      <c r="AU87" s="486"/>
      <c r="AV87" s="486"/>
      <c r="AW87" s="486"/>
      <c r="AX87" s="486"/>
      <c r="AY87" s="487"/>
      <c r="AZ87" s="462"/>
      <c r="BA87" s="463"/>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5">
      <c r="A88" s="436"/>
      <c r="B88" s="37"/>
      <c r="C88" s="200" t="str">
        <f t="shared" ca="1" si="3"/>
        <v/>
      </c>
      <c r="D88" s="481"/>
      <c r="E88" s="482"/>
      <c r="F88" s="482"/>
      <c r="G88" s="482"/>
      <c r="H88" s="482"/>
      <c r="I88" s="482"/>
      <c r="J88" s="482"/>
      <c r="K88" s="409"/>
      <c r="L88" s="410"/>
      <c r="M88" s="410"/>
      <c r="N88" s="410"/>
      <c r="O88" s="410"/>
      <c r="P88" s="410"/>
      <c r="Q88" s="410"/>
      <c r="R88" s="446"/>
      <c r="S88" s="447"/>
      <c r="T88" s="446"/>
      <c r="U88" s="44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88"/>
      <c r="AT88" s="489"/>
      <c r="AU88" s="489"/>
      <c r="AV88" s="489"/>
      <c r="AW88" s="489"/>
      <c r="AX88" s="489"/>
      <c r="AY88" s="490"/>
      <c r="AZ88" s="464"/>
      <c r="BA88" s="465"/>
      <c r="BB88" s="62">
        <v>6</v>
      </c>
      <c r="BC88" s="426"/>
      <c r="BD88" s="427"/>
      <c r="BE88" s="427"/>
      <c r="BF88" s="428"/>
      <c r="BG88" s="429"/>
      <c r="BH88" s="430"/>
      <c r="BI88" s="196"/>
      <c r="BJ88" s="474"/>
      <c r="BK88" s="475"/>
      <c r="BL88" s="475"/>
      <c r="BM88" s="475"/>
      <c r="BN88" s="475"/>
      <c r="BO88" s="476"/>
      <c r="BP88" s="474"/>
      <c r="BQ88" s="475"/>
      <c r="BR88" s="475"/>
      <c r="BS88" s="475"/>
      <c r="BT88" s="475"/>
      <c r="BU88" s="476"/>
      <c r="BV88" s="474"/>
      <c r="BW88" s="475"/>
      <c r="BX88" s="475"/>
      <c r="BY88" s="475"/>
      <c r="BZ88" s="475"/>
      <c r="CA88" s="476"/>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5">
      <c r="A89" s="434">
        <v>14</v>
      </c>
      <c r="B89" s="36"/>
      <c r="C89" s="198" t="str">
        <f t="shared" ca="1" si="3"/>
        <v/>
      </c>
      <c r="D89" s="477"/>
      <c r="E89" s="478"/>
      <c r="F89" s="478"/>
      <c r="G89" s="478"/>
      <c r="H89" s="478"/>
      <c r="I89" s="478"/>
      <c r="J89" s="478"/>
      <c r="K89" s="438" t="s">
        <v>348</v>
      </c>
      <c r="L89" s="439"/>
      <c r="M89" s="439"/>
      <c r="N89" s="439"/>
      <c r="O89" s="439"/>
      <c r="P89" s="439"/>
      <c r="Q89" s="439"/>
      <c r="R89" s="442" t="s">
        <v>186</v>
      </c>
      <c r="S89" s="443"/>
      <c r="T89" s="442"/>
      <c r="U89" s="443"/>
      <c r="V89" s="438"/>
      <c r="W89" s="439"/>
      <c r="X89" s="439"/>
      <c r="Y89" s="439"/>
      <c r="Z89" s="439"/>
      <c r="AA89" s="439"/>
      <c r="AB89" s="439"/>
      <c r="AC89" s="439"/>
      <c r="AD89" s="438"/>
      <c r="AE89" s="439"/>
      <c r="AF89" s="439"/>
      <c r="AG89" s="439"/>
      <c r="AH89" s="439"/>
      <c r="AI89" s="439"/>
      <c r="AJ89" s="439"/>
      <c r="AK89" s="449"/>
      <c r="AL89" s="516"/>
      <c r="AM89" s="517"/>
      <c r="AN89" s="517"/>
      <c r="AO89" s="517"/>
      <c r="AP89" s="517"/>
      <c r="AQ89" s="517"/>
      <c r="AR89" s="526"/>
      <c r="AS89" s="500"/>
      <c r="AT89" s="483"/>
      <c r="AU89" s="483"/>
      <c r="AV89" s="483"/>
      <c r="AW89" s="483"/>
      <c r="AX89" s="483"/>
      <c r="AY89" s="484"/>
      <c r="AZ89" s="460"/>
      <c r="BA89" s="461"/>
      <c r="BB89" s="60">
        <v>1</v>
      </c>
      <c r="BC89" s="466"/>
      <c r="BD89" s="467"/>
      <c r="BE89" s="467"/>
      <c r="BF89" s="468"/>
      <c r="BG89" s="469"/>
      <c r="BH89" s="470"/>
      <c r="BI89" s="194"/>
      <c r="BJ89" s="471"/>
      <c r="BK89" s="472"/>
      <c r="BL89" s="472"/>
      <c r="BM89" s="472"/>
      <c r="BN89" s="472"/>
      <c r="BO89" s="473"/>
      <c r="BP89" s="471"/>
      <c r="BQ89" s="472"/>
      <c r="BR89" s="472"/>
      <c r="BS89" s="472"/>
      <c r="BT89" s="472"/>
      <c r="BU89" s="473"/>
      <c r="BV89" s="471"/>
      <c r="BW89" s="472"/>
      <c r="BX89" s="472"/>
      <c r="BY89" s="472"/>
      <c r="BZ89" s="472"/>
      <c r="CA89" s="473"/>
      <c r="CB89" s="466"/>
      <c r="CC89" s="467"/>
      <c r="CD89" s="467"/>
      <c r="CE89" s="468"/>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5">
      <c r="A90" s="435"/>
      <c r="B90" s="36"/>
      <c r="C90" s="199" t="str">
        <f t="shared" ca="1" si="3"/>
        <v/>
      </c>
      <c r="D90" s="479"/>
      <c r="E90" s="480"/>
      <c r="F90" s="480"/>
      <c r="G90" s="480"/>
      <c r="H90" s="480"/>
      <c r="I90" s="480"/>
      <c r="J90" s="480"/>
      <c r="K90" s="440"/>
      <c r="L90" s="441"/>
      <c r="M90" s="441"/>
      <c r="N90" s="441"/>
      <c r="O90" s="441"/>
      <c r="P90" s="441"/>
      <c r="Q90" s="441"/>
      <c r="R90" s="444"/>
      <c r="S90" s="445"/>
      <c r="T90" s="444"/>
      <c r="U90" s="445"/>
      <c r="V90" s="440"/>
      <c r="W90" s="441"/>
      <c r="X90" s="441"/>
      <c r="Y90" s="441"/>
      <c r="Z90" s="441"/>
      <c r="AA90" s="441"/>
      <c r="AB90" s="441"/>
      <c r="AC90" s="441"/>
      <c r="AD90" s="440"/>
      <c r="AE90" s="441"/>
      <c r="AF90" s="441"/>
      <c r="AG90" s="441"/>
      <c r="AH90" s="441"/>
      <c r="AI90" s="441"/>
      <c r="AJ90" s="441"/>
      <c r="AK90" s="450"/>
      <c r="AL90" s="518"/>
      <c r="AM90" s="519"/>
      <c r="AN90" s="519"/>
      <c r="AO90" s="519"/>
      <c r="AP90" s="519"/>
      <c r="AQ90" s="519"/>
      <c r="AR90" s="527"/>
      <c r="AS90" s="485"/>
      <c r="AT90" s="486"/>
      <c r="AU90" s="486"/>
      <c r="AV90" s="486"/>
      <c r="AW90" s="486"/>
      <c r="AX90" s="486"/>
      <c r="AY90" s="487"/>
      <c r="AZ90" s="462"/>
      <c r="BA90" s="463"/>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5">
      <c r="A91" s="435"/>
      <c r="B91" s="36"/>
      <c r="C91" s="199" t="str">
        <f t="shared" ca="1" si="3"/>
        <v/>
      </c>
      <c r="D91" s="479"/>
      <c r="E91" s="480"/>
      <c r="F91" s="480"/>
      <c r="G91" s="480"/>
      <c r="H91" s="480"/>
      <c r="I91" s="480"/>
      <c r="J91" s="480"/>
      <c r="K91" s="440"/>
      <c r="L91" s="441"/>
      <c r="M91" s="441"/>
      <c r="N91" s="441"/>
      <c r="O91" s="441"/>
      <c r="P91" s="441"/>
      <c r="Q91" s="441"/>
      <c r="R91" s="444"/>
      <c r="S91" s="445"/>
      <c r="T91" s="444"/>
      <c r="U91" s="445"/>
      <c r="V91" s="440"/>
      <c r="W91" s="441"/>
      <c r="X91" s="441"/>
      <c r="Y91" s="441"/>
      <c r="Z91" s="441"/>
      <c r="AA91" s="441"/>
      <c r="AB91" s="441"/>
      <c r="AC91" s="441"/>
      <c r="AD91" s="440"/>
      <c r="AE91" s="441"/>
      <c r="AF91" s="441"/>
      <c r="AG91" s="441"/>
      <c r="AH91" s="441"/>
      <c r="AI91" s="441"/>
      <c r="AJ91" s="441"/>
      <c r="AK91" s="450"/>
      <c r="AL91" s="518"/>
      <c r="AM91" s="519"/>
      <c r="AN91" s="519"/>
      <c r="AO91" s="519"/>
      <c r="AP91" s="519"/>
      <c r="AQ91" s="519"/>
      <c r="AR91" s="527"/>
      <c r="AS91" s="485"/>
      <c r="AT91" s="486"/>
      <c r="AU91" s="486"/>
      <c r="AV91" s="486"/>
      <c r="AW91" s="486"/>
      <c r="AX91" s="486"/>
      <c r="AY91" s="487"/>
      <c r="AZ91" s="462"/>
      <c r="BA91" s="463"/>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5">
      <c r="A92" s="435"/>
      <c r="B92" s="36"/>
      <c r="C92" s="199" t="str">
        <f t="shared" ca="1" si="3"/>
        <v/>
      </c>
      <c r="D92" s="479"/>
      <c r="E92" s="480"/>
      <c r="F92" s="480"/>
      <c r="G92" s="480"/>
      <c r="H92" s="480"/>
      <c r="I92" s="480"/>
      <c r="J92" s="480"/>
      <c r="K92" s="440"/>
      <c r="L92" s="441"/>
      <c r="M92" s="441"/>
      <c r="N92" s="441"/>
      <c r="O92" s="441"/>
      <c r="P92" s="441"/>
      <c r="Q92" s="441"/>
      <c r="R92" s="444"/>
      <c r="S92" s="445"/>
      <c r="T92" s="444"/>
      <c r="U92" s="445"/>
      <c r="V92" s="440"/>
      <c r="W92" s="441"/>
      <c r="X92" s="441"/>
      <c r="Y92" s="441"/>
      <c r="Z92" s="441"/>
      <c r="AA92" s="441"/>
      <c r="AB92" s="441"/>
      <c r="AC92" s="441"/>
      <c r="AD92" s="440"/>
      <c r="AE92" s="441"/>
      <c r="AF92" s="441"/>
      <c r="AG92" s="441"/>
      <c r="AH92" s="441"/>
      <c r="AI92" s="441"/>
      <c r="AJ92" s="441"/>
      <c r="AK92" s="450"/>
      <c r="AL92" s="518"/>
      <c r="AM92" s="519"/>
      <c r="AN92" s="519"/>
      <c r="AO92" s="519"/>
      <c r="AP92" s="519"/>
      <c r="AQ92" s="519"/>
      <c r="AR92" s="527"/>
      <c r="AS92" s="485"/>
      <c r="AT92" s="486"/>
      <c r="AU92" s="486"/>
      <c r="AV92" s="486"/>
      <c r="AW92" s="486"/>
      <c r="AX92" s="486"/>
      <c r="AY92" s="487"/>
      <c r="AZ92" s="462"/>
      <c r="BA92" s="463"/>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5">
      <c r="A93" s="435"/>
      <c r="B93" s="36"/>
      <c r="C93" s="199" t="str">
        <f t="shared" ca="1" si="3"/>
        <v/>
      </c>
      <c r="D93" s="479"/>
      <c r="E93" s="480"/>
      <c r="F93" s="480"/>
      <c r="G93" s="480"/>
      <c r="H93" s="480"/>
      <c r="I93" s="480"/>
      <c r="J93" s="480"/>
      <c r="K93" s="440"/>
      <c r="L93" s="441"/>
      <c r="M93" s="441"/>
      <c r="N93" s="441"/>
      <c r="O93" s="441"/>
      <c r="P93" s="441"/>
      <c r="Q93" s="441"/>
      <c r="R93" s="444"/>
      <c r="S93" s="445"/>
      <c r="T93" s="444"/>
      <c r="U93" s="445"/>
      <c r="V93" s="440"/>
      <c r="W93" s="441"/>
      <c r="X93" s="441"/>
      <c r="Y93" s="441"/>
      <c r="Z93" s="441"/>
      <c r="AA93" s="441"/>
      <c r="AB93" s="441"/>
      <c r="AC93" s="441"/>
      <c r="AD93" s="440"/>
      <c r="AE93" s="441"/>
      <c r="AF93" s="441"/>
      <c r="AG93" s="441"/>
      <c r="AH93" s="441"/>
      <c r="AI93" s="441"/>
      <c r="AJ93" s="441"/>
      <c r="AK93" s="450"/>
      <c r="AL93" s="518"/>
      <c r="AM93" s="519"/>
      <c r="AN93" s="519"/>
      <c r="AO93" s="519"/>
      <c r="AP93" s="519"/>
      <c r="AQ93" s="519"/>
      <c r="AR93" s="527"/>
      <c r="AS93" s="485"/>
      <c r="AT93" s="486"/>
      <c r="AU93" s="486"/>
      <c r="AV93" s="486"/>
      <c r="AW93" s="486"/>
      <c r="AX93" s="486"/>
      <c r="AY93" s="487"/>
      <c r="AZ93" s="462"/>
      <c r="BA93" s="463"/>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5">
      <c r="A94" s="436"/>
      <c r="B94" s="37"/>
      <c r="C94" s="200" t="str">
        <f t="shared" ca="1" si="3"/>
        <v/>
      </c>
      <c r="D94" s="481"/>
      <c r="E94" s="482"/>
      <c r="F94" s="482"/>
      <c r="G94" s="482"/>
      <c r="H94" s="482"/>
      <c r="I94" s="482"/>
      <c r="J94" s="482"/>
      <c r="K94" s="409"/>
      <c r="L94" s="410"/>
      <c r="M94" s="410"/>
      <c r="N94" s="410"/>
      <c r="O94" s="410"/>
      <c r="P94" s="410"/>
      <c r="Q94" s="410"/>
      <c r="R94" s="446"/>
      <c r="S94" s="447"/>
      <c r="T94" s="446"/>
      <c r="U94" s="447"/>
      <c r="V94" s="409"/>
      <c r="W94" s="410"/>
      <c r="X94" s="410"/>
      <c r="Y94" s="410"/>
      <c r="Z94" s="410"/>
      <c r="AA94" s="410"/>
      <c r="AB94" s="410"/>
      <c r="AC94" s="410"/>
      <c r="AD94" s="409"/>
      <c r="AE94" s="410"/>
      <c r="AF94" s="410"/>
      <c r="AG94" s="410"/>
      <c r="AH94" s="410"/>
      <c r="AI94" s="410"/>
      <c r="AJ94" s="410"/>
      <c r="AK94" s="411"/>
      <c r="AL94" s="501"/>
      <c r="AM94" s="502"/>
      <c r="AN94" s="502"/>
      <c r="AO94" s="502"/>
      <c r="AP94" s="502"/>
      <c r="AQ94" s="502"/>
      <c r="AR94" s="503"/>
      <c r="AS94" s="488"/>
      <c r="AT94" s="489"/>
      <c r="AU94" s="489"/>
      <c r="AV94" s="489"/>
      <c r="AW94" s="489"/>
      <c r="AX94" s="489"/>
      <c r="AY94" s="490"/>
      <c r="AZ94" s="464"/>
      <c r="BA94" s="465"/>
      <c r="BB94" s="62">
        <v>6</v>
      </c>
      <c r="BC94" s="426"/>
      <c r="BD94" s="427"/>
      <c r="BE94" s="427"/>
      <c r="BF94" s="428"/>
      <c r="BG94" s="429"/>
      <c r="BH94" s="430"/>
      <c r="BI94" s="196"/>
      <c r="BJ94" s="474"/>
      <c r="BK94" s="475"/>
      <c r="BL94" s="475"/>
      <c r="BM94" s="475"/>
      <c r="BN94" s="475"/>
      <c r="BO94" s="476"/>
      <c r="BP94" s="474"/>
      <c r="BQ94" s="475"/>
      <c r="BR94" s="475"/>
      <c r="BS94" s="475"/>
      <c r="BT94" s="475"/>
      <c r="BU94" s="476"/>
      <c r="BV94" s="474"/>
      <c r="BW94" s="475"/>
      <c r="BX94" s="475"/>
      <c r="BY94" s="475"/>
      <c r="BZ94" s="475"/>
      <c r="CA94" s="476"/>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5">
      <c r="A95" s="434">
        <v>15</v>
      </c>
      <c r="B95" s="36"/>
      <c r="C95" s="198" t="str">
        <f t="shared" ca="1" si="3"/>
        <v/>
      </c>
      <c r="D95" s="477" t="s">
        <v>349</v>
      </c>
      <c r="E95" s="478"/>
      <c r="F95" s="478"/>
      <c r="G95" s="478"/>
      <c r="H95" s="478"/>
      <c r="I95" s="478"/>
      <c r="J95" s="478"/>
      <c r="K95" s="438" t="s">
        <v>350</v>
      </c>
      <c r="L95" s="439"/>
      <c r="M95" s="439"/>
      <c r="N95" s="439"/>
      <c r="O95" s="439"/>
      <c r="P95" s="439"/>
      <c r="Q95" s="439"/>
      <c r="R95" s="442" t="s">
        <v>186</v>
      </c>
      <c r="S95" s="443"/>
      <c r="T95" s="442"/>
      <c r="U95" s="443"/>
      <c r="V95" s="438"/>
      <c r="W95" s="439"/>
      <c r="X95" s="439"/>
      <c r="Y95" s="439"/>
      <c r="Z95" s="439"/>
      <c r="AA95" s="439"/>
      <c r="AB95" s="439"/>
      <c r="AC95" s="439"/>
      <c r="AD95" s="438"/>
      <c r="AE95" s="439"/>
      <c r="AF95" s="439"/>
      <c r="AG95" s="439"/>
      <c r="AH95" s="439"/>
      <c r="AI95" s="439"/>
      <c r="AJ95" s="439"/>
      <c r="AK95" s="449"/>
      <c r="AL95" s="438"/>
      <c r="AM95" s="439"/>
      <c r="AN95" s="439"/>
      <c r="AO95" s="439"/>
      <c r="AP95" s="439"/>
      <c r="AQ95" s="439"/>
      <c r="AR95" s="449"/>
      <c r="AS95" s="500"/>
      <c r="AT95" s="483"/>
      <c r="AU95" s="483"/>
      <c r="AV95" s="483"/>
      <c r="AW95" s="483"/>
      <c r="AX95" s="483"/>
      <c r="AY95" s="484"/>
      <c r="AZ95" s="460"/>
      <c r="BA95" s="461"/>
      <c r="BB95" s="60">
        <v>1</v>
      </c>
      <c r="BC95" s="466"/>
      <c r="BD95" s="467"/>
      <c r="BE95" s="467"/>
      <c r="BF95" s="468"/>
      <c r="BG95" s="469"/>
      <c r="BH95" s="470"/>
      <c r="BI95" s="194"/>
      <c r="BJ95" s="471"/>
      <c r="BK95" s="472"/>
      <c r="BL95" s="472"/>
      <c r="BM95" s="472"/>
      <c r="BN95" s="472"/>
      <c r="BO95" s="473"/>
      <c r="BP95" s="471"/>
      <c r="BQ95" s="472"/>
      <c r="BR95" s="472"/>
      <c r="BS95" s="472"/>
      <c r="BT95" s="472"/>
      <c r="BU95" s="473"/>
      <c r="BV95" s="471"/>
      <c r="BW95" s="472"/>
      <c r="BX95" s="472"/>
      <c r="BY95" s="472"/>
      <c r="BZ95" s="472"/>
      <c r="CA95" s="473"/>
      <c r="CB95" s="466"/>
      <c r="CC95" s="467"/>
      <c r="CD95" s="467"/>
      <c r="CE95" s="468"/>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5">
      <c r="A96" s="435"/>
      <c r="B96" s="36"/>
      <c r="C96" s="199" t="str">
        <f t="shared" ca="1" si="3"/>
        <v/>
      </c>
      <c r="D96" s="479"/>
      <c r="E96" s="480"/>
      <c r="F96" s="480"/>
      <c r="G96" s="480"/>
      <c r="H96" s="480"/>
      <c r="I96" s="480"/>
      <c r="J96" s="480"/>
      <c r="K96" s="440"/>
      <c r="L96" s="441"/>
      <c r="M96" s="441"/>
      <c r="N96" s="441"/>
      <c r="O96" s="441"/>
      <c r="P96" s="441"/>
      <c r="Q96" s="441"/>
      <c r="R96" s="444"/>
      <c r="S96" s="445"/>
      <c r="T96" s="444"/>
      <c r="U96" s="445"/>
      <c r="V96" s="440"/>
      <c r="W96" s="441"/>
      <c r="X96" s="441"/>
      <c r="Y96" s="441"/>
      <c r="Z96" s="441"/>
      <c r="AA96" s="441"/>
      <c r="AB96" s="441"/>
      <c r="AC96" s="441"/>
      <c r="AD96" s="440"/>
      <c r="AE96" s="441"/>
      <c r="AF96" s="441"/>
      <c r="AG96" s="441"/>
      <c r="AH96" s="441"/>
      <c r="AI96" s="441"/>
      <c r="AJ96" s="441"/>
      <c r="AK96" s="450"/>
      <c r="AL96" s="440"/>
      <c r="AM96" s="441"/>
      <c r="AN96" s="441"/>
      <c r="AO96" s="441"/>
      <c r="AP96" s="441"/>
      <c r="AQ96" s="441"/>
      <c r="AR96" s="450"/>
      <c r="AS96" s="485"/>
      <c r="AT96" s="486"/>
      <c r="AU96" s="486"/>
      <c r="AV96" s="486"/>
      <c r="AW96" s="486"/>
      <c r="AX96" s="486"/>
      <c r="AY96" s="487"/>
      <c r="AZ96" s="462"/>
      <c r="BA96" s="463"/>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5">
      <c r="A97" s="435"/>
      <c r="B97" s="36"/>
      <c r="C97" s="199" t="str">
        <f t="shared" ca="1" si="3"/>
        <v/>
      </c>
      <c r="D97" s="479"/>
      <c r="E97" s="480"/>
      <c r="F97" s="480"/>
      <c r="G97" s="480"/>
      <c r="H97" s="480"/>
      <c r="I97" s="480"/>
      <c r="J97" s="480"/>
      <c r="K97" s="440"/>
      <c r="L97" s="441"/>
      <c r="M97" s="441"/>
      <c r="N97" s="441"/>
      <c r="O97" s="441"/>
      <c r="P97" s="441"/>
      <c r="Q97" s="441"/>
      <c r="R97" s="444"/>
      <c r="S97" s="445"/>
      <c r="T97" s="444"/>
      <c r="U97" s="445"/>
      <c r="V97" s="440"/>
      <c r="W97" s="441"/>
      <c r="X97" s="441"/>
      <c r="Y97" s="441"/>
      <c r="Z97" s="441"/>
      <c r="AA97" s="441"/>
      <c r="AB97" s="441"/>
      <c r="AC97" s="441"/>
      <c r="AD97" s="440"/>
      <c r="AE97" s="441"/>
      <c r="AF97" s="441"/>
      <c r="AG97" s="441"/>
      <c r="AH97" s="441"/>
      <c r="AI97" s="441"/>
      <c r="AJ97" s="441"/>
      <c r="AK97" s="450"/>
      <c r="AL97" s="440"/>
      <c r="AM97" s="441"/>
      <c r="AN97" s="441"/>
      <c r="AO97" s="441"/>
      <c r="AP97" s="441"/>
      <c r="AQ97" s="441"/>
      <c r="AR97" s="450"/>
      <c r="AS97" s="485"/>
      <c r="AT97" s="486"/>
      <c r="AU97" s="486"/>
      <c r="AV97" s="486"/>
      <c r="AW97" s="486"/>
      <c r="AX97" s="486"/>
      <c r="AY97" s="487"/>
      <c r="AZ97" s="462"/>
      <c r="BA97" s="463"/>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5">
      <c r="A98" s="435"/>
      <c r="B98" s="36"/>
      <c r="C98" s="199" t="str">
        <f t="shared" ca="1" si="3"/>
        <v/>
      </c>
      <c r="D98" s="479"/>
      <c r="E98" s="480"/>
      <c r="F98" s="480"/>
      <c r="G98" s="480"/>
      <c r="H98" s="480"/>
      <c r="I98" s="480"/>
      <c r="J98" s="480"/>
      <c r="K98" s="440"/>
      <c r="L98" s="441"/>
      <c r="M98" s="441"/>
      <c r="N98" s="441"/>
      <c r="O98" s="441"/>
      <c r="P98" s="441"/>
      <c r="Q98" s="441"/>
      <c r="R98" s="444"/>
      <c r="S98" s="445"/>
      <c r="T98" s="444"/>
      <c r="U98" s="445"/>
      <c r="V98" s="440"/>
      <c r="W98" s="441"/>
      <c r="X98" s="441"/>
      <c r="Y98" s="441"/>
      <c r="Z98" s="441"/>
      <c r="AA98" s="441"/>
      <c r="AB98" s="441"/>
      <c r="AC98" s="441"/>
      <c r="AD98" s="440"/>
      <c r="AE98" s="441"/>
      <c r="AF98" s="441"/>
      <c r="AG98" s="441"/>
      <c r="AH98" s="441"/>
      <c r="AI98" s="441"/>
      <c r="AJ98" s="441"/>
      <c r="AK98" s="450"/>
      <c r="AL98" s="440"/>
      <c r="AM98" s="441"/>
      <c r="AN98" s="441"/>
      <c r="AO98" s="441"/>
      <c r="AP98" s="441"/>
      <c r="AQ98" s="441"/>
      <c r="AR98" s="450"/>
      <c r="AS98" s="485"/>
      <c r="AT98" s="486"/>
      <c r="AU98" s="486"/>
      <c r="AV98" s="486"/>
      <c r="AW98" s="486"/>
      <c r="AX98" s="486"/>
      <c r="AY98" s="487"/>
      <c r="AZ98" s="462"/>
      <c r="BA98" s="463"/>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5">
      <c r="A99" s="435"/>
      <c r="B99" s="36"/>
      <c r="C99" s="199" t="str">
        <f t="shared" ca="1" si="3"/>
        <v/>
      </c>
      <c r="D99" s="479"/>
      <c r="E99" s="480"/>
      <c r="F99" s="480"/>
      <c r="G99" s="480"/>
      <c r="H99" s="480"/>
      <c r="I99" s="480"/>
      <c r="J99" s="480"/>
      <c r="K99" s="440"/>
      <c r="L99" s="441"/>
      <c r="M99" s="441"/>
      <c r="N99" s="441"/>
      <c r="O99" s="441"/>
      <c r="P99" s="441"/>
      <c r="Q99" s="441"/>
      <c r="R99" s="444"/>
      <c r="S99" s="445"/>
      <c r="T99" s="444"/>
      <c r="U99" s="445"/>
      <c r="V99" s="440"/>
      <c r="W99" s="441"/>
      <c r="X99" s="441"/>
      <c r="Y99" s="441"/>
      <c r="Z99" s="441"/>
      <c r="AA99" s="441"/>
      <c r="AB99" s="441"/>
      <c r="AC99" s="441"/>
      <c r="AD99" s="440"/>
      <c r="AE99" s="441"/>
      <c r="AF99" s="441"/>
      <c r="AG99" s="441"/>
      <c r="AH99" s="441"/>
      <c r="AI99" s="441"/>
      <c r="AJ99" s="441"/>
      <c r="AK99" s="450"/>
      <c r="AL99" s="440"/>
      <c r="AM99" s="441"/>
      <c r="AN99" s="441"/>
      <c r="AO99" s="441"/>
      <c r="AP99" s="441"/>
      <c r="AQ99" s="441"/>
      <c r="AR99" s="450"/>
      <c r="AS99" s="485"/>
      <c r="AT99" s="486"/>
      <c r="AU99" s="486"/>
      <c r="AV99" s="486"/>
      <c r="AW99" s="486"/>
      <c r="AX99" s="486"/>
      <c r="AY99" s="487"/>
      <c r="AZ99" s="462"/>
      <c r="BA99" s="463"/>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5">
      <c r="A100" s="436"/>
      <c r="B100" s="37"/>
      <c r="C100" s="200" t="str">
        <f t="shared" ca="1" si="3"/>
        <v/>
      </c>
      <c r="D100" s="481"/>
      <c r="E100" s="482"/>
      <c r="F100" s="482"/>
      <c r="G100" s="482"/>
      <c r="H100" s="482"/>
      <c r="I100" s="482"/>
      <c r="J100" s="482"/>
      <c r="K100" s="409"/>
      <c r="L100" s="410"/>
      <c r="M100" s="410"/>
      <c r="N100" s="410"/>
      <c r="O100" s="410"/>
      <c r="P100" s="410"/>
      <c r="Q100" s="410"/>
      <c r="R100" s="446"/>
      <c r="S100" s="447"/>
      <c r="T100" s="446"/>
      <c r="U100" s="44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88"/>
      <c r="AT100" s="489"/>
      <c r="AU100" s="489"/>
      <c r="AV100" s="489"/>
      <c r="AW100" s="489"/>
      <c r="AX100" s="489"/>
      <c r="AY100" s="490"/>
      <c r="AZ100" s="464"/>
      <c r="BA100" s="465"/>
      <c r="BB100" s="62">
        <v>6</v>
      </c>
      <c r="BC100" s="426"/>
      <c r="BD100" s="427"/>
      <c r="BE100" s="427"/>
      <c r="BF100" s="428"/>
      <c r="BG100" s="429"/>
      <c r="BH100" s="430"/>
      <c r="BI100" s="196"/>
      <c r="BJ100" s="474"/>
      <c r="BK100" s="475"/>
      <c r="BL100" s="475"/>
      <c r="BM100" s="475"/>
      <c r="BN100" s="475"/>
      <c r="BO100" s="476"/>
      <c r="BP100" s="474"/>
      <c r="BQ100" s="475"/>
      <c r="BR100" s="475"/>
      <c r="BS100" s="475"/>
      <c r="BT100" s="475"/>
      <c r="BU100" s="476"/>
      <c r="BV100" s="474"/>
      <c r="BW100" s="475"/>
      <c r="BX100" s="475"/>
      <c r="BY100" s="475"/>
      <c r="BZ100" s="475"/>
      <c r="CA100" s="476"/>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5">
      <c r="A101" s="434">
        <v>16</v>
      </c>
      <c r="B101" s="36"/>
      <c r="C101" s="198" t="str">
        <f t="shared" ca="1" si="3"/>
        <v/>
      </c>
      <c r="D101" s="477"/>
      <c r="E101" s="478"/>
      <c r="F101" s="478"/>
      <c r="G101" s="478"/>
      <c r="H101" s="478"/>
      <c r="I101" s="478"/>
      <c r="J101" s="478"/>
      <c r="K101" s="438" t="s">
        <v>351</v>
      </c>
      <c r="L101" s="439"/>
      <c r="M101" s="439"/>
      <c r="N101" s="439"/>
      <c r="O101" s="439"/>
      <c r="P101" s="439"/>
      <c r="Q101" s="439"/>
      <c r="R101" s="442" t="s">
        <v>186</v>
      </c>
      <c r="S101" s="443"/>
      <c r="T101" s="442"/>
      <c r="U101" s="443"/>
      <c r="V101" s="438"/>
      <c r="W101" s="439"/>
      <c r="X101" s="439"/>
      <c r="Y101" s="439"/>
      <c r="Z101" s="439"/>
      <c r="AA101" s="439"/>
      <c r="AB101" s="439"/>
      <c r="AC101" s="439"/>
      <c r="AD101" s="438"/>
      <c r="AE101" s="439"/>
      <c r="AF101" s="439"/>
      <c r="AG101" s="439"/>
      <c r="AH101" s="439"/>
      <c r="AI101" s="439"/>
      <c r="AJ101" s="439"/>
      <c r="AK101" s="449"/>
      <c r="AL101" s="438"/>
      <c r="AM101" s="439"/>
      <c r="AN101" s="439"/>
      <c r="AO101" s="439"/>
      <c r="AP101" s="439"/>
      <c r="AQ101" s="439"/>
      <c r="AR101" s="449"/>
      <c r="AS101" s="500"/>
      <c r="AT101" s="483"/>
      <c r="AU101" s="483"/>
      <c r="AV101" s="483"/>
      <c r="AW101" s="483"/>
      <c r="AX101" s="483"/>
      <c r="AY101" s="484"/>
      <c r="AZ101" s="460"/>
      <c r="BA101" s="461"/>
      <c r="BB101" s="60">
        <v>1</v>
      </c>
      <c r="BC101" s="466"/>
      <c r="BD101" s="467"/>
      <c r="BE101" s="467"/>
      <c r="BF101" s="468"/>
      <c r="BG101" s="469"/>
      <c r="BH101" s="470"/>
      <c r="BI101" s="194"/>
      <c r="BJ101" s="471"/>
      <c r="BK101" s="472"/>
      <c r="BL101" s="472"/>
      <c r="BM101" s="472"/>
      <c r="BN101" s="472"/>
      <c r="BO101" s="473"/>
      <c r="BP101" s="471"/>
      <c r="BQ101" s="472"/>
      <c r="BR101" s="472"/>
      <c r="BS101" s="472"/>
      <c r="BT101" s="472"/>
      <c r="BU101" s="473"/>
      <c r="BV101" s="471"/>
      <c r="BW101" s="472"/>
      <c r="BX101" s="472"/>
      <c r="BY101" s="472"/>
      <c r="BZ101" s="472"/>
      <c r="CA101" s="473"/>
      <c r="CB101" s="466"/>
      <c r="CC101" s="467"/>
      <c r="CD101" s="467"/>
      <c r="CE101" s="468"/>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5">
      <c r="A102" s="435"/>
      <c r="B102" s="36"/>
      <c r="C102" s="199" t="str">
        <f t="shared" ca="1" si="3"/>
        <v/>
      </c>
      <c r="D102" s="479"/>
      <c r="E102" s="480"/>
      <c r="F102" s="480"/>
      <c r="G102" s="480"/>
      <c r="H102" s="480"/>
      <c r="I102" s="480"/>
      <c r="J102" s="480"/>
      <c r="K102" s="440"/>
      <c r="L102" s="441"/>
      <c r="M102" s="441"/>
      <c r="N102" s="441"/>
      <c r="O102" s="441"/>
      <c r="P102" s="441"/>
      <c r="Q102" s="441"/>
      <c r="R102" s="444"/>
      <c r="S102" s="445"/>
      <c r="T102" s="444"/>
      <c r="U102" s="445"/>
      <c r="V102" s="440"/>
      <c r="W102" s="441"/>
      <c r="X102" s="441"/>
      <c r="Y102" s="441"/>
      <c r="Z102" s="441"/>
      <c r="AA102" s="441"/>
      <c r="AB102" s="441"/>
      <c r="AC102" s="441"/>
      <c r="AD102" s="440"/>
      <c r="AE102" s="441"/>
      <c r="AF102" s="441"/>
      <c r="AG102" s="441"/>
      <c r="AH102" s="441"/>
      <c r="AI102" s="441"/>
      <c r="AJ102" s="441"/>
      <c r="AK102" s="450"/>
      <c r="AL102" s="440"/>
      <c r="AM102" s="441"/>
      <c r="AN102" s="441"/>
      <c r="AO102" s="441"/>
      <c r="AP102" s="441"/>
      <c r="AQ102" s="441"/>
      <c r="AR102" s="450"/>
      <c r="AS102" s="485"/>
      <c r="AT102" s="486"/>
      <c r="AU102" s="486"/>
      <c r="AV102" s="486"/>
      <c r="AW102" s="486"/>
      <c r="AX102" s="486"/>
      <c r="AY102" s="487"/>
      <c r="AZ102" s="462"/>
      <c r="BA102" s="463"/>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5">
      <c r="A103" s="435"/>
      <c r="B103" s="36"/>
      <c r="C103" s="199" t="str">
        <f t="shared" ca="1" si="3"/>
        <v/>
      </c>
      <c r="D103" s="479"/>
      <c r="E103" s="480"/>
      <c r="F103" s="480"/>
      <c r="G103" s="480"/>
      <c r="H103" s="480"/>
      <c r="I103" s="480"/>
      <c r="J103" s="480"/>
      <c r="K103" s="440"/>
      <c r="L103" s="441"/>
      <c r="M103" s="441"/>
      <c r="N103" s="441"/>
      <c r="O103" s="441"/>
      <c r="P103" s="441"/>
      <c r="Q103" s="441"/>
      <c r="R103" s="444"/>
      <c r="S103" s="445"/>
      <c r="T103" s="444"/>
      <c r="U103" s="445"/>
      <c r="V103" s="440"/>
      <c r="W103" s="441"/>
      <c r="X103" s="441"/>
      <c r="Y103" s="441"/>
      <c r="Z103" s="441"/>
      <c r="AA103" s="441"/>
      <c r="AB103" s="441"/>
      <c r="AC103" s="441"/>
      <c r="AD103" s="440"/>
      <c r="AE103" s="441"/>
      <c r="AF103" s="441"/>
      <c r="AG103" s="441"/>
      <c r="AH103" s="441"/>
      <c r="AI103" s="441"/>
      <c r="AJ103" s="441"/>
      <c r="AK103" s="450"/>
      <c r="AL103" s="440"/>
      <c r="AM103" s="441"/>
      <c r="AN103" s="441"/>
      <c r="AO103" s="441"/>
      <c r="AP103" s="441"/>
      <c r="AQ103" s="441"/>
      <c r="AR103" s="450"/>
      <c r="AS103" s="485"/>
      <c r="AT103" s="486"/>
      <c r="AU103" s="486"/>
      <c r="AV103" s="486"/>
      <c r="AW103" s="486"/>
      <c r="AX103" s="486"/>
      <c r="AY103" s="487"/>
      <c r="AZ103" s="462"/>
      <c r="BA103" s="463"/>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5">
      <c r="A104" s="435"/>
      <c r="B104" s="36"/>
      <c r="C104" s="199" t="str">
        <f t="shared" ca="1" si="3"/>
        <v/>
      </c>
      <c r="D104" s="479"/>
      <c r="E104" s="480"/>
      <c r="F104" s="480"/>
      <c r="G104" s="480"/>
      <c r="H104" s="480"/>
      <c r="I104" s="480"/>
      <c r="J104" s="480"/>
      <c r="K104" s="440"/>
      <c r="L104" s="441"/>
      <c r="M104" s="441"/>
      <c r="N104" s="441"/>
      <c r="O104" s="441"/>
      <c r="P104" s="441"/>
      <c r="Q104" s="441"/>
      <c r="R104" s="444"/>
      <c r="S104" s="445"/>
      <c r="T104" s="444"/>
      <c r="U104" s="445"/>
      <c r="V104" s="440"/>
      <c r="W104" s="441"/>
      <c r="X104" s="441"/>
      <c r="Y104" s="441"/>
      <c r="Z104" s="441"/>
      <c r="AA104" s="441"/>
      <c r="AB104" s="441"/>
      <c r="AC104" s="441"/>
      <c r="AD104" s="440"/>
      <c r="AE104" s="441"/>
      <c r="AF104" s="441"/>
      <c r="AG104" s="441"/>
      <c r="AH104" s="441"/>
      <c r="AI104" s="441"/>
      <c r="AJ104" s="441"/>
      <c r="AK104" s="450"/>
      <c r="AL104" s="440"/>
      <c r="AM104" s="441"/>
      <c r="AN104" s="441"/>
      <c r="AO104" s="441"/>
      <c r="AP104" s="441"/>
      <c r="AQ104" s="441"/>
      <c r="AR104" s="450"/>
      <c r="AS104" s="485"/>
      <c r="AT104" s="486"/>
      <c r="AU104" s="486"/>
      <c r="AV104" s="486"/>
      <c r="AW104" s="486"/>
      <c r="AX104" s="486"/>
      <c r="AY104" s="487"/>
      <c r="AZ104" s="462"/>
      <c r="BA104" s="463"/>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5">
      <c r="A105" s="435"/>
      <c r="B105" s="36"/>
      <c r="C105" s="199" t="str">
        <f t="shared" ca="1" si="3"/>
        <v/>
      </c>
      <c r="D105" s="479"/>
      <c r="E105" s="480"/>
      <c r="F105" s="480"/>
      <c r="G105" s="480"/>
      <c r="H105" s="480"/>
      <c r="I105" s="480"/>
      <c r="J105" s="480"/>
      <c r="K105" s="440"/>
      <c r="L105" s="441"/>
      <c r="M105" s="441"/>
      <c r="N105" s="441"/>
      <c r="O105" s="441"/>
      <c r="P105" s="441"/>
      <c r="Q105" s="441"/>
      <c r="R105" s="444"/>
      <c r="S105" s="445"/>
      <c r="T105" s="444"/>
      <c r="U105" s="445"/>
      <c r="V105" s="440"/>
      <c r="W105" s="441"/>
      <c r="X105" s="441"/>
      <c r="Y105" s="441"/>
      <c r="Z105" s="441"/>
      <c r="AA105" s="441"/>
      <c r="AB105" s="441"/>
      <c r="AC105" s="441"/>
      <c r="AD105" s="440"/>
      <c r="AE105" s="441"/>
      <c r="AF105" s="441"/>
      <c r="AG105" s="441"/>
      <c r="AH105" s="441"/>
      <c r="AI105" s="441"/>
      <c r="AJ105" s="441"/>
      <c r="AK105" s="450"/>
      <c r="AL105" s="440"/>
      <c r="AM105" s="441"/>
      <c r="AN105" s="441"/>
      <c r="AO105" s="441"/>
      <c r="AP105" s="441"/>
      <c r="AQ105" s="441"/>
      <c r="AR105" s="450"/>
      <c r="AS105" s="485"/>
      <c r="AT105" s="486"/>
      <c r="AU105" s="486"/>
      <c r="AV105" s="486"/>
      <c r="AW105" s="486"/>
      <c r="AX105" s="486"/>
      <c r="AY105" s="487"/>
      <c r="AZ105" s="462"/>
      <c r="BA105" s="463"/>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5">
      <c r="A106" s="436"/>
      <c r="B106" s="37"/>
      <c r="C106" s="200" t="str">
        <f t="shared" ca="1" si="3"/>
        <v/>
      </c>
      <c r="D106" s="481"/>
      <c r="E106" s="482"/>
      <c r="F106" s="482"/>
      <c r="G106" s="482"/>
      <c r="H106" s="482"/>
      <c r="I106" s="482"/>
      <c r="J106" s="482"/>
      <c r="K106" s="409"/>
      <c r="L106" s="410"/>
      <c r="M106" s="410"/>
      <c r="N106" s="410"/>
      <c r="O106" s="410"/>
      <c r="P106" s="410"/>
      <c r="Q106" s="410"/>
      <c r="R106" s="446"/>
      <c r="S106" s="447"/>
      <c r="T106" s="446"/>
      <c r="U106" s="44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88"/>
      <c r="AT106" s="489"/>
      <c r="AU106" s="489"/>
      <c r="AV106" s="489"/>
      <c r="AW106" s="489"/>
      <c r="AX106" s="489"/>
      <c r="AY106" s="490"/>
      <c r="AZ106" s="464"/>
      <c r="BA106" s="465"/>
      <c r="BB106" s="62">
        <v>6</v>
      </c>
      <c r="BC106" s="426"/>
      <c r="BD106" s="427"/>
      <c r="BE106" s="427"/>
      <c r="BF106" s="428"/>
      <c r="BG106" s="429"/>
      <c r="BH106" s="430"/>
      <c r="BI106" s="196"/>
      <c r="BJ106" s="474"/>
      <c r="BK106" s="475"/>
      <c r="BL106" s="475"/>
      <c r="BM106" s="475"/>
      <c r="BN106" s="475"/>
      <c r="BO106" s="476"/>
      <c r="BP106" s="474"/>
      <c r="BQ106" s="475"/>
      <c r="BR106" s="475"/>
      <c r="BS106" s="475"/>
      <c r="BT106" s="475"/>
      <c r="BU106" s="476"/>
      <c r="BV106" s="474"/>
      <c r="BW106" s="475"/>
      <c r="BX106" s="475"/>
      <c r="BY106" s="475"/>
      <c r="BZ106" s="475"/>
      <c r="CA106" s="476"/>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5">
      <c r="A107" s="434">
        <v>17</v>
      </c>
      <c r="B107" s="36"/>
      <c r="C107" s="198" t="str">
        <f t="shared" ca="1" si="3"/>
        <v/>
      </c>
      <c r="D107" s="477"/>
      <c r="E107" s="478"/>
      <c r="F107" s="478"/>
      <c r="G107" s="478"/>
      <c r="H107" s="478"/>
      <c r="I107" s="478"/>
      <c r="J107" s="478"/>
      <c r="K107" s="438" t="s">
        <v>352</v>
      </c>
      <c r="L107" s="439"/>
      <c r="M107" s="439"/>
      <c r="N107" s="439"/>
      <c r="O107" s="439"/>
      <c r="P107" s="439"/>
      <c r="Q107" s="439"/>
      <c r="R107" s="442" t="s">
        <v>186</v>
      </c>
      <c r="S107" s="443"/>
      <c r="T107" s="442"/>
      <c r="U107" s="443"/>
      <c r="V107" s="438"/>
      <c r="W107" s="439"/>
      <c r="X107" s="439"/>
      <c r="Y107" s="439"/>
      <c r="Z107" s="439"/>
      <c r="AA107" s="439"/>
      <c r="AB107" s="439"/>
      <c r="AC107" s="439"/>
      <c r="AD107" s="438"/>
      <c r="AE107" s="439"/>
      <c r="AF107" s="439"/>
      <c r="AG107" s="439"/>
      <c r="AH107" s="439"/>
      <c r="AI107" s="439"/>
      <c r="AJ107" s="439"/>
      <c r="AK107" s="449"/>
      <c r="AL107" s="438"/>
      <c r="AM107" s="439"/>
      <c r="AN107" s="439"/>
      <c r="AO107" s="439"/>
      <c r="AP107" s="439"/>
      <c r="AQ107" s="439"/>
      <c r="AR107" s="449"/>
      <c r="AS107" s="500"/>
      <c r="AT107" s="483"/>
      <c r="AU107" s="483"/>
      <c r="AV107" s="483"/>
      <c r="AW107" s="483"/>
      <c r="AX107" s="483"/>
      <c r="AY107" s="484"/>
      <c r="AZ107" s="460"/>
      <c r="BA107" s="461"/>
      <c r="BB107" s="60">
        <v>1</v>
      </c>
      <c r="BC107" s="466"/>
      <c r="BD107" s="467"/>
      <c r="BE107" s="467"/>
      <c r="BF107" s="468"/>
      <c r="BG107" s="469"/>
      <c r="BH107" s="470"/>
      <c r="BI107" s="194"/>
      <c r="BJ107" s="471"/>
      <c r="BK107" s="472"/>
      <c r="BL107" s="472"/>
      <c r="BM107" s="472"/>
      <c r="BN107" s="472"/>
      <c r="BO107" s="473"/>
      <c r="BP107" s="471"/>
      <c r="BQ107" s="472"/>
      <c r="BR107" s="472"/>
      <c r="BS107" s="472"/>
      <c r="BT107" s="472"/>
      <c r="BU107" s="473"/>
      <c r="BV107" s="471"/>
      <c r="BW107" s="472"/>
      <c r="BX107" s="472"/>
      <c r="BY107" s="472"/>
      <c r="BZ107" s="472"/>
      <c r="CA107" s="473"/>
      <c r="CB107" s="466"/>
      <c r="CC107" s="467"/>
      <c r="CD107" s="467"/>
      <c r="CE107" s="468"/>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5">
      <c r="A108" s="435"/>
      <c r="B108" s="36"/>
      <c r="C108" s="199" t="str">
        <f t="shared" ca="1" si="3"/>
        <v/>
      </c>
      <c r="D108" s="479"/>
      <c r="E108" s="480"/>
      <c r="F108" s="480"/>
      <c r="G108" s="480"/>
      <c r="H108" s="480"/>
      <c r="I108" s="480"/>
      <c r="J108" s="480"/>
      <c r="K108" s="440"/>
      <c r="L108" s="441"/>
      <c r="M108" s="441"/>
      <c r="N108" s="441"/>
      <c r="O108" s="441"/>
      <c r="P108" s="441"/>
      <c r="Q108" s="441"/>
      <c r="R108" s="444"/>
      <c r="S108" s="445"/>
      <c r="T108" s="444"/>
      <c r="U108" s="445"/>
      <c r="V108" s="440"/>
      <c r="W108" s="441"/>
      <c r="X108" s="441"/>
      <c r="Y108" s="441"/>
      <c r="Z108" s="441"/>
      <c r="AA108" s="441"/>
      <c r="AB108" s="441"/>
      <c r="AC108" s="441"/>
      <c r="AD108" s="440"/>
      <c r="AE108" s="441"/>
      <c r="AF108" s="441"/>
      <c r="AG108" s="441"/>
      <c r="AH108" s="441"/>
      <c r="AI108" s="441"/>
      <c r="AJ108" s="441"/>
      <c r="AK108" s="450"/>
      <c r="AL108" s="440"/>
      <c r="AM108" s="441"/>
      <c r="AN108" s="441"/>
      <c r="AO108" s="441"/>
      <c r="AP108" s="441"/>
      <c r="AQ108" s="441"/>
      <c r="AR108" s="450"/>
      <c r="AS108" s="485"/>
      <c r="AT108" s="486"/>
      <c r="AU108" s="486"/>
      <c r="AV108" s="486"/>
      <c r="AW108" s="486"/>
      <c r="AX108" s="486"/>
      <c r="AY108" s="487"/>
      <c r="AZ108" s="462"/>
      <c r="BA108" s="463"/>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5">
      <c r="A109" s="435"/>
      <c r="B109" s="36"/>
      <c r="C109" s="199" t="str">
        <f t="shared" ca="1" si="3"/>
        <v/>
      </c>
      <c r="D109" s="479"/>
      <c r="E109" s="480"/>
      <c r="F109" s="480"/>
      <c r="G109" s="480"/>
      <c r="H109" s="480"/>
      <c r="I109" s="480"/>
      <c r="J109" s="480"/>
      <c r="K109" s="440"/>
      <c r="L109" s="441"/>
      <c r="M109" s="441"/>
      <c r="N109" s="441"/>
      <c r="O109" s="441"/>
      <c r="P109" s="441"/>
      <c r="Q109" s="441"/>
      <c r="R109" s="444"/>
      <c r="S109" s="445"/>
      <c r="T109" s="444"/>
      <c r="U109" s="445"/>
      <c r="V109" s="440"/>
      <c r="W109" s="441"/>
      <c r="X109" s="441"/>
      <c r="Y109" s="441"/>
      <c r="Z109" s="441"/>
      <c r="AA109" s="441"/>
      <c r="AB109" s="441"/>
      <c r="AC109" s="441"/>
      <c r="AD109" s="440"/>
      <c r="AE109" s="441"/>
      <c r="AF109" s="441"/>
      <c r="AG109" s="441"/>
      <c r="AH109" s="441"/>
      <c r="AI109" s="441"/>
      <c r="AJ109" s="441"/>
      <c r="AK109" s="450"/>
      <c r="AL109" s="440"/>
      <c r="AM109" s="441"/>
      <c r="AN109" s="441"/>
      <c r="AO109" s="441"/>
      <c r="AP109" s="441"/>
      <c r="AQ109" s="441"/>
      <c r="AR109" s="450"/>
      <c r="AS109" s="485"/>
      <c r="AT109" s="486"/>
      <c r="AU109" s="486"/>
      <c r="AV109" s="486"/>
      <c r="AW109" s="486"/>
      <c r="AX109" s="486"/>
      <c r="AY109" s="487"/>
      <c r="AZ109" s="462"/>
      <c r="BA109" s="463"/>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5">
      <c r="A110" s="435"/>
      <c r="B110" s="36"/>
      <c r="C110" s="199" t="str">
        <f t="shared" ca="1" si="3"/>
        <v/>
      </c>
      <c r="D110" s="479"/>
      <c r="E110" s="480"/>
      <c r="F110" s="480"/>
      <c r="G110" s="480"/>
      <c r="H110" s="480"/>
      <c r="I110" s="480"/>
      <c r="J110" s="480"/>
      <c r="K110" s="440"/>
      <c r="L110" s="441"/>
      <c r="M110" s="441"/>
      <c r="N110" s="441"/>
      <c r="O110" s="441"/>
      <c r="P110" s="441"/>
      <c r="Q110" s="441"/>
      <c r="R110" s="444"/>
      <c r="S110" s="445"/>
      <c r="T110" s="444"/>
      <c r="U110" s="445"/>
      <c r="V110" s="440"/>
      <c r="W110" s="441"/>
      <c r="X110" s="441"/>
      <c r="Y110" s="441"/>
      <c r="Z110" s="441"/>
      <c r="AA110" s="441"/>
      <c r="AB110" s="441"/>
      <c r="AC110" s="441"/>
      <c r="AD110" s="440"/>
      <c r="AE110" s="441"/>
      <c r="AF110" s="441"/>
      <c r="AG110" s="441"/>
      <c r="AH110" s="441"/>
      <c r="AI110" s="441"/>
      <c r="AJ110" s="441"/>
      <c r="AK110" s="450"/>
      <c r="AL110" s="440"/>
      <c r="AM110" s="441"/>
      <c r="AN110" s="441"/>
      <c r="AO110" s="441"/>
      <c r="AP110" s="441"/>
      <c r="AQ110" s="441"/>
      <c r="AR110" s="450"/>
      <c r="AS110" s="485"/>
      <c r="AT110" s="486"/>
      <c r="AU110" s="486"/>
      <c r="AV110" s="486"/>
      <c r="AW110" s="486"/>
      <c r="AX110" s="486"/>
      <c r="AY110" s="487"/>
      <c r="AZ110" s="462"/>
      <c r="BA110" s="463"/>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5">
      <c r="A111" s="435"/>
      <c r="B111" s="36"/>
      <c r="C111" s="199" t="str">
        <f t="shared" ca="1" si="3"/>
        <v/>
      </c>
      <c r="D111" s="479"/>
      <c r="E111" s="480"/>
      <c r="F111" s="480"/>
      <c r="G111" s="480"/>
      <c r="H111" s="480"/>
      <c r="I111" s="480"/>
      <c r="J111" s="480"/>
      <c r="K111" s="440"/>
      <c r="L111" s="441"/>
      <c r="M111" s="441"/>
      <c r="N111" s="441"/>
      <c r="O111" s="441"/>
      <c r="P111" s="441"/>
      <c r="Q111" s="441"/>
      <c r="R111" s="444"/>
      <c r="S111" s="445"/>
      <c r="T111" s="444"/>
      <c r="U111" s="445"/>
      <c r="V111" s="440"/>
      <c r="W111" s="441"/>
      <c r="X111" s="441"/>
      <c r="Y111" s="441"/>
      <c r="Z111" s="441"/>
      <c r="AA111" s="441"/>
      <c r="AB111" s="441"/>
      <c r="AC111" s="441"/>
      <c r="AD111" s="440"/>
      <c r="AE111" s="441"/>
      <c r="AF111" s="441"/>
      <c r="AG111" s="441"/>
      <c r="AH111" s="441"/>
      <c r="AI111" s="441"/>
      <c r="AJ111" s="441"/>
      <c r="AK111" s="450"/>
      <c r="AL111" s="440"/>
      <c r="AM111" s="441"/>
      <c r="AN111" s="441"/>
      <c r="AO111" s="441"/>
      <c r="AP111" s="441"/>
      <c r="AQ111" s="441"/>
      <c r="AR111" s="450"/>
      <c r="AS111" s="485"/>
      <c r="AT111" s="486"/>
      <c r="AU111" s="486"/>
      <c r="AV111" s="486"/>
      <c r="AW111" s="486"/>
      <c r="AX111" s="486"/>
      <c r="AY111" s="487"/>
      <c r="AZ111" s="462"/>
      <c r="BA111" s="463"/>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5">
      <c r="A112" s="436"/>
      <c r="B112" s="37"/>
      <c r="C112" s="200" t="str">
        <f t="shared" ca="1" si="3"/>
        <v/>
      </c>
      <c r="D112" s="481"/>
      <c r="E112" s="482"/>
      <c r="F112" s="482"/>
      <c r="G112" s="482"/>
      <c r="H112" s="482"/>
      <c r="I112" s="482"/>
      <c r="J112" s="482"/>
      <c r="K112" s="409"/>
      <c r="L112" s="410"/>
      <c r="M112" s="410"/>
      <c r="N112" s="410"/>
      <c r="O112" s="410"/>
      <c r="P112" s="410"/>
      <c r="Q112" s="410"/>
      <c r="R112" s="446"/>
      <c r="S112" s="447"/>
      <c r="T112" s="446"/>
      <c r="U112" s="44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88"/>
      <c r="AT112" s="489"/>
      <c r="AU112" s="489"/>
      <c r="AV112" s="489"/>
      <c r="AW112" s="489"/>
      <c r="AX112" s="489"/>
      <c r="AY112" s="490"/>
      <c r="AZ112" s="464"/>
      <c r="BA112" s="465"/>
      <c r="BB112" s="62">
        <v>6</v>
      </c>
      <c r="BC112" s="426"/>
      <c r="BD112" s="427"/>
      <c r="BE112" s="427"/>
      <c r="BF112" s="428"/>
      <c r="BG112" s="429"/>
      <c r="BH112" s="430"/>
      <c r="BI112" s="196"/>
      <c r="BJ112" s="474"/>
      <c r="BK112" s="475"/>
      <c r="BL112" s="475"/>
      <c r="BM112" s="475"/>
      <c r="BN112" s="475"/>
      <c r="BO112" s="476"/>
      <c r="BP112" s="474"/>
      <c r="BQ112" s="475"/>
      <c r="BR112" s="475"/>
      <c r="BS112" s="475"/>
      <c r="BT112" s="475"/>
      <c r="BU112" s="476"/>
      <c r="BV112" s="474"/>
      <c r="BW112" s="475"/>
      <c r="BX112" s="475"/>
      <c r="BY112" s="475"/>
      <c r="BZ112" s="475"/>
      <c r="CA112" s="476"/>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5">
      <c r="A113" s="434">
        <v>18</v>
      </c>
      <c r="B113" s="36"/>
      <c r="C113" s="198" t="str">
        <f t="shared" ca="1" si="3"/>
        <v/>
      </c>
      <c r="D113" s="477"/>
      <c r="E113" s="478"/>
      <c r="F113" s="478"/>
      <c r="G113" s="478"/>
      <c r="H113" s="478"/>
      <c r="I113" s="478"/>
      <c r="J113" s="478"/>
      <c r="K113" s="438" t="s">
        <v>353</v>
      </c>
      <c r="L113" s="439"/>
      <c r="M113" s="439"/>
      <c r="N113" s="439"/>
      <c r="O113" s="439"/>
      <c r="P113" s="439"/>
      <c r="Q113" s="439"/>
      <c r="R113" s="442" t="s">
        <v>186</v>
      </c>
      <c r="S113" s="443"/>
      <c r="T113" s="442"/>
      <c r="U113" s="443"/>
      <c r="V113" s="438"/>
      <c r="W113" s="439"/>
      <c r="X113" s="439"/>
      <c r="Y113" s="439"/>
      <c r="Z113" s="439"/>
      <c r="AA113" s="439"/>
      <c r="AB113" s="439"/>
      <c r="AC113" s="439"/>
      <c r="AD113" s="438"/>
      <c r="AE113" s="439"/>
      <c r="AF113" s="439"/>
      <c r="AG113" s="439"/>
      <c r="AH113" s="439"/>
      <c r="AI113" s="439"/>
      <c r="AJ113" s="439"/>
      <c r="AK113" s="449"/>
      <c r="AL113" s="438"/>
      <c r="AM113" s="439"/>
      <c r="AN113" s="439"/>
      <c r="AO113" s="439"/>
      <c r="AP113" s="439"/>
      <c r="AQ113" s="439"/>
      <c r="AR113" s="449"/>
      <c r="AS113" s="500"/>
      <c r="AT113" s="483"/>
      <c r="AU113" s="483"/>
      <c r="AV113" s="483"/>
      <c r="AW113" s="483"/>
      <c r="AX113" s="483"/>
      <c r="AY113" s="484"/>
      <c r="AZ113" s="460"/>
      <c r="BA113" s="461"/>
      <c r="BB113" s="60">
        <v>1</v>
      </c>
      <c r="BC113" s="466"/>
      <c r="BD113" s="467"/>
      <c r="BE113" s="467"/>
      <c r="BF113" s="468"/>
      <c r="BG113" s="469"/>
      <c r="BH113" s="470"/>
      <c r="BI113" s="194"/>
      <c r="BJ113" s="471"/>
      <c r="BK113" s="472"/>
      <c r="BL113" s="472"/>
      <c r="BM113" s="472"/>
      <c r="BN113" s="472"/>
      <c r="BO113" s="473"/>
      <c r="BP113" s="471"/>
      <c r="BQ113" s="472"/>
      <c r="BR113" s="472"/>
      <c r="BS113" s="472"/>
      <c r="BT113" s="472"/>
      <c r="BU113" s="473"/>
      <c r="BV113" s="471"/>
      <c r="BW113" s="472"/>
      <c r="BX113" s="472"/>
      <c r="BY113" s="472"/>
      <c r="BZ113" s="472"/>
      <c r="CA113" s="473"/>
      <c r="CB113" s="466"/>
      <c r="CC113" s="467"/>
      <c r="CD113" s="467"/>
      <c r="CE113" s="468"/>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5">
      <c r="A114" s="435"/>
      <c r="B114" s="36"/>
      <c r="C114" s="199" t="str">
        <f t="shared" ca="1" si="3"/>
        <v/>
      </c>
      <c r="D114" s="479"/>
      <c r="E114" s="480"/>
      <c r="F114" s="480"/>
      <c r="G114" s="480"/>
      <c r="H114" s="480"/>
      <c r="I114" s="480"/>
      <c r="J114" s="480"/>
      <c r="K114" s="440"/>
      <c r="L114" s="441"/>
      <c r="M114" s="441"/>
      <c r="N114" s="441"/>
      <c r="O114" s="441"/>
      <c r="P114" s="441"/>
      <c r="Q114" s="441"/>
      <c r="R114" s="444"/>
      <c r="S114" s="445"/>
      <c r="T114" s="444"/>
      <c r="U114" s="445"/>
      <c r="V114" s="440"/>
      <c r="W114" s="441"/>
      <c r="X114" s="441"/>
      <c r="Y114" s="441"/>
      <c r="Z114" s="441"/>
      <c r="AA114" s="441"/>
      <c r="AB114" s="441"/>
      <c r="AC114" s="441"/>
      <c r="AD114" s="440"/>
      <c r="AE114" s="441"/>
      <c r="AF114" s="441"/>
      <c r="AG114" s="441"/>
      <c r="AH114" s="441"/>
      <c r="AI114" s="441"/>
      <c r="AJ114" s="441"/>
      <c r="AK114" s="450"/>
      <c r="AL114" s="440"/>
      <c r="AM114" s="441"/>
      <c r="AN114" s="441"/>
      <c r="AO114" s="441"/>
      <c r="AP114" s="441"/>
      <c r="AQ114" s="441"/>
      <c r="AR114" s="450"/>
      <c r="AS114" s="485"/>
      <c r="AT114" s="486"/>
      <c r="AU114" s="486"/>
      <c r="AV114" s="486"/>
      <c r="AW114" s="486"/>
      <c r="AX114" s="486"/>
      <c r="AY114" s="487"/>
      <c r="AZ114" s="462"/>
      <c r="BA114" s="463"/>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5">
      <c r="A115" s="435"/>
      <c r="B115" s="36"/>
      <c r="C115" s="199" t="str">
        <f t="shared" ca="1" si="3"/>
        <v/>
      </c>
      <c r="D115" s="479"/>
      <c r="E115" s="480"/>
      <c r="F115" s="480"/>
      <c r="G115" s="480"/>
      <c r="H115" s="480"/>
      <c r="I115" s="480"/>
      <c r="J115" s="480"/>
      <c r="K115" s="440"/>
      <c r="L115" s="441"/>
      <c r="M115" s="441"/>
      <c r="N115" s="441"/>
      <c r="O115" s="441"/>
      <c r="P115" s="441"/>
      <c r="Q115" s="441"/>
      <c r="R115" s="444"/>
      <c r="S115" s="445"/>
      <c r="T115" s="444"/>
      <c r="U115" s="445"/>
      <c r="V115" s="440"/>
      <c r="W115" s="441"/>
      <c r="X115" s="441"/>
      <c r="Y115" s="441"/>
      <c r="Z115" s="441"/>
      <c r="AA115" s="441"/>
      <c r="AB115" s="441"/>
      <c r="AC115" s="441"/>
      <c r="AD115" s="440"/>
      <c r="AE115" s="441"/>
      <c r="AF115" s="441"/>
      <c r="AG115" s="441"/>
      <c r="AH115" s="441"/>
      <c r="AI115" s="441"/>
      <c r="AJ115" s="441"/>
      <c r="AK115" s="450"/>
      <c r="AL115" s="440"/>
      <c r="AM115" s="441"/>
      <c r="AN115" s="441"/>
      <c r="AO115" s="441"/>
      <c r="AP115" s="441"/>
      <c r="AQ115" s="441"/>
      <c r="AR115" s="450"/>
      <c r="AS115" s="485"/>
      <c r="AT115" s="486"/>
      <c r="AU115" s="486"/>
      <c r="AV115" s="486"/>
      <c r="AW115" s="486"/>
      <c r="AX115" s="486"/>
      <c r="AY115" s="487"/>
      <c r="AZ115" s="462"/>
      <c r="BA115" s="463"/>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5">
      <c r="A116" s="435"/>
      <c r="B116" s="36"/>
      <c r="C116" s="199" t="str">
        <f t="shared" ca="1" si="3"/>
        <v/>
      </c>
      <c r="D116" s="479"/>
      <c r="E116" s="480"/>
      <c r="F116" s="480"/>
      <c r="G116" s="480"/>
      <c r="H116" s="480"/>
      <c r="I116" s="480"/>
      <c r="J116" s="480"/>
      <c r="K116" s="440"/>
      <c r="L116" s="441"/>
      <c r="M116" s="441"/>
      <c r="N116" s="441"/>
      <c r="O116" s="441"/>
      <c r="P116" s="441"/>
      <c r="Q116" s="441"/>
      <c r="R116" s="444"/>
      <c r="S116" s="445"/>
      <c r="T116" s="444"/>
      <c r="U116" s="445"/>
      <c r="V116" s="440"/>
      <c r="W116" s="441"/>
      <c r="X116" s="441"/>
      <c r="Y116" s="441"/>
      <c r="Z116" s="441"/>
      <c r="AA116" s="441"/>
      <c r="AB116" s="441"/>
      <c r="AC116" s="441"/>
      <c r="AD116" s="440"/>
      <c r="AE116" s="441"/>
      <c r="AF116" s="441"/>
      <c r="AG116" s="441"/>
      <c r="AH116" s="441"/>
      <c r="AI116" s="441"/>
      <c r="AJ116" s="441"/>
      <c r="AK116" s="450"/>
      <c r="AL116" s="440"/>
      <c r="AM116" s="441"/>
      <c r="AN116" s="441"/>
      <c r="AO116" s="441"/>
      <c r="AP116" s="441"/>
      <c r="AQ116" s="441"/>
      <c r="AR116" s="450"/>
      <c r="AS116" s="485"/>
      <c r="AT116" s="486"/>
      <c r="AU116" s="486"/>
      <c r="AV116" s="486"/>
      <c r="AW116" s="486"/>
      <c r="AX116" s="486"/>
      <c r="AY116" s="487"/>
      <c r="AZ116" s="462"/>
      <c r="BA116" s="463"/>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5">
      <c r="A117" s="435"/>
      <c r="B117" s="36"/>
      <c r="C117" s="199" t="str">
        <f t="shared" ca="1" si="3"/>
        <v/>
      </c>
      <c r="D117" s="479"/>
      <c r="E117" s="480"/>
      <c r="F117" s="480"/>
      <c r="G117" s="480"/>
      <c r="H117" s="480"/>
      <c r="I117" s="480"/>
      <c r="J117" s="480"/>
      <c r="K117" s="440"/>
      <c r="L117" s="441"/>
      <c r="M117" s="441"/>
      <c r="N117" s="441"/>
      <c r="O117" s="441"/>
      <c r="P117" s="441"/>
      <c r="Q117" s="441"/>
      <c r="R117" s="444"/>
      <c r="S117" s="445"/>
      <c r="T117" s="444"/>
      <c r="U117" s="445"/>
      <c r="V117" s="440"/>
      <c r="W117" s="441"/>
      <c r="X117" s="441"/>
      <c r="Y117" s="441"/>
      <c r="Z117" s="441"/>
      <c r="AA117" s="441"/>
      <c r="AB117" s="441"/>
      <c r="AC117" s="441"/>
      <c r="AD117" s="440"/>
      <c r="AE117" s="441"/>
      <c r="AF117" s="441"/>
      <c r="AG117" s="441"/>
      <c r="AH117" s="441"/>
      <c r="AI117" s="441"/>
      <c r="AJ117" s="441"/>
      <c r="AK117" s="450"/>
      <c r="AL117" s="440"/>
      <c r="AM117" s="441"/>
      <c r="AN117" s="441"/>
      <c r="AO117" s="441"/>
      <c r="AP117" s="441"/>
      <c r="AQ117" s="441"/>
      <c r="AR117" s="450"/>
      <c r="AS117" s="485"/>
      <c r="AT117" s="486"/>
      <c r="AU117" s="486"/>
      <c r="AV117" s="486"/>
      <c r="AW117" s="486"/>
      <c r="AX117" s="486"/>
      <c r="AY117" s="487"/>
      <c r="AZ117" s="462"/>
      <c r="BA117" s="463"/>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5">
      <c r="A118" s="436"/>
      <c r="B118" s="37"/>
      <c r="C118" s="200" t="str">
        <f t="shared" ca="1" si="3"/>
        <v/>
      </c>
      <c r="D118" s="481"/>
      <c r="E118" s="482"/>
      <c r="F118" s="482"/>
      <c r="G118" s="482"/>
      <c r="H118" s="482"/>
      <c r="I118" s="482"/>
      <c r="J118" s="482"/>
      <c r="K118" s="409"/>
      <c r="L118" s="410"/>
      <c r="M118" s="410"/>
      <c r="N118" s="410"/>
      <c r="O118" s="410"/>
      <c r="P118" s="410"/>
      <c r="Q118" s="410"/>
      <c r="R118" s="446"/>
      <c r="S118" s="447"/>
      <c r="T118" s="446"/>
      <c r="U118" s="44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88"/>
      <c r="AT118" s="489"/>
      <c r="AU118" s="489"/>
      <c r="AV118" s="489"/>
      <c r="AW118" s="489"/>
      <c r="AX118" s="489"/>
      <c r="AY118" s="490"/>
      <c r="AZ118" s="464"/>
      <c r="BA118" s="465"/>
      <c r="BB118" s="62">
        <v>6</v>
      </c>
      <c r="BC118" s="426"/>
      <c r="BD118" s="427"/>
      <c r="BE118" s="427"/>
      <c r="BF118" s="428"/>
      <c r="BG118" s="429"/>
      <c r="BH118" s="430"/>
      <c r="BI118" s="196"/>
      <c r="BJ118" s="474"/>
      <c r="BK118" s="475"/>
      <c r="BL118" s="475"/>
      <c r="BM118" s="475"/>
      <c r="BN118" s="475"/>
      <c r="BO118" s="476"/>
      <c r="BP118" s="474"/>
      <c r="BQ118" s="475"/>
      <c r="BR118" s="475"/>
      <c r="BS118" s="475"/>
      <c r="BT118" s="475"/>
      <c r="BU118" s="476"/>
      <c r="BV118" s="474"/>
      <c r="BW118" s="475"/>
      <c r="BX118" s="475"/>
      <c r="BY118" s="475"/>
      <c r="BZ118" s="475"/>
      <c r="CA118" s="476"/>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5" customHeight="1">
      <c r="A119" s="434">
        <v>19</v>
      </c>
      <c r="B119" s="36"/>
      <c r="C119" s="198" t="str">
        <f t="shared" ca="1" si="3"/>
        <v/>
      </c>
      <c r="D119" s="477" t="s">
        <v>354</v>
      </c>
      <c r="E119" s="478"/>
      <c r="F119" s="478"/>
      <c r="G119" s="478"/>
      <c r="H119" s="478"/>
      <c r="I119" s="478"/>
      <c r="J119" s="478"/>
      <c r="K119" s="438" t="s">
        <v>355</v>
      </c>
      <c r="L119" s="439"/>
      <c r="M119" s="439"/>
      <c r="N119" s="439"/>
      <c r="O119" s="439"/>
      <c r="P119" s="439"/>
      <c r="Q119" s="439"/>
      <c r="R119" s="442" t="s">
        <v>186</v>
      </c>
      <c r="S119" s="443"/>
      <c r="T119" s="442"/>
      <c r="U119" s="443"/>
      <c r="V119" s="438"/>
      <c r="W119" s="439"/>
      <c r="X119" s="439"/>
      <c r="Y119" s="439"/>
      <c r="Z119" s="439"/>
      <c r="AA119" s="439"/>
      <c r="AB119" s="439"/>
      <c r="AC119" s="439"/>
      <c r="AD119" s="438"/>
      <c r="AE119" s="439"/>
      <c r="AF119" s="439"/>
      <c r="AG119" s="439"/>
      <c r="AH119" s="439"/>
      <c r="AI119" s="439"/>
      <c r="AJ119" s="439"/>
      <c r="AK119" s="449"/>
      <c r="AL119" s="438"/>
      <c r="AM119" s="439"/>
      <c r="AN119" s="439"/>
      <c r="AO119" s="439"/>
      <c r="AP119" s="439"/>
      <c r="AQ119" s="439"/>
      <c r="AR119" s="449"/>
      <c r="AS119" s="500"/>
      <c r="AT119" s="483"/>
      <c r="AU119" s="483"/>
      <c r="AV119" s="483"/>
      <c r="AW119" s="483"/>
      <c r="AX119" s="483"/>
      <c r="AY119" s="484"/>
      <c r="AZ119" s="633"/>
      <c r="BA119" s="634"/>
      <c r="BB119" s="60">
        <v>1</v>
      </c>
      <c r="BC119" s="623"/>
      <c r="BD119" s="624"/>
      <c r="BE119" s="624"/>
      <c r="BF119" s="625"/>
      <c r="BG119" s="626"/>
      <c r="BH119" s="627"/>
      <c r="BI119" s="234"/>
      <c r="BJ119" s="471"/>
      <c r="BK119" s="472"/>
      <c r="BL119" s="472"/>
      <c r="BM119" s="472"/>
      <c r="BN119" s="472"/>
      <c r="BO119" s="473"/>
      <c r="BP119" s="471"/>
      <c r="BQ119" s="472"/>
      <c r="BR119" s="472"/>
      <c r="BS119" s="472"/>
      <c r="BT119" s="472"/>
      <c r="BU119" s="473"/>
      <c r="BV119" s="471"/>
      <c r="BW119" s="472"/>
      <c r="BX119" s="472"/>
      <c r="BY119" s="472"/>
      <c r="BZ119" s="472"/>
      <c r="CA119" s="473"/>
      <c r="CB119" s="623"/>
      <c r="CC119" s="624"/>
      <c r="CD119" s="624"/>
      <c r="CE119" s="625"/>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5">
      <c r="A120" s="435"/>
      <c r="B120" s="36"/>
      <c r="C120" s="199" t="str">
        <f t="shared" ca="1" si="3"/>
        <v/>
      </c>
      <c r="D120" s="479"/>
      <c r="E120" s="480"/>
      <c r="F120" s="480"/>
      <c r="G120" s="480"/>
      <c r="H120" s="480"/>
      <c r="I120" s="480"/>
      <c r="J120" s="480"/>
      <c r="K120" s="440"/>
      <c r="L120" s="441"/>
      <c r="M120" s="441"/>
      <c r="N120" s="441"/>
      <c r="O120" s="441"/>
      <c r="P120" s="441"/>
      <c r="Q120" s="441"/>
      <c r="R120" s="444"/>
      <c r="S120" s="445"/>
      <c r="T120" s="444"/>
      <c r="U120" s="445"/>
      <c r="V120" s="440"/>
      <c r="W120" s="441"/>
      <c r="X120" s="441"/>
      <c r="Y120" s="441"/>
      <c r="Z120" s="441"/>
      <c r="AA120" s="441"/>
      <c r="AB120" s="441"/>
      <c r="AC120" s="441"/>
      <c r="AD120" s="440"/>
      <c r="AE120" s="441"/>
      <c r="AF120" s="441"/>
      <c r="AG120" s="441"/>
      <c r="AH120" s="441"/>
      <c r="AI120" s="441"/>
      <c r="AJ120" s="441"/>
      <c r="AK120" s="450"/>
      <c r="AL120" s="440"/>
      <c r="AM120" s="441"/>
      <c r="AN120" s="441"/>
      <c r="AO120" s="441"/>
      <c r="AP120" s="441"/>
      <c r="AQ120" s="441"/>
      <c r="AR120" s="450"/>
      <c r="AS120" s="485"/>
      <c r="AT120" s="486"/>
      <c r="AU120" s="486"/>
      <c r="AV120" s="486"/>
      <c r="AW120" s="486"/>
      <c r="AX120" s="486"/>
      <c r="AY120" s="487"/>
      <c r="AZ120" s="635"/>
      <c r="BA120" s="636"/>
      <c r="BB120" s="61">
        <v>2</v>
      </c>
      <c r="BC120" s="618"/>
      <c r="BD120" s="619"/>
      <c r="BE120" s="619"/>
      <c r="BF120" s="620"/>
      <c r="BG120" s="621"/>
      <c r="BH120" s="622"/>
      <c r="BI120" s="235"/>
      <c r="BJ120" s="423"/>
      <c r="BK120" s="424"/>
      <c r="BL120" s="424"/>
      <c r="BM120" s="424"/>
      <c r="BN120" s="424"/>
      <c r="BO120" s="425"/>
      <c r="BP120" s="423"/>
      <c r="BQ120" s="424"/>
      <c r="BR120" s="424"/>
      <c r="BS120" s="424"/>
      <c r="BT120" s="424"/>
      <c r="BU120" s="425"/>
      <c r="BV120" s="423"/>
      <c r="BW120" s="424"/>
      <c r="BX120" s="424"/>
      <c r="BY120" s="424"/>
      <c r="BZ120" s="424"/>
      <c r="CA120" s="425"/>
      <c r="CB120" s="618"/>
      <c r="CC120" s="619"/>
      <c r="CD120" s="619"/>
      <c r="CE120" s="6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5">
      <c r="A121" s="435"/>
      <c r="B121" s="36"/>
      <c r="C121" s="199" t="str">
        <f t="shared" ca="1" si="3"/>
        <v/>
      </c>
      <c r="D121" s="479"/>
      <c r="E121" s="480"/>
      <c r="F121" s="480"/>
      <c r="G121" s="480"/>
      <c r="H121" s="480"/>
      <c r="I121" s="480"/>
      <c r="J121" s="480"/>
      <c r="K121" s="440"/>
      <c r="L121" s="441"/>
      <c r="M121" s="441"/>
      <c r="N121" s="441"/>
      <c r="O121" s="441"/>
      <c r="P121" s="441"/>
      <c r="Q121" s="441"/>
      <c r="R121" s="444"/>
      <c r="S121" s="445"/>
      <c r="T121" s="444"/>
      <c r="U121" s="445"/>
      <c r="V121" s="440"/>
      <c r="W121" s="441"/>
      <c r="X121" s="441"/>
      <c r="Y121" s="441"/>
      <c r="Z121" s="441"/>
      <c r="AA121" s="441"/>
      <c r="AB121" s="441"/>
      <c r="AC121" s="441"/>
      <c r="AD121" s="440"/>
      <c r="AE121" s="441"/>
      <c r="AF121" s="441"/>
      <c r="AG121" s="441"/>
      <c r="AH121" s="441"/>
      <c r="AI121" s="441"/>
      <c r="AJ121" s="441"/>
      <c r="AK121" s="450"/>
      <c r="AL121" s="440"/>
      <c r="AM121" s="441"/>
      <c r="AN121" s="441"/>
      <c r="AO121" s="441"/>
      <c r="AP121" s="441"/>
      <c r="AQ121" s="441"/>
      <c r="AR121" s="450"/>
      <c r="AS121" s="485"/>
      <c r="AT121" s="486"/>
      <c r="AU121" s="486"/>
      <c r="AV121" s="486"/>
      <c r="AW121" s="486"/>
      <c r="AX121" s="486"/>
      <c r="AY121" s="487"/>
      <c r="AZ121" s="635"/>
      <c r="BA121" s="636"/>
      <c r="BB121" s="61">
        <v>3</v>
      </c>
      <c r="BC121" s="618"/>
      <c r="BD121" s="619"/>
      <c r="BE121" s="619"/>
      <c r="BF121" s="620"/>
      <c r="BG121" s="621"/>
      <c r="BH121" s="622"/>
      <c r="BI121" s="235"/>
      <c r="BJ121" s="423"/>
      <c r="BK121" s="424"/>
      <c r="BL121" s="424"/>
      <c r="BM121" s="424"/>
      <c r="BN121" s="424"/>
      <c r="BO121" s="425"/>
      <c r="BP121" s="423"/>
      <c r="BQ121" s="424"/>
      <c r="BR121" s="424"/>
      <c r="BS121" s="424"/>
      <c r="BT121" s="424"/>
      <c r="BU121" s="425"/>
      <c r="BV121" s="423"/>
      <c r="BW121" s="424"/>
      <c r="BX121" s="424"/>
      <c r="BY121" s="424"/>
      <c r="BZ121" s="424"/>
      <c r="CA121" s="425"/>
      <c r="CB121" s="618"/>
      <c r="CC121" s="619"/>
      <c r="CD121" s="619"/>
      <c r="CE121" s="6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5">
      <c r="A122" s="435"/>
      <c r="B122" s="36"/>
      <c r="C122" s="199" t="str">
        <f t="shared" ca="1" si="3"/>
        <v/>
      </c>
      <c r="D122" s="479"/>
      <c r="E122" s="480"/>
      <c r="F122" s="480"/>
      <c r="G122" s="480"/>
      <c r="H122" s="480"/>
      <c r="I122" s="480"/>
      <c r="J122" s="480"/>
      <c r="K122" s="440"/>
      <c r="L122" s="441"/>
      <c r="M122" s="441"/>
      <c r="N122" s="441"/>
      <c r="O122" s="441"/>
      <c r="P122" s="441"/>
      <c r="Q122" s="441"/>
      <c r="R122" s="444"/>
      <c r="S122" s="445"/>
      <c r="T122" s="444"/>
      <c r="U122" s="445"/>
      <c r="V122" s="440"/>
      <c r="W122" s="441"/>
      <c r="X122" s="441"/>
      <c r="Y122" s="441"/>
      <c r="Z122" s="441"/>
      <c r="AA122" s="441"/>
      <c r="AB122" s="441"/>
      <c r="AC122" s="441"/>
      <c r="AD122" s="440"/>
      <c r="AE122" s="441"/>
      <c r="AF122" s="441"/>
      <c r="AG122" s="441"/>
      <c r="AH122" s="441"/>
      <c r="AI122" s="441"/>
      <c r="AJ122" s="441"/>
      <c r="AK122" s="450"/>
      <c r="AL122" s="440"/>
      <c r="AM122" s="441"/>
      <c r="AN122" s="441"/>
      <c r="AO122" s="441"/>
      <c r="AP122" s="441"/>
      <c r="AQ122" s="441"/>
      <c r="AR122" s="450"/>
      <c r="AS122" s="485"/>
      <c r="AT122" s="486"/>
      <c r="AU122" s="486"/>
      <c r="AV122" s="486"/>
      <c r="AW122" s="486"/>
      <c r="AX122" s="486"/>
      <c r="AY122" s="487"/>
      <c r="AZ122" s="635"/>
      <c r="BA122" s="636"/>
      <c r="BB122" s="61">
        <v>4</v>
      </c>
      <c r="BC122" s="618"/>
      <c r="BD122" s="619"/>
      <c r="BE122" s="619"/>
      <c r="BF122" s="620"/>
      <c r="BG122" s="621"/>
      <c r="BH122" s="622"/>
      <c r="BI122" s="235"/>
      <c r="BJ122" s="423"/>
      <c r="BK122" s="424"/>
      <c r="BL122" s="424"/>
      <c r="BM122" s="424"/>
      <c r="BN122" s="424"/>
      <c r="BO122" s="425"/>
      <c r="BP122" s="423"/>
      <c r="BQ122" s="424"/>
      <c r="BR122" s="424"/>
      <c r="BS122" s="424"/>
      <c r="BT122" s="424"/>
      <c r="BU122" s="425"/>
      <c r="BV122" s="423"/>
      <c r="BW122" s="424"/>
      <c r="BX122" s="424"/>
      <c r="BY122" s="424"/>
      <c r="BZ122" s="424"/>
      <c r="CA122" s="425"/>
      <c r="CB122" s="618"/>
      <c r="CC122" s="619"/>
      <c r="CD122" s="619"/>
      <c r="CE122" s="6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5">
      <c r="A123" s="435"/>
      <c r="B123" s="36"/>
      <c r="C123" s="199" t="str">
        <f t="shared" ca="1" si="3"/>
        <v/>
      </c>
      <c r="D123" s="479"/>
      <c r="E123" s="480"/>
      <c r="F123" s="480"/>
      <c r="G123" s="480"/>
      <c r="H123" s="480"/>
      <c r="I123" s="480"/>
      <c r="J123" s="480"/>
      <c r="K123" s="440"/>
      <c r="L123" s="441"/>
      <c r="M123" s="441"/>
      <c r="N123" s="441"/>
      <c r="O123" s="441"/>
      <c r="P123" s="441"/>
      <c r="Q123" s="441"/>
      <c r="R123" s="444"/>
      <c r="S123" s="445"/>
      <c r="T123" s="444"/>
      <c r="U123" s="445"/>
      <c r="V123" s="440"/>
      <c r="W123" s="441"/>
      <c r="X123" s="441"/>
      <c r="Y123" s="441"/>
      <c r="Z123" s="441"/>
      <c r="AA123" s="441"/>
      <c r="AB123" s="441"/>
      <c r="AC123" s="441"/>
      <c r="AD123" s="440"/>
      <c r="AE123" s="441"/>
      <c r="AF123" s="441"/>
      <c r="AG123" s="441"/>
      <c r="AH123" s="441"/>
      <c r="AI123" s="441"/>
      <c r="AJ123" s="441"/>
      <c r="AK123" s="450"/>
      <c r="AL123" s="440"/>
      <c r="AM123" s="441"/>
      <c r="AN123" s="441"/>
      <c r="AO123" s="441"/>
      <c r="AP123" s="441"/>
      <c r="AQ123" s="441"/>
      <c r="AR123" s="450"/>
      <c r="AS123" s="485"/>
      <c r="AT123" s="486"/>
      <c r="AU123" s="486"/>
      <c r="AV123" s="486"/>
      <c r="AW123" s="486"/>
      <c r="AX123" s="486"/>
      <c r="AY123" s="487"/>
      <c r="AZ123" s="635"/>
      <c r="BA123" s="636"/>
      <c r="BB123" s="61">
        <v>5</v>
      </c>
      <c r="BC123" s="618"/>
      <c r="BD123" s="619"/>
      <c r="BE123" s="619"/>
      <c r="BF123" s="620"/>
      <c r="BG123" s="621"/>
      <c r="BH123" s="622"/>
      <c r="BI123" s="235"/>
      <c r="BJ123" s="423"/>
      <c r="BK123" s="424"/>
      <c r="BL123" s="424"/>
      <c r="BM123" s="424"/>
      <c r="BN123" s="424"/>
      <c r="BO123" s="425"/>
      <c r="BP123" s="423"/>
      <c r="BQ123" s="424"/>
      <c r="BR123" s="424"/>
      <c r="BS123" s="424"/>
      <c r="BT123" s="424"/>
      <c r="BU123" s="425"/>
      <c r="BV123" s="423"/>
      <c r="BW123" s="424"/>
      <c r="BX123" s="424"/>
      <c r="BY123" s="424"/>
      <c r="BZ123" s="424"/>
      <c r="CA123" s="425"/>
      <c r="CB123" s="618"/>
      <c r="CC123" s="619"/>
      <c r="CD123" s="619"/>
      <c r="CE123" s="6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5">
      <c r="A124" s="436"/>
      <c r="B124" s="37"/>
      <c r="C124" s="200" t="str">
        <f t="shared" ca="1" si="3"/>
        <v/>
      </c>
      <c r="D124" s="481"/>
      <c r="E124" s="482"/>
      <c r="F124" s="482"/>
      <c r="G124" s="482"/>
      <c r="H124" s="482"/>
      <c r="I124" s="482"/>
      <c r="J124" s="482"/>
      <c r="K124" s="409"/>
      <c r="L124" s="410"/>
      <c r="M124" s="410"/>
      <c r="N124" s="410"/>
      <c r="O124" s="410"/>
      <c r="P124" s="410"/>
      <c r="Q124" s="410"/>
      <c r="R124" s="446"/>
      <c r="S124" s="447"/>
      <c r="T124" s="446"/>
      <c r="U124" s="44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88"/>
      <c r="AT124" s="489"/>
      <c r="AU124" s="489"/>
      <c r="AV124" s="489"/>
      <c r="AW124" s="489"/>
      <c r="AX124" s="489"/>
      <c r="AY124" s="490"/>
      <c r="AZ124" s="637"/>
      <c r="BA124" s="638"/>
      <c r="BB124" s="62">
        <v>6</v>
      </c>
      <c r="BC124" s="628"/>
      <c r="BD124" s="629"/>
      <c r="BE124" s="629"/>
      <c r="BF124" s="630"/>
      <c r="BG124" s="631"/>
      <c r="BH124" s="632"/>
      <c r="BI124" s="237"/>
      <c r="BJ124" s="474"/>
      <c r="BK124" s="475"/>
      <c r="BL124" s="475"/>
      <c r="BM124" s="475"/>
      <c r="BN124" s="475"/>
      <c r="BO124" s="476"/>
      <c r="BP124" s="474"/>
      <c r="BQ124" s="475"/>
      <c r="BR124" s="475"/>
      <c r="BS124" s="475"/>
      <c r="BT124" s="475"/>
      <c r="BU124" s="476"/>
      <c r="BV124" s="474"/>
      <c r="BW124" s="475"/>
      <c r="BX124" s="475"/>
      <c r="BY124" s="475"/>
      <c r="BZ124" s="475"/>
      <c r="CA124" s="476"/>
      <c r="CB124" s="628"/>
      <c r="CC124" s="629"/>
      <c r="CD124" s="629"/>
      <c r="CE124" s="630"/>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5">
      <c r="A125" s="434">
        <v>20</v>
      </c>
      <c r="B125" s="36"/>
      <c r="C125" s="198" t="str">
        <f t="shared" ca="1" si="3"/>
        <v/>
      </c>
      <c r="D125" s="477"/>
      <c r="E125" s="478"/>
      <c r="F125" s="478"/>
      <c r="G125" s="478"/>
      <c r="H125" s="478"/>
      <c r="I125" s="478"/>
      <c r="J125" s="478"/>
      <c r="K125" s="438" t="s">
        <v>356</v>
      </c>
      <c r="L125" s="439"/>
      <c r="M125" s="439"/>
      <c r="N125" s="439"/>
      <c r="O125" s="439"/>
      <c r="P125" s="439"/>
      <c r="Q125" s="439"/>
      <c r="R125" s="442" t="s">
        <v>186</v>
      </c>
      <c r="S125" s="443"/>
      <c r="T125" s="442"/>
      <c r="U125" s="443"/>
      <c r="V125" s="438"/>
      <c r="W125" s="439"/>
      <c r="X125" s="439"/>
      <c r="Y125" s="439"/>
      <c r="Z125" s="439"/>
      <c r="AA125" s="439"/>
      <c r="AB125" s="439"/>
      <c r="AC125" s="439"/>
      <c r="AD125" s="438"/>
      <c r="AE125" s="439"/>
      <c r="AF125" s="439"/>
      <c r="AG125" s="439"/>
      <c r="AH125" s="439"/>
      <c r="AI125" s="439"/>
      <c r="AJ125" s="439"/>
      <c r="AK125" s="449"/>
      <c r="AL125" s="438"/>
      <c r="AM125" s="439"/>
      <c r="AN125" s="439"/>
      <c r="AO125" s="439"/>
      <c r="AP125" s="439"/>
      <c r="AQ125" s="439"/>
      <c r="AR125" s="449"/>
      <c r="AS125" s="500"/>
      <c r="AT125" s="483"/>
      <c r="AU125" s="483"/>
      <c r="AV125" s="483"/>
      <c r="AW125" s="483"/>
      <c r="AX125" s="483"/>
      <c r="AY125" s="484"/>
      <c r="AZ125" s="460"/>
      <c r="BA125" s="461"/>
      <c r="BB125" s="60">
        <v>1</v>
      </c>
      <c r="BC125" s="466"/>
      <c r="BD125" s="467"/>
      <c r="BE125" s="467"/>
      <c r="BF125" s="468"/>
      <c r="BG125" s="469"/>
      <c r="BH125" s="470"/>
      <c r="BI125" s="194"/>
      <c r="BJ125" s="471"/>
      <c r="BK125" s="472"/>
      <c r="BL125" s="472"/>
      <c r="BM125" s="472"/>
      <c r="BN125" s="472"/>
      <c r="BO125" s="473"/>
      <c r="BP125" s="471"/>
      <c r="BQ125" s="472"/>
      <c r="BR125" s="472"/>
      <c r="BS125" s="472"/>
      <c r="BT125" s="472"/>
      <c r="BU125" s="473"/>
      <c r="BV125" s="471"/>
      <c r="BW125" s="472"/>
      <c r="BX125" s="472"/>
      <c r="BY125" s="472"/>
      <c r="BZ125" s="472"/>
      <c r="CA125" s="473"/>
      <c r="CB125" s="466"/>
      <c r="CC125" s="467"/>
      <c r="CD125" s="467"/>
      <c r="CE125" s="468"/>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5">
      <c r="A126" s="435"/>
      <c r="B126" s="36"/>
      <c r="C126" s="199" t="str">
        <f t="shared" ca="1" si="3"/>
        <v/>
      </c>
      <c r="D126" s="479"/>
      <c r="E126" s="480"/>
      <c r="F126" s="480"/>
      <c r="G126" s="480"/>
      <c r="H126" s="480"/>
      <c r="I126" s="480"/>
      <c r="J126" s="480"/>
      <c r="K126" s="440"/>
      <c r="L126" s="441"/>
      <c r="M126" s="441"/>
      <c r="N126" s="441"/>
      <c r="O126" s="441"/>
      <c r="P126" s="441"/>
      <c r="Q126" s="441"/>
      <c r="R126" s="444"/>
      <c r="S126" s="445"/>
      <c r="T126" s="444"/>
      <c r="U126" s="445"/>
      <c r="V126" s="440"/>
      <c r="W126" s="441"/>
      <c r="X126" s="441"/>
      <c r="Y126" s="441"/>
      <c r="Z126" s="441"/>
      <c r="AA126" s="441"/>
      <c r="AB126" s="441"/>
      <c r="AC126" s="441"/>
      <c r="AD126" s="440"/>
      <c r="AE126" s="441"/>
      <c r="AF126" s="441"/>
      <c r="AG126" s="441"/>
      <c r="AH126" s="441"/>
      <c r="AI126" s="441"/>
      <c r="AJ126" s="441"/>
      <c r="AK126" s="450"/>
      <c r="AL126" s="440"/>
      <c r="AM126" s="441"/>
      <c r="AN126" s="441"/>
      <c r="AO126" s="441"/>
      <c r="AP126" s="441"/>
      <c r="AQ126" s="441"/>
      <c r="AR126" s="450"/>
      <c r="AS126" s="485"/>
      <c r="AT126" s="486"/>
      <c r="AU126" s="486"/>
      <c r="AV126" s="486"/>
      <c r="AW126" s="486"/>
      <c r="AX126" s="486"/>
      <c r="AY126" s="487"/>
      <c r="AZ126" s="462"/>
      <c r="BA126" s="463"/>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5">
      <c r="A127" s="435"/>
      <c r="B127" s="36"/>
      <c r="C127" s="199" t="str">
        <f t="shared" ca="1" si="3"/>
        <v/>
      </c>
      <c r="D127" s="479"/>
      <c r="E127" s="480"/>
      <c r="F127" s="480"/>
      <c r="G127" s="480"/>
      <c r="H127" s="480"/>
      <c r="I127" s="480"/>
      <c r="J127" s="480"/>
      <c r="K127" s="440"/>
      <c r="L127" s="441"/>
      <c r="M127" s="441"/>
      <c r="N127" s="441"/>
      <c r="O127" s="441"/>
      <c r="P127" s="441"/>
      <c r="Q127" s="441"/>
      <c r="R127" s="444"/>
      <c r="S127" s="445"/>
      <c r="T127" s="444"/>
      <c r="U127" s="445"/>
      <c r="V127" s="440"/>
      <c r="W127" s="441"/>
      <c r="X127" s="441"/>
      <c r="Y127" s="441"/>
      <c r="Z127" s="441"/>
      <c r="AA127" s="441"/>
      <c r="AB127" s="441"/>
      <c r="AC127" s="441"/>
      <c r="AD127" s="440"/>
      <c r="AE127" s="441"/>
      <c r="AF127" s="441"/>
      <c r="AG127" s="441"/>
      <c r="AH127" s="441"/>
      <c r="AI127" s="441"/>
      <c r="AJ127" s="441"/>
      <c r="AK127" s="450"/>
      <c r="AL127" s="440"/>
      <c r="AM127" s="441"/>
      <c r="AN127" s="441"/>
      <c r="AO127" s="441"/>
      <c r="AP127" s="441"/>
      <c r="AQ127" s="441"/>
      <c r="AR127" s="450"/>
      <c r="AS127" s="485"/>
      <c r="AT127" s="486"/>
      <c r="AU127" s="486"/>
      <c r="AV127" s="486"/>
      <c r="AW127" s="486"/>
      <c r="AX127" s="486"/>
      <c r="AY127" s="487"/>
      <c r="AZ127" s="462"/>
      <c r="BA127" s="463"/>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5">
      <c r="A128" s="435"/>
      <c r="B128" s="36"/>
      <c r="C128" s="199" t="str">
        <f t="shared" ca="1" si="3"/>
        <v/>
      </c>
      <c r="D128" s="479"/>
      <c r="E128" s="480"/>
      <c r="F128" s="480"/>
      <c r="G128" s="480"/>
      <c r="H128" s="480"/>
      <c r="I128" s="480"/>
      <c r="J128" s="480"/>
      <c r="K128" s="440"/>
      <c r="L128" s="441"/>
      <c r="M128" s="441"/>
      <c r="N128" s="441"/>
      <c r="O128" s="441"/>
      <c r="P128" s="441"/>
      <c r="Q128" s="441"/>
      <c r="R128" s="444"/>
      <c r="S128" s="445"/>
      <c r="T128" s="444"/>
      <c r="U128" s="445"/>
      <c r="V128" s="440"/>
      <c r="W128" s="441"/>
      <c r="X128" s="441"/>
      <c r="Y128" s="441"/>
      <c r="Z128" s="441"/>
      <c r="AA128" s="441"/>
      <c r="AB128" s="441"/>
      <c r="AC128" s="441"/>
      <c r="AD128" s="440"/>
      <c r="AE128" s="441"/>
      <c r="AF128" s="441"/>
      <c r="AG128" s="441"/>
      <c r="AH128" s="441"/>
      <c r="AI128" s="441"/>
      <c r="AJ128" s="441"/>
      <c r="AK128" s="450"/>
      <c r="AL128" s="440"/>
      <c r="AM128" s="441"/>
      <c r="AN128" s="441"/>
      <c r="AO128" s="441"/>
      <c r="AP128" s="441"/>
      <c r="AQ128" s="441"/>
      <c r="AR128" s="450"/>
      <c r="AS128" s="485"/>
      <c r="AT128" s="486"/>
      <c r="AU128" s="486"/>
      <c r="AV128" s="486"/>
      <c r="AW128" s="486"/>
      <c r="AX128" s="486"/>
      <c r="AY128" s="487"/>
      <c r="AZ128" s="462"/>
      <c r="BA128" s="463"/>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5">
      <c r="A129" s="435"/>
      <c r="B129" s="36"/>
      <c r="C129" s="199" t="str">
        <f t="shared" ca="1" si="3"/>
        <v/>
      </c>
      <c r="D129" s="479"/>
      <c r="E129" s="480"/>
      <c r="F129" s="480"/>
      <c r="G129" s="480"/>
      <c r="H129" s="480"/>
      <c r="I129" s="480"/>
      <c r="J129" s="480"/>
      <c r="K129" s="440"/>
      <c r="L129" s="441"/>
      <c r="M129" s="441"/>
      <c r="N129" s="441"/>
      <c r="O129" s="441"/>
      <c r="P129" s="441"/>
      <c r="Q129" s="441"/>
      <c r="R129" s="444"/>
      <c r="S129" s="445"/>
      <c r="T129" s="444"/>
      <c r="U129" s="445"/>
      <c r="V129" s="440"/>
      <c r="W129" s="441"/>
      <c r="X129" s="441"/>
      <c r="Y129" s="441"/>
      <c r="Z129" s="441"/>
      <c r="AA129" s="441"/>
      <c r="AB129" s="441"/>
      <c r="AC129" s="441"/>
      <c r="AD129" s="440"/>
      <c r="AE129" s="441"/>
      <c r="AF129" s="441"/>
      <c r="AG129" s="441"/>
      <c r="AH129" s="441"/>
      <c r="AI129" s="441"/>
      <c r="AJ129" s="441"/>
      <c r="AK129" s="450"/>
      <c r="AL129" s="440"/>
      <c r="AM129" s="441"/>
      <c r="AN129" s="441"/>
      <c r="AO129" s="441"/>
      <c r="AP129" s="441"/>
      <c r="AQ129" s="441"/>
      <c r="AR129" s="450"/>
      <c r="AS129" s="485"/>
      <c r="AT129" s="486"/>
      <c r="AU129" s="486"/>
      <c r="AV129" s="486"/>
      <c r="AW129" s="486"/>
      <c r="AX129" s="486"/>
      <c r="AY129" s="487"/>
      <c r="AZ129" s="462"/>
      <c r="BA129" s="463"/>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5">
      <c r="A130" s="436"/>
      <c r="B130" s="37"/>
      <c r="C130" s="200" t="str">
        <f t="shared" ca="1" si="3"/>
        <v/>
      </c>
      <c r="D130" s="481"/>
      <c r="E130" s="482"/>
      <c r="F130" s="482"/>
      <c r="G130" s="482"/>
      <c r="H130" s="482"/>
      <c r="I130" s="482"/>
      <c r="J130" s="482"/>
      <c r="K130" s="409"/>
      <c r="L130" s="410"/>
      <c r="M130" s="410"/>
      <c r="N130" s="410"/>
      <c r="O130" s="410"/>
      <c r="P130" s="410"/>
      <c r="Q130" s="410"/>
      <c r="R130" s="446"/>
      <c r="S130" s="447"/>
      <c r="T130" s="446"/>
      <c r="U130" s="44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88"/>
      <c r="AT130" s="489"/>
      <c r="AU130" s="489"/>
      <c r="AV130" s="489"/>
      <c r="AW130" s="489"/>
      <c r="AX130" s="489"/>
      <c r="AY130" s="490"/>
      <c r="AZ130" s="464"/>
      <c r="BA130" s="465"/>
      <c r="BB130" s="62">
        <v>6</v>
      </c>
      <c r="BC130" s="426"/>
      <c r="BD130" s="427"/>
      <c r="BE130" s="427"/>
      <c r="BF130" s="428"/>
      <c r="BG130" s="429"/>
      <c r="BH130" s="430"/>
      <c r="BI130" s="196"/>
      <c r="BJ130" s="474"/>
      <c r="BK130" s="475"/>
      <c r="BL130" s="475"/>
      <c r="BM130" s="475"/>
      <c r="BN130" s="475"/>
      <c r="BO130" s="476"/>
      <c r="BP130" s="474"/>
      <c r="BQ130" s="475"/>
      <c r="BR130" s="475"/>
      <c r="BS130" s="475"/>
      <c r="BT130" s="475"/>
      <c r="BU130" s="476"/>
      <c r="BV130" s="474"/>
      <c r="BW130" s="475"/>
      <c r="BX130" s="475"/>
      <c r="BY130" s="475"/>
      <c r="BZ130" s="475"/>
      <c r="CA130" s="476"/>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5" customHeight="1">
      <c r="A131" s="434">
        <v>21</v>
      </c>
      <c r="B131" s="36"/>
      <c r="C131" s="198" t="str">
        <f t="shared" ca="1" si="3"/>
        <v/>
      </c>
      <c r="D131" s="477" t="s">
        <v>357</v>
      </c>
      <c r="E131" s="478"/>
      <c r="F131" s="478"/>
      <c r="G131" s="478"/>
      <c r="H131" s="478"/>
      <c r="I131" s="478"/>
      <c r="J131" s="478"/>
      <c r="K131" s="438" t="s">
        <v>358</v>
      </c>
      <c r="L131" s="439"/>
      <c r="M131" s="439"/>
      <c r="N131" s="439"/>
      <c r="O131" s="439"/>
      <c r="P131" s="439"/>
      <c r="Q131" s="439"/>
      <c r="R131" s="442" t="s">
        <v>186</v>
      </c>
      <c r="S131" s="443"/>
      <c r="T131" s="442"/>
      <c r="U131" s="443"/>
      <c r="V131" s="438"/>
      <c r="W131" s="439"/>
      <c r="X131" s="439"/>
      <c r="Y131" s="439"/>
      <c r="Z131" s="439"/>
      <c r="AA131" s="439"/>
      <c r="AB131" s="439"/>
      <c r="AC131" s="439"/>
      <c r="AD131" s="438"/>
      <c r="AE131" s="439"/>
      <c r="AF131" s="439"/>
      <c r="AG131" s="439"/>
      <c r="AH131" s="439"/>
      <c r="AI131" s="439"/>
      <c r="AJ131" s="439"/>
      <c r="AK131" s="449"/>
      <c r="AL131" s="438"/>
      <c r="AM131" s="439"/>
      <c r="AN131" s="439"/>
      <c r="AO131" s="439"/>
      <c r="AP131" s="439"/>
      <c r="AQ131" s="439"/>
      <c r="AR131" s="449"/>
      <c r="AS131" s="500"/>
      <c r="AT131" s="483"/>
      <c r="AU131" s="483"/>
      <c r="AV131" s="483"/>
      <c r="AW131" s="483"/>
      <c r="AX131" s="483"/>
      <c r="AY131" s="484"/>
      <c r="AZ131" s="460"/>
      <c r="BA131" s="461"/>
      <c r="BB131" s="60">
        <v>1</v>
      </c>
      <c r="BC131" s="466"/>
      <c r="BD131" s="467"/>
      <c r="BE131" s="467"/>
      <c r="BF131" s="468"/>
      <c r="BG131" s="469"/>
      <c r="BH131" s="470"/>
      <c r="BI131" s="194"/>
      <c r="BJ131" s="471"/>
      <c r="BK131" s="472"/>
      <c r="BL131" s="472"/>
      <c r="BM131" s="472"/>
      <c r="BN131" s="472"/>
      <c r="BO131" s="473"/>
      <c r="BP131" s="471"/>
      <c r="BQ131" s="472"/>
      <c r="BR131" s="472"/>
      <c r="BS131" s="472"/>
      <c r="BT131" s="472"/>
      <c r="BU131" s="473"/>
      <c r="BV131" s="471"/>
      <c r="BW131" s="472"/>
      <c r="BX131" s="472"/>
      <c r="BY131" s="472"/>
      <c r="BZ131" s="472"/>
      <c r="CA131" s="473"/>
      <c r="CB131" s="466"/>
      <c r="CC131" s="467"/>
      <c r="CD131" s="467"/>
      <c r="CE131" s="468"/>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5">
      <c r="A132" s="435"/>
      <c r="B132" s="36"/>
      <c r="C132" s="199" t="str">
        <f t="shared" ca="1" si="3"/>
        <v/>
      </c>
      <c r="D132" s="479"/>
      <c r="E132" s="480"/>
      <c r="F132" s="480"/>
      <c r="G132" s="480"/>
      <c r="H132" s="480"/>
      <c r="I132" s="480"/>
      <c r="J132" s="480"/>
      <c r="K132" s="440"/>
      <c r="L132" s="441"/>
      <c r="M132" s="441"/>
      <c r="N132" s="441"/>
      <c r="O132" s="441"/>
      <c r="P132" s="441"/>
      <c r="Q132" s="441"/>
      <c r="R132" s="444"/>
      <c r="S132" s="445"/>
      <c r="T132" s="444"/>
      <c r="U132" s="445"/>
      <c r="V132" s="440"/>
      <c r="W132" s="441"/>
      <c r="X132" s="441"/>
      <c r="Y132" s="441"/>
      <c r="Z132" s="441"/>
      <c r="AA132" s="441"/>
      <c r="AB132" s="441"/>
      <c r="AC132" s="441"/>
      <c r="AD132" s="440"/>
      <c r="AE132" s="441"/>
      <c r="AF132" s="441"/>
      <c r="AG132" s="441"/>
      <c r="AH132" s="441"/>
      <c r="AI132" s="441"/>
      <c r="AJ132" s="441"/>
      <c r="AK132" s="450"/>
      <c r="AL132" s="440"/>
      <c r="AM132" s="441"/>
      <c r="AN132" s="441"/>
      <c r="AO132" s="441"/>
      <c r="AP132" s="441"/>
      <c r="AQ132" s="441"/>
      <c r="AR132" s="450"/>
      <c r="AS132" s="485"/>
      <c r="AT132" s="486"/>
      <c r="AU132" s="486"/>
      <c r="AV132" s="486"/>
      <c r="AW132" s="486"/>
      <c r="AX132" s="486"/>
      <c r="AY132" s="487"/>
      <c r="AZ132" s="462"/>
      <c r="BA132" s="463"/>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5">
      <c r="A133" s="435"/>
      <c r="B133" s="36"/>
      <c r="C133" s="199" t="str">
        <f t="shared" ca="1" si="3"/>
        <v/>
      </c>
      <c r="D133" s="479"/>
      <c r="E133" s="480"/>
      <c r="F133" s="480"/>
      <c r="G133" s="480"/>
      <c r="H133" s="480"/>
      <c r="I133" s="480"/>
      <c r="J133" s="480"/>
      <c r="K133" s="440"/>
      <c r="L133" s="441"/>
      <c r="M133" s="441"/>
      <c r="N133" s="441"/>
      <c r="O133" s="441"/>
      <c r="P133" s="441"/>
      <c r="Q133" s="441"/>
      <c r="R133" s="444"/>
      <c r="S133" s="445"/>
      <c r="T133" s="444"/>
      <c r="U133" s="445"/>
      <c r="V133" s="440"/>
      <c r="W133" s="441"/>
      <c r="X133" s="441"/>
      <c r="Y133" s="441"/>
      <c r="Z133" s="441"/>
      <c r="AA133" s="441"/>
      <c r="AB133" s="441"/>
      <c r="AC133" s="441"/>
      <c r="AD133" s="440"/>
      <c r="AE133" s="441"/>
      <c r="AF133" s="441"/>
      <c r="AG133" s="441"/>
      <c r="AH133" s="441"/>
      <c r="AI133" s="441"/>
      <c r="AJ133" s="441"/>
      <c r="AK133" s="450"/>
      <c r="AL133" s="440"/>
      <c r="AM133" s="441"/>
      <c r="AN133" s="441"/>
      <c r="AO133" s="441"/>
      <c r="AP133" s="441"/>
      <c r="AQ133" s="441"/>
      <c r="AR133" s="450"/>
      <c r="AS133" s="485"/>
      <c r="AT133" s="486"/>
      <c r="AU133" s="486"/>
      <c r="AV133" s="486"/>
      <c r="AW133" s="486"/>
      <c r="AX133" s="486"/>
      <c r="AY133" s="487"/>
      <c r="AZ133" s="462"/>
      <c r="BA133" s="463"/>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5">
      <c r="A134" s="435"/>
      <c r="B134" s="36"/>
      <c r="C134" s="199" t="str">
        <f t="shared" ca="1" si="3"/>
        <v/>
      </c>
      <c r="D134" s="479"/>
      <c r="E134" s="480"/>
      <c r="F134" s="480"/>
      <c r="G134" s="480"/>
      <c r="H134" s="480"/>
      <c r="I134" s="480"/>
      <c r="J134" s="480"/>
      <c r="K134" s="440"/>
      <c r="L134" s="441"/>
      <c r="M134" s="441"/>
      <c r="N134" s="441"/>
      <c r="O134" s="441"/>
      <c r="P134" s="441"/>
      <c r="Q134" s="441"/>
      <c r="R134" s="444"/>
      <c r="S134" s="445"/>
      <c r="T134" s="444"/>
      <c r="U134" s="445"/>
      <c r="V134" s="440"/>
      <c r="W134" s="441"/>
      <c r="X134" s="441"/>
      <c r="Y134" s="441"/>
      <c r="Z134" s="441"/>
      <c r="AA134" s="441"/>
      <c r="AB134" s="441"/>
      <c r="AC134" s="441"/>
      <c r="AD134" s="440"/>
      <c r="AE134" s="441"/>
      <c r="AF134" s="441"/>
      <c r="AG134" s="441"/>
      <c r="AH134" s="441"/>
      <c r="AI134" s="441"/>
      <c r="AJ134" s="441"/>
      <c r="AK134" s="450"/>
      <c r="AL134" s="440"/>
      <c r="AM134" s="441"/>
      <c r="AN134" s="441"/>
      <c r="AO134" s="441"/>
      <c r="AP134" s="441"/>
      <c r="AQ134" s="441"/>
      <c r="AR134" s="450"/>
      <c r="AS134" s="485"/>
      <c r="AT134" s="486"/>
      <c r="AU134" s="486"/>
      <c r="AV134" s="486"/>
      <c r="AW134" s="486"/>
      <c r="AX134" s="486"/>
      <c r="AY134" s="487"/>
      <c r="AZ134" s="462"/>
      <c r="BA134" s="463"/>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5">
      <c r="A135" s="435"/>
      <c r="B135" s="36"/>
      <c r="C135" s="199" t="str">
        <f t="shared" ca="1" si="3"/>
        <v/>
      </c>
      <c r="D135" s="479"/>
      <c r="E135" s="480"/>
      <c r="F135" s="480"/>
      <c r="G135" s="480"/>
      <c r="H135" s="480"/>
      <c r="I135" s="480"/>
      <c r="J135" s="480"/>
      <c r="K135" s="440"/>
      <c r="L135" s="441"/>
      <c r="M135" s="441"/>
      <c r="N135" s="441"/>
      <c r="O135" s="441"/>
      <c r="P135" s="441"/>
      <c r="Q135" s="441"/>
      <c r="R135" s="444"/>
      <c r="S135" s="445"/>
      <c r="T135" s="444"/>
      <c r="U135" s="445"/>
      <c r="V135" s="440"/>
      <c r="W135" s="441"/>
      <c r="X135" s="441"/>
      <c r="Y135" s="441"/>
      <c r="Z135" s="441"/>
      <c r="AA135" s="441"/>
      <c r="AB135" s="441"/>
      <c r="AC135" s="441"/>
      <c r="AD135" s="440"/>
      <c r="AE135" s="441"/>
      <c r="AF135" s="441"/>
      <c r="AG135" s="441"/>
      <c r="AH135" s="441"/>
      <c r="AI135" s="441"/>
      <c r="AJ135" s="441"/>
      <c r="AK135" s="450"/>
      <c r="AL135" s="440"/>
      <c r="AM135" s="441"/>
      <c r="AN135" s="441"/>
      <c r="AO135" s="441"/>
      <c r="AP135" s="441"/>
      <c r="AQ135" s="441"/>
      <c r="AR135" s="450"/>
      <c r="AS135" s="485"/>
      <c r="AT135" s="486"/>
      <c r="AU135" s="486"/>
      <c r="AV135" s="486"/>
      <c r="AW135" s="486"/>
      <c r="AX135" s="486"/>
      <c r="AY135" s="487"/>
      <c r="AZ135" s="462"/>
      <c r="BA135" s="463"/>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5">
      <c r="A136" s="436"/>
      <c r="B136" s="37"/>
      <c r="C136" s="200" t="str">
        <f t="shared" ca="1" si="3"/>
        <v/>
      </c>
      <c r="D136" s="481"/>
      <c r="E136" s="482"/>
      <c r="F136" s="482"/>
      <c r="G136" s="482"/>
      <c r="H136" s="482"/>
      <c r="I136" s="482"/>
      <c r="J136" s="482"/>
      <c r="K136" s="409"/>
      <c r="L136" s="410"/>
      <c r="M136" s="410"/>
      <c r="N136" s="410"/>
      <c r="O136" s="410"/>
      <c r="P136" s="410"/>
      <c r="Q136" s="410"/>
      <c r="R136" s="446"/>
      <c r="S136" s="447"/>
      <c r="T136" s="446"/>
      <c r="U136" s="44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88"/>
      <c r="AT136" s="489"/>
      <c r="AU136" s="489"/>
      <c r="AV136" s="489"/>
      <c r="AW136" s="489"/>
      <c r="AX136" s="489"/>
      <c r="AY136" s="490"/>
      <c r="AZ136" s="464"/>
      <c r="BA136" s="465"/>
      <c r="BB136" s="62">
        <v>6</v>
      </c>
      <c r="BC136" s="426"/>
      <c r="BD136" s="427"/>
      <c r="BE136" s="427"/>
      <c r="BF136" s="428"/>
      <c r="BG136" s="429"/>
      <c r="BH136" s="430"/>
      <c r="BI136" s="196"/>
      <c r="BJ136" s="474"/>
      <c r="BK136" s="475"/>
      <c r="BL136" s="475"/>
      <c r="BM136" s="475"/>
      <c r="BN136" s="475"/>
      <c r="BO136" s="476"/>
      <c r="BP136" s="474"/>
      <c r="BQ136" s="475"/>
      <c r="BR136" s="475"/>
      <c r="BS136" s="475"/>
      <c r="BT136" s="475"/>
      <c r="BU136" s="476"/>
      <c r="BV136" s="474"/>
      <c r="BW136" s="475"/>
      <c r="BX136" s="475"/>
      <c r="BY136" s="475"/>
      <c r="BZ136" s="475"/>
      <c r="CA136" s="476"/>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5">
      <c r="A137" s="434">
        <v>22</v>
      </c>
      <c r="B137" s="36"/>
      <c r="C137" s="198" t="str">
        <f t="shared" ca="1" si="3"/>
        <v/>
      </c>
      <c r="D137" s="477"/>
      <c r="E137" s="478"/>
      <c r="F137" s="478"/>
      <c r="G137" s="478"/>
      <c r="H137" s="478"/>
      <c r="I137" s="478"/>
      <c r="J137" s="478"/>
      <c r="K137" s="438" t="s">
        <v>359</v>
      </c>
      <c r="L137" s="439"/>
      <c r="M137" s="439"/>
      <c r="N137" s="439"/>
      <c r="O137" s="439"/>
      <c r="P137" s="439"/>
      <c r="Q137" s="439"/>
      <c r="R137" s="442" t="s">
        <v>186</v>
      </c>
      <c r="S137" s="443"/>
      <c r="T137" s="442"/>
      <c r="U137" s="443"/>
      <c r="V137" s="438"/>
      <c r="W137" s="439"/>
      <c r="X137" s="439"/>
      <c r="Y137" s="439"/>
      <c r="Z137" s="439"/>
      <c r="AA137" s="439"/>
      <c r="AB137" s="439"/>
      <c r="AC137" s="439"/>
      <c r="AD137" s="438"/>
      <c r="AE137" s="439"/>
      <c r="AF137" s="439"/>
      <c r="AG137" s="439"/>
      <c r="AH137" s="439"/>
      <c r="AI137" s="439"/>
      <c r="AJ137" s="439"/>
      <c r="AK137" s="449"/>
      <c r="AL137" s="438"/>
      <c r="AM137" s="439"/>
      <c r="AN137" s="439"/>
      <c r="AO137" s="439"/>
      <c r="AP137" s="439"/>
      <c r="AQ137" s="439"/>
      <c r="AR137" s="449"/>
      <c r="AS137" s="500"/>
      <c r="AT137" s="483"/>
      <c r="AU137" s="483"/>
      <c r="AV137" s="483"/>
      <c r="AW137" s="483"/>
      <c r="AX137" s="483"/>
      <c r="AY137" s="484"/>
      <c r="AZ137" s="460"/>
      <c r="BA137" s="461"/>
      <c r="BB137" s="60">
        <v>1</v>
      </c>
      <c r="BC137" s="466"/>
      <c r="BD137" s="467"/>
      <c r="BE137" s="467"/>
      <c r="BF137" s="468"/>
      <c r="BG137" s="469"/>
      <c r="BH137" s="470"/>
      <c r="BI137" s="194"/>
      <c r="BJ137" s="471"/>
      <c r="BK137" s="472"/>
      <c r="BL137" s="472"/>
      <c r="BM137" s="472"/>
      <c r="BN137" s="472"/>
      <c r="BO137" s="473"/>
      <c r="BP137" s="471"/>
      <c r="BQ137" s="472"/>
      <c r="BR137" s="472"/>
      <c r="BS137" s="472"/>
      <c r="BT137" s="472"/>
      <c r="BU137" s="473"/>
      <c r="BV137" s="471"/>
      <c r="BW137" s="472"/>
      <c r="BX137" s="472"/>
      <c r="BY137" s="472"/>
      <c r="BZ137" s="472"/>
      <c r="CA137" s="473"/>
      <c r="CB137" s="466"/>
      <c r="CC137" s="467"/>
      <c r="CD137" s="467"/>
      <c r="CE137" s="468"/>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5">
      <c r="A138" s="435"/>
      <c r="B138" s="36"/>
      <c r="C138" s="199" t="str">
        <f t="shared" ca="1" si="3"/>
        <v/>
      </c>
      <c r="D138" s="479"/>
      <c r="E138" s="480"/>
      <c r="F138" s="480"/>
      <c r="G138" s="480"/>
      <c r="H138" s="480"/>
      <c r="I138" s="480"/>
      <c r="J138" s="480"/>
      <c r="K138" s="440"/>
      <c r="L138" s="441"/>
      <c r="M138" s="441"/>
      <c r="N138" s="441"/>
      <c r="O138" s="441"/>
      <c r="P138" s="441"/>
      <c r="Q138" s="441"/>
      <c r="R138" s="444"/>
      <c r="S138" s="445"/>
      <c r="T138" s="444"/>
      <c r="U138" s="445"/>
      <c r="V138" s="440"/>
      <c r="W138" s="441"/>
      <c r="X138" s="441"/>
      <c r="Y138" s="441"/>
      <c r="Z138" s="441"/>
      <c r="AA138" s="441"/>
      <c r="AB138" s="441"/>
      <c r="AC138" s="441"/>
      <c r="AD138" s="440"/>
      <c r="AE138" s="441"/>
      <c r="AF138" s="441"/>
      <c r="AG138" s="441"/>
      <c r="AH138" s="441"/>
      <c r="AI138" s="441"/>
      <c r="AJ138" s="441"/>
      <c r="AK138" s="450"/>
      <c r="AL138" s="440"/>
      <c r="AM138" s="441"/>
      <c r="AN138" s="441"/>
      <c r="AO138" s="441"/>
      <c r="AP138" s="441"/>
      <c r="AQ138" s="441"/>
      <c r="AR138" s="450"/>
      <c r="AS138" s="485"/>
      <c r="AT138" s="486"/>
      <c r="AU138" s="486"/>
      <c r="AV138" s="486"/>
      <c r="AW138" s="486"/>
      <c r="AX138" s="486"/>
      <c r="AY138" s="487"/>
      <c r="AZ138" s="462"/>
      <c r="BA138" s="463"/>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5">
      <c r="A139" s="435"/>
      <c r="B139" s="36"/>
      <c r="C139" s="199" t="str">
        <f t="shared" ca="1" si="3"/>
        <v/>
      </c>
      <c r="D139" s="479"/>
      <c r="E139" s="480"/>
      <c r="F139" s="480"/>
      <c r="G139" s="480"/>
      <c r="H139" s="480"/>
      <c r="I139" s="480"/>
      <c r="J139" s="480"/>
      <c r="K139" s="440"/>
      <c r="L139" s="441"/>
      <c r="M139" s="441"/>
      <c r="N139" s="441"/>
      <c r="O139" s="441"/>
      <c r="P139" s="441"/>
      <c r="Q139" s="441"/>
      <c r="R139" s="444"/>
      <c r="S139" s="445"/>
      <c r="T139" s="444"/>
      <c r="U139" s="445"/>
      <c r="V139" s="440"/>
      <c r="W139" s="441"/>
      <c r="X139" s="441"/>
      <c r="Y139" s="441"/>
      <c r="Z139" s="441"/>
      <c r="AA139" s="441"/>
      <c r="AB139" s="441"/>
      <c r="AC139" s="441"/>
      <c r="AD139" s="440"/>
      <c r="AE139" s="441"/>
      <c r="AF139" s="441"/>
      <c r="AG139" s="441"/>
      <c r="AH139" s="441"/>
      <c r="AI139" s="441"/>
      <c r="AJ139" s="441"/>
      <c r="AK139" s="450"/>
      <c r="AL139" s="440"/>
      <c r="AM139" s="441"/>
      <c r="AN139" s="441"/>
      <c r="AO139" s="441"/>
      <c r="AP139" s="441"/>
      <c r="AQ139" s="441"/>
      <c r="AR139" s="450"/>
      <c r="AS139" s="485"/>
      <c r="AT139" s="486"/>
      <c r="AU139" s="486"/>
      <c r="AV139" s="486"/>
      <c r="AW139" s="486"/>
      <c r="AX139" s="486"/>
      <c r="AY139" s="487"/>
      <c r="AZ139" s="462"/>
      <c r="BA139" s="463"/>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5">
      <c r="A140" s="435"/>
      <c r="B140" s="36"/>
      <c r="C140" s="199" t="str">
        <f t="shared" ref="C140:C203" ca="1" si="4">IF(AND(OFFSET($K140,-($BB140-1),0)&lt;&gt;"",OFFSET($R140,-($BB140-1),0)&lt;&gt;"x"),"●","")</f>
        <v/>
      </c>
      <c r="D140" s="479"/>
      <c r="E140" s="480"/>
      <c r="F140" s="480"/>
      <c r="G140" s="480"/>
      <c r="H140" s="480"/>
      <c r="I140" s="480"/>
      <c r="J140" s="480"/>
      <c r="K140" s="440"/>
      <c r="L140" s="441"/>
      <c r="M140" s="441"/>
      <c r="N140" s="441"/>
      <c r="O140" s="441"/>
      <c r="P140" s="441"/>
      <c r="Q140" s="441"/>
      <c r="R140" s="444"/>
      <c r="S140" s="445"/>
      <c r="T140" s="444"/>
      <c r="U140" s="445"/>
      <c r="V140" s="440"/>
      <c r="W140" s="441"/>
      <c r="X140" s="441"/>
      <c r="Y140" s="441"/>
      <c r="Z140" s="441"/>
      <c r="AA140" s="441"/>
      <c r="AB140" s="441"/>
      <c r="AC140" s="441"/>
      <c r="AD140" s="440"/>
      <c r="AE140" s="441"/>
      <c r="AF140" s="441"/>
      <c r="AG140" s="441"/>
      <c r="AH140" s="441"/>
      <c r="AI140" s="441"/>
      <c r="AJ140" s="441"/>
      <c r="AK140" s="450"/>
      <c r="AL140" s="440"/>
      <c r="AM140" s="441"/>
      <c r="AN140" s="441"/>
      <c r="AO140" s="441"/>
      <c r="AP140" s="441"/>
      <c r="AQ140" s="441"/>
      <c r="AR140" s="450"/>
      <c r="AS140" s="485"/>
      <c r="AT140" s="486"/>
      <c r="AU140" s="486"/>
      <c r="AV140" s="486"/>
      <c r="AW140" s="486"/>
      <c r="AX140" s="486"/>
      <c r="AY140" s="487"/>
      <c r="AZ140" s="462"/>
      <c r="BA140" s="463"/>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5">
      <c r="A141" s="435"/>
      <c r="B141" s="36"/>
      <c r="C141" s="199" t="str">
        <f t="shared" ca="1" si="4"/>
        <v/>
      </c>
      <c r="D141" s="479"/>
      <c r="E141" s="480"/>
      <c r="F141" s="480"/>
      <c r="G141" s="480"/>
      <c r="H141" s="480"/>
      <c r="I141" s="480"/>
      <c r="J141" s="480"/>
      <c r="K141" s="440"/>
      <c r="L141" s="441"/>
      <c r="M141" s="441"/>
      <c r="N141" s="441"/>
      <c r="O141" s="441"/>
      <c r="P141" s="441"/>
      <c r="Q141" s="441"/>
      <c r="R141" s="444"/>
      <c r="S141" s="445"/>
      <c r="T141" s="444"/>
      <c r="U141" s="445"/>
      <c r="V141" s="440"/>
      <c r="W141" s="441"/>
      <c r="X141" s="441"/>
      <c r="Y141" s="441"/>
      <c r="Z141" s="441"/>
      <c r="AA141" s="441"/>
      <c r="AB141" s="441"/>
      <c r="AC141" s="441"/>
      <c r="AD141" s="440"/>
      <c r="AE141" s="441"/>
      <c r="AF141" s="441"/>
      <c r="AG141" s="441"/>
      <c r="AH141" s="441"/>
      <c r="AI141" s="441"/>
      <c r="AJ141" s="441"/>
      <c r="AK141" s="450"/>
      <c r="AL141" s="440"/>
      <c r="AM141" s="441"/>
      <c r="AN141" s="441"/>
      <c r="AO141" s="441"/>
      <c r="AP141" s="441"/>
      <c r="AQ141" s="441"/>
      <c r="AR141" s="450"/>
      <c r="AS141" s="485"/>
      <c r="AT141" s="486"/>
      <c r="AU141" s="486"/>
      <c r="AV141" s="486"/>
      <c r="AW141" s="486"/>
      <c r="AX141" s="486"/>
      <c r="AY141" s="487"/>
      <c r="AZ141" s="462"/>
      <c r="BA141" s="463"/>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5">
      <c r="A142" s="436"/>
      <c r="B142" s="37"/>
      <c r="C142" s="200" t="str">
        <f t="shared" ca="1" si="4"/>
        <v/>
      </c>
      <c r="D142" s="481"/>
      <c r="E142" s="482"/>
      <c r="F142" s="482"/>
      <c r="G142" s="482"/>
      <c r="H142" s="482"/>
      <c r="I142" s="482"/>
      <c r="J142" s="482"/>
      <c r="K142" s="409"/>
      <c r="L142" s="410"/>
      <c r="M142" s="410"/>
      <c r="N142" s="410"/>
      <c r="O142" s="410"/>
      <c r="P142" s="410"/>
      <c r="Q142" s="410"/>
      <c r="R142" s="446"/>
      <c r="S142" s="447"/>
      <c r="T142" s="446"/>
      <c r="U142" s="44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88"/>
      <c r="AT142" s="489"/>
      <c r="AU142" s="489"/>
      <c r="AV142" s="489"/>
      <c r="AW142" s="489"/>
      <c r="AX142" s="489"/>
      <c r="AY142" s="490"/>
      <c r="AZ142" s="464"/>
      <c r="BA142" s="465"/>
      <c r="BB142" s="62">
        <v>6</v>
      </c>
      <c r="BC142" s="426"/>
      <c r="BD142" s="427"/>
      <c r="BE142" s="427"/>
      <c r="BF142" s="428"/>
      <c r="BG142" s="429"/>
      <c r="BH142" s="430"/>
      <c r="BI142" s="196"/>
      <c r="BJ142" s="474"/>
      <c r="BK142" s="475"/>
      <c r="BL142" s="475"/>
      <c r="BM142" s="475"/>
      <c r="BN142" s="475"/>
      <c r="BO142" s="476"/>
      <c r="BP142" s="474"/>
      <c r="BQ142" s="475"/>
      <c r="BR142" s="475"/>
      <c r="BS142" s="475"/>
      <c r="BT142" s="475"/>
      <c r="BU142" s="476"/>
      <c r="BV142" s="474"/>
      <c r="BW142" s="475"/>
      <c r="BX142" s="475"/>
      <c r="BY142" s="475"/>
      <c r="BZ142" s="475"/>
      <c r="CA142" s="476"/>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5">
      <c r="A143" s="434">
        <v>23</v>
      </c>
      <c r="B143" s="36"/>
      <c r="C143" s="198" t="str">
        <f t="shared" ca="1" si="4"/>
        <v/>
      </c>
      <c r="D143" s="477"/>
      <c r="E143" s="478"/>
      <c r="F143" s="478"/>
      <c r="G143" s="478"/>
      <c r="H143" s="478"/>
      <c r="I143" s="478"/>
      <c r="J143" s="478"/>
      <c r="K143" s="438" t="s">
        <v>360</v>
      </c>
      <c r="L143" s="439"/>
      <c r="M143" s="439"/>
      <c r="N143" s="439"/>
      <c r="O143" s="439"/>
      <c r="P143" s="439"/>
      <c r="Q143" s="439"/>
      <c r="R143" s="442" t="s">
        <v>186</v>
      </c>
      <c r="S143" s="443"/>
      <c r="T143" s="442"/>
      <c r="U143" s="443"/>
      <c r="V143" s="438"/>
      <c r="W143" s="439"/>
      <c r="X143" s="439"/>
      <c r="Y143" s="439"/>
      <c r="Z143" s="439"/>
      <c r="AA143" s="439"/>
      <c r="AB143" s="439"/>
      <c r="AC143" s="439"/>
      <c r="AD143" s="438"/>
      <c r="AE143" s="439"/>
      <c r="AF143" s="439"/>
      <c r="AG143" s="439"/>
      <c r="AH143" s="439"/>
      <c r="AI143" s="439"/>
      <c r="AJ143" s="439"/>
      <c r="AK143" s="449"/>
      <c r="AL143" s="438"/>
      <c r="AM143" s="439"/>
      <c r="AN143" s="439"/>
      <c r="AO143" s="439"/>
      <c r="AP143" s="439"/>
      <c r="AQ143" s="439"/>
      <c r="AR143" s="449"/>
      <c r="AS143" s="500"/>
      <c r="AT143" s="483"/>
      <c r="AU143" s="483"/>
      <c r="AV143" s="483"/>
      <c r="AW143" s="483"/>
      <c r="AX143" s="483"/>
      <c r="AY143" s="484"/>
      <c r="AZ143" s="460"/>
      <c r="BA143" s="461"/>
      <c r="BB143" s="60">
        <v>1</v>
      </c>
      <c r="BC143" s="466"/>
      <c r="BD143" s="467"/>
      <c r="BE143" s="467"/>
      <c r="BF143" s="468"/>
      <c r="BG143" s="469"/>
      <c r="BH143" s="470"/>
      <c r="BI143" s="194"/>
      <c r="BJ143" s="471"/>
      <c r="BK143" s="472"/>
      <c r="BL143" s="472"/>
      <c r="BM143" s="472"/>
      <c r="BN143" s="472"/>
      <c r="BO143" s="473"/>
      <c r="BP143" s="471"/>
      <c r="BQ143" s="472"/>
      <c r="BR143" s="472"/>
      <c r="BS143" s="472"/>
      <c r="BT143" s="472"/>
      <c r="BU143" s="473"/>
      <c r="BV143" s="471"/>
      <c r="BW143" s="472"/>
      <c r="BX143" s="472"/>
      <c r="BY143" s="472"/>
      <c r="BZ143" s="472"/>
      <c r="CA143" s="473"/>
      <c r="CB143" s="466"/>
      <c r="CC143" s="467"/>
      <c r="CD143" s="467"/>
      <c r="CE143" s="468"/>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5">
      <c r="A144" s="435"/>
      <c r="B144" s="36"/>
      <c r="C144" s="199" t="str">
        <f t="shared" ca="1" si="4"/>
        <v/>
      </c>
      <c r="D144" s="479"/>
      <c r="E144" s="480"/>
      <c r="F144" s="480"/>
      <c r="G144" s="480"/>
      <c r="H144" s="480"/>
      <c r="I144" s="480"/>
      <c r="J144" s="480"/>
      <c r="K144" s="440"/>
      <c r="L144" s="441"/>
      <c r="M144" s="441"/>
      <c r="N144" s="441"/>
      <c r="O144" s="441"/>
      <c r="P144" s="441"/>
      <c r="Q144" s="441"/>
      <c r="R144" s="444"/>
      <c r="S144" s="445"/>
      <c r="T144" s="444"/>
      <c r="U144" s="445"/>
      <c r="V144" s="440"/>
      <c r="W144" s="441"/>
      <c r="X144" s="441"/>
      <c r="Y144" s="441"/>
      <c r="Z144" s="441"/>
      <c r="AA144" s="441"/>
      <c r="AB144" s="441"/>
      <c r="AC144" s="441"/>
      <c r="AD144" s="440"/>
      <c r="AE144" s="441"/>
      <c r="AF144" s="441"/>
      <c r="AG144" s="441"/>
      <c r="AH144" s="441"/>
      <c r="AI144" s="441"/>
      <c r="AJ144" s="441"/>
      <c r="AK144" s="450"/>
      <c r="AL144" s="440"/>
      <c r="AM144" s="441"/>
      <c r="AN144" s="441"/>
      <c r="AO144" s="441"/>
      <c r="AP144" s="441"/>
      <c r="AQ144" s="441"/>
      <c r="AR144" s="450"/>
      <c r="AS144" s="485"/>
      <c r="AT144" s="486"/>
      <c r="AU144" s="486"/>
      <c r="AV144" s="486"/>
      <c r="AW144" s="486"/>
      <c r="AX144" s="486"/>
      <c r="AY144" s="487"/>
      <c r="AZ144" s="462"/>
      <c r="BA144" s="463"/>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5">
      <c r="A145" s="435"/>
      <c r="B145" s="36"/>
      <c r="C145" s="199" t="str">
        <f t="shared" ca="1" si="4"/>
        <v/>
      </c>
      <c r="D145" s="479"/>
      <c r="E145" s="480"/>
      <c r="F145" s="480"/>
      <c r="G145" s="480"/>
      <c r="H145" s="480"/>
      <c r="I145" s="480"/>
      <c r="J145" s="480"/>
      <c r="K145" s="440"/>
      <c r="L145" s="441"/>
      <c r="M145" s="441"/>
      <c r="N145" s="441"/>
      <c r="O145" s="441"/>
      <c r="P145" s="441"/>
      <c r="Q145" s="441"/>
      <c r="R145" s="444"/>
      <c r="S145" s="445"/>
      <c r="T145" s="444"/>
      <c r="U145" s="445"/>
      <c r="V145" s="440"/>
      <c r="W145" s="441"/>
      <c r="X145" s="441"/>
      <c r="Y145" s="441"/>
      <c r="Z145" s="441"/>
      <c r="AA145" s="441"/>
      <c r="AB145" s="441"/>
      <c r="AC145" s="441"/>
      <c r="AD145" s="440"/>
      <c r="AE145" s="441"/>
      <c r="AF145" s="441"/>
      <c r="AG145" s="441"/>
      <c r="AH145" s="441"/>
      <c r="AI145" s="441"/>
      <c r="AJ145" s="441"/>
      <c r="AK145" s="450"/>
      <c r="AL145" s="440"/>
      <c r="AM145" s="441"/>
      <c r="AN145" s="441"/>
      <c r="AO145" s="441"/>
      <c r="AP145" s="441"/>
      <c r="AQ145" s="441"/>
      <c r="AR145" s="450"/>
      <c r="AS145" s="485"/>
      <c r="AT145" s="486"/>
      <c r="AU145" s="486"/>
      <c r="AV145" s="486"/>
      <c r="AW145" s="486"/>
      <c r="AX145" s="486"/>
      <c r="AY145" s="487"/>
      <c r="AZ145" s="462"/>
      <c r="BA145" s="463"/>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5">
      <c r="A146" s="435"/>
      <c r="B146" s="36"/>
      <c r="C146" s="199" t="str">
        <f t="shared" ca="1" si="4"/>
        <v/>
      </c>
      <c r="D146" s="479"/>
      <c r="E146" s="480"/>
      <c r="F146" s="480"/>
      <c r="G146" s="480"/>
      <c r="H146" s="480"/>
      <c r="I146" s="480"/>
      <c r="J146" s="480"/>
      <c r="K146" s="440"/>
      <c r="L146" s="441"/>
      <c r="M146" s="441"/>
      <c r="N146" s="441"/>
      <c r="O146" s="441"/>
      <c r="P146" s="441"/>
      <c r="Q146" s="441"/>
      <c r="R146" s="444"/>
      <c r="S146" s="445"/>
      <c r="T146" s="444"/>
      <c r="U146" s="445"/>
      <c r="V146" s="440"/>
      <c r="W146" s="441"/>
      <c r="X146" s="441"/>
      <c r="Y146" s="441"/>
      <c r="Z146" s="441"/>
      <c r="AA146" s="441"/>
      <c r="AB146" s="441"/>
      <c r="AC146" s="441"/>
      <c r="AD146" s="440"/>
      <c r="AE146" s="441"/>
      <c r="AF146" s="441"/>
      <c r="AG146" s="441"/>
      <c r="AH146" s="441"/>
      <c r="AI146" s="441"/>
      <c r="AJ146" s="441"/>
      <c r="AK146" s="450"/>
      <c r="AL146" s="440"/>
      <c r="AM146" s="441"/>
      <c r="AN146" s="441"/>
      <c r="AO146" s="441"/>
      <c r="AP146" s="441"/>
      <c r="AQ146" s="441"/>
      <c r="AR146" s="450"/>
      <c r="AS146" s="485"/>
      <c r="AT146" s="486"/>
      <c r="AU146" s="486"/>
      <c r="AV146" s="486"/>
      <c r="AW146" s="486"/>
      <c r="AX146" s="486"/>
      <c r="AY146" s="487"/>
      <c r="AZ146" s="462"/>
      <c r="BA146" s="463"/>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5">
      <c r="A147" s="435"/>
      <c r="B147" s="36"/>
      <c r="C147" s="199" t="str">
        <f t="shared" ca="1" si="4"/>
        <v/>
      </c>
      <c r="D147" s="479"/>
      <c r="E147" s="480"/>
      <c r="F147" s="480"/>
      <c r="G147" s="480"/>
      <c r="H147" s="480"/>
      <c r="I147" s="480"/>
      <c r="J147" s="480"/>
      <c r="K147" s="440"/>
      <c r="L147" s="441"/>
      <c r="M147" s="441"/>
      <c r="N147" s="441"/>
      <c r="O147" s="441"/>
      <c r="P147" s="441"/>
      <c r="Q147" s="441"/>
      <c r="R147" s="444"/>
      <c r="S147" s="445"/>
      <c r="T147" s="444"/>
      <c r="U147" s="445"/>
      <c r="V147" s="440"/>
      <c r="W147" s="441"/>
      <c r="X147" s="441"/>
      <c r="Y147" s="441"/>
      <c r="Z147" s="441"/>
      <c r="AA147" s="441"/>
      <c r="AB147" s="441"/>
      <c r="AC147" s="441"/>
      <c r="AD147" s="440"/>
      <c r="AE147" s="441"/>
      <c r="AF147" s="441"/>
      <c r="AG147" s="441"/>
      <c r="AH147" s="441"/>
      <c r="AI147" s="441"/>
      <c r="AJ147" s="441"/>
      <c r="AK147" s="450"/>
      <c r="AL147" s="440"/>
      <c r="AM147" s="441"/>
      <c r="AN147" s="441"/>
      <c r="AO147" s="441"/>
      <c r="AP147" s="441"/>
      <c r="AQ147" s="441"/>
      <c r="AR147" s="450"/>
      <c r="AS147" s="485"/>
      <c r="AT147" s="486"/>
      <c r="AU147" s="486"/>
      <c r="AV147" s="486"/>
      <c r="AW147" s="486"/>
      <c r="AX147" s="486"/>
      <c r="AY147" s="487"/>
      <c r="AZ147" s="462"/>
      <c r="BA147" s="463"/>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5">
      <c r="A148" s="436"/>
      <c r="B148" s="37"/>
      <c r="C148" s="200" t="str">
        <f t="shared" ca="1" si="4"/>
        <v/>
      </c>
      <c r="D148" s="481"/>
      <c r="E148" s="482"/>
      <c r="F148" s="482"/>
      <c r="G148" s="482"/>
      <c r="H148" s="482"/>
      <c r="I148" s="482"/>
      <c r="J148" s="482"/>
      <c r="K148" s="409"/>
      <c r="L148" s="410"/>
      <c r="M148" s="410"/>
      <c r="N148" s="410"/>
      <c r="O148" s="410"/>
      <c r="P148" s="410"/>
      <c r="Q148" s="410"/>
      <c r="R148" s="446"/>
      <c r="S148" s="447"/>
      <c r="T148" s="446"/>
      <c r="U148" s="44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88"/>
      <c r="AT148" s="489"/>
      <c r="AU148" s="489"/>
      <c r="AV148" s="489"/>
      <c r="AW148" s="489"/>
      <c r="AX148" s="489"/>
      <c r="AY148" s="490"/>
      <c r="AZ148" s="464"/>
      <c r="BA148" s="465"/>
      <c r="BB148" s="62">
        <v>6</v>
      </c>
      <c r="BC148" s="426"/>
      <c r="BD148" s="427"/>
      <c r="BE148" s="427"/>
      <c r="BF148" s="428"/>
      <c r="BG148" s="429"/>
      <c r="BH148" s="430"/>
      <c r="BI148" s="196"/>
      <c r="BJ148" s="474"/>
      <c r="BK148" s="475"/>
      <c r="BL148" s="475"/>
      <c r="BM148" s="475"/>
      <c r="BN148" s="475"/>
      <c r="BO148" s="476"/>
      <c r="BP148" s="474"/>
      <c r="BQ148" s="475"/>
      <c r="BR148" s="475"/>
      <c r="BS148" s="475"/>
      <c r="BT148" s="475"/>
      <c r="BU148" s="476"/>
      <c r="BV148" s="474"/>
      <c r="BW148" s="475"/>
      <c r="BX148" s="475"/>
      <c r="BY148" s="475"/>
      <c r="BZ148" s="475"/>
      <c r="CA148" s="476"/>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5">
      <c r="A149" s="434">
        <v>24</v>
      </c>
      <c r="B149" s="36"/>
      <c r="C149" s="198" t="str">
        <f t="shared" ca="1" si="4"/>
        <v/>
      </c>
      <c r="D149" s="477" t="s">
        <v>361</v>
      </c>
      <c r="E149" s="478"/>
      <c r="F149" s="478"/>
      <c r="G149" s="478"/>
      <c r="H149" s="478"/>
      <c r="I149" s="478"/>
      <c r="J149" s="478"/>
      <c r="K149" s="438" t="s">
        <v>362</v>
      </c>
      <c r="L149" s="439"/>
      <c r="M149" s="439"/>
      <c r="N149" s="439"/>
      <c r="O149" s="439"/>
      <c r="P149" s="439"/>
      <c r="Q149" s="439"/>
      <c r="R149" s="442" t="s">
        <v>186</v>
      </c>
      <c r="S149" s="443"/>
      <c r="T149" s="442"/>
      <c r="U149" s="443"/>
      <c r="V149" s="438"/>
      <c r="W149" s="439"/>
      <c r="X149" s="439"/>
      <c r="Y149" s="439"/>
      <c r="Z149" s="439"/>
      <c r="AA149" s="439"/>
      <c r="AB149" s="439"/>
      <c r="AC149" s="439"/>
      <c r="AD149" s="438"/>
      <c r="AE149" s="439"/>
      <c r="AF149" s="439"/>
      <c r="AG149" s="439"/>
      <c r="AH149" s="439"/>
      <c r="AI149" s="439"/>
      <c r="AJ149" s="439"/>
      <c r="AK149" s="449"/>
      <c r="AL149" s="438"/>
      <c r="AM149" s="439"/>
      <c r="AN149" s="439"/>
      <c r="AO149" s="439"/>
      <c r="AP149" s="439"/>
      <c r="AQ149" s="439"/>
      <c r="AR149" s="449"/>
      <c r="AS149" s="500"/>
      <c r="AT149" s="483"/>
      <c r="AU149" s="483"/>
      <c r="AV149" s="483"/>
      <c r="AW149" s="483"/>
      <c r="AX149" s="483"/>
      <c r="AY149" s="484"/>
      <c r="AZ149" s="460"/>
      <c r="BA149" s="461"/>
      <c r="BB149" s="60">
        <v>1</v>
      </c>
      <c r="BC149" s="466"/>
      <c r="BD149" s="467"/>
      <c r="BE149" s="467"/>
      <c r="BF149" s="468"/>
      <c r="BG149" s="469"/>
      <c r="BH149" s="470"/>
      <c r="BI149" s="194"/>
      <c r="BJ149" s="471"/>
      <c r="BK149" s="472"/>
      <c r="BL149" s="472"/>
      <c r="BM149" s="472"/>
      <c r="BN149" s="472"/>
      <c r="BO149" s="473"/>
      <c r="BP149" s="471"/>
      <c r="BQ149" s="472"/>
      <c r="BR149" s="472"/>
      <c r="BS149" s="472"/>
      <c r="BT149" s="472"/>
      <c r="BU149" s="473"/>
      <c r="BV149" s="471"/>
      <c r="BW149" s="472"/>
      <c r="BX149" s="472"/>
      <c r="BY149" s="472"/>
      <c r="BZ149" s="472"/>
      <c r="CA149" s="473"/>
      <c r="CB149" s="466"/>
      <c r="CC149" s="467"/>
      <c r="CD149" s="467"/>
      <c r="CE149" s="468"/>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5">
      <c r="A150" s="435"/>
      <c r="B150" s="36"/>
      <c r="C150" s="199" t="str">
        <f t="shared" ca="1" si="4"/>
        <v/>
      </c>
      <c r="D150" s="479"/>
      <c r="E150" s="480"/>
      <c r="F150" s="480"/>
      <c r="G150" s="480"/>
      <c r="H150" s="480"/>
      <c r="I150" s="480"/>
      <c r="J150" s="480"/>
      <c r="K150" s="440"/>
      <c r="L150" s="441"/>
      <c r="M150" s="441"/>
      <c r="N150" s="441"/>
      <c r="O150" s="441"/>
      <c r="P150" s="441"/>
      <c r="Q150" s="441"/>
      <c r="R150" s="444"/>
      <c r="S150" s="445"/>
      <c r="T150" s="444"/>
      <c r="U150" s="445"/>
      <c r="V150" s="440"/>
      <c r="W150" s="441"/>
      <c r="X150" s="441"/>
      <c r="Y150" s="441"/>
      <c r="Z150" s="441"/>
      <c r="AA150" s="441"/>
      <c r="AB150" s="441"/>
      <c r="AC150" s="441"/>
      <c r="AD150" s="440"/>
      <c r="AE150" s="441"/>
      <c r="AF150" s="441"/>
      <c r="AG150" s="441"/>
      <c r="AH150" s="441"/>
      <c r="AI150" s="441"/>
      <c r="AJ150" s="441"/>
      <c r="AK150" s="450"/>
      <c r="AL150" s="440"/>
      <c r="AM150" s="441"/>
      <c r="AN150" s="441"/>
      <c r="AO150" s="441"/>
      <c r="AP150" s="441"/>
      <c r="AQ150" s="441"/>
      <c r="AR150" s="450"/>
      <c r="AS150" s="485"/>
      <c r="AT150" s="486"/>
      <c r="AU150" s="486"/>
      <c r="AV150" s="486"/>
      <c r="AW150" s="486"/>
      <c r="AX150" s="486"/>
      <c r="AY150" s="487"/>
      <c r="AZ150" s="462"/>
      <c r="BA150" s="463"/>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5">
      <c r="A151" s="435"/>
      <c r="B151" s="36"/>
      <c r="C151" s="199" t="str">
        <f t="shared" ca="1" si="4"/>
        <v/>
      </c>
      <c r="D151" s="479"/>
      <c r="E151" s="480"/>
      <c r="F151" s="480"/>
      <c r="G151" s="480"/>
      <c r="H151" s="480"/>
      <c r="I151" s="480"/>
      <c r="J151" s="480"/>
      <c r="K151" s="440"/>
      <c r="L151" s="441"/>
      <c r="M151" s="441"/>
      <c r="N151" s="441"/>
      <c r="O151" s="441"/>
      <c r="P151" s="441"/>
      <c r="Q151" s="441"/>
      <c r="R151" s="444"/>
      <c r="S151" s="445"/>
      <c r="T151" s="444"/>
      <c r="U151" s="445"/>
      <c r="V151" s="440"/>
      <c r="W151" s="441"/>
      <c r="X151" s="441"/>
      <c r="Y151" s="441"/>
      <c r="Z151" s="441"/>
      <c r="AA151" s="441"/>
      <c r="AB151" s="441"/>
      <c r="AC151" s="441"/>
      <c r="AD151" s="440"/>
      <c r="AE151" s="441"/>
      <c r="AF151" s="441"/>
      <c r="AG151" s="441"/>
      <c r="AH151" s="441"/>
      <c r="AI151" s="441"/>
      <c r="AJ151" s="441"/>
      <c r="AK151" s="450"/>
      <c r="AL151" s="440"/>
      <c r="AM151" s="441"/>
      <c r="AN151" s="441"/>
      <c r="AO151" s="441"/>
      <c r="AP151" s="441"/>
      <c r="AQ151" s="441"/>
      <c r="AR151" s="450"/>
      <c r="AS151" s="485"/>
      <c r="AT151" s="486"/>
      <c r="AU151" s="486"/>
      <c r="AV151" s="486"/>
      <c r="AW151" s="486"/>
      <c r="AX151" s="486"/>
      <c r="AY151" s="487"/>
      <c r="AZ151" s="462"/>
      <c r="BA151" s="463"/>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5">
      <c r="A152" s="435"/>
      <c r="B152" s="36"/>
      <c r="C152" s="199" t="str">
        <f t="shared" ca="1" si="4"/>
        <v/>
      </c>
      <c r="D152" s="479"/>
      <c r="E152" s="480"/>
      <c r="F152" s="480"/>
      <c r="G152" s="480"/>
      <c r="H152" s="480"/>
      <c r="I152" s="480"/>
      <c r="J152" s="480"/>
      <c r="K152" s="440"/>
      <c r="L152" s="441"/>
      <c r="M152" s="441"/>
      <c r="N152" s="441"/>
      <c r="O152" s="441"/>
      <c r="P152" s="441"/>
      <c r="Q152" s="441"/>
      <c r="R152" s="444"/>
      <c r="S152" s="445"/>
      <c r="T152" s="444"/>
      <c r="U152" s="445"/>
      <c r="V152" s="440"/>
      <c r="W152" s="441"/>
      <c r="X152" s="441"/>
      <c r="Y152" s="441"/>
      <c r="Z152" s="441"/>
      <c r="AA152" s="441"/>
      <c r="AB152" s="441"/>
      <c r="AC152" s="441"/>
      <c r="AD152" s="440"/>
      <c r="AE152" s="441"/>
      <c r="AF152" s="441"/>
      <c r="AG152" s="441"/>
      <c r="AH152" s="441"/>
      <c r="AI152" s="441"/>
      <c r="AJ152" s="441"/>
      <c r="AK152" s="450"/>
      <c r="AL152" s="440"/>
      <c r="AM152" s="441"/>
      <c r="AN152" s="441"/>
      <c r="AO152" s="441"/>
      <c r="AP152" s="441"/>
      <c r="AQ152" s="441"/>
      <c r="AR152" s="450"/>
      <c r="AS152" s="485"/>
      <c r="AT152" s="486"/>
      <c r="AU152" s="486"/>
      <c r="AV152" s="486"/>
      <c r="AW152" s="486"/>
      <c r="AX152" s="486"/>
      <c r="AY152" s="487"/>
      <c r="AZ152" s="462"/>
      <c r="BA152" s="463"/>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5">
      <c r="A153" s="435"/>
      <c r="B153" s="36"/>
      <c r="C153" s="199" t="str">
        <f t="shared" ca="1" si="4"/>
        <v/>
      </c>
      <c r="D153" s="479"/>
      <c r="E153" s="480"/>
      <c r="F153" s="480"/>
      <c r="G153" s="480"/>
      <c r="H153" s="480"/>
      <c r="I153" s="480"/>
      <c r="J153" s="480"/>
      <c r="K153" s="440"/>
      <c r="L153" s="441"/>
      <c r="M153" s="441"/>
      <c r="N153" s="441"/>
      <c r="O153" s="441"/>
      <c r="P153" s="441"/>
      <c r="Q153" s="441"/>
      <c r="R153" s="444"/>
      <c r="S153" s="445"/>
      <c r="T153" s="444"/>
      <c r="U153" s="445"/>
      <c r="V153" s="440"/>
      <c r="W153" s="441"/>
      <c r="X153" s="441"/>
      <c r="Y153" s="441"/>
      <c r="Z153" s="441"/>
      <c r="AA153" s="441"/>
      <c r="AB153" s="441"/>
      <c r="AC153" s="441"/>
      <c r="AD153" s="440"/>
      <c r="AE153" s="441"/>
      <c r="AF153" s="441"/>
      <c r="AG153" s="441"/>
      <c r="AH153" s="441"/>
      <c r="AI153" s="441"/>
      <c r="AJ153" s="441"/>
      <c r="AK153" s="450"/>
      <c r="AL153" s="440"/>
      <c r="AM153" s="441"/>
      <c r="AN153" s="441"/>
      <c r="AO153" s="441"/>
      <c r="AP153" s="441"/>
      <c r="AQ153" s="441"/>
      <c r="AR153" s="450"/>
      <c r="AS153" s="485"/>
      <c r="AT153" s="486"/>
      <c r="AU153" s="486"/>
      <c r="AV153" s="486"/>
      <c r="AW153" s="486"/>
      <c r="AX153" s="486"/>
      <c r="AY153" s="487"/>
      <c r="AZ153" s="462"/>
      <c r="BA153" s="463"/>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5">
      <c r="A154" s="436"/>
      <c r="B154" s="37"/>
      <c r="C154" s="200" t="str">
        <f t="shared" ca="1" si="4"/>
        <v/>
      </c>
      <c r="D154" s="481"/>
      <c r="E154" s="482"/>
      <c r="F154" s="482"/>
      <c r="G154" s="482"/>
      <c r="H154" s="482"/>
      <c r="I154" s="482"/>
      <c r="J154" s="482"/>
      <c r="K154" s="409"/>
      <c r="L154" s="410"/>
      <c r="M154" s="410"/>
      <c r="N154" s="410"/>
      <c r="O154" s="410"/>
      <c r="P154" s="410"/>
      <c r="Q154" s="410"/>
      <c r="R154" s="446"/>
      <c r="S154" s="447"/>
      <c r="T154" s="446"/>
      <c r="U154" s="44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88"/>
      <c r="AT154" s="489"/>
      <c r="AU154" s="489"/>
      <c r="AV154" s="489"/>
      <c r="AW154" s="489"/>
      <c r="AX154" s="489"/>
      <c r="AY154" s="490"/>
      <c r="AZ154" s="464"/>
      <c r="BA154" s="465"/>
      <c r="BB154" s="62">
        <v>6</v>
      </c>
      <c r="BC154" s="426"/>
      <c r="BD154" s="427"/>
      <c r="BE154" s="427"/>
      <c r="BF154" s="428"/>
      <c r="BG154" s="429"/>
      <c r="BH154" s="430"/>
      <c r="BI154" s="196"/>
      <c r="BJ154" s="474"/>
      <c r="BK154" s="475"/>
      <c r="BL154" s="475"/>
      <c r="BM154" s="475"/>
      <c r="BN154" s="475"/>
      <c r="BO154" s="476"/>
      <c r="BP154" s="474"/>
      <c r="BQ154" s="475"/>
      <c r="BR154" s="475"/>
      <c r="BS154" s="475"/>
      <c r="BT154" s="475"/>
      <c r="BU154" s="476"/>
      <c r="BV154" s="474"/>
      <c r="BW154" s="475"/>
      <c r="BX154" s="475"/>
      <c r="BY154" s="475"/>
      <c r="BZ154" s="475"/>
      <c r="CA154" s="476"/>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5">
      <c r="A155" s="434">
        <v>25</v>
      </c>
      <c r="B155" s="36"/>
      <c r="C155" s="198" t="str">
        <f t="shared" ca="1" si="4"/>
        <v/>
      </c>
      <c r="D155" s="477"/>
      <c r="E155" s="478"/>
      <c r="F155" s="478"/>
      <c r="G155" s="478"/>
      <c r="H155" s="478"/>
      <c r="I155" s="478"/>
      <c r="J155" s="478"/>
      <c r="K155" s="438" t="s">
        <v>363</v>
      </c>
      <c r="L155" s="439"/>
      <c r="M155" s="439"/>
      <c r="N155" s="439"/>
      <c r="O155" s="439"/>
      <c r="P155" s="439"/>
      <c r="Q155" s="439"/>
      <c r="R155" s="442" t="s">
        <v>186</v>
      </c>
      <c r="S155" s="443"/>
      <c r="T155" s="442"/>
      <c r="U155" s="443"/>
      <c r="V155" s="438"/>
      <c r="W155" s="439"/>
      <c r="X155" s="439"/>
      <c r="Y155" s="439"/>
      <c r="Z155" s="439"/>
      <c r="AA155" s="439"/>
      <c r="AB155" s="439"/>
      <c r="AC155" s="439"/>
      <c r="AD155" s="438"/>
      <c r="AE155" s="439"/>
      <c r="AF155" s="439"/>
      <c r="AG155" s="439"/>
      <c r="AH155" s="439"/>
      <c r="AI155" s="439"/>
      <c r="AJ155" s="439"/>
      <c r="AK155" s="449"/>
      <c r="AL155" s="438"/>
      <c r="AM155" s="439"/>
      <c r="AN155" s="439"/>
      <c r="AO155" s="439"/>
      <c r="AP155" s="439"/>
      <c r="AQ155" s="439"/>
      <c r="AR155" s="449"/>
      <c r="AS155" s="500"/>
      <c r="AT155" s="483"/>
      <c r="AU155" s="483"/>
      <c r="AV155" s="483"/>
      <c r="AW155" s="483"/>
      <c r="AX155" s="483"/>
      <c r="AY155" s="484"/>
      <c r="AZ155" s="460"/>
      <c r="BA155" s="461"/>
      <c r="BB155" s="60">
        <v>1</v>
      </c>
      <c r="BC155" s="466"/>
      <c r="BD155" s="467"/>
      <c r="BE155" s="467"/>
      <c r="BF155" s="468"/>
      <c r="BG155" s="469"/>
      <c r="BH155" s="470"/>
      <c r="BI155" s="194"/>
      <c r="BJ155" s="471"/>
      <c r="BK155" s="472"/>
      <c r="BL155" s="472"/>
      <c r="BM155" s="472"/>
      <c r="BN155" s="472"/>
      <c r="BO155" s="473"/>
      <c r="BP155" s="471"/>
      <c r="BQ155" s="472"/>
      <c r="BR155" s="472"/>
      <c r="BS155" s="472"/>
      <c r="BT155" s="472"/>
      <c r="BU155" s="473"/>
      <c r="BV155" s="471"/>
      <c r="BW155" s="472"/>
      <c r="BX155" s="472"/>
      <c r="BY155" s="472"/>
      <c r="BZ155" s="472"/>
      <c r="CA155" s="473"/>
      <c r="CB155" s="466"/>
      <c r="CC155" s="467"/>
      <c r="CD155" s="467"/>
      <c r="CE155" s="468"/>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5">
      <c r="A156" s="435"/>
      <c r="B156" s="36"/>
      <c r="C156" s="199" t="str">
        <f t="shared" ca="1" si="4"/>
        <v/>
      </c>
      <c r="D156" s="479"/>
      <c r="E156" s="480"/>
      <c r="F156" s="480"/>
      <c r="G156" s="480"/>
      <c r="H156" s="480"/>
      <c r="I156" s="480"/>
      <c r="J156" s="480"/>
      <c r="K156" s="440"/>
      <c r="L156" s="441"/>
      <c r="M156" s="441"/>
      <c r="N156" s="441"/>
      <c r="O156" s="441"/>
      <c r="P156" s="441"/>
      <c r="Q156" s="441"/>
      <c r="R156" s="444"/>
      <c r="S156" s="445"/>
      <c r="T156" s="444"/>
      <c r="U156" s="445"/>
      <c r="V156" s="440"/>
      <c r="W156" s="441"/>
      <c r="X156" s="441"/>
      <c r="Y156" s="441"/>
      <c r="Z156" s="441"/>
      <c r="AA156" s="441"/>
      <c r="AB156" s="441"/>
      <c r="AC156" s="441"/>
      <c r="AD156" s="440"/>
      <c r="AE156" s="441"/>
      <c r="AF156" s="441"/>
      <c r="AG156" s="441"/>
      <c r="AH156" s="441"/>
      <c r="AI156" s="441"/>
      <c r="AJ156" s="441"/>
      <c r="AK156" s="450"/>
      <c r="AL156" s="440"/>
      <c r="AM156" s="441"/>
      <c r="AN156" s="441"/>
      <c r="AO156" s="441"/>
      <c r="AP156" s="441"/>
      <c r="AQ156" s="441"/>
      <c r="AR156" s="450"/>
      <c r="AS156" s="485"/>
      <c r="AT156" s="486"/>
      <c r="AU156" s="486"/>
      <c r="AV156" s="486"/>
      <c r="AW156" s="486"/>
      <c r="AX156" s="486"/>
      <c r="AY156" s="487"/>
      <c r="AZ156" s="462"/>
      <c r="BA156" s="463"/>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5">
      <c r="A157" s="435"/>
      <c r="B157" s="36"/>
      <c r="C157" s="199" t="str">
        <f t="shared" ca="1" si="4"/>
        <v/>
      </c>
      <c r="D157" s="479"/>
      <c r="E157" s="480"/>
      <c r="F157" s="480"/>
      <c r="G157" s="480"/>
      <c r="H157" s="480"/>
      <c r="I157" s="480"/>
      <c r="J157" s="480"/>
      <c r="K157" s="440"/>
      <c r="L157" s="441"/>
      <c r="M157" s="441"/>
      <c r="N157" s="441"/>
      <c r="O157" s="441"/>
      <c r="P157" s="441"/>
      <c r="Q157" s="441"/>
      <c r="R157" s="444"/>
      <c r="S157" s="445"/>
      <c r="T157" s="444"/>
      <c r="U157" s="445"/>
      <c r="V157" s="440"/>
      <c r="W157" s="441"/>
      <c r="X157" s="441"/>
      <c r="Y157" s="441"/>
      <c r="Z157" s="441"/>
      <c r="AA157" s="441"/>
      <c r="AB157" s="441"/>
      <c r="AC157" s="441"/>
      <c r="AD157" s="440"/>
      <c r="AE157" s="441"/>
      <c r="AF157" s="441"/>
      <c r="AG157" s="441"/>
      <c r="AH157" s="441"/>
      <c r="AI157" s="441"/>
      <c r="AJ157" s="441"/>
      <c r="AK157" s="450"/>
      <c r="AL157" s="440"/>
      <c r="AM157" s="441"/>
      <c r="AN157" s="441"/>
      <c r="AO157" s="441"/>
      <c r="AP157" s="441"/>
      <c r="AQ157" s="441"/>
      <c r="AR157" s="450"/>
      <c r="AS157" s="485"/>
      <c r="AT157" s="486"/>
      <c r="AU157" s="486"/>
      <c r="AV157" s="486"/>
      <c r="AW157" s="486"/>
      <c r="AX157" s="486"/>
      <c r="AY157" s="487"/>
      <c r="AZ157" s="462"/>
      <c r="BA157" s="463"/>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5">
      <c r="A158" s="435"/>
      <c r="B158" s="36"/>
      <c r="C158" s="199" t="str">
        <f t="shared" ca="1" si="4"/>
        <v/>
      </c>
      <c r="D158" s="479"/>
      <c r="E158" s="480"/>
      <c r="F158" s="480"/>
      <c r="G158" s="480"/>
      <c r="H158" s="480"/>
      <c r="I158" s="480"/>
      <c r="J158" s="480"/>
      <c r="K158" s="440"/>
      <c r="L158" s="441"/>
      <c r="M158" s="441"/>
      <c r="N158" s="441"/>
      <c r="O158" s="441"/>
      <c r="P158" s="441"/>
      <c r="Q158" s="441"/>
      <c r="R158" s="444"/>
      <c r="S158" s="445"/>
      <c r="T158" s="444"/>
      <c r="U158" s="445"/>
      <c r="V158" s="440"/>
      <c r="W158" s="441"/>
      <c r="X158" s="441"/>
      <c r="Y158" s="441"/>
      <c r="Z158" s="441"/>
      <c r="AA158" s="441"/>
      <c r="AB158" s="441"/>
      <c r="AC158" s="441"/>
      <c r="AD158" s="440"/>
      <c r="AE158" s="441"/>
      <c r="AF158" s="441"/>
      <c r="AG158" s="441"/>
      <c r="AH158" s="441"/>
      <c r="AI158" s="441"/>
      <c r="AJ158" s="441"/>
      <c r="AK158" s="450"/>
      <c r="AL158" s="440"/>
      <c r="AM158" s="441"/>
      <c r="AN158" s="441"/>
      <c r="AO158" s="441"/>
      <c r="AP158" s="441"/>
      <c r="AQ158" s="441"/>
      <c r="AR158" s="450"/>
      <c r="AS158" s="485"/>
      <c r="AT158" s="486"/>
      <c r="AU158" s="486"/>
      <c r="AV158" s="486"/>
      <c r="AW158" s="486"/>
      <c r="AX158" s="486"/>
      <c r="AY158" s="487"/>
      <c r="AZ158" s="462"/>
      <c r="BA158" s="463"/>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5">
      <c r="A159" s="435"/>
      <c r="B159" s="36"/>
      <c r="C159" s="199" t="str">
        <f t="shared" ca="1" si="4"/>
        <v/>
      </c>
      <c r="D159" s="479"/>
      <c r="E159" s="480"/>
      <c r="F159" s="480"/>
      <c r="G159" s="480"/>
      <c r="H159" s="480"/>
      <c r="I159" s="480"/>
      <c r="J159" s="480"/>
      <c r="K159" s="440"/>
      <c r="L159" s="441"/>
      <c r="M159" s="441"/>
      <c r="N159" s="441"/>
      <c r="O159" s="441"/>
      <c r="P159" s="441"/>
      <c r="Q159" s="441"/>
      <c r="R159" s="444"/>
      <c r="S159" s="445"/>
      <c r="T159" s="444"/>
      <c r="U159" s="445"/>
      <c r="V159" s="440"/>
      <c r="W159" s="441"/>
      <c r="X159" s="441"/>
      <c r="Y159" s="441"/>
      <c r="Z159" s="441"/>
      <c r="AA159" s="441"/>
      <c r="AB159" s="441"/>
      <c r="AC159" s="441"/>
      <c r="AD159" s="440"/>
      <c r="AE159" s="441"/>
      <c r="AF159" s="441"/>
      <c r="AG159" s="441"/>
      <c r="AH159" s="441"/>
      <c r="AI159" s="441"/>
      <c r="AJ159" s="441"/>
      <c r="AK159" s="450"/>
      <c r="AL159" s="440"/>
      <c r="AM159" s="441"/>
      <c r="AN159" s="441"/>
      <c r="AO159" s="441"/>
      <c r="AP159" s="441"/>
      <c r="AQ159" s="441"/>
      <c r="AR159" s="450"/>
      <c r="AS159" s="485"/>
      <c r="AT159" s="486"/>
      <c r="AU159" s="486"/>
      <c r="AV159" s="486"/>
      <c r="AW159" s="486"/>
      <c r="AX159" s="486"/>
      <c r="AY159" s="487"/>
      <c r="AZ159" s="462"/>
      <c r="BA159" s="463"/>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5">
      <c r="A160" s="436"/>
      <c r="B160" s="37"/>
      <c r="C160" s="200" t="str">
        <f t="shared" ca="1" si="4"/>
        <v/>
      </c>
      <c r="D160" s="481"/>
      <c r="E160" s="482"/>
      <c r="F160" s="482"/>
      <c r="G160" s="482"/>
      <c r="H160" s="482"/>
      <c r="I160" s="482"/>
      <c r="J160" s="482"/>
      <c r="K160" s="409"/>
      <c r="L160" s="410"/>
      <c r="M160" s="410"/>
      <c r="N160" s="410"/>
      <c r="O160" s="410"/>
      <c r="P160" s="410"/>
      <c r="Q160" s="410"/>
      <c r="R160" s="446"/>
      <c r="S160" s="447"/>
      <c r="T160" s="446"/>
      <c r="U160" s="44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88"/>
      <c r="AT160" s="489"/>
      <c r="AU160" s="489"/>
      <c r="AV160" s="489"/>
      <c r="AW160" s="489"/>
      <c r="AX160" s="489"/>
      <c r="AY160" s="490"/>
      <c r="AZ160" s="464"/>
      <c r="BA160" s="465"/>
      <c r="BB160" s="62">
        <v>6</v>
      </c>
      <c r="BC160" s="426"/>
      <c r="BD160" s="427"/>
      <c r="BE160" s="427"/>
      <c r="BF160" s="428"/>
      <c r="BG160" s="429"/>
      <c r="BH160" s="430"/>
      <c r="BI160" s="196"/>
      <c r="BJ160" s="474"/>
      <c r="BK160" s="475"/>
      <c r="BL160" s="475"/>
      <c r="BM160" s="475"/>
      <c r="BN160" s="475"/>
      <c r="BO160" s="476"/>
      <c r="BP160" s="474"/>
      <c r="BQ160" s="475"/>
      <c r="BR160" s="475"/>
      <c r="BS160" s="475"/>
      <c r="BT160" s="475"/>
      <c r="BU160" s="476"/>
      <c r="BV160" s="474"/>
      <c r="BW160" s="475"/>
      <c r="BX160" s="475"/>
      <c r="BY160" s="475"/>
      <c r="BZ160" s="475"/>
      <c r="CA160" s="476"/>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5">
      <c r="A161" s="434">
        <v>26</v>
      </c>
      <c r="B161" s="36"/>
      <c r="C161" s="198" t="str">
        <f t="shared" ca="1" si="4"/>
        <v/>
      </c>
      <c r="D161" s="477"/>
      <c r="E161" s="478"/>
      <c r="F161" s="478"/>
      <c r="G161" s="478"/>
      <c r="H161" s="478"/>
      <c r="I161" s="478"/>
      <c r="J161" s="478"/>
      <c r="K161" s="438" t="s">
        <v>364</v>
      </c>
      <c r="L161" s="439"/>
      <c r="M161" s="439"/>
      <c r="N161" s="439"/>
      <c r="O161" s="439"/>
      <c r="P161" s="439"/>
      <c r="Q161" s="439"/>
      <c r="R161" s="442" t="s">
        <v>186</v>
      </c>
      <c r="S161" s="443"/>
      <c r="T161" s="442"/>
      <c r="U161" s="443"/>
      <c r="V161" s="438"/>
      <c r="W161" s="439"/>
      <c r="X161" s="439"/>
      <c r="Y161" s="439"/>
      <c r="Z161" s="439"/>
      <c r="AA161" s="439"/>
      <c r="AB161" s="439"/>
      <c r="AC161" s="439"/>
      <c r="AD161" s="438"/>
      <c r="AE161" s="439"/>
      <c r="AF161" s="439"/>
      <c r="AG161" s="439"/>
      <c r="AH161" s="439"/>
      <c r="AI161" s="439"/>
      <c r="AJ161" s="439"/>
      <c r="AK161" s="449"/>
      <c r="AL161" s="438"/>
      <c r="AM161" s="439"/>
      <c r="AN161" s="439"/>
      <c r="AO161" s="439"/>
      <c r="AP161" s="439"/>
      <c r="AQ161" s="439"/>
      <c r="AR161" s="449"/>
      <c r="AS161" s="500"/>
      <c r="AT161" s="483"/>
      <c r="AU161" s="483"/>
      <c r="AV161" s="483"/>
      <c r="AW161" s="483"/>
      <c r="AX161" s="483"/>
      <c r="AY161" s="484"/>
      <c r="AZ161" s="460"/>
      <c r="BA161" s="461"/>
      <c r="BB161" s="60">
        <v>1</v>
      </c>
      <c r="BC161" s="466"/>
      <c r="BD161" s="467"/>
      <c r="BE161" s="467"/>
      <c r="BF161" s="468"/>
      <c r="BG161" s="469"/>
      <c r="BH161" s="470"/>
      <c r="BI161" s="194"/>
      <c r="BJ161" s="471"/>
      <c r="BK161" s="472"/>
      <c r="BL161" s="472"/>
      <c r="BM161" s="472"/>
      <c r="BN161" s="472"/>
      <c r="BO161" s="473"/>
      <c r="BP161" s="471"/>
      <c r="BQ161" s="472"/>
      <c r="BR161" s="472"/>
      <c r="BS161" s="472"/>
      <c r="BT161" s="472"/>
      <c r="BU161" s="473"/>
      <c r="BV161" s="471"/>
      <c r="BW161" s="472"/>
      <c r="BX161" s="472"/>
      <c r="BY161" s="472"/>
      <c r="BZ161" s="472"/>
      <c r="CA161" s="473"/>
      <c r="CB161" s="466"/>
      <c r="CC161" s="467"/>
      <c r="CD161" s="467"/>
      <c r="CE161" s="468"/>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5">
      <c r="A162" s="435"/>
      <c r="B162" s="36"/>
      <c r="C162" s="199" t="str">
        <f t="shared" ca="1" si="4"/>
        <v/>
      </c>
      <c r="D162" s="479"/>
      <c r="E162" s="480"/>
      <c r="F162" s="480"/>
      <c r="G162" s="480"/>
      <c r="H162" s="480"/>
      <c r="I162" s="480"/>
      <c r="J162" s="480"/>
      <c r="K162" s="440"/>
      <c r="L162" s="441"/>
      <c r="M162" s="441"/>
      <c r="N162" s="441"/>
      <c r="O162" s="441"/>
      <c r="P162" s="441"/>
      <c r="Q162" s="441"/>
      <c r="R162" s="444"/>
      <c r="S162" s="445"/>
      <c r="T162" s="444"/>
      <c r="U162" s="445"/>
      <c r="V162" s="440"/>
      <c r="W162" s="441"/>
      <c r="X162" s="441"/>
      <c r="Y162" s="441"/>
      <c r="Z162" s="441"/>
      <c r="AA162" s="441"/>
      <c r="AB162" s="441"/>
      <c r="AC162" s="441"/>
      <c r="AD162" s="440"/>
      <c r="AE162" s="441"/>
      <c r="AF162" s="441"/>
      <c r="AG162" s="441"/>
      <c r="AH162" s="441"/>
      <c r="AI162" s="441"/>
      <c r="AJ162" s="441"/>
      <c r="AK162" s="450"/>
      <c r="AL162" s="440"/>
      <c r="AM162" s="441"/>
      <c r="AN162" s="441"/>
      <c r="AO162" s="441"/>
      <c r="AP162" s="441"/>
      <c r="AQ162" s="441"/>
      <c r="AR162" s="450"/>
      <c r="AS162" s="485"/>
      <c r="AT162" s="486"/>
      <c r="AU162" s="486"/>
      <c r="AV162" s="486"/>
      <c r="AW162" s="486"/>
      <c r="AX162" s="486"/>
      <c r="AY162" s="487"/>
      <c r="AZ162" s="462"/>
      <c r="BA162" s="463"/>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5">
      <c r="A163" s="435"/>
      <c r="B163" s="36"/>
      <c r="C163" s="199" t="str">
        <f t="shared" ca="1" si="4"/>
        <v/>
      </c>
      <c r="D163" s="479"/>
      <c r="E163" s="480"/>
      <c r="F163" s="480"/>
      <c r="G163" s="480"/>
      <c r="H163" s="480"/>
      <c r="I163" s="480"/>
      <c r="J163" s="480"/>
      <c r="K163" s="440"/>
      <c r="L163" s="441"/>
      <c r="M163" s="441"/>
      <c r="N163" s="441"/>
      <c r="O163" s="441"/>
      <c r="P163" s="441"/>
      <c r="Q163" s="441"/>
      <c r="R163" s="444"/>
      <c r="S163" s="445"/>
      <c r="T163" s="444"/>
      <c r="U163" s="445"/>
      <c r="V163" s="440"/>
      <c r="W163" s="441"/>
      <c r="X163" s="441"/>
      <c r="Y163" s="441"/>
      <c r="Z163" s="441"/>
      <c r="AA163" s="441"/>
      <c r="AB163" s="441"/>
      <c r="AC163" s="441"/>
      <c r="AD163" s="440"/>
      <c r="AE163" s="441"/>
      <c r="AF163" s="441"/>
      <c r="AG163" s="441"/>
      <c r="AH163" s="441"/>
      <c r="AI163" s="441"/>
      <c r="AJ163" s="441"/>
      <c r="AK163" s="450"/>
      <c r="AL163" s="440"/>
      <c r="AM163" s="441"/>
      <c r="AN163" s="441"/>
      <c r="AO163" s="441"/>
      <c r="AP163" s="441"/>
      <c r="AQ163" s="441"/>
      <c r="AR163" s="450"/>
      <c r="AS163" s="485"/>
      <c r="AT163" s="486"/>
      <c r="AU163" s="486"/>
      <c r="AV163" s="486"/>
      <c r="AW163" s="486"/>
      <c r="AX163" s="486"/>
      <c r="AY163" s="487"/>
      <c r="AZ163" s="462"/>
      <c r="BA163" s="463"/>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5">
      <c r="A164" s="435"/>
      <c r="B164" s="36"/>
      <c r="C164" s="199" t="str">
        <f t="shared" ca="1" si="4"/>
        <v/>
      </c>
      <c r="D164" s="479"/>
      <c r="E164" s="480"/>
      <c r="F164" s="480"/>
      <c r="G164" s="480"/>
      <c r="H164" s="480"/>
      <c r="I164" s="480"/>
      <c r="J164" s="480"/>
      <c r="K164" s="440"/>
      <c r="L164" s="441"/>
      <c r="M164" s="441"/>
      <c r="N164" s="441"/>
      <c r="O164" s="441"/>
      <c r="P164" s="441"/>
      <c r="Q164" s="441"/>
      <c r="R164" s="444"/>
      <c r="S164" s="445"/>
      <c r="T164" s="444"/>
      <c r="U164" s="445"/>
      <c r="V164" s="440"/>
      <c r="W164" s="441"/>
      <c r="X164" s="441"/>
      <c r="Y164" s="441"/>
      <c r="Z164" s="441"/>
      <c r="AA164" s="441"/>
      <c r="AB164" s="441"/>
      <c r="AC164" s="441"/>
      <c r="AD164" s="440"/>
      <c r="AE164" s="441"/>
      <c r="AF164" s="441"/>
      <c r="AG164" s="441"/>
      <c r="AH164" s="441"/>
      <c r="AI164" s="441"/>
      <c r="AJ164" s="441"/>
      <c r="AK164" s="450"/>
      <c r="AL164" s="440"/>
      <c r="AM164" s="441"/>
      <c r="AN164" s="441"/>
      <c r="AO164" s="441"/>
      <c r="AP164" s="441"/>
      <c r="AQ164" s="441"/>
      <c r="AR164" s="450"/>
      <c r="AS164" s="485"/>
      <c r="AT164" s="486"/>
      <c r="AU164" s="486"/>
      <c r="AV164" s="486"/>
      <c r="AW164" s="486"/>
      <c r="AX164" s="486"/>
      <c r="AY164" s="487"/>
      <c r="AZ164" s="462"/>
      <c r="BA164" s="463"/>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5">
      <c r="A165" s="435"/>
      <c r="B165" s="36"/>
      <c r="C165" s="199" t="str">
        <f t="shared" ca="1" si="4"/>
        <v/>
      </c>
      <c r="D165" s="479"/>
      <c r="E165" s="480"/>
      <c r="F165" s="480"/>
      <c r="G165" s="480"/>
      <c r="H165" s="480"/>
      <c r="I165" s="480"/>
      <c r="J165" s="480"/>
      <c r="K165" s="440"/>
      <c r="L165" s="441"/>
      <c r="M165" s="441"/>
      <c r="N165" s="441"/>
      <c r="O165" s="441"/>
      <c r="P165" s="441"/>
      <c r="Q165" s="441"/>
      <c r="R165" s="444"/>
      <c r="S165" s="445"/>
      <c r="T165" s="444"/>
      <c r="U165" s="445"/>
      <c r="V165" s="440"/>
      <c r="W165" s="441"/>
      <c r="X165" s="441"/>
      <c r="Y165" s="441"/>
      <c r="Z165" s="441"/>
      <c r="AA165" s="441"/>
      <c r="AB165" s="441"/>
      <c r="AC165" s="441"/>
      <c r="AD165" s="440"/>
      <c r="AE165" s="441"/>
      <c r="AF165" s="441"/>
      <c r="AG165" s="441"/>
      <c r="AH165" s="441"/>
      <c r="AI165" s="441"/>
      <c r="AJ165" s="441"/>
      <c r="AK165" s="450"/>
      <c r="AL165" s="440"/>
      <c r="AM165" s="441"/>
      <c r="AN165" s="441"/>
      <c r="AO165" s="441"/>
      <c r="AP165" s="441"/>
      <c r="AQ165" s="441"/>
      <c r="AR165" s="450"/>
      <c r="AS165" s="485"/>
      <c r="AT165" s="486"/>
      <c r="AU165" s="486"/>
      <c r="AV165" s="486"/>
      <c r="AW165" s="486"/>
      <c r="AX165" s="486"/>
      <c r="AY165" s="487"/>
      <c r="AZ165" s="462"/>
      <c r="BA165" s="463"/>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5">
      <c r="A166" s="436"/>
      <c r="B166" s="37"/>
      <c r="C166" s="200" t="str">
        <f t="shared" ca="1" si="4"/>
        <v/>
      </c>
      <c r="D166" s="481"/>
      <c r="E166" s="482"/>
      <c r="F166" s="482"/>
      <c r="G166" s="482"/>
      <c r="H166" s="482"/>
      <c r="I166" s="482"/>
      <c r="J166" s="482"/>
      <c r="K166" s="409"/>
      <c r="L166" s="410"/>
      <c r="M166" s="410"/>
      <c r="N166" s="410"/>
      <c r="O166" s="410"/>
      <c r="P166" s="410"/>
      <c r="Q166" s="410"/>
      <c r="R166" s="446"/>
      <c r="S166" s="447"/>
      <c r="T166" s="446"/>
      <c r="U166" s="44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88"/>
      <c r="AT166" s="489"/>
      <c r="AU166" s="489"/>
      <c r="AV166" s="489"/>
      <c r="AW166" s="489"/>
      <c r="AX166" s="489"/>
      <c r="AY166" s="490"/>
      <c r="AZ166" s="464"/>
      <c r="BA166" s="465"/>
      <c r="BB166" s="62">
        <v>6</v>
      </c>
      <c r="BC166" s="426"/>
      <c r="BD166" s="427"/>
      <c r="BE166" s="427"/>
      <c r="BF166" s="428"/>
      <c r="BG166" s="429"/>
      <c r="BH166" s="430"/>
      <c r="BI166" s="196"/>
      <c r="BJ166" s="474"/>
      <c r="BK166" s="475"/>
      <c r="BL166" s="475"/>
      <c r="BM166" s="475"/>
      <c r="BN166" s="475"/>
      <c r="BO166" s="476"/>
      <c r="BP166" s="474"/>
      <c r="BQ166" s="475"/>
      <c r="BR166" s="475"/>
      <c r="BS166" s="475"/>
      <c r="BT166" s="475"/>
      <c r="BU166" s="476"/>
      <c r="BV166" s="474"/>
      <c r="BW166" s="475"/>
      <c r="BX166" s="475"/>
      <c r="BY166" s="475"/>
      <c r="BZ166" s="475"/>
      <c r="CA166" s="476"/>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5">
      <c r="A167" s="434">
        <v>27</v>
      </c>
      <c r="B167" s="36"/>
      <c r="C167" s="198" t="str">
        <f t="shared" ca="1" si="4"/>
        <v/>
      </c>
      <c r="D167" s="477"/>
      <c r="E167" s="478"/>
      <c r="F167" s="478"/>
      <c r="G167" s="478"/>
      <c r="H167" s="478"/>
      <c r="I167" s="478"/>
      <c r="J167" s="478"/>
      <c r="K167" s="438" t="s">
        <v>365</v>
      </c>
      <c r="L167" s="439"/>
      <c r="M167" s="439"/>
      <c r="N167" s="439"/>
      <c r="O167" s="439"/>
      <c r="P167" s="439"/>
      <c r="Q167" s="439"/>
      <c r="R167" s="442" t="s">
        <v>186</v>
      </c>
      <c r="S167" s="443"/>
      <c r="T167" s="442"/>
      <c r="U167" s="443"/>
      <c r="V167" s="438"/>
      <c r="W167" s="439"/>
      <c r="X167" s="439"/>
      <c r="Y167" s="439"/>
      <c r="Z167" s="439"/>
      <c r="AA167" s="439"/>
      <c r="AB167" s="439"/>
      <c r="AC167" s="439"/>
      <c r="AD167" s="438"/>
      <c r="AE167" s="439"/>
      <c r="AF167" s="439"/>
      <c r="AG167" s="439"/>
      <c r="AH167" s="439"/>
      <c r="AI167" s="439"/>
      <c r="AJ167" s="439"/>
      <c r="AK167" s="449"/>
      <c r="AL167" s="438"/>
      <c r="AM167" s="439"/>
      <c r="AN167" s="439"/>
      <c r="AO167" s="439"/>
      <c r="AP167" s="439"/>
      <c r="AQ167" s="439"/>
      <c r="AR167" s="449"/>
      <c r="AS167" s="500"/>
      <c r="AT167" s="483"/>
      <c r="AU167" s="483"/>
      <c r="AV167" s="483"/>
      <c r="AW167" s="483"/>
      <c r="AX167" s="483"/>
      <c r="AY167" s="484"/>
      <c r="AZ167" s="460"/>
      <c r="BA167" s="461"/>
      <c r="BB167" s="60">
        <v>1</v>
      </c>
      <c r="BC167" s="466"/>
      <c r="BD167" s="467"/>
      <c r="BE167" s="467"/>
      <c r="BF167" s="468"/>
      <c r="BG167" s="469"/>
      <c r="BH167" s="470"/>
      <c r="BI167" s="194"/>
      <c r="BJ167" s="471"/>
      <c r="BK167" s="472"/>
      <c r="BL167" s="472"/>
      <c r="BM167" s="472"/>
      <c r="BN167" s="472"/>
      <c r="BO167" s="473"/>
      <c r="BP167" s="471"/>
      <c r="BQ167" s="472"/>
      <c r="BR167" s="472"/>
      <c r="BS167" s="472"/>
      <c r="BT167" s="472"/>
      <c r="BU167" s="473"/>
      <c r="BV167" s="471"/>
      <c r="BW167" s="472"/>
      <c r="BX167" s="472"/>
      <c r="BY167" s="472"/>
      <c r="BZ167" s="472"/>
      <c r="CA167" s="473"/>
      <c r="CB167" s="466"/>
      <c r="CC167" s="467"/>
      <c r="CD167" s="467"/>
      <c r="CE167" s="468"/>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5">
      <c r="A168" s="435"/>
      <c r="B168" s="36"/>
      <c r="C168" s="199" t="str">
        <f t="shared" ca="1" si="4"/>
        <v/>
      </c>
      <c r="D168" s="479"/>
      <c r="E168" s="480"/>
      <c r="F168" s="480"/>
      <c r="G168" s="480"/>
      <c r="H168" s="480"/>
      <c r="I168" s="480"/>
      <c r="J168" s="480"/>
      <c r="K168" s="440"/>
      <c r="L168" s="441"/>
      <c r="M168" s="441"/>
      <c r="N168" s="441"/>
      <c r="O168" s="441"/>
      <c r="P168" s="441"/>
      <c r="Q168" s="441"/>
      <c r="R168" s="444"/>
      <c r="S168" s="445"/>
      <c r="T168" s="444"/>
      <c r="U168" s="445"/>
      <c r="V168" s="440"/>
      <c r="W168" s="441"/>
      <c r="X168" s="441"/>
      <c r="Y168" s="441"/>
      <c r="Z168" s="441"/>
      <c r="AA168" s="441"/>
      <c r="AB168" s="441"/>
      <c r="AC168" s="441"/>
      <c r="AD168" s="440"/>
      <c r="AE168" s="441"/>
      <c r="AF168" s="441"/>
      <c r="AG168" s="441"/>
      <c r="AH168" s="441"/>
      <c r="AI168" s="441"/>
      <c r="AJ168" s="441"/>
      <c r="AK168" s="450"/>
      <c r="AL168" s="440"/>
      <c r="AM168" s="441"/>
      <c r="AN168" s="441"/>
      <c r="AO168" s="441"/>
      <c r="AP168" s="441"/>
      <c r="AQ168" s="441"/>
      <c r="AR168" s="450"/>
      <c r="AS168" s="485"/>
      <c r="AT168" s="486"/>
      <c r="AU168" s="486"/>
      <c r="AV168" s="486"/>
      <c r="AW168" s="486"/>
      <c r="AX168" s="486"/>
      <c r="AY168" s="487"/>
      <c r="AZ168" s="462"/>
      <c r="BA168" s="463"/>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5">
      <c r="A169" s="435"/>
      <c r="B169" s="36"/>
      <c r="C169" s="199" t="str">
        <f t="shared" ca="1" si="4"/>
        <v/>
      </c>
      <c r="D169" s="479"/>
      <c r="E169" s="480"/>
      <c r="F169" s="480"/>
      <c r="G169" s="480"/>
      <c r="H169" s="480"/>
      <c r="I169" s="480"/>
      <c r="J169" s="480"/>
      <c r="K169" s="440"/>
      <c r="L169" s="441"/>
      <c r="M169" s="441"/>
      <c r="N169" s="441"/>
      <c r="O169" s="441"/>
      <c r="P169" s="441"/>
      <c r="Q169" s="441"/>
      <c r="R169" s="444"/>
      <c r="S169" s="445"/>
      <c r="T169" s="444"/>
      <c r="U169" s="445"/>
      <c r="V169" s="440"/>
      <c r="W169" s="441"/>
      <c r="X169" s="441"/>
      <c r="Y169" s="441"/>
      <c r="Z169" s="441"/>
      <c r="AA169" s="441"/>
      <c r="AB169" s="441"/>
      <c r="AC169" s="441"/>
      <c r="AD169" s="440"/>
      <c r="AE169" s="441"/>
      <c r="AF169" s="441"/>
      <c r="AG169" s="441"/>
      <c r="AH169" s="441"/>
      <c r="AI169" s="441"/>
      <c r="AJ169" s="441"/>
      <c r="AK169" s="450"/>
      <c r="AL169" s="440"/>
      <c r="AM169" s="441"/>
      <c r="AN169" s="441"/>
      <c r="AO169" s="441"/>
      <c r="AP169" s="441"/>
      <c r="AQ169" s="441"/>
      <c r="AR169" s="450"/>
      <c r="AS169" s="485"/>
      <c r="AT169" s="486"/>
      <c r="AU169" s="486"/>
      <c r="AV169" s="486"/>
      <c r="AW169" s="486"/>
      <c r="AX169" s="486"/>
      <c r="AY169" s="487"/>
      <c r="AZ169" s="462"/>
      <c r="BA169" s="463"/>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5">
      <c r="A170" s="435"/>
      <c r="B170" s="36"/>
      <c r="C170" s="199" t="str">
        <f t="shared" ca="1" si="4"/>
        <v/>
      </c>
      <c r="D170" s="479"/>
      <c r="E170" s="480"/>
      <c r="F170" s="480"/>
      <c r="G170" s="480"/>
      <c r="H170" s="480"/>
      <c r="I170" s="480"/>
      <c r="J170" s="480"/>
      <c r="K170" s="440"/>
      <c r="L170" s="441"/>
      <c r="M170" s="441"/>
      <c r="N170" s="441"/>
      <c r="O170" s="441"/>
      <c r="P170" s="441"/>
      <c r="Q170" s="441"/>
      <c r="R170" s="444"/>
      <c r="S170" s="445"/>
      <c r="T170" s="444"/>
      <c r="U170" s="445"/>
      <c r="V170" s="440"/>
      <c r="W170" s="441"/>
      <c r="X170" s="441"/>
      <c r="Y170" s="441"/>
      <c r="Z170" s="441"/>
      <c r="AA170" s="441"/>
      <c r="AB170" s="441"/>
      <c r="AC170" s="441"/>
      <c r="AD170" s="440"/>
      <c r="AE170" s="441"/>
      <c r="AF170" s="441"/>
      <c r="AG170" s="441"/>
      <c r="AH170" s="441"/>
      <c r="AI170" s="441"/>
      <c r="AJ170" s="441"/>
      <c r="AK170" s="450"/>
      <c r="AL170" s="440"/>
      <c r="AM170" s="441"/>
      <c r="AN170" s="441"/>
      <c r="AO170" s="441"/>
      <c r="AP170" s="441"/>
      <c r="AQ170" s="441"/>
      <c r="AR170" s="450"/>
      <c r="AS170" s="485"/>
      <c r="AT170" s="486"/>
      <c r="AU170" s="486"/>
      <c r="AV170" s="486"/>
      <c r="AW170" s="486"/>
      <c r="AX170" s="486"/>
      <c r="AY170" s="487"/>
      <c r="AZ170" s="462"/>
      <c r="BA170" s="463"/>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5">
      <c r="A171" s="435"/>
      <c r="B171" s="36"/>
      <c r="C171" s="199" t="str">
        <f t="shared" ca="1" si="4"/>
        <v/>
      </c>
      <c r="D171" s="479"/>
      <c r="E171" s="480"/>
      <c r="F171" s="480"/>
      <c r="G171" s="480"/>
      <c r="H171" s="480"/>
      <c r="I171" s="480"/>
      <c r="J171" s="480"/>
      <c r="K171" s="440"/>
      <c r="L171" s="441"/>
      <c r="M171" s="441"/>
      <c r="N171" s="441"/>
      <c r="O171" s="441"/>
      <c r="P171" s="441"/>
      <c r="Q171" s="441"/>
      <c r="R171" s="444"/>
      <c r="S171" s="445"/>
      <c r="T171" s="444"/>
      <c r="U171" s="445"/>
      <c r="V171" s="440"/>
      <c r="W171" s="441"/>
      <c r="X171" s="441"/>
      <c r="Y171" s="441"/>
      <c r="Z171" s="441"/>
      <c r="AA171" s="441"/>
      <c r="AB171" s="441"/>
      <c r="AC171" s="441"/>
      <c r="AD171" s="440"/>
      <c r="AE171" s="441"/>
      <c r="AF171" s="441"/>
      <c r="AG171" s="441"/>
      <c r="AH171" s="441"/>
      <c r="AI171" s="441"/>
      <c r="AJ171" s="441"/>
      <c r="AK171" s="450"/>
      <c r="AL171" s="440"/>
      <c r="AM171" s="441"/>
      <c r="AN171" s="441"/>
      <c r="AO171" s="441"/>
      <c r="AP171" s="441"/>
      <c r="AQ171" s="441"/>
      <c r="AR171" s="450"/>
      <c r="AS171" s="485"/>
      <c r="AT171" s="486"/>
      <c r="AU171" s="486"/>
      <c r="AV171" s="486"/>
      <c r="AW171" s="486"/>
      <c r="AX171" s="486"/>
      <c r="AY171" s="487"/>
      <c r="AZ171" s="462"/>
      <c r="BA171" s="463"/>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5">
      <c r="A172" s="436"/>
      <c r="B172" s="37"/>
      <c r="C172" s="200" t="str">
        <f t="shared" ca="1" si="4"/>
        <v/>
      </c>
      <c r="D172" s="481"/>
      <c r="E172" s="482"/>
      <c r="F172" s="482"/>
      <c r="G172" s="482"/>
      <c r="H172" s="482"/>
      <c r="I172" s="482"/>
      <c r="J172" s="482"/>
      <c r="K172" s="409"/>
      <c r="L172" s="410"/>
      <c r="M172" s="410"/>
      <c r="N172" s="410"/>
      <c r="O172" s="410"/>
      <c r="P172" s="410"/>
      <c r="Q172" s="410"/>
      <c r="R172" s="446"/>
      <c r="S172" s="447"/>
      <c r="T172" s="446"/>
      <c r="U172" s="44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88"/>
      <c r="AT172" s="489"/>
      <c r="AU172" s="489"/>
      <c r="AV172" s="489"/>
      <c r="AW172" s="489"/>
      <c r="AX172" s="489"/>
      <c r="AY172" s="490"/>
      <c r="AZ172" s="464"/>
      <c r="BA172" s="465"/>
      <c r="BB172" s="62">
        <v>6</v>
      </c>
      <c r="BC172" s="426"/>
      <c r="BD172" s="427"/>
      <c r="BE172" s="427"/>
      <c r="BF172" s="428"/>
      <c r="BG172" s="429"/>
      <c r="BH172" s="430"/>
      <c r="BI172" s="196"/>
      <c r="BJ172" s="474"/>
      <c r="BK172" s="475"/>
      <c r="BL172" s="475"/>
      <c r="BM172" s="475"/>
      <c r="BN172" s="475"/>
      <c r="BO172" s="476"/>
      <c r="BP172" s="474"/>
      <c r="BQ172" s="475"/>
      <c r="BR172" s="475"/>
      <c r="BS172" s="475"/>
      <c r="BT172" s="475"/>
      <c r="BU172" s="476"/>
      <c r="BV172" s="474"/>
      <c r="BW172" s="475"/>
      <c r="BX172" s="475"/>
      <c r="BY172" s="475"/>
      <c r="BZ172" s="475"/>
      <c r="CA172" s="476"/>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5">
      <c r="A173" s="434">
        <v>28</v>
      </c>
      <c r="B173" s="36"/>
      <c r="C173" s="198" t="str">
        <f t="shared" ca="1" si="4"/>
        <v/>
      </c>
      <c r="D173" s="477"/>
      <c r="E173" s="478"/>
      <c r="F173" s="478"/>
      <c r="G173" s="478"/>
      <c r="H173" s="478"/>
      <c r="I173" s="478"/>
      <c r="J173" s="478"/>
      <c r="K173" s="438" t="s">
        <v>366</v>
      </c>
      <c r="L173" s="439"/>
      <c r="M173" s="439"/>
      <c r="N173" s="439"/>
      <c r="O173" s="439"/>
      <c r="P173" s="439"/>
      <c r="Q173" s="439"/>
      <c r="R173" s="442" t="s">
        <v>186</v>
      </c>
      <c r="S173" s="443"/>
      <c r="T173" s="442"/>
      <c r="U173" s="443"/>
      <c r="V173" s="438"/>
      <c r="W173" s="439"/>
      <c r="X173" s="439"/>
      <c r="Y173" s="439"/>
      <c r="Z173" s="439"/>
      <c r="AA173" s="439"/>
      <c r="AB173" s="439"/>
      <c r="AC173" s="439"/>
      <c r="AD173" s="438"/>
      <c r="AE173" s="439"/>
      <c r="AF173" s="439"/>
      <c r="AG173" s="439"/>
      <c r="AH173" s="439"/>
      <c r="AI173" s="439"/>
      <c r="AJ173" s="439"/>
      <c r="AK173" s="449"/>
      <c r="AL173" s="438"/>
      <c r="AM173" s="439"/>
      <c r="AN173" s="439"/>
      <c r="AO173" s="439"/>
      <c r="AP173" s="439"/>
      <c r="AQ173" s="439"/>
      <c r="AR173" s="449"/>
      <c r="AS173" s="500"/>
      <c r="AT173" s="483"/>
      <c r="AU173" s="483"/>
      <c r="AV173" s="483"/>
      <c r="AW173" s="483"/>
      <c r="AX173" s="483"/>
      <c r="AY173" s="484"/>
      <c r="AZ173" s="460"/>
      <c r="BA173" s="461"/>
      <c r="BB173" s="60">
        <v>1</v>
      </c>
      <c r="BC173" s="466"/>
      <c r="BD173" s="467"/>
      <c r="BE173" s="467"/>
      <c r="BF173" s="468"/>
      <c r="BG173" s="469"/>
      <c r="BH173" s="470"/>
      <c r="BI173" s="194"/>
      <c r="BJ173" s="471"/>
      <c r="BK173" s="472"/>
      <c r="BL173" s="472"/>
      <c r="BM173" s="472"/>
      <c r="BN173" s="472"/>
      <c r="BO173" s="473"/>
      <c r="BP173" s="471"/>
      <c r="BQ173" s="472"/>
      <c r="BR173" s="472"/>
      <c r="BS173" s="472"/>
      <c r="BT173" s="472"/>
      <c r="BU173" s="473"/>
      <c r="BV173" s="471"/>
      <c r="BW173" s="472"/>
      <c r="BX173" s="472"/>
      <c r="BY173" s="472"/>
      <c r="BZ173" s="472"/>
      <c r="CA173" s="473"/>
      <c r="CB173" s="466"/>
      <c r="CC173" s="467"/>
      <c r="CD173" s="467"/>
      <c r="CE173" s="468"/>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5">
      <c r="A174" s="435"/>
      <c r="B174" s="36"/>
      <c r="C174" s="199" t="str">
        <f t="shared" ca="1" si="4"/>
        <v/>
      </c>
      <c r="D174" s="479"/>
      <c r="E174" s="480"/>
      <c r="F174" s="480"/>
      <c r="G174" s="480"/>
      <c r="H174" s="480"/>
      <c r="I174" s="480"/>
      <c r="J174" s="480"/>
      <c r="K174" s="440"/>
      <c r="L174" s="441"/>
      <c r="M174" s="441"/>
      <c r="N174" s="441"/>
      <c r="O174" s="441"/>
      <c r="P174" s="441"/>
      <c r="Q174" s="441"/>
      <c r="R174" s="444"/>
      <c r="S174" s="445"/>
      <c r="T174" s="444"/>
      <c r="U174" s="445"/>
      <c r="V174" s="440"/>
      <c r="W174" s="441"/>
      <c r="X174" s="441"/>
      <c r="Y174" s="441"/>
      <c r="Z174" s="441"/>
      <c r="AA174" s="441"/>
      <c r="AB174" s="441"/>
      <c r="AC174" s="441"/>
      <c r="AD174" s="440"/>
      <c r="AE174" s="441"/>
      <c r="AF174" s="441"/>
      <c r="AG174" s="441"/>
      <c r="AH174" s="441"/>
      <c r="AI174" s="441"/>
      <c r="AJ174" s="441"/>
      <c r="AK174" s="450"/>
      <c r="AL174" s="440"/>
      <c r="AM174" s="441"/>
      <c r="AN174" s="441"/>
      <c r="AO174" s="441"/>
      <c r="AP174" s="441"/>
      <c r="AQ174" s="441"/>
      <c r="AR174" s="450"/>
      <c r="AS174" s="485"/>
      <c r="AT174" s="486"/>
      <c r="AU174" s="486"/>
      <c r="AV174" s="486"/>
      <c r="AW174" s="486"/>
      <c r="AX174" s="486"/>
      <c r="AY174" s="487"/>
      <c r="AZ174" s="462"/>
      <c r="BA174" s="463"/>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5">
      <c r="A175" s="435"/>
      <c r="B175" s="36"/>
      <c r="C175" s="199" t="str">
        <f t="shared" ca="1" si="4"/>
        <v/>
      </c>
      <c r="D175" s="479"/>
      <c r="E175" s="480"/>
      <c r="F175" s="480"/>
      <c r="G175" s="480"/>
      <c r="H175" s="480"/>
      <c r="I175" s="480"/>
      <c r="J175" s="480"/>
      <c r="K175" s="440"/>
      <c r="L175" s="441"/>
      <c r="M175" s="441"/>
      <c r="N175" s="441"/>
      <c r="O175" s="441"/>
      <c r="P175" s="441"/>
      <c r="Q175" s="441"/>
      <c r="R175" s="444"/>
      <c r="S175" s="445"/>
      <c r="T175" s="444"/>
      <c r="U175" s="445"/>
      <c r="V175" s="440"/>
      <c r="W175" s="441"/>
      <c r="X175" s="441"/>
      <c r="Y175" s="441"/>
      <c r="Z175" s="441"/>
      <c r="AA175" s="441"/>
      <c r="AB175" s="441"/>
      <c r="AC175" s="441"/>
      <c r="AD175" s="440"/>
      <c r="AE175" s="441"/>
      <c r="AF175" s="441"/>
      <c r="AG175" s="441"/>
      <c r="AH175" s="441"/>
      <c r="AI175" s="441"/>
      <c r="AJ175" s="441"/>
      <c r="AK175" s="450"/>
      <c r="AL175" s="440"/>
      <c r="AM175" s="441"/>
      <c r="AN175" s="441"/>
      <c r="AO175" s="441"/>
      <c r="AP175" s="441"/>
      <c r="AQ175" s="441"/>
      <c r="AR175" s="450"/>
      <c r="AS175" s="485"/>
      <c r="AT175" s="486"/>
      <c r="AU175" s="486"/>
      <c r="AV175" s="486"/>
      <c r="AW175" s="486"/>
      <c r="AX175" s="486"/>
      <c r="AY175" s="487"/>
      <c r="AZ175" s="462"/>
      <c r="BA175" s="463"/>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5">
      <c r="A176" s="435"/>
      <c r="B176" s="36"/>
      <c r="C176" s="199" t="str">
        <f t="shared" ca="1" si="4"/>
        <v/>
      </c>
      <c r="D176" s="479"/>
      <c r="E176" s="480"/>
      <c r="F176" s="480"/>
      <c r="G176" s="480"/>
      <c r="H176" s="480"/>
      <c r="I176" s="480"/>
      <c r="J176" s="480"/>
      <c r="K176" s="440"/>
      <c r="L176" s="441"/>
      <c r="M176" s="441"/>
      <c r="N176" s="441"/>
      <c r="O176" s="441"/>
      <c r="P176" s="441"/>
      <c r="Q176" s="441"/>
      <c r="R176" s="444"/>
      <c r="S176" s="445"/>
      <c r="T176" s="444"/>
      <c r="U176" s="445"/>
      <c r="V176" s="440"/>
      <c r="W176" s="441"/>
      <c r="X176" s="441"/>
      <c r="Y176" s="441"/>
      <c r="Z176" s="441"/>
      <c r="AA176" s="441"/>
      <c r="AB176" s="441"/>
      <c r="AC176" s="441"/>
      <c r="AD176" s="440"/>
      <c r="AE176" s="441"/>
      <c r="AF176" s="441"/>
      <c r="AG176" s="441"/>
      <c r="AH176" s="441"/>
      <c r="AI176" s="441"/>
      <c r="AJ176" s="441"/>
      <c r="AK176" s="450"/>
      <c r="AL176" s="440"/>
      <c r="AM176" s="441"/>
      <c r="AN176" s="441"/>
      <c r="AO176" s="441"/>
      <c r="AP176" s="441"/>
      <c r="AQ176" s="441"/>
      <c r="AR176" s="450"/>
      <c r="AS176" s="485"/>
      <c r="AT176" s="486"/>
      <c r="AU176" s="486"/>
      <c r="AV176" s="486"/>
      <c r="AW176" s="486"/>
      <c r="AX176" s="486"/>
      <c r="AY176" s="487"/>
      <c r="AZ176" s="462"/>
      <c r="BA176" s="463"/>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5">
      <c r="A177" s="435"/>
      <c r="B177" s="36"/>
      <c r="C177" s="199" t="str">
        <f t="shared" ca="1" si="4"/>
        <v/>
      </c>
      <c r="D177" s="479"/>
      <c r="E177" s="480"/>
      <c r="F177" s="480"/>
      <c r="G177" s="480"/>
      <c r="H177" s="480"/>
      <c r="I177" s="480"/>
      <c r="J177" s="480"/>
      <c r="K177" s="440"/>
      <c r="L177" s="441"/>
      <c r="M177" s="441"/>
      <c r="N177" s="441"/>
      <c r="O177" s="441"/>
      <c r="P177" s="441"/>
      <c r="Q177" s="441"/>
      <c r="R177" s="444"/>
      <c r="S177" s="445"/>
      <c r="T177" s="444"/>
      <c r="U177" s="445"/>
      <c r="V177" s="440"/>
      <c r="W177" s="441"/>
      <c r="X177" s="441"/>
      <c r="Y177" s="441"/>
      <c r="Z177" s="441"/>
      <c r="AA177" s="441"/>
      <c r="AB177" s="441"/>
      <c r="AC177" s="441"/>
      <c r="AD177" s="440"/>
      <c r="AE177" s="441"/>
      <c r="AF177" s="441"/>
      <c r="AG177" s="441"/>
      <c r="AH177" s="441"/>
      <c r="AI177" s="441"/>
      <c r="AJ177" s="441"/>
      <c r="AK177" s="450"/>
      <c r="AL177" s="440"/>
      <c r="AM177" s="441"/>
      <c r="AN177" s="441"/>
      <c r="AO177" s="441"/>
      <c r="AP177" s="441"/>
      <c r="AQ177" s="441"/>
      <c r="AR177" s="450"/>
      <c r="AS177" s="485"/>
      <c r="AT177" s="486"/>
      <c r="AU177" s="486"/>
      <c r="AV177" s="486"/>
      <c r="AW177" s="486"/>
      <c r="AX177" s="486"/>
      <c r="AY177" s="487"/>
      <c r="AZ177" s="462"/>
      <c r="BA177" s="463"/>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5">
      <c r="A178" s="436"/>
      <c r="B178" s="37"/>
      <c r="C178" s="200" t="str">
        <f t="shared" ca="1" si="4"/>
        <v/>
      </c>
      <c r="D178" s="481"/>
      <c r="E178" s="482"/>
      <c r="F178" s="482"/>
      <c r="G178" s="482"/>
      <c r="H178" s="482"/>
      <c r="I178" s="482"/>
      <c r="J178" s="482"/>
      <c r="K178" s="409"/>
      <c r="L178" s="410"/>
      <c r="M178" s="410"/>
      <c r="N178" s="410"/>
      <c r="O178" s="410"/>
      <c r="P178" s="410"/>
      <c r="Q178" s="410"/>
      <c r="R178" s="446"/>
      <c r="S178" s="447"/>
      <c r="T178" s="446"/>
      <c r="U178" s="44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88"/>
      <c r="AT178" s="489"/>
      <c r="AU178" s="489"/>
      <c r="AV178" s="489"/>
      <c r="AW178" s="489"/>
      <c r="AX178" s="489"/>
      <c r="AY178" s="490"/>
      <c r="AZ178" s="464"/>
      <c r="BA178" s="465"/>
      <c r="BB178" s="62">
        <v>6</v>
      </c>
      <c r="BC178" s="426"/>
      <c r="BD178" s="427"/>
      <c r="BE178" s="427"/>
      <c r="BF178" s="428"/>
      <c r="BG178" s="429"/>
      <c r="BH178" s="430"/>
      <c r="BI178" s="196"/>
      <c r="BJ178" s="474"/>
      <c r="BK178" s="475"/>
      <c r="BL178" s="475"/>
      <c r="BM178" s="475"/>
      <c r="BN178" s="475"/>
      <c r="BO178" s="476"/>
      <c r="BP178" s="474"/>
      <c r="BQ178" s="475"/>
      <c r="BR178" s="475"/>
      <c r="BS178" s="475"/>
      <c r="BT178" s="475"/>
      <c r="BU178" s="476"/>
      <c r="BV178" s="474"/>
      <c r="BW178" s="475"/>
      <c r="BX178" s="475"/>
      <c r="BY178" s="475"/>
      <c r="BZ178" s="475"/>
      <c r="CA178" s="476"/>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5">
      <c r="A179" s="434">
        <v>29</v>
      </c>
      <c r="B179" s="36"/>
      <c r="C179" s="198" t="str">
        <f t="shared" ca="1" si="4"/>
        <v/>
      </c>
      <c r="D179" s="477"/>
      <c r="E179" s="478"/>
      <c r="F179" s="478"/>
      <c r="G179" s="478"/>
      <c r="H179" s="478"/>
      <c r="I179" s="478"/>
      <c r="J179" s="478"/>
      <c r="K179" s="438" t="s">
        <v>367</v>
      </c>
      <c r="L179" s="439"/>
      <c r="M179" s="439"/>
      <c r="N179" s="439"/>
      <c r="O179" s="439"/>
      <c r="P179" s="439"/>
      <c r="Q179" s="439"/>
      <c r="R179" s="442" t="s">
        <v>186</v>
      </c>
      <c r="S179" s="443"/>
      <c r="T179" s="442"/>
      <c r="U179" s="443"/>
      <c r="V179" s="438"/>
      <c r="W179" s="439"/>
      <c r="X179" s="439"/>
      <c r="Y179" s="439"/>
      <c r="Z179" s="439"/>
      <c r="AA179" s="439"/>
      <c r="AB179" s="439"/>
      <c r="AC179" s="439"/>
      <c r="AD179" s="438"/>
      <c r="AE179" s="439"/>
      <c r="AF179" s="439"/>
      <c r="AG179" s="439"/>
      <c r="AH179" s="439"/>
      <c r="AI179" s="439"/>
      <c r="AJ179" s="439"/>
      <c r="AK179" s="449"/>
      <c r="AL179" s="438"/>
      <c r="AM179" s="439"/>
      <c r="AN179" s="439"/>
      <c r="AO179" s="439"/>
      <c r="AP179" s="439"/>
      <c r="AQ179" s="439"/>
      <c r="AR179" s="449"/>
      <c r="AS179" s="500"/>
      <c r="AT179" s="483"/>
      <c r="AU179" s="483"/>
      <c r="AV179" s="483"/>
      <c r="AW179" s="483"/>
      <c r="AX179" s="483"/>
      <c r="AY179" s="484"/>
      <c r="AZ179" s="633"/>
      <c r="BA179" s="634"/>
      <c r="BB179" s="60">
        <v>1</v>
      </c>
      <c r="BC179" s="623"/>
      <c r="BD179" s="624"/>
      <c r="BE179" s="624"/>
      <c r="BF179" s="625"/>
      <c r="BG179" s="626"/>
      <c r="BH179" s="627"/>
      <c r="BI179" s="234"/>
      <c r="BJ179" s="471"/>
      <c r="BK179" s="472"/>
      <c r="BL179" s="472"/>
      <c r="BM179" s="472"/>
      <c r="BN179" s="472"/>
      <c r="BO179" s="473"/>
      <c r="BP179" s="471"/>
      <c r="BQ179" s="472"/>
      <c r="BR179" s="472"/>
      <c r="BS179" s="472"/>
      <c r="BT179" s="472"/>
      <c r="BU179" s="473"/>
      <c r="BV179" s="471"/>
      <c r="BW179" s="472"/>
      <c r="BX179" s="472"/>
      <c r="BY179" s="472"/>
      <c r="BZ179" s="472"/>
      <c r="CA179" s="473"/>
      <c r="CB179" s="623"/>
      <c r="CC179" s="624"/>
      <c r="CD179" s="624"/>
      <c r="CE179" s="625"/>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5">
      <c r="A180" s="435"/>
      <c r="B180" s="36"/>
      <c r="C180" s="199" t="str">
        <f t="shared" ca="1" si="4"/>
        <v/>
      </c>
      <c r="D180" s="479"/>
      <c r="E180" s="480"/>
      <c r="F180" s="480"/>
      <c r="G180" s="480"/>
      <c r="H180" s="480"/>
      <c r="I180" s="480"/>
      <c r="J180" s="480"/>
      <c r="K180" s="440"/>
      <c r="L180" s="441"/>
      <c r="M180" s="441"/>
      <c r="N180" s="441"/>
      <c r="O180" s="441"/>
      <c r="P180" s="441"/>
      <c r="Q180" s="441"/>
      <c r="R180" s="444"/>
      <c r="S180" s="445"/>
      <c r="T180" s="444"/>
      <c r="U180" s="445"/>
      <c r="V180" s="440"/>
      <c r="W180" s="441"/>
      <c r="X180" s="441"/>
      <c r="Y180" s="441"/>
      <c r="Z180" s="441"/>
      <c r="AA180" s="441"/>
      <c r="AB180" s="441"/>
      <c r="AC180" s="441"/>
      <c r="AD180" s="440"/>
      <c r="AE180" s="441"/>
      <c r="AF180" s="441"/>
      <c r="AG180" s="441"/>
      <c r="AH180" s="441"/>
      <c r="AI180" s="441"/>
      <c r="AJ180" s="441"/>
      <c r="AK180" s="450"/>
      <c r="AL180" s="440"/>
      <c r="AM180" s="441"/>
      <c r="AN180" s="441"/>
      <c r="AO180" s="441"/>
      <c r="AP180" s="441"/>
      <c r="AQ180" s="441"/>
      <c r="AR180" s="450"/>
      <c r="AS180" s="485"/>
      <c r="AT180" s="486"/>
      <c r="AU180" s="486"/>
      <c r="AV180" s="486"/>
      <c r="AW180" s="486"/>
      <c r="AX180" s="486"/>
      <c r="AY180" s="487"/>
      <c r="AZ180" s="635"/>
      <c r="BA180" s="636"/>
      <c r="BB180" s="61">
        <v>2</v>
      </c>
      <c r="BC180" s="618"/>
      <c r="BD180" s="619"/>
      <c r="BE180" s="619"/>
      <c r="BF180" s="620"/>
      <c r="BG180" s="621"/>
      <c r="BH180" s="622"/>
      <c r="BI180" s="235"/>
      <c r="BJ180" s="423"/>
      <c r="BK180" s="424"/>
      <c r="BL180" s="424"/>
      <c r="BM180" s="424"/>
      <c r="BN180" s="424"/>
      <c r="BO180" s="425"/>
      <c r="BP180" s="423"/>
      <c r="BQ180" s="424"/>
      <c r="BR180" s="424"/>
      <c r="BS180" s="424"/>
      <c r="BT180" s="424"/>
      <c r="BU180" s="425"/>
      <c r="BV180" s="423"/>
      <c r="BW180" s="424"/>
      <c r="BX180" s="424"/>
      <c r="BY180" s="424"/>
      <c r="BZ180" s="424"/>
      <c r="CA180" s="425"/>
      <c r="CB180" s="618"/>
      <c r="CC180" s="619"/>
      <c r="CD180" s="619"/>
      <c r="CE180" s="6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5">
      <c r="A181" s="435"/>
      <c r="B181" s="36"/>
      <c r="C181" s="199" t="str">
        <f t="shared" ca="1" si="4"/>
        <v/>
      </c>
      <c r="D181" s="479"/>
      <c r="E181" s="480"/>
      <c r="F181" s="480"/>
      <c r="G181" s="480"/>
      <c r="H181" s="480"/>
      <c r="I181" s="480"/>
      <c r="J181" s="480"/>
      <c r="K181" s="440"/>
      <c r="L181" s="441"/>
      <c r="M181" s="441"/>
      <c r="N181" s="441"/>
      <c r="O181" s="441"/>
      <c r="P181" s="441"/>
      <c r="Q181" s="441"/>
      <c r="R181" s="444"/>
      <c r="S181" s="445"/>
      <c r="T181" s="444"/>
      <c r="U181" s="445"/>
      <c r="V181" s="440"/>
      <c r="W181" s="441"/>
      <c r="X181" s="441"/>
      <c r="Y181" s="441"/>
      <c r="Z181" s="441"/>
      <c r="AA181" s="441"/>
      <c r="AB181" s="441"/>
      <c r="AC181" s="441"/>
      <c r="AD181" s="440"/>
      <c r="AE181" s="441"/>
      <c r="AF181" s="441"/>
      <c r="AG181" s="441"/>
      <c r="AH181" s="441"/>
      <c r="AI181" s="441"/>
      <c r="AJ181" s="441"/>
      <c r="AK181" s="450"/>
      <c r="AL181" s="440"/>
      <c r="AM181" s="441"/>
      <c r="AN181" s="441"/>
      <c r="AO181" s="441"/>
      <c r="AP181" s="441"/>
      <c r="AQ181" s="441"/>
      <c r="AR181" s="450"/>
      <c r="AS181" s="485"/>
      <c r="AT181" s="486"/>
      <c r="AU181" s="486"/>
      <c r="AV181" s="486"/>
      <c r="AW181" s="486"/>
      <c r="AX181" s="486"/>
      <c r="AY181" s="487"/>
      <c r="AZ181" s="635"/>
      <c r="BA181" s="636"/>
      <c r="BB181" s="61">
        <v>3</v>
      </c>
      <c r="BC181" s="618"/>
      <c r="BD181" s="619"/>
      <c r="BE181" s="619"/>
      <c r="BF181" s="620"/>
      <c r="BG181" s="621"/>
      <c r="BH181" s="622"/>
      <c r="BI181" s="235"/>
      <c r="BJ181" s="423"/>
      <c r="BK181" s="424"/>
      <c r="BL181" s="424"/>
      <c r="BM181" s="424"/>
      <c r="BN181" s="424"/>
      <c r="BO181" s="425"/>
      <c r="BP181" s="423"/>
      <c r="BQ181" s="424"/>
      <c r="BR181" s="424"/>
      <c r="BS181" s="424"/>
      <c r="BT181" s="424"/>
      <c r="BU181" s="425"/>
      <c r="BV181" s="423"/>
      <c r="BW181" s="424"/>
      <c r="BX181" s="424"/>
      <c r="BY181" s="424"/>
      <c r="BZ181" s="424"/>
      <c r="CA181" s="425"/>
      <c r="CB181" s="618"/>
      <c r="CC181" s="619"/>
      <c r="CD181" s="619"/>
      <c r="CE181" s="6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5">
      <c r="A182" s="435"/>
      <c r="B182" s="36"/>
      <c r="C182" s="199" t="str">
        <f t="shared" ca="1" si="4"/>
        <v/>
      </c>
      <c r="D182" s="479"/>
      <c r="E182" s="480"/>
      <c r="F182" s="480"/>
      <c r="G182" s="480"/>
      <c r="H182" s="480"/>
      <c r="I182" s="480"/>
      <c r="J182" s="480"/>
      <c r="K182" s="440"/>
      <c r="L182" s="441"/>
      <c r="M182" s="441"/>
      <c r="N182" s="441"/>
      <c r="O182" s="441"/>
      <c r="P182" s="441"/>
      <c r="Q182" s="441"/>
      <c r="R182" s="444"/>
      <c r="S182" s="445"/>
      <c r="T182" s="444"/>
      <c r="U182" s="445"/>
      <c r="V182" s="440"/>
      <c r="W182" s="441"/>
      <c r="X182" s="441"/>
      <c r="Y182" s="441"/>
      <c r="Z182" s="441"/>
      <c r="AA182" s="441"/>
      <c r="AB182" s="441"/>
      <c r="AC182" s="441"/>
      <c r="AD182" s="440"/>
      <c r="AE182" s="441"/>
      <c r="AF182" s="441"/>
      <c r="AG182" s="441"/>
      <c r="AH182" s="441"/>
      <c r="AI182" s="441"/>
      <c r="AJ182" s="441"/>
      <c r="AK182" s="450"/>
      <c r="AL182" s="440"/>
      <c r="AM182" s="441"/>
      <c r="AN182" s="441"/>
      <c r="AO182" s="441"/>
      <c r="AP182" s="441"/>
      <c r="AQ182" s="441"/>
      <c r="AR182" s="450"/>
      <c r="AS182" s="485"/>
      <c r="AT182" s="486"/>
      <c r="AU182" s="486"/>
      <c r="AV182" s="486"/>
      <c r="AW182" s="486"/>
      <c r="AX182" s="486"/>
      <c r="AY182" s="487"/>
      <c r="AZ182" s="635"/>
      <c r="BA182" s="636"/>
      <c r="BB182" s="61">
        <v>4</v>
      </c>
      <c r="BC182" s="618"/>
      <c r="BD182" s="619"/>
      <c r="BE182" s="619"/>
      <c r="BF182" s="620"/>
      <c r="BG182" s="621"/>
      <c r="BH182" s="622"/>
      <c r="BI182" s="235"/>
      <c r="BJ182" s="423"/>
      <c r="BK182" s="424"/>
      <c r="BL182" s="424"/>
      <c r="BM182" s="424"/>
      <c r="BN182" s="424"/>
      <c r="BO182" s="425"/>
      <c r="BP182" s="423"/>
      <c r="BQ182" s="424"/>
      <c r="BR182" s="424"/>
      <c r="BS182" s="424"/>
      <c r="BT182" s="424"/>
      <c r="BU182" s="425"/>
      <c r="BV182" s="423"/>
      <c r="BW182" s="424"/>
      <c r="BX182" s="424"/>
      <c r="BY182" s="424"/>
      <c r="BZ182" s="424"/>
      <c r="CA182" s="425"/>
      <c r="CB182" s="618"/>
      <c r="CC182" s="619"/>
      <c r="CD182" s="619"/>
      <c r="CE182" s="6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5">
      <c r="A183" s="435"/>
      <c r="B183" s="36"/>
      <c r="C183" s="199" t="str">
        <f t="shared" ca="1" si="4"/>
        <v/>
      </c>
      <c r="D183" s="479"/>
      <c r="E183" s="480"/>
      <c r="F183" s="480"/>
      <c r="G183" s="480"/>
      <c r="H183" s="480"/>
      <c r="I183" s="480"/>
      <c r="J183" s="480"/>
      <c r="K183" s="440"/>
      <c r="L183" s="441"/>
      <c r="M183" s="441"/>
      <c r="N183" s="441"/>
      <c r="O183" s="441"/>
      <c r="P183" s="441"/>
      <c r="Q183" s="441"/>
      <c r="R183" s="444"/>
      <c r="S183" s="445"/>
      <c r="T183" s="444"/>
      <c r="U183" s="445"/>
      <c r="V183" s="440"/>
      <c r="W183" s="441"/>
      <c r="X183" s="441"/>
      <c r="Y183" s="441"/>
      <c r="Z183" s="441"/>
      <c r="AA183" s="441"/>
      <c r="AB183" s="441"/>
      <c r="AC183" s="441"/>
      <c r="AD183" s="440"/>
      <c r="AE183" s="441"/>
      <c r="AF183" s="441"/>
      <c r="AG183" s="441"/>
      <c r="AH183" s="441"/>
      <c r="AI183" s="441"/>
      <c r="AJ183" s="441"/>
      <c r="AK183" s="450"/>
      <c r="AL183" s="440"/>
      <c r="AM183" s="441"/>
      <c r="AN183" s="441"/>
      <c r="AO183" s="441"/>
      <c r="AP183" s="441"/>
      <c r="AQ183" s="441"/>
      <c r="AR183" s="450"/>
      <c r="AS183" s="485"/>
      <c r="AT183" s="486"/>
      <c r="AU183" s="486"/>
      <c r="AV183" s="486"/>
      <c r="AW183" s="486"/>
      <c r="AX183" s="486"/>
      <c r="AY183" s="487"/>
      <c r="AZ183" s="635"/>
      <c r="BA183" s="636"/>
      <c r="BB183" s="61">
        <v>5</v>
      </c>
      <c r="BC183" s="618"/>
      <c r="BD183" s="619"/>
      <c r="BE183" s="619"/>
      <c r="BF183" s="620"/>
      <c r="BG183" s="621"/>
      <c r="BH183" s="622"/>
      <c r="BI183" s="235"/>
      <c r="BJ183" s="423"/>
      <c r="BK183" s="424"/>
      <c r="BL183" s="424"/>
      <c r="BM183" s="424"/>
      <c r="BN183" s="424"/>
      <c r="BO183" s="425"/>
      <c r="BP183" s="423"/>
      <c r="BQ183" s="424"/>
      <c r="BR183" s="424"/>
      <c r="BS183" s="424"/>
      <c r="BT183" s="424"/>
      <c r="BU183" s="425"/>
      <c r="BV183" s="423"/>
      <c r="BW183" s="424"/>
      <c r="BX183" s="424"/>
      <c r="BY183" s="424"/>
      <c r="BZ183" s="424"/>
      <c r="CA183" s="425"/>
      <c r="CB183" s="618"/>
      <c r="CC183" s="619"/>
      <c r="CD183" s="619"/>
      <c r="CE183" s="6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5">
      <c r="A184" s="436"/>
      <c r="B184" s="37"/>
      <c r="C184" s="200" t="str">
        <f t="shared" ca="1" si="4"/>
        <v/>
      </c>
      <c r="D184" s="481"/>
      <c r="E184" s="482"/>
      <c r="F184" s="482"/>
      <c r="G184" s="482"/>
      <c r="H184" s="482"/>
      <c r="I184" s="482"/>
      <c r="J184" s="482"/>
      <c r="K184" s="409"/>
      <c r="L184" s="410"/>
      <c r="M184" s="410"/>
      <c r="N184" s="410"/>
      <c r="O184" s="410"/>
      <c r="P184" s="410"/>
      <c r="Q184" s="410"/>
      <c r="R184" s="446"/>
      <c r="S184" s="447"/>
      <c r="T184" s="446"/>
      <c r="U184" s="44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88"/>
      <c r="AT184" s="489"/>
      <c r="AU184" s="489"/>
      <c r="AV184" s="489"/>
      <c r="AW184" s="489"/>
      <c r="AX184" s="489"/>
      <c r="AY184" s="490"/>
      <c r="AZ184" s="637"/>
      <c r="BA184" s="638"/>
      <c r="BB184" s="62">
        <v>6</v>
      </c>
      <c r="BC184" s="628"/>
      <c r="BD184" s="629"/>
      <c r="BE184" s="629"/>
      <c r="BF184" s="630"/>
      <c r="BG184" s="631"/>
      <c r="BH184" s="632"/>
      <c r="BI184" s="237"/>
      <c r="BJ184" s="474"/>
      <c r="BK184" s="475"/>
      <c r="BL184" s="475"/>
      <c r="BM184" s="475"/>
      <c r="BN184" s="475"/>
      <c r="BO184" s="476"/>
      <c r="BP184" s="474"/>
      <c r="BQ184" s="475"/>
      <c r="BR184" s="475"/>
      <c r="BS184" s="475"/>
      <c r="BT184" s="475"/>
      <c r="BU184" s="476"/>
      <c r="BV184" s="474"/>
      <c r="BW184" s="475"/>
      <c r="BX184" s="475"/>
      <c r="BY184" s="475"/>
      <c r="BZ184" s="475"/>
      <c r="CA184" s="476"/>
      <c r="CB184" s="628"/>
      <c r="CC184" s="629"/>
      <c r="CD184" s="629"/>
      <c r="CE184" s="630"/>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5">
      <c r="A185" s="434">
        <v>30</v>
      </c>
      <c r="B185" s="36"/>
      <c r="C185" s="198" t="str">
        <f t="shared" ca="1" si="4"/>
        <v/>
      </c>
      <c r="D185" s="477"/>
      <c r="E185" s="478"/>
      <c r="F185" s="478"/>
      <c r="G185" s="478"/>
      <c r="H185" s="478"/>
      <c r="I185" s="478"/>
      <c r="J185" s="478"/>
      <c r="K185" s="438" t="s">
        <v>368</v>
      </c>
      <c r="L185" s="439"/>
      <c r="M185" s="439"/>
      <c r="N185" s="439"/>
      <c r="O185" s="439"/>
      <c r="P185" s="439"/>
      <c r="Q185" s="439"/>
      <c r="R185" s="442" t="s">
        <v>186</v>
      </c>
      <c r="S185" s="443"/>
      <c r="T185" s="442"/>
      <c r="U185" s="443"/>
      <c r="V185" s="438"/>
      <c r="W185" s="439"/>
      <c r="X185" s="439"/>
      <c r="Y185" s="439"/>
      <c r="Z185" s="439"/>
      <c r="AA185" s="439"/>
      <c r="AB185" s="439"/>
      <c r="AC185" s="439"/>
      <c r="AD185" s="438"/>
      <c r="AE185" s="439"/>
      <c r="AF185" s="439"/>
      <c r="AG185" s="439"/>
      <c r="AH185" s="439"/>
      <c r="AI185" s="439"/>
      <c r="AJ185" s="439"/>
      <c r="AK185" s="449"/>
      <c r="AL185" s="438"/>
      <c r="AM185" s="439"/>
      <c r="AN185" s="439"/>
      <c r="AO185" s="439"/>
      <c r="AP185" s="439"/>
      <c r="AQ185" s="439"/>
      <c r="AR185" s="449"/>
      <c r="AS185" s="500"/>
      <c r="AT185" s="483"/>
      <c r="AU185" s="483"/>
      <c r="AV185" s="483"/>
      <c r="AW185" s="483"/>
      <c r="AX185" s="483"/>
      <c r="AY185" s="484"/>
      <c r="AZ185" s="460"/>
      <c r="BA185" s="461"/>
      <c r="BB185" s="60">
        <v>1</v>
      </c>
      <c r="BC185" s="466"/>
      <c r="BD185" s="467"/>
      <c r="BE185" s="467"/>
      <c r="BF185" s="468"/>
      <c r="BG185" s="469"/>
      <c r="BH185" s="470"/>
      <c r="BI185" s="194"/>
      <c r="BJ185" s="471"/>
      <c r="BK185" s="472"/>
      <c r="BL185" s="472"/>
      <c r="BM185" s="472"/>
      <c r="BN185" s="472"/>
      <c r="BO185" s="473"/>
      <c r="BP185" s="471"/>
      <c r="BQ185" s="472"/>
      <c r="BR185" s="472"/>
      <c r="BS185" s="472"/>
      <c r="BT185" s="472"/>
      <c r="BU185" s="473"/>
      <c r="BV185" s="471"/>
      <c r="BW185" s="472"/>
      <c r="BX185" s="472"/>
      <c r="BY185" s="472"/>
      <c r="BZ185" s="472"/>
      <c r="CA185" s="473"/>
      <c r="CB185" s="466"/>
      <c r="CC185" s="467"/>
      <c r="CD185" s="467"/>
      <c r="CE185" s="468"/>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5">
      <c r="A186" s="435"/>
      <c r="B186" s="36"/>
      <c r="C186" s="199" t="str">
        <f t="shared" ca="1" si="4"/>
        <v/>
      </c>
      <c r="D186" s="479"/>
      <c r="E186" s="480"/>
      <c r="F186" s="480"/>
      <c r="G186" s="480"/>
      <c r="H186" s="480"/>
      <c r="I186" s="480"/>
      <c r="J186" s="480"/>
      <c r="K186" s="440"/>
      <c r="L186" s="441"/>
      <c r="M186" s="441"/>
      <c r="N186" s="441"/>
      <c r="O186" s="441"/>
      <c r="P186" s="441"/>
      <c r="Q186" s="441"/>
      <c r="R186" s="444"/>
      <c r="S186" s="445"/>
      <c r="T186" s="444"/>
      <c r="U186" s="445"/>
      <c r="V186" s="440"/>
      <c r="W186" s="441"/>
      <c r="X186" s="441"/>
      <c r="Y186" s="441"/>
      <c r="Z186" s="441"/>
      <c r="AA186" s="441"/>
      <c r="AB186" s="441"/>
      <c r="AC186" s="441"/>
      <c r="AD186" s="440"/>
      <c r="AE186" s="441"/>
      <c r="AF186" s="441"/>
      <c r="AG186" s="441"/>
      <c r="AH186" s="441"/>
      <c r="AI186" s="441"/>
      <c r="AJ186" s="441"/>
      <c r="AK186" s="450"/>
      <c r="AL186" s="440"/>
      <c r="AM186" s="441"/>
      <c r="AN186" s="441"/>
      <c r="AO186" s="441"/>
      <c r="AP186" s="441"/>
      <c r="AQ186" s="441"/>
      <c r="AR186" s="450"/>
      <c r="AS186" s="485"/>
      <c r="AT186" s="486"/>
      <c r="AU186" s="486"/>
      <c r="AV186" s="486"/>
      <c r="AW186" s="486"/>
      <c r="AX186" s="486"/>
      <c r="AY186" s="487"/>
      <c r="AZ186" s="462"/>
      <c r="BA186" s="463"/>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5">
      <c r="A187" s="435"/>
      <c r="B187" s="36"/>
      <c r="C187" s="199" t="str">
        <f t="shared" ca="1" si="4"/>
        <v/>
      </c>
      <c r="D187" s="479"/>
      <c r="E187" s="480"/>
      <c r="F187" s="480"/>
      <c r="G187" s="480"/>
      <c r="H187" s="480"/>
      <c r="I187" s="480"/>
      <c r="J187" s="480"/>
      <c r="K187" s="440"/>
      <c r="L187" s="441"/>
      <c r="M187" s="441"/>
      <c r="N187" s="441"/>
      <c r="O187" s="441"/>
      <c r="P187" s="441"/>
      <c r="Q187" s="441"/>
      <c r="R187" s="444"/>
      <c r="S187" s="445"/>
      <c r="T187" s="444"/>
      <c r="U187" s="445"/>
      <c r="V187" s="440"/>
      <c r="W187" s="441"/>
      <c r="X187" s="441"/>
      <c r="Y187" s="441"/>
      <c r="Z187" s="441"/>
      <c r="AA187" s="441"/>
      <c r="AB187" s="441"/>
      <c r="AC187" s="441"/>
      <c r="AD187" s="440"/>
      <c r="AE187" s="441"/>
      <c r="AF187" s="441"/>
      <c r="AG187" s="441"/>
      <c r="AH187" s="441"/>
      <c r="AI187" s="441"/>
      <c r="AJ187" s="441"/>
      <c r="AK187" s="450"/>
      <c r="AL187" s="440"/>
      <c r="AM187" s="441"/>
      <c r="AN187" s="441"/>
      <c r="AO187" s="441"/>
      <c r="AP187" s="441"/>
      <c r="AQ187" s="441"/>
      <c r="AR187" s="450"/>
      <c r="AS187" s="485"/>
      <c r="AT187" s="486"/>
      <c r="AU187" s="486"/>
      <c r="AV187" s="486"/>
      <c r="AW187" s="486"/>
      <c r="AX187" s="486"/>
      <c r="AY187" s="487"/>
      <c r="AZ187" s="462"/>
      <c r="BA187" s="463"/>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5">
      <c r="A188" s="435"/>
      <c r="B188" s="36"/>
      <c r="C188" s="199" t="str">
        <f t="shared" ca="1" si="4"/>
        <v/>
      </c>
      <c r="D188" s="479"/>
      <c r="E188" s="480"/>
      <c r="F188" s="480"/>
      <c r="G188" s="480"/>
      <c r="H188" s="480"/>
      <c r="I188" s="480"/>
      <c r="J188" s="480"/>
      <c r="K188" s="440"/>
      <c r="L188" s="441"/>
      <c r="M188" s="441"/>
      <c r="N188" s="441"/>
      <c r="O188" s="441"/>
      <c r="P188" s="441"/>
      <c r="Q188" s="441"/>
      <c r="R188" s="444"/>
      <c r="S188" s="445"/>
      <c r="T188" s="444"/>
      <c r="U188" s="445"/>
      <c r="V188" s="440"/>
      <c r="W188" s="441"/>
      <c r="X188" s="441"/>
      <c r="Y188" s="441"/>
      <c r="Z188" s="441"/>
      <c r="AA188" s="441"/>
      <c r="AB188" s="441"/>
      <c r="AC188" s="441"/>
      <c r="AD188" s="440"/>
      <c r="AE188" s="441"/>
      <c r="AF188" s="441"/>
      <c r="AG188" s="441"/>
      <c r="AH188" s="441"/>
      <c r="AI188" s="441"/>
      <c r="AJ188" s="441"/>
      <c r="AK188" s="450"/>
      <c r="AL188" s="440"/>
      <c r="AM188" s="441"/>
      <c r="AN188" s="441"/>
      <c r="AO188" s="441"/>
      <c r="AP188" s="441"/>
      <c r="AQ188" s="441"/>
      <c r="AR188" s="450"/>
      <c r="AS188" s="485"/>
      <c r="AT188" s="486"/>
      <c r="AU188" s="486"/>
      <c r="AV188" s="486"/>
      <c r="AW188" s="486"/>
      <c r="AX188" s="486"/>
      <c r="AY188" s="487"/>
      <c r="AZ188" s="462"/>
      <c r="BA188" s="463"/>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5">
      <c r="A189" s="435"/>
      <c r="B189" s="36"/>
      <c r="C189" s="199" t="str">
        <f t="shared" ca="1" si="4"/>
        <v/>
      </c>
      <c r="D189" s="479"/>
      <c r="E189" s="480"/>
      <c r="F189" s="480"/>
      <c r="G189" s="480"/>
      <c r="H189" s="480"/>
      <c r="I189" s="480"/>
      <c r="J189" s="480"/>
      <c r="K189" s="440"/>
      <c r="L189" s="441"/>
      <c r="M189" s="441"/>
      <c r="N189" s="441"/>
      <c r="O189" s="441"/>
      <c r="P189" s="441"/>
      <c r="Q189" s="441"/>
      <c r="R189" s="444"/>
      <c r="S189" s="445"/>
      <c r="T189" s="444"/>
      <c r="U189" s="445"/>
      <c r="V189" s="440"/>
      <c r="W189" s="441"/>
      <c r="X189" s="441"/>
      <c r="Y189" s="441"/>
      <c r="Z189" s="441"/>
      <c r="AA189" s="441"/>
      <c r="AB189" s="441"/>
      <c r="AC189" s="441"/>
      <c r="AD189" s="440"/>
      <c r="AE189" s="441"/>
      <c r="AF189" s="441"/>
      <c r="AG189" s="441"/>
      <c r="AH189" s="441"/>
      <c r="AI189" s="441"/>
      <c r="AJ189" s="441"/>
      <c r="AK189" s="450"/>
      <c r="AL189" s="440"/>
      <c r="AM189" s="441"/>
      <c r="AN189" s="441"/>
      <c r="AO189" s="441"/>
      <c r="AP189" s="441"/>
      <c r="AQ189" s="441"/>
      <c r="AR189" s="450"/>
      <c r="AS189" s="485"/>
      <c r="AT189" s="486"/>
      <c r="AU189" s="486"/>
      <c r="AV189" s="486"/>
      <c r="AW189" s="486"/>
      <c r="AX189" s="486"/>
      <c r="AY189" s="487"/>
      <c r="AZ189" s="462"/>
      <c r="BA189" s="463"/>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5">
      <c r="A190" s="436"/>
      <c r="B190" s="37"/>
      <c r="C190" s="200" t="str">
        <f t="shared" ca="1" si="4"/>
        <v/>
      </c>
      <c r="D190" s="481"/>
      <c r="E190" s="482"/>
      <c r="F190" s="482"/>
      <c r="G190" s="482"/>
      <c r="H190" s="482"/>
      <c r="I190" s="482"/>
      <c r="J190" s="482"/>
      <c r="K190" s="409"/>
      <c r="L190" s="410"/>
      <c r="M190" s="410"/>
      <c r="N190" s="410"/>
      <c r="O190" s="410"/>
      <c r="P190" s="410"/>
      <c r="Q190" s="410"/>
      <c r="R190" s="446"/>
      <c r="S190" s="447"/>
      <c r="T190" s="446"/>
      <c r="U190" s="44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88"/>
      <c r="AT190" s="489"/>
      <c r="AU190" s="489"/>
      <c r="AV190" s="489"/>
      <c r="AW190" s="489"/>
      <c r="AX190" s="489"/>
      <c r="AY190" s="490"/>
      <c r="AZ190" s="464"/>
      <c r="BA190" s="465"/>
      <c r="BB190" s="62">
        <v>6</v>
      </c>
      <c r="BC190" s="426"/>
      <c r="BD190" s="427"/>
      <c r="BE190" s="427"/>
      <c r="BF190" s="428"/>
      <c r="BG190" s="429"/>
      <c r="BH190" s="430"/>
      <c r="BI190" s="196"/>
      <c r="BJ190" s="474"/>
      <c r="BK190" s="475"/>
      <c r="BL190" s="475"/>
      <c r="BM190" s="475"/>
      <c r="BN190" s="475"/>
      <c r="BO190" s="476"/>
      <c r="BP190" s="474"/>
      <c r="BQ190" s="475"/>
      <c r="BR190" s="475"/>
      <c r="BS190" s="475"/>
      <c r="BT190" s="475"/>
      <c r="BU190" s="476"/>
      <c r="BV190" s="474"/>
      <c r="BW190" s="475"/>
      <c r="BX190" s="475"/>
      <c r="BY190" s="475"/>
      <c r="BZ190" s="475"/>
      <c r="CA190" s="476"/>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5">
      <c r="A191" s="434">
        <v>31</v>
      </c>
      <c r="B191" s="36"/>
      <c r="C191" s="198" t="str">
        <f t="shared" ca="1" si="4"/>
        <v/>
      </c>
      <c r="D191" s="477" t="s">
        <v>369</v>
      </c>
      <c r="E191" s="478"/>
      <c r="F191" s="478"/>
      <c r="G191" s="478"/>
      <c r="H191" s="478"/>
      <c r="I191" s="478"/>
      <c r="J191" s="478"/>
      <c r="K191" s="438" t="s">
        <v>370</v>
      </c>
      <c r="L191" s="439"/>
      <c r="M191" s="439"/>
      <c r="N191" s="439"/>
      <c r="O191" s="439"/>
      <c r="P191" s="439"/>
      <c r="Q191" s="439"/>
      <c r="R191" s="442" t="s">
        <v>186</v>
      </c>
      <c r="S191" s="443"/>
      <c r="T191" s="442"/>
      <c r="U191" s="443"/>
      <c r="V191" s="438"/>
      <c r="W191" s="439"/>
      <c r="X191" s="439"/>
      <c r="Y191" s="439"/>
      <c r="Z191" s="439"/>
      <c r="AA191" s="439"/>
      <c r="AB191" s="439"/>
      <c r="AC191" s="439"/>
      <c r="AD191" s="438"/>
      <c r="AE191" s="439"/>
      <c r="AF191" s="439"/>
      <c r="AG191" s="439"/>
      <c r="AH191" s="439"/>
      <c r="AI191" s="439"/>
      <c r="AJ191" s="439"/>
      <c r="AK191" s="449"/>
      <c r="AL191" s="438"/>
      <c r="AM191" s="439"/>
      <c r="AN191" s="439"/>
      <c r="AO191" s="439"/>
      <c r="AP191" s="439"/>
      <c r="AQ191" s="439"/>
      <c r="AR191" s="449"/>
      <c r="AS191" s="500"/>
      <c r="AT191" s="483"/>
      <c r="AU191" s="483"/>
      <c r="AV191" s="483"/>
      <c r="AW191" s="483"/>
      <c r="AX191" s="483"/>
      <c r="AY191" s="484"/>
      <c r="AZ191" s="460"/>
      <c r="BA191" s="461"/>
      <c r="BB191" s="60">
        <v>1</v>
      </c>
      <c r="BC191" s="466"/>
      <c r="BD191" s="467"/>
      <c r="BE191" s="467"/>
      <c r="BF191" s="468"/>
      <c r="BG191" s="469"/>
      <c r="BH191" s="470"/>
      <c r="BI191" s="194"/>
      <c r="BJ191" s="471"/>
      <c r="BK191" s="472"/>
      <c r="BL191" s="472"/>
      <c r="BM191" s="472"/>
      <c r="BN191" s="472"/>
      <c r="BO191" s="473"/>
      <c r="BP191" s="471"/>
      <c r="BQ191" s="472"/>
      <c r="BR191" s="472"/>
      <c r="BS191" s="472"/>
      <c r="BT191" s="472"/>
      <c r="BU191" s="473"/>
      <c r="BV191" s="471"/>
      <c r="BW191" s="472"/>
      <c r="BX191" s="472"/>
      <c r="BY191" s="472"/>
      <c r="BZ191" s="472"/>
      <c r="CA191" s="473"/>
      <c r="CB191" s="466"/>
      <c r="CC191" s="467"/>
      <c r="CD191" s="467"/>
      <c r="CE191" s="468"/>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5">
      <c r="A192" s="435"/>
      <c r="B192" s="36"/>
      <c r="C192" s="199" t="str">
        <f t="shared" ca="1" si="4"/>
        <v/>
      </c>
      <c r="D192" s="479"/>
      <c r="E192" s="480"/>
      <c r="F192" s="480"/>
      <c r="G192" s="480"/>
      <c r="H192" s="480"/>
      <c r="I192" s="480"/>
      <c r="J192" s="480"/>
      <c r="K192" s="440"/>
      <c r="L192" s="441"/>
      <c r="M192" s="441"/>
      <c r="N192" s="441"/>
      <c r="O192" s="441"/>
      <c r="P192" s="441"/>
      <c r="Q192" s="441"/>
      <c r="R192" s="444"/>
      <c r="S192" s="445"/>
      <c r="T192" s="444"/>
      <c r="U192" s="445"/>
      <c r="V192" s="440"/>
      <c r="W192" s="441"/>
      <c r="X192" s="441"/>
      <c r="Y192" s="441"/>
      <c r="Z192" s="441"/>
      <c r="AA192" s="441"/>
      <c r="AB192" s="441"/>
      <c r="AC192" s="441"/>
      <c r="AD192" s="440"/>
      <c r="AE192" s="441"/>
      <c r="AF192" s="441"/>
      <c r="AG192" s="441"/>
      <c r="AH192" s="441"/>
      <c r="AI192" s="441"/>
      <c r="AJ192" s="441"/>
      <c r="AK192" s="450"/>
      <c r="AL192" s="440"/>
      <c r="AM192" s="441"/>
      <c r="AN192" s="441"/>
      <c r="AO192" s="441"/>
      <c r="AP192" s="441"/>
      <c r="AQ192" s="441"/>
      <c r="AR192" s="450"/>
      <c r="AS192" s="485"/>
      <c r="AT192" s="486"/>
      <c r="AU192" s="486"/>
      <c r="AV192" s="486"/>
      <c r="AW192" s="486"/>
      <c r="AX192" s="486"/>
      <c r="AY192" s="487"/>
      <c r="AZ192" s="462"/>
      <c r="BA192" s="463"/>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5">
      <c r="A193" s="435"/>
      <c r="B193" s="36"/>
      <c r="C193" s="199" t="str">
        <f t="shared" ca="1" si="4"/>
        <v/>
      </c>
      <c r="D193" s="479"/>
      <c r="E193" s="480"/>
      <c r="F193" s="480"/>
      <c r="G193" s="480"/>
      <c r="H193" s="480"/>
      <c r="I193" s="480"/>
      <c r="J193" s="480"/>
      <c r="K193" s="440"/>
      <c r="L193" s="441"/>
      <c r="M193" s="441"/>
      <c r="N193" s="441"/>
      <c r="O193" s="441"/>
      <c r="P193" s="441"/>
      <c r="Q193" s="441"/>
      <c r="R193" s="444"/>
      <c r="S193" s="445"/>
      <c r="T193" s="444"/>
      <c r="U193" s="445"/>
      <c r="V193" s="440"/>
      <c r="W193" s="441"/>
      <c r="X193" s="441"/>
      <c r="Y193" s="441"/>
      <c r="Z193" s="441"/>
      <c r="AA193" s="441"/>
      <c r="AB193" s="441"/>
      <c r="AC193" s="441"/>
      <c r="AD193" s="440"/>
      <c r="AE193" s="441"/>
      <c r="AF193" s="441"/>
      <c r="AG193" s="441"/>
      <c r="AH193" s="441"/>
      <c r="AI193" s="441"/>
      <c r="AJ193" s="441"/>
      <c r="AK193" s="450"/>
      <c r="AL193" s="440"/>
      <c r="AM193" s="441"/>
      <c r="AN193" s="441"/>
      <c r="AO193" s="441"/>
      <c r="AP193" s="441"/>
      <c r="AQ193" s="441"/>
      <c r="AR193" s="450"/>
      <c r="AS193" s="485"/>
      <c r="AT193" s="486"/>
      <c r="AU193" s="486"/>
      <c r="AV193" s="486"/>
      <c r="AW193" s="486"/>
      <c r="AX193" s="486"/>
      <c r="AY193" s="487"/>
      <c r="AZ193" s="462"/>
      <c r="BA193" s="463"/>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5">
      <c r="A194" s="435"/>
      <c r="B194" s="36"/>
      <c r="C194" s="199" t="str">
        <f t="shared" ca="1" si="4"/>
        <v/>
      </c>
      <c r="D194" s="479"/>
      <c r="E194" s="480"/>
      <c r="F194" s="480"/>
      <c r="G194" s="480"/>
      <c r="H194" s="480"/>
      <c r="I194" s="480"/>
      <c r="J194" s="480"/>
      <c r="K194" s="440"/>
      <c r="L194" s="441"/>
      <c r="M194" s="441"/>
      <c r="N194" s="441"/>
      <c r="O194" s="441"/>
      <c r="P194" s="441"/>
      <c r="Q194" s="441"/>
      <c r="R194" s="444"/>
      <c r="S194" s="445"/>
      <c r="T194" s="444"/>
      <c r="U194" s="445"/>
      <c r="V194" s="440"/>
      <c r="W194" s="441"/>
      <c r="X194" s="441"/>
      <c r="Y194" s="441"/>
      <c r="Z194" s="441"/>
      <c r="AA194" s="441"/>
      <c r="AB194" s="441"/>
      <c r="AC194" s="441"/>
      <c r="AD194" s="440"/>
      <c r="AE194" s="441"/>
      <c r="AF194" s="441"/>
      <c r="AG194" s="441"/>
      <c r="AH194" s="441"/>
      <c r="AI194" s="441"/>
      <c r="AJ194" s="441"/>
      <c r="AK194" s="450"/>
      <c r="AL194" s="440"/>
      <c r="AM194" s="441"/>
      <c r="AN194" s="441"/>
      <c r="AO194" s="441"/>
      <c r="AP194" s="441"/>
      <c r="AQ194" s="441"/>
      <c r="AR194" s="450"/>
      <c r="AS194" s="485"/>
      <c r="AT194" s="486"/>
      <c r="AU194" s="486"/>
      <c r="AV194" s="486"/>
      <c r="AW194" s="486"/>
      <c r="AX194" s="486"/>
      <c r="AY194" s="487"/>
      <c r="AZ194" s="462"/>
      <c r="BA194" s="463"/>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5">
      <c r="A195" s="435"/>
      <c r="B195" s="36"/>
      <c r="C195" s="199" t="str">
        <f t="shared" ca="1" si="4"/>
        <v/>
      </c>
      <c r="D195" s="479"/>
      <c r="E195" s="480"/>
      <c r="F195" s="480"/>
      <c r="G195" s="480"/>
      <c r="H195" s="480"/>
      <c r="I195" s="480"/>
      <c r="J195" s="480"/>
      <c r="K195" s="440"/>
      <c r="L195" s="441"/>
      <c r="M195" s="441"/>
      <c r="N195" s="441"/>
      <c r="O195" s="441"/>
      <c r="P195" s="441"/>
      <c r="Q195" s="441"/>
      <c r="R195" s="444"/>
      <c r="S195" s="445"/>
      <c r="T195" s="444"/>
      <c r="U195" s="445"/>
      <c r="V195" s="440"/>
      <c r="W195" s="441"/>
      <c r="X195" s="441"/>
      <c r="Y195" s="441"/>
      <c r="Z195" s="441"/>
      <c r="AA195" s="441"/>
      <c r="AB195" s="441"/>
      <c r="AC195" s="441"/>
      <c r="AD195" s="440"/>
      <c r="AE195" s="441"/>
      <c r="AF195" s="441"/>
      <c r="AG195" s="441"/>
      <c r="AH195" s="441"/>
      <c r="AI195" s="441"/>
      <c r="AJ195" s="441"/>
      <c r="AK195" s="450"/>
      <c r="AL195" s="440"/>
      <c r="AM195" s="441"/>
      <c r="AN195" s="441"/>
      <c r="AO195" s="441"/>
      <c r="AP195" s="441"/>
      <c r="AQ195" s="441"/>
      <c r="AR195" s="450"/>
      <c r="AS195" s="485"/>
      <c r="AT195" s="486"/>
      <c r="AU195" s="486"/>
      <c r="AV195" s="486"/>
      <c r="AW195" s="486"/>
      <c r="AX195" s="486"/>
      <c r="AY195" s="487"/>
      <c r="AZ195" s="462"/>
      <c r="BA195" s="463"/>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5">
      <c r="A196" s="436"/>
      <c r="B196" s="37"/>
      <c r="C196" s="200" t="str">
        <f t="shared" ca="1" si="4"/>
        <v/>
      </c>
      <c r="D196" s="481"/>
      <c r="E196" s="482"/>
      <c r="F196" s="482"/>
      <c r="G196" s="482"/>
      <c r="H196" s="482"/>
      <c r="I196" s="482"/>
      <c r="J196" s="482"/>
      <c r="K196" s="409"/>
      <c r="L196" s="410"/>
      <c r="M196" s="410"/>
      <c r="N196" s="410"/>
      <c r="O196" s="410"/>
      <c r="P196" s="410"/>
      <c r="Q196" s="410"/>
      <c r="R196" s="446"/>
      <c r="S196" s="447"/>
      <c r="T196" s="446"/>
      <c r="U196" s="44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88"/>
      <c r="AT196" s="489"/>
      <c r="AU196" s="489"/>
      <c r="AV196" s="489"/>
      <c r="AW196" s="489"/>
      <c r="AX196" s="489"/>
      <c r="AY196" s="490"/>
      <c r="AZ196" s="464"/>
      <c r="BA196" s="465"/>
      <c r="BB196" s="62">
        <v>6</v>
      </c>
      <c r="BC196" s="426"/>
      <c r="BD196" s="427"/>
      <c r="BE196" s="427"/>
      <c r="BF196" s="428"/>
      <c r="BG196" s="429"/>
      <c r="BH196" s="430"/>
      <c r="BI196" s="196"/>
      <c r="BJ196" s="474"/>
      <c r="BK196" s="475"/>
      <c r="BL196" s="475"/>
      <c r="BM196" s="475"/>
      <c r="BN196" s="475"/>
      <c r="BO196" s="476"/>
      <c r="BP196" s="474"/>
      <c r="BQ196" s="475"/>
      <c r="BR196" s="475"/>
      <c r="BS196" s="475"/>
      <c r="BT196" s="475"/>
      <c r="BU196" s="476"/>
      <c r="BV196" s="474"/>
      <c r="BW196" s="475"/>
      <c r="BX196" s="475"/>
      <c r="BY196" s="475"/>
      <c r="BZ196" s="475"/>
      <c r="CA196" s="476"/>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5">
      <c r="A197" s="434">
        <v>32</v>
      </c>
      <c r="B197" s="36"/>
      <c r="C197" s="198" t="str">
        <f t="shared" ca="1" si="4"/>
        <v/>
      </c>
      <c r="D197" s="477"/>
      <c r="E197" s="478"/>
      <c r="F197" s="478"/>
      <c r="G197" s="478"/>
      <c r="H197" s="478"/>
      <c r="I197" s="478"/>
      <c r="J197" s="478"/>
      <c r="K197" s="438" t="s">
        <v>371</v>
      </c>
      <c r="L197" s="439"/>
      <c r="M197" s="439"/>
      <c r="N197" s="439"/>
      <c r="O197" s="439"/>
      <c r="P197" s="439"/>
      <c r="Q197" s="439"/>
      <c r="R197" s="442" t="s">
        <v>186</v>
      </c>
      <c r="S197" s="443"/>
      <c r="T197" s="442"/>
      <c r="U197" s="443"/>
      <c r="V197" s="438"/>
      <c r="W197" s="439"/>
      <c r="X197" s="439"/>
      <c r="Y197" s="439"/>
      <c r="Z197" s="439"/>
      <c r="AA197" s="439"/>
      <c r="AB197" s="439"/>
      <c r="AC197" s="439"/>
      <c r="AD197" s="438"/>
      <c r="AE197" s="439"/>
      <c r="AF197" s="439"/>
      <c r="AG197" s="439"/>
      <c r="AH197" s="439"/>
      <c r="AI197" s="439"/>
      <c r="AJ197" s="439"/>
      <c r="AK197" s="449"/>
      <c r="AL197" s="438"/>
      <c r="AM197" s="439"/>
      <c r="AN197" s="439"/>
      <c r="AO197" s="439"/>
      <c r="AP197" s="439"/>
      <c r="AQ197" s="439"/>
      <c r="AR197" s="449"/>
      <c r="AS197" s="500"/>
      <c r="AT197" s="483"/>
      <c r="AU197" s="483"/>
      <c r="AV197" s="483"/>
      <c r="AW197" s="483"/>
      <c r="AX197" s="483"/>
      <c r="AY197" s="484"/>
      <c r="AZ197" s="460"/>
      <c r="BA197" s="461"/>
      <c r="BB197" s="60">
        <v>1</v>
      </c>
      <c r="BC197" s="466"/>
      <c r="BD197" s="467"/>
      <c r="BE197" s="467"/>
      <c r="BF197" s="468"/>
      <c r="BG197" s="469"/>
      <c r="BH197" s="470"/>
      <c r="BI197" s="194"/>
      <c r="BJ197" s="471"/>
      <c r="BK197" s="472"/>
      <c r="BL197" s="472"/>
      <c r="BM197" s="472"/>
      <c r="BN197" s="472"/>
      <c r="BO197" s="473"/>
      <c r="BP197" s="471"/>
      <c r="BQ197" s="472"/>
      <c r="BR197" s="472"/>
      <c r="BS197" s="472"/>
      <c r="BT197" s="472"/>
      <c r="BU197" s="473"/>
      <c r="BV197" s="471"/>
      <c r="BW197" s="472"/>
      <c r="BX197" s="472"/>
      <c r="BY197" s="472"/>
      <c r="BZ197" s="472"/>
      <c r="CA197" s="473"/>
      <c r="CB197" s="466"/>
      <c r="CC197" s="467"/>
      <c r="CD197" s="467"/>
      <c r="CE197" s="468"/>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5">
      <c r="A198" s="435"/>
      <c r="B198" s="36"/>
      <c r="C198" s="199" t="str">
        <f t="shared" ca="1" si="4"/>
        <v/>
      </c>
      <c r="D198" s="479"/>
      <c r="E198" s="480"/>
      <c r="F198" s="480"/>
      <c r="G198" s="480"/>
      <c r="H198" s="480"/>
      <c r="I198" s="480"/>
      <c r="J198" s="480"/>
      <c r="K198" s="440"/>
      <c r="L198" s="441"/>
      <c r="M198" s="441"/>
      <c r="N198" s="441"/>
      <c r="O198" s="441"/>
      <c r="P198" s="441"/>
      <c r="Q198" s="441"/>
      <c r="R198" s="444"/>
      <c r="S198" s="445"/>
      <c r="T198" s="444"/>
      <c r="U198" s="445"/>
      <c r="V198" s="440"/>
      <c r="W198" s="441"/>
      <c r="X198" s="441"/>
      <c r="Y198" s="441"/>
      <c r="Z198" s="441"/>
      <c r="AA198" s="441"/>
      <c r="AB198" s="441"/>
      <c r="AC198" s="441"/>
      <c r="AD198" s="440"/>
      <c r="AE198" s="441"/>
      <c r="AF198" s="441"/>
      <c r="AG198" s="441"/>
      <c r="AH198" s="441"/>
      <c r="AI198" s="441"/>
      <c r="AJ198" s="441"/>
      <c r="AK198" s="450"/>
      <c r="AL198" s="440"/>
      <c r="AM198" s="441"/>
      <c r="AN198" s="441"/>
      <c r="AO198" s="441"/>
      <c r="AP198" s="441"/>
      <c r="AQ198" s="441"/>
      <c r="AR198" s="450"/>
      <c r="AS198" s="485"/>
      <c r="AT198" s="486"/>
      <c r="AU198" s="486"/>
      <c r="AV198" s="486"/>
      <c r="AW198" s="486"/>
      <c r="AX198" s="486"/>
      <c r="AY198" s="487"/>
      <c r="AZ198" s="462"/>
      <c r="BA198" s="463"/>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5">
      <c r="A199" s="435"/>
      <c r="B199" s="36"/>
      <c r="C199" s="199" t="str">
        <f t="shared" ca="1" si="4"/>
        <v/>
      </c>
      <c r="D199" s="479"/>
      <c r="E199" s="480"/>
      <c r="F199" s="480"/>
      <c r="G199" s="480"/>
      <c r="H199" s="480"/>
      <c r="I199" s="480"/>
      <c r="J199" s="480"/>
      <c r="K199" s="440"/>
      <c r="L199" s="441"/>
      <c r="M199" s="441"/>
      <c r="N199" s="441"/>
      <c r="O199" s="441"/>
      <c r="P199" s="441"/>
      <c r="Q199" s="441"/>
      <c r="R199" s="444"/>
      <c r="S199" s="445"/>
      <c r="T199" s="444"/>
      <c r="U199" s="445"/>
      <c r="V199" s="440"/>
      <c r="W199" s="441"/>
      <c r="X199" s="441"/>
      <c r="Y199" s="441"/>
      <c r="Z199" s="441"/>
      <c r="AA199" s="441"/>
      <c r="AB199" s="441"/>
      <c r="AC199" s="441"/>
      <c r="AD199" s="440"/>
      <c r="AE199" s="441"/>
      <c r="AF199" s="441"/>
      <c r="AG199" s="441"/>
      <c r="AH199" s="441"/>
      <c r="AI199" s="441"/>
      <c r="AJ199" s="441"/>
      <c r="AK199" s="450"/>
      <c r="AL199" s="440"/>
      <c r="AM199" s="441"/>
      <c r="AN199" s="441"/>
      <c r="AO199" s="441"/>
      <c r="AP199" s="441"/>
      <c r="AQ199" s="441"/>
      <c r="AR199" s="450"/>
      <c r="AS199" s="485"/>
      <c r="AT199" s="486"/>
      <c r="AU199" s="486"/>
      <c r="AV199" s="486"/>
      <c r="AW199" s="486"/>
      <c r="AX199" s="486"/>
      <c r="AY199" s="487"/>
      <c r="AZ199" s="462"/>
      <c r="BA199" s="463"/>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5">
      <c r="A200" s="435"/>
      <c r="B200" s="36"/>
      <c r="C200" s="199" t="str">
        <f t="shared" ca="1" si="4"/>
        <v/>
      </c>
      <c r="D200" s="479"/>
      <c r="E200" s="480"/>
      <c r="F200" s="480"/>
      <c r="G200" s="480"/>
      <c r="H200" s="480"/>
      <c r="I200" s="480"/>
      <c r="J200" s="480"/>
      <c r="K200" s="440"/>
      <c r="L200" s="441"/>
      <c r="M200" s="441"/>
      <c r="N200" s="441"/>
      <c r="O200" s="441"/>
      <c r="P200" s="441"/>
      <c r="Q200" s="441"/>
      <c r="R200" s="444"/>
      <c r="S200" s="445"/>
      <c r="T200" s="444"/>
      <c r="U200" s="445"/>
      <c r="V200" s="440"/>
      <c r="W200" s="441"/>
      <c r="X200" s="441"/>
      <c r="Y200" s="441"/>
      <c r="Z200" s="441"/>
      <c r="AA200" s="441"/>
      <c r="AB200" s="441"/>
      <c r="AC200" s="441"/>
      <c r="AD200" s="440"/>
      <c r="AE200" s="441"/>
      <c r="AF200" s="441"/>
      <c r="AG200" s="441"/>
      <c r="AH200" s="441"/>
      <c r="AI200" s="441"/>
      <c r="AJ200" s="441"/>
      <c r="AK200" s="450"/>
      <c r="AL200" s="440"/>
      <c r="AM200" s="441"/>
      <c r="AN200" s="441"/>
      <c r="AO200" s="441"/>
      <c r="AP200" s="441"/>
      <c r="AQ200" s="441"/>
      <c r="AR200" s="450"/>
      <c r="AS200" s="485"/>
      <c r="AT200" s="486"/>
      <c r="AU200" s="486"/>
      <c r="AV200" s="486"/>
      <c r="AW200" s="486"/>
      <c r="AX200" s="486"/>
      <c r="AY200" s="487"/>
      <c r="AZ200" s="462"/>
      <c r="BA200" s="463"/>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5">
      <c r="A201" s="435"/>
      <c r="B201" s="36"/>
      <c r="C201" s="199" t="str">
        <f t="shared" ca="1" si="4"/>
        <v/>
      </c>
      <c r="D201" s="479"/>
      <c r="E201" s="480"/>
      <c r="F201" s="480"/>
      <c r="G201" s="480"/>
      <c r="H201" s="480"/>
      <c r="I201" s="480"/>
      <c r="J201" s="480"/>
      <c r="K201" s="440"/>
      <c r="L201" s="441"/>
      <c r="M201" s="441"/>
      <c r="N201" s="441"/>
      <c r="O201" s="441"/>
      <c r="P201" s="441"/>
      <c r="Q201" s="441"/>
      <c r="R201" s="444"/>
      <c r="S201" s="445"/>
      <c r="T201" s="444"/>
      <c r="U201" s="445"/>
      <c r="V201" s="440"/>
      <c r="W201" s="441"/>
      <c r="X201" s="441"/>
      <c r="Y201" s="441"/>
      <c r="Z201" s="441"/>
      <c r="AA201" s="441"/>
      <c r="AB201" s="441"/>
      <c r="AC201" s="441"/>
      <c r="AD201" s="440"/>
      <c r="AE201" s="441"/>
      <c r="AF201" s="441"/>
      <c r="AG201" s="441"/>
      <c r="AH201" s="441"/>
      <c r="AI201" s="441"/>
      <c r="AJ201" s="441"/>
      <c r="AK201" s="450"/>
      <c r="AL201" s="440"/>
      <c r="AM201" s="441"/>
      <c r="AN201" s="441"/>
      <c r="AO201" s="441"/>
      <c r="AP201" s="441"/>
      <c r="AQ201" s="441"/>
      <c r="AR201" s="450"/>
      <c r="AS201" s="485"/>
      <c r="AT201" s="486"/>
      <c r="AU201" s="486"/>
      <c r="AV201" s="486"/>
      <c r="AW201" s="486"/>
      <c r="AX201" s="486"/>
      <c r="AY201" s="487"/>
      <c r="AZ201" s="462"/>
      <c r="BA201" s="463"/>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5">
      <c r="A202" s="436"/>
      <c r="B202" s="37"/>
      <c r="C202" s="200" t="str">
        <f t="shared" ca="1" si="4"/>
        <v/>
      </c>
      <c r="D202" s="481"/>
      <c r="E202" s="482"/>
      <c r="F202" s="482"/>
      <c r="G202" s="482"/>
      <c r="H202" s="482"/>
      <c r="I202" s="482"/>
      <c r="J202" s="482"/>
      <c r="K202" s="409"/>
      <c r="L202" s="410"/>
      <c r="M202" s="410"/>
      <c r="N202" s="410"/>
      <c r="O202" s="410"/>
      <c r="P202" s="410"/>
      <c r="Q202" s="410"/>
      <c r="R202" s="446"/>
      <c r="S202" s="447"/>
      <c r="T202" s="446"/>
      <c r="U202" s="44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88"/>
      <c r="AT202" s="489"/>
      <c r="AU202" s="489"/>
      <c r="AV202" s="489"/>
      <c r="AW202" s="489"/>
      <c r="AX202" s="489"/>
      <c r="AY202" s="490"/>
      <c r="AZ202" s="464"/>
      <c r="BA202" s="465"/>
      <c r="BB202" s="62">
        <v>6</v>
      </c>
      <c r="BC202" s="426"/>
      <c r="BD202" s="427"/>
      <c r="BE202" s="427"/>
      <c r="BF202" s="428"/>
      <c r="BG202" s="429"/>
      <c r="BH202" s="430"/>
      <c r="BI202" s="196"/>
      <c r="BJ202" s="474"/>
      <c r="BK202" s="475"/>
      <c r="BL202" s="475"/>
      <c r="BM202" s="475"/>
      <c r="BN202" s="475"/>
      <c r="BO202" s="476"/>
      <c r="BP202" s="474"/>
      <c r="BQ202" s="475"/>
      <c r="BR202" s="475"/>
      <c r="BS202" s="475"/>
      <c r="BT202" s="475"/>
      <c r="BU202" s="476"/>
      <c r="BV202" s="474"/>
      <c r="BW202" s="475"/>
      <c r="BX202" s="475"/>
      <c r="BY202" s="475"/>
      <c r="BZ202" s="475"/>
      <c r="CA202" s="476"/>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5">
      <c r="A203" s="434">
        <v>33</v>
      </c>
      <c r="B203" s="36"/>
      <c r="C203" s="198" t="str">
        <f t="shared" ca="1" si="4"/>
        <v/>
      </c>
      <c r="D203" s="477"/>
      <c r="E203" s="478"/>
      <c r="F203" s="478"/>
      <c r="G203" s="478"/>
      <c r="H203" s="478"/>
      <c r="I203" s="478"/>
      <c r="J203" s="478"/>
      <c r="K203" s="438" t="s">
        <v>372</v>
      </c>
      <c r="L203" s="439"/>
      <c r="M203" s="439"/>
      <c r="N203" s="439"/>
      <c r="O203" s="439"/>
      <c r="P203" s="439"/>
      <c r="Q203" s="439"/>
      <c r="R203" s="442" t="s">
        <v>186</v>
      </c>
      <c r="S203" s="443"/>
      <c r="T203" s="442"/>
      <c r="U203" s="443"/>
      <c r="V203" s="438"/>
      <c r="W203" s="439"/>
      <c r="X203" s="439"/>
      <c r="Y203" s="439"/>
      <c r="Z203" s="439"/>
      <c r="AA203" s="439"/>
      <c r="AB203" s="439"/>
      <c r="AC203" s="439"/>
      <c r="AD203" s="438"/>
      <c r="AE203" s="439"/>
      <c r="AF203" s="439"/>
      <c r="AG203" s="439"/>
      <c r="AH203" s="439"/>
      <c r="AI203" s="439"/>
      <c r="AJ203" s="439"/>
      <c r="AK203" s="449"/>
      <c r="AL203" s="438"/>
      <c r="AM203" s="439"/>
      <c r="AN203" s="439"/>
      <c r="AO203" s="439"/>
      <c r="AP203" s="439"/>
      <c r="AQ203" s="439"/>
      <c r="AR203" s="449"/>
      <c r="AS203" s="500"/>
      <c r="AT203" s="483"/>
      <c r="AU203" s="483"/>
      <c r="AV203" s="483"/>
      <c r="AW203" s="483"/>
      <c r="AX203" s="483"/>
      <c r="AY203" s="484"/>
      <c r="AZ203" s="460"/>
      <c r="BA203" s="461"/>
      <c r="BB203" s="60">
        <v>1</v>
      </c>
      <c r="BC203" s="466"/>
      <c r="BD203" s="467"/>
      <c r="BE203" s="467"/>
      <c r="BF203" s="468"/>
      <c r="BG203" s="469"/>
      <c r="BH203" s="470"/>
      <c r="BI203" s="194"/>
      <c r="BJ203" s="471"/>
      <c r="BK203" s="472"/>
      <c r="BL203" s="472"/>
      <c r="BM203" s="472"/>
      <c r="BN203" s="472"/>
      <c r="BO203" s="473"/>
      <c r="BP203" s="471"/>
      <c r="BQ203" s="472"/>
      <c r="BR203" s="472"/>
      <c r="BS203" s="472"/>
      <c r="BT203" s="472"/>
      <c r="BU203" s="473"/>
      <c r="BV203" s="471"/>
      <c r="BW203" s="472"/>
      <c r="BX203" s="472"/>
      <c r="BY203" s="472"/>
      <c r="BZ203" s="472"/>
      <c r="CA203" s="473"/>
      <c r="CB203" s="466"/>
      <c r="CC203" s="467"/>
      <c r="CD203" s="467"/>
      <c r="CE203" s="468"/>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5">
      <c r="A204" s="435"/>
      <c r="B204" s="36"/>
      <c r="C204" s="199" t="str">
        <f t="shared" ref="C204:C273" ca="1" si="5">IF(AND(OFFSET($K204,-($BB204-1),0)&lt;&gt;"",OFFSET($R204,-($BB204-1),0)&lt;&gt;"x"),"●","")</f>
        <v/>
      </c>
      <c r="D204" s="479"/>
      <c r="E204" s="480"/>
      <c r="F204" s="480"/>
      <c r="G204" s="480"/>
      <c r="H204" s="480"/>
      <c r="I204" s="480"/>
      <c r="J204" s="480"/>
      <c r="K204" s="440"/>
      <c r="L204" s="441"/>
      <c r="M204" s="441"/>
      <c r="N204" s="441"/>
      <c r="O204" s="441"/>
      <c r="P204" s="441"/>
      <c r="Q204" s="441"/>
      <c r="R204" s="444"/>
      <c r="S204" s="445"/>
      <c r="T204" s="444"/>
      <c r="U204" s="445"/>
      <c r="V204" s="440"/>
      <c r="W204" s="441"/>
      <c r="X204" s="441"/>
      <c r="Y204" s="441"/>
      <c r="Z204" s="441"/>
      <c r="AA204" s="441"/>
      <c r="AB204" s="441"/>
      <c r="AC204" s="441"/>
      <c r="AD204" s="440"/>
      <c r="AE204" s="441"/>
      <c r="AF204" s="441"/>
      <c r="AG204" s="441"/>
      <c r="AH204" s="441"/>
      <c r="AI204" s="441"/>
      <c r="AJ204" s="441"/>
      <c r="AK204" s="450"/>
      <c r="AL204" s="440"/>
      <c r="AM204" s="441"/>
      <c r="AN204" s="441"/>
      <c r="AO204" s="441"/>
      <c r="AP204" s="441"/>
      <c r="AQ204" s="441"/>
      <c r="AR204" s="450"/>
      <c r="AS204" s="485"/>
      <c r="AT204" s="486"/>
      <c r="AU204" s="486"/>
      <c r="AV204" s="486"/>
      <c r="AW204" s="486"/>
      <c r="AX204" s="486"/>
      <c r="AY204" s="487"/>
      <c r="AZ204" s="462"/>
      <c r="BA204" s="463"/>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5">
      <c r="A205" s="435"/>
      <c r="B205" s="36"/>
      <c r="C205" s="199" t="str">
        <f t="shared" ca="1" si="5"/>
        <v/>
      </c>
      <c r="D205" s="479"/>
      <c r="E205" s="480"/>
      <c r="F205" s="480"/>
      <c r="G205" s="480"/>
      <c r="H205" s="480"/>
      <c r="I205" s="480"/>
      <c r="J205" s="480"/>
      <c r="K205" s="440"/>
      <c r="L205" s="441"/>
      <c r="M205" s="441"/>
      <c r="N205" s="441"/>
      <c r="O205" s="441"/>
      <c r="P205" s="441"/>
      <c r="Q205" s="441"/>
      <c r="R205" s="444"/>
      <c r="S205" s="445"/>
      <c r="T205" s="444"/>
      <c r="U205" s="445"/>
      <c r="V205" s="440"/>
      <c r="W205" s="441"/>
      <c r="X205" s="441"/>
      <c r="Y205" s="441"/>
      <c r="Z205" s="441"/>
      <c r="AA205" s="441"/>
      <c r="AB205" s="441"/>
      <c r="AC205" s="441"/>
      <c r="AD205" s="440"/>
      <c r="AE205" s="441"/>
      <c r="AF205" s="441"/>
      <c r="AG205" s="441"/>
      <c r="AH205" s="441"/>
      <c r="AI205" s="441"/>
      <c r="AJ205" s="441"/>
      <c r="AK205" s="450"/>
      <c r="AL205" s="440"/>
      <c r="AM205" s="441"/>
      <c r="AN205" s="441"/>
      <c r="AO205" s="441"/>
      <c r="AP205" s="441"/>
      <c r="AQ205" s="441"/>
      <c r="AR205" s="450"/>
      <c r="AS205" s="485"/>
      <c r="AT205" s="486"/>
      <c r="AU205" s="486"/>
      <c r="AV205" s="486"/>
      <c r="AW205" s="486"/>
      <c r="AX205" s="486"/>
      <c r="AY205" s="487"/>
      <c r="AZ205" s="462"/>
      <c r="BA205" s="463"/>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5">
      <c r="A206" s="435"/>
      <c r="B206" s="36"/>
      <c r="C206" s="199" t="str">
        <f t="shared" ca="1" si="5"/>
        <v/>
      </c>
      <c r="D206" s="479"/>
      <c r="E206" s="480"/>
      <c r="F206" s="480"/>
      <c r="G206" s="480"/>
      <c r="H206" s="480"/>
      <c r="I206" s="480"/>
      <c r="J206" s="480"/>
      <c r="K206" s="440"/>
      <c r="L206" s="441"/>
      <c r="M206" s="441"/>
      <c r="N206" s="441"/>
      <c r="O206" s="441"/>
      <c r="P206" s="441"/>
      <c r="Q206" s="441"/>
      <c r="R206" s="444"/>
      <c r="S206" s="445"/>
      <c r="T206" s="444"/>
      <c r="U206" s="445"/>
      <c r="V206" s="440"/>
      <c r="W206" s="441"/>
      <c r="X206" s="441"/>
      <c r="Y206" s="441"/>
      <c r="Z206" s="441"/>
      <c r="AA206" s="441"/>
      <c r="AB206" s="441"/>
      <c r="AC206" s="441"/>
      <c r="AD206" s="440"/>
      <c r="AE206" s="441"/>
      <c r="AF206" s="441"/>
      <c r="AG206" s="441"/>
      <c r="AH206" s="441"/>
      <c r="AI206" s="441"/>
      <c r="AJ206" s="441"/>
      <c r="AK206" s="450"/>
      <c r="AL206" s="440"/>
      <c r="AM206" s="441"/>
      <c r="AN206" s="441"/>
      <c r="AO206" s="441"/>
      <c r="AP206" s="441"/>
      <c r="AQ206" s="441"/>
      <c r="AR206" s="450"/>
      <c r="AS206" s="485"/>
      <c r="AT206" s="486"/>
      <c r="AU206" s="486"/>
      <c r="AV206" s="486"/>
      <c r="AW206" s="486"/>
      <c r="AX206" s="486"/>
      <c r="AY206" s="487"/>
      <c r="AZ206" s="462"/>
      <c r="BA206" s="463"/>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5">
      <c r="A207" s="435"/>
      <c r="B207" s="36"/>
      <c r="C207" s="199" t="str">
        <f t="shared" ca="1" si="5"/>
        <v/>
      </c>
      <c r="D207" s="479"/>
      <c r="E207" s="480"/>
      <c r="F207" s="480"/>
      <c r="G207" s="480"/>
      <c r="H207" s="480"/>
      <c r="I207" s="480"/>
      <c r="J207" s="480"/>
      <c r="K207" s="440"/>
      <c r="L207" s="441"/>
      <c r="M207" s="441"/>
      <c r="N207" s="441"/>
      <c r="O207" s="441"/>
      <c r="P207" s="441"/>
      <c r="Q207" s="441"/>
      <c r="R207" s="444"/>
      <c r="S207" s="445"/>
      <c r="T207" s="444"/>
      <c r="U207" s="445"/>
      <c r="V207" s="440"/>
      <c r="W207" s="441"/>
      <c r="X207" s="441"/>
      <c r="Y207" s="441"/>
      <c r="Z207" s="441"/>
      <c r="AA207" s="441"/>
      <c r="AB207" s="441"/>
      <c r="AC207" s="441"/>
      <c r="AD207" s="440"/>
      <c r="AE207" s="441"/>
      <c r="AF207" s="441"/>
      <c r="AG207" s="441"/>
      <c r="AH207" s="441"/>
      <c r="AI207" s="441"/>
      <c r="AJ207" s="441"/>
      <c r="AK207" s="450"/>
      <c r="AL207" s="440"/>
      <c r="AM207" s="441"/>
      <c r="AN207" s="441"/>
      <c r="AO207" s="441"/>
      <c r="AP207" s="441"/>
      <c r="AQ207" s="441"/>
      <c r="AR207" s="450"/>
      <c r="AS207" s="485"/>
      <c r="AT207" s="486"/>
      <c r="AU207" s="486"/>
      <c r="AV207" s="486"/>
      <c r="AW207" s="486"/>
      <c r="AX207" s="486"/>
      <c r="AY207" s="487"/>
      <c r="AZ207" s="462"/>
      <c r="BA207" s="463"/>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5">
      <c r="A208" s="436"/>
      <c r="B208" s="37"/>
      <c r="C208" s="200" t="str">
        <f t="shared" ca="1" si="5"/>
        <v/>
      </c>
      <c r="D208" s="481"/>
      <c r="E208" s="482"/>
      <c r="F208" s="482"/>
      <c r="G208" s="482"/>
      <c r="H208" s="482"/>
      <c r="I208" s="482"/>
      <c r="J208" s="482"/>
      <c r="K208" s="409"/>
      <c r="L208" s="410"/>
      <c r="M208" s="410"/>
      <c r="N208" s="410"/>
      <c r="O208" s="410"/>
      <c r="P208" s="410"/>
      <c r="Q208" s="410"/>
      <c r="R208" s="446"/>
      <c r="S208" s="447"/>
      <c r="T208" s="446"/>
      <c r="U208" s="44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88"/>
      <c r="AT208" s="489"/>
      <c r="AU208" s="489"/>
      <c r="AV208" s="489"/>
      <c r="AW208" s="489"/>
      <c r="AX208" s="489"/>
      <c r="AY208" s="490"/>
      <c r="AZ208" s="464"/>
      <c r="BA208" s="465"/>
      <c r="BB208" s="62">
        <v>6</v>
      </c>
      <c r="BC208" s="426"/>
      <c r="BD208" s="427"/>
      <c r="BE208" s="427"/>
      <c r="BF208" s="428"/>
      <c r="BG208" s="429"/>
      <c r="BH208" s="430"/>
      <c r="BI208" s="196"/>
      <c r="BJ208" s="474"/>
      <c r="BK208" s="475"/>
      <c r="BL208" s="475"/>
      <c r="BM208" s="475"/>
      <c r="BN208" s="475"/>
      <c r="BO208" s="476"/>
      <c r="BP208" s="474"/>
      <c r="BQ208" s="475"/>
      <c r="BR208" s="475"/>
      <c r="BS208" s="475"/>
      <c r="BT208" s="475"/>
      <c r="BU208" s="476"/>
      <c r="BV208" s="474"/>
      <c r="BW208" s="475"/>
      <c r="BX208" s="475"/>
      <c r="BY208" s="475"/>
      <c r="BZ208" s="475"/>
      <c r="CA208" s="476"/>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5">
      <c r="A209" s="434">
        <v>34</v>
      </c>
      <c r="B209" s="36"/>
      <c r="C209" s="198" t="str">
        <f t="shared" ca="1" si="5"/>
        <v/>
      </c>
      <c r="D209" s="477"/>
      <c r="E209" s="478"/>
      <c r="F209" s="478"/>
      <c r="G209" s="478"/>
      <c r="H209" s="478"/>
      <c r="I209" s="478"/>
      <c r="J209" s="478"/>
      <c r="K209" s="438" t="s">
        <v>373</v>
      </c>
      <c r="L209" s="439"/>
      <c r="M209" s="439"/>
      <c r="N209" s="439"/>
      <c r="O209" s="439"/>
      <c r="P209" s="439"/>
      <c r="Q209" s="439"/>
      <c r="R209" s="442" t="s">
        <v>186</v>
      </c>
      <c r="S209" s="443"/>
      <c r="T209" s="442"/>
      <c r="U209" s="443"/>
      <c r="V209" s="438"/>
      <c r="W209" s="439"/>
      <c r="X209" s="439"/>
      <c r="Y209" s="439"/>
      <c r="Z209" s="439"/>
      <c r="AA209" s="439"/>
      <c r="AB209" s="439"/>
      <c r="AC209" s="439"/>
      <c r="AD209" s="438"/>
      <c r="AE209" s="439"/>
      <c r="AF209" s="439"/>
      <c r="AG209" s="439"/>
      <c r="AH209" s="439"/>
      <c r="AI209" s="439"/>
      <c r="AJ209" s="439"/>
      <c r="AK209" s="449"/>
      <c r="AL209" s="438"/>
      <c r="AM209" s="439"/>
      <c r="AN209" s="439"/>
      <c r="AO209" s="439"/>
      <c r="AP209" s="439"/>
      <c r="AQ209" s="439"/>
      <c r="AR209" s="449"/>
      <c r="AS209" s="500"/>
      <c r="AT209" s="483"/>
      <c r="AU209" s="483"/>
      <c r="AV209" s="483"/>
      <c r="AW209" s="483"/>
      <c r="AX209" s="483"/>
      <c r="AY209" s="484"/>
      <c r="AZ209" s="460"/>
      <c r="BA209" s="461"/>
      <c r="BB209" s="60">
        <v>1</v>
      </c>
      <c r="BC209" s="466"/>
      <c r="BD209" s="467"/>
      <c r="BE209" s="467"/>
      <c r="BF209" s="468"/>
      <c r="BG209" s="469"/>
      <c r="BH209" s="470"/>
      <c r="BI209" s="194"/>
      <c r="BJ209" s="471"/>
      <c r="BK209" s="472"/>
      <c r="BL209" s="472"/>
      <c r="BM209" s="472"/>
      <c r="BN209" s="472"/>
      <c r="BO209" s="473"/>
      <c r="BP209" s="471"/>
      <c r="BQ209" s="472"/>
      <c r="BR209" s="472"/>
      <c r="BS209" s="472"/>
      <c r="BT209" s="472"/>
      <c r="BU209" s="473"/>
      <c r="BV209" s="471"/>
      <c r="BW209" s="472"/>
      <c r="BX209" s="472"/>
      <c r="BY209" s="472"/>
      <c r="BZ209" s="472"/>
      <c r="CA209" s="473"/>
      <c r="CB209" s="466"/>
      <c r="CC209" s="467"/>
      <c r="CD209" s="467"/>
      <c r="CE209" s="468"/>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5">
      <c r="A210" s="435"/>
      <c r="B210" s="36"/>
      <c r="C210" s="199" t="str">
        <f t="shared" ca="1" si="5"/>
        <v/>
      </c>
      <c r="D210" s="479"/>
      <c r="E210" s="480"/>
      <c r="F210" s="480"/>
      <c r="G210" s="480"/>
      <c r="H210" s="480"/>
      <c r="I210" s="480"/>
      <c r="J210" s="480"/>
      <c r="K210" s="440"/>
      <c r="L210" s="441"/>
      <c r="M210" s="441"/>
      <c r="N210" s="441"/>
      <c r="O210" s="441"/>
      <c r="P210" s="441"/>
      <c r="Q210" s="441"/>
      <c r="R210" s="444"/>
      <c r="S210" s="445"/>
      <c r="T210" s="444"/>
      <c r="U210" s="445"/>
      <c r="V210" s="440"/>
      <c r="W210" s="441"/>
      <c r="X210" s="441"/>
      <c r="Y210" s="441"/>
      <c r="Z210" s="441"/>
      <c r="AA210" s="441"/>
      <c r="AB210" s="441"/>
      <c r="AC210" s="441"/>
      <c r="AD210" s="440"/>
      <c r="AE210" s="441"/>
      <c r="AF210" s="441"/>
      <c r="AG210" s="441"/>
      <c r="AH210" s="441"/>
      <c r="AI210" s="441"/>
      <c r="AJ210" s="441"/>
      <c r="AK210" s="450"/>
      <c r="AL210" s="440"/>
      <c r="AM210" s="441"/>
      <c r="AN210" s="441"/>
      <c r="AO210" s="441"/>
      <c r="AP210" s="441"/>
      <c r="AQ210" s="441"/>
      <c r="AR210" s="450"/>
      <c r="AS210" s="485"/>
      <c r="AT210" s="486"/>
      <c r="AU210" s="486"/>
      <c r="AV210" s="486"/>
      <c r="AW210" s="486"/>
      <c r="AX210" s="486"/>
      <c r="AY210" s="487"/>
      <c r="AZ210" s="462"/>
      <c r="BA210" s="463"/>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5">
      <c r="A211" s="435"/>
      <c r="B211" s="36"/>
      <c r="C211" s="199" t="str">
        <f t="shared" ca="1" si="5"/>
        <v/>
      </c>
      <c r="D211" s="479"/>
      <c r="E211" s="480"/>
      <c r="F211" s="480"/>
      <c r="G211" s="480"/>
      <c r="H211" s="480"/>
      <c r="I211" s="480"/>
      <c r="J211" s="480"/>
      <c r="K211" s="440"/>
      <c r="L211" s="441"/>
      <c r="M211" s="441"/>
      <c r="N211" s="441"/>
      <c r="O211" s="441"/>
      <c r="P211" s="441"/>
      <c r="Q211" s="441"/>
      <c r="R211" s="444"/>
      <c r="S211" s="445"/>
      <c r="T211" s="444"/>
      <c r="U211" s="445"/>
      <c r="V211" s="440"/>
      <c r="W211" s="441"/>
      <c r="X211" s="441"/>
      <c r="Y211" s="441"/>
      <c r="Z211" s="441"/>
      <c r="AA211" s="441"/>
      <c r="AB211" s="441"/>
      <c r="AC211" s="441"/>
      <c r="AD211" s="440"/>
      <c r="AE211" s="441"/>
      <c r="AF211" s="441"/>
      <c r="AG211" s="441"/>
      <c r="AH211" s="441"/>
      <c r="AI211" s="441"/>
      <c r="AJ211" s="441"/>
      <c r="AK211" s="450"/>
      <c r="AL211" s="440"/>
      <c r="AM211" s="441"/>
      <c r="AN211" s="441"/>
      <c r="AO211" s="441"/>
      <c r="AP211" s="441"/>
      <c r="AQ211" s="441"/>
      <c r="AR211" s="450"/>
      <c r="AS211" s="485"/>
      <c r="AT211" s="486"/>
      <c r="AU211" s="486"/>
      <c r="AV211" s="486"/>
      <c r="AW211" s="486"/>
      <c r="AX211" s="486"/>
      <c r="AY211" s="487"/>
      <c r="AZ211" s="462"/>
      <c r="BA211" s="463"/>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5">
      <c r="A212" s="435"/>
      <c r="B212" s="36"/>
      <c r="C212" s="199" t="str">
        <f t="shared" ca="1" si="5"/>
        <v/>
      </c>
      <c r="D212" s="479"/>
      <c r="E212" s="480"/>
      <c r="F212" s="480"/>
      <c r="G212" s="480"/>
      <c r="H212" s="480"/>
      <c r="I212" s="480"/>
      <c r="J212" s="480"/>
      <c r="K212" s="440"/>
      <c r="L212" s="441"/>
      <c r="M212" s="441"/>
      <c r="N212" s="441"/>
      <c r="O212" s="441"/>
      <c r="P212" s="441"/>
      <c r="Q212" s="441"/>
      <c r="R212" s="444"/>
      <c r="S212" s="445"/>
      <c r="T212" s="444"/>
      <c r="U212" s="445"/>
      <c r="V212" s="440"/>
      <c r="W212" s="441"/>
      <c r="X212" s="441"/>
      <c r="Y212" s="441"/>
      <c r="Z212" s="441"/>
      <c r="AA212" s="441"/>
      <c r="AB212" s="441"/>
      <c r="AC212" s="441"/>
      <c r="AD212" s="440"/>
      <c r="AE212" s="441"/>
      <c r="AF212" s="441"/>
      <c r="AG212" s="441"/>
      <c r="AH212" s="441"/>
      <c r="AI212" s="441"/>
      <c r="AJ212" s="441"/>
      <c r="AK212" s="450"/>
      <c r="AL212" s="440"/>
      <c r="AM212" s="441"/>
      <c r="AN212" s="441"/>
      <c r="AO212" s="441"/>
      <c r="AP212" s="441"/>
      <c r="AQ212" s="441"/>
      <c r="AR212" s="450"/>
      <c r="AS212" s="485"/>
      <c r="AT212" s="486"/>
      <c r="AU212" s="486"/>
      <c r="AV212" s="486"/>
      <c r="AW212" s="486"/>
      <c r="AX212" s="486"/>
      <c r="AY212" s="487"/>
      <c r="AZ212" s="462"/>
      <c r="BA212" s="463"/>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5">
      <c r="A213" s="435"/>
      <c r="B213" s="36"/>
      <c r="C213" s="199" t="str">
        <f t="shared" ca="1" si="5"/>
        <v/>
      </c>
      <c r="D213" s="479"/>
      <c r="E213" s="480"/>
      <c r="F213" s="480"/>
      <c r="G213" s="480"/>
      <c r="H213" s="480"/>
      <c r="I213" s="480"/>
      <c r="J213" s="480"/>
      <c r="K213" s="440"/>
      <c r="L213" s="441"/>
      <c r="M213" s="441"/>
      <c r="N213" s="441"/>
      <c r="O213" s="441"/>
      <c r="P213" s="441"/>
      <c r="Q213" s="441"/>
      <c r="R213" s="444"/>
      <c r="S213" s="445"/>
      <c r="T213" s="444"/>
      <c r="U213" s="445"/>
      <c r="V213" s="440"/>
      <c r="W213" s="441"/>
      <c r="X213" s="441"/>
      <c r="Y213" s="441"/>
      <c r="Z213" s="441"/>
      <c r="AA213" s="441"/>
      <c r="AB213" s="441"/>
      <c r="AC213" s="441"/>
      <c r="AD213" s="440"/>
      <c r="AE213" s="441"/>
      <c r="AF213" s="441"/>
      <c r="AG213" s="441"/>
      <c r="AH213" s="441"/>
      <c r="AI213" s="441"/>
      <c r="AJ213" s="441"/>
      <c r="AK213" s="450"/>
      <c r="AL213" s="440"/>
      <c r="AM213" s="441"/>
      <c r="AN213" s="441"/>
      <c r="AO213" s="441"/>
      <c r="AP213" s="441"/>
      <c r="AQ213" s="441"/>
      <c r="AR213" s="450"/>
      <c r="AS213" s="485"/>
      <c r="AT213" s="486"/>
      <c r="AU213" s="486"/>
      <c r="AV213" s="486"/>
      <c r="AW213" s="486"/>
      <c r="AX213" s="486"/>
      <c r="AY213" s="487"/>
      <c r="AZ213" s="462"/>
      <c r="BA213" s="463"/>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5">
      <c r="A214" s="436"/>
      <c r="B214" s="37"/>
      <c r="C214" s="200" t="str">
        <f t="shared" ca="1" si="5"/>
        <v/>
      </c>
      <c r="D214" s="481"/>
      <c r="E214" s="482"/>
      <c r="F214" s="482"/>
      <c r="G214" s="482"/>
      <c r="H214" s="482"/>
      <c r="I214" s="482"/>
      <c r="J214" s="482"/>
      <c r="K214" s="409"/>
      <c r="L214" s="410"/>
      <c r="M214" s="410"/>
      <c r="N214" s="410"/>
      <c r="O214" s="410"/>
      <c r="P214" s="410"/>
      <c r="Q214" s="410"/>
      <c r="R214" s="446"/>
      <c r="S214" s="447"/>
      <c r="T214" s="446"/>
      <c r="U214" s="44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88"/>
      <c r="AT214" s="489"/>
      <c r="AU214" s="489"/>
      <c r="AV214" s="489"/>
      <c r="AW214" s="489"/>
      <c r="AX214" s="489"/>
      <c r="AY214" s="490"/>
      <c r="AZ214" s="464"/>
      <c r="BA214" s="465"/>
      <c r="BB214" s="62">
        <v>6</v>
      </c>
      <c r="BC214" s="426"/>
      <c r="BD214" s="427"/>
      <c r="BE214" s="427"/>
      <c r="BF214" s="428"/>
      <c r="BG214" s="429"/>
      <c r="BH214" s="430"/>
      <c r="BI214" s="196"/>
      <c r="BJ214" s="474"/>
      <c r="BK214" s="475"/>
      <c r="BL214" s="475"/>
      <c r="BM214" s="475"/>
      <c r="BN214" s="475"/>
      <c r="BO214" s="476"/>
      <c r="BP214" s="474"/>
      <c r="BQ214" s="475"/>
      <c r="BR214" s="475"/>
      <c r="BS214" s="475"/>
      <c r="BT214" s="475"/>
      <c r="BU214" s="476"/>
      <c r="BV214" s="474"/>
      <c r="BW214" s="475"/>
      <c r="BX214" s="475"/>
      <c r="BY214" s="475"/>
      <c r="BZ214" s="475"/>
      <c r="CA214" s="476"/>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5">
      <c r="A215" s="434">
        <v>35</v>
      </c>
      <c r="B215" s="36"/>
      <c r="C215" s="198" t="str">
        <f t="shared" ca="1" si="5"/>
        <v/>
      </c>
      <c r="D215" s="477"/>
      <c r="E215" s="478"/>
      <c r="F215" s="478"/>
      <c r="G215" s="478"/>
      <c r="H215" s="478"/>
      <c r="I215" s="478"/>
      <c r="J215" s="478"/>
      <c r="K215" s="438" t="s">
        <v>374</v>
      </c>
      <c r="L215" s="439"/>
      <c r="M215" s="439"/>
      <c r="N215" s="439"/>
      <c r="O215" s="439"/>
      <c r="P215" s="439"/>
      <c r="Q215" s="439"/>
      <c r="R215" s="442" t="s">
        <v>186</v>
      </c>
      <c r="S215" s="443"/>
      <c r="T215" s="442"/>
      <c r="U215" s="443"/>
      <c r="V215" s="438"/>
      <c r="W215" s="439"/>
      <c r="X215" s="439"/>
      <c r="Y215" s="439"/>
      <c r="Z215" s="439"/>
      <c r="AA215" s="439"/>
      <c r="AB215" s="439"/>
      <c r="AC215" s="439"/>
      <c r="AD215" s="438"/>
      <c r="AE215" s="439"/>
      <c r="AF215" s="439"/>
      <c r="AG215" s="439"/>
      <c r="AH215" s="439"/>
      <c r="AI215" s="439"/>
      <c r="AJ215" s="439"/>
      <c r="AK215" s="449"/>
      <c r="AL215" s="438"/>
      <c r="AM215" s="439"/>
      <c r="AN215" s="439"/>
      <c r="AO215" s="439"/>
      <c r="AP215" s="439"/>
      <c r="AQ215" s="439"/>
      <c r="AR215" s="449"/>
      <c r="AS215" s="500"/>
      <c r="AT215" s="483"/>
      <c r="AU215" s="483"/>
      <c r="AV215" s="483"/>
      <c r="AW215" s="483"/>
      <c r="AX215" s="483"/>
      <c r="AY215" s="484"/>
      <c r="AZ215" s="460"/>
      <c r="BA215" s="461"/>
      <c r="BB215" s="60">
        <v>1</v>
      </c>
      <c r="BC215" s="466"/>
      <c r="BD215" s="467"/>
      <c r="BE215" s="467"/>
      <c r="BF215" s="468"/>
      <c r="BG215" s="469"/>
      <c r="BH215" s="470"/>
      <c r="BI215" s="194"/>
      <c r="BJ215" s="471"/>
      <c r="BK215" s="472"/>
      <c r="BL215" s="472"/>
      <c r="BM215" s="472"/>
      <c r="BN215" s="472"/>
      <c r="BO215" s="473"/>
      <c r="BP215" s="471"/>
      <c r="BQ215" s="472"/>
      <c r="BR215" s="472"/>
      <c r="BS215" s="472"/>
      <c r="BT215" s="472"/>
      <c r="BU215" s="473"/>
      <c r="BV215" s="471"/>
      <c r="BW215" s="472"/>
      <c r="BX215" s="472"/>
      <c r="BY215" s="472"/>
      <c r="BZ215" s="472"/>
      <c r="CA215" s="473"/>
      <c r="CB215" s="466"/>
      <c r="CC215" s="467"/>
      <c r="CD215" s="467"/>
      <c r="CE215" s="468"/>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5">
      <c r="A216" s="435"/>
      <c r="B216" s="36"/>
      <c r="C216" s="199" t="str">
        <f t="shared" ca="1" si="5"/>
        <v/>
      </c>
      <c r="D216" s="479"/>
      <c r="E216" s="480"/>
      <c r="F216" s="480"/>
      <c r="G216" s="480"/>
      <c r="H216" s="480"/>
      <c r="I216" s="480"/>
      <c r="J216" s="480"/>
      <c r="K216" s="440"/>
      <c r="L216" s="441"/>
      <c r="M216" s="441"/>
      <c r="N216" s="441"/>
      <c r="O216" s="441"/>
      <c r="P216" s="441"/>
      <c r="Q216" s="441"/>
      <c r="R216" s="444"/>
      <c r="S216" s="445"/>
      <c r="T216" s="444"/>
      <c r="U216" s="445"/>
      <c r="V216" s="440"/>
      <c r="W216" s="441"/>
      <c r="X216" s="441"/>
      <c r="Y216" s="441"/>
      <c r="Z216" s="441"/>
      <c r="AA216" s="441"/>
      <c r="AB216" s="441"/>
      <c r="AC216" s="441"/>
      <c r="AD216" s="440"/>
      <c r="AE216" s="441"/>
      <c r="AF216" s="441"/>
      <c r="AG216" s="441"/>
      <c r="AH216" s="441"/>
      <c r="AI216" s="441"/>
      <c r="AJ216" s="441"/>
      <c r="AK216" s="450"/>
      <c r="AL216" s="440"/>
      <c r="AM216" s="441"/>
      <c r="AN216" s="441"/>
      <c r="AO216" s="441"/>
      <c r="AP216" s="441"/>
      <c r="AQ216" s="441"/>
      <c r="AR216" s="450"/>
      <c r="AS216" s="485"/>
      <c r="AT216" s="486"/>
      <c r="AU216" s="486"/>
      <c r="AV216" s="486"/>
      <c r="AW216" s="486"/>
      <c r="AX216" s="486"/>
      <c r="AY216" s="487"/>
      <c r="AZ216" s="462"/>
      <c r="BA216" s="463"/>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5">
      <c r="A217" s="435"/>
      <c r="B217" s="36"/>
      <c r="C217" s="199" t="str">
        <f t="shared" ca="1" si="5"/>
        <v/>
      </c>
      <c r="D217" s="479"/>
      <c r="E217" s="480"/>
      <c r="F217" s="480"/>
      <c r="G217" s="480"/>
      <c r="H217" s="480"/>
      <c r="I217" s="480"/>
      <c r="J217" s="480"/>
      <c r="K217" s="440"/>
      <c r="L217" s="441"/>
      <c r="M217" s="441"/>
      <c r="N217" s="441"/>
      <c r="O217" s="441"/>
      <c r="P217" s="441"/>
      <c r="Q217" s="441"/>
      <c r="R217" s="444"/>
      <c r="S217" s="445"/>
      <c r="T217" s="444"/>
      <c r="U217" s="445"/>
      <c r="V217" s="440"/>
      <c r="W217" s="441"/>
      <c r="X217" s="441"/>
      <c r="Y217" s="441"/>
      <c r="Z217" s="441"/>
      <c r="AA217" s="441"/>
      <c r="AB217" s="441"/>
      <c r="AC217" s="441"/>
      <c r="AD217" s="440"/>
      <c r="AE217" s="441"/>
      <c r="AF217" s="441"/>
      <c r="AG217" s="441"/>
      <c r="AH217" s="441"/>
      <c r="AI217" s="441"/>
      <c r="AJ217" s="441"/>
      <c r="AK217" s="450"/>
      <c r="AL217" s="440"/>
      <c r="AM217" s="441"/>
      <c r="AN217" s="441"/>
      <c r="AO217" s="441"/>
      <c r="AP217" s="441"/>
      <c r="AQ217" s="441"/>
      <c r="AR217" s="450"/>
      <c r="AS217" s="485"/>
      <c r="AT217" s="486"/>
      <c r="AU217" s="486"/>
      <c r="AV217" s="486"/>
      <c r="AW217" s="486"/>
      <c r="AX217" s="486"/>
      <c r="AY217" s="487"/>
      <c r="AZ217" s="462"/>
      <c r="BA217" s="463"/>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5">
      <c r="A218" s="435"/>
      <c r="B218" s="36"/>
      <c r="C218" s="199" t="str">
        <f t="shared" ca="1" si="5"/>
        <v/>
      </c>
      <c r="D218" s="479"/>
      <c r="E218" s="480"/>
      <c r="F218" s="480"/>
      <c r="G218" s="480"/>
      <c r="H218" s="480"/>
      <c r="I218" s="480"/>
      <c r="J218" s="480"/>
      <c r="K218" s="440"/>
      <c r="L218" s="441"/>
      <c r="M218" s="441"/>
      <c r="N218" s="441"/>
      <c r="O218" s="441"/>
      <c r="P218" s="441"/>
      <c r="Q218" s="441"/>
      <c r="R218" s="444"/>
      <c r="S218" s="445"/>
      <c r="T218" s="444"/>
      <c r="U218" s="445"/>
      <c r="V218" s="440"/>
      <c r="W218" s="441"/>
      <c r="X218" s="441"/>
      <c r="Y218" s="441"/>
      <c r="Z218" s="441"/>
      <c r="AA218" s="441"/>
      <c r="AB218" s="441"/>
      <c r="AC218" s="441"/>
      <c r="AD218" s="440"/>
      <c r="AE218" s="441"/>
      <c r="AF218" s="441"/>
      <c r="AG218" s="441"/>
      <c r="AH218" s="441"/>
      <c r="AI218" s="441"/>
      <c r="AJ218" s="441"/>
      <c r="AK218" s="450"/>
      <c r="AL218" s="440"/>
      <c r="AM218" s="441"/>
      <c r="AN218" s="441"/>
      <c r="AO218" s="441"/>
      <c r="AP218" s="441"/>
      <c r="AQ218" s="441"/>
      <c r="AR218" s="450"/>
      <c r="AS218" s="485"/>
      <c r="AT218" s="486"/>
      <c r="AU218" s="486"/>
      <c r="AV218" s="486"/>
      <c r="AW218" s="486"/>
      <c r="AX218" s="486"/>
      <c r="AY218" s="487"/>
      <c r="AZ218" s="462"/>
      <c r="BA218" s="463"/>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5">
      <c r="A219" s="435"/>
      <c r="B219" s="36"/>
      <c r="C219" s="199" t="str">
        <f t="shared" ca="1" si="5"/>
        <v/>
      </c>
      <c r="D219" s="479"/>
      <c r="E219" s="480"/>
      <c r="F219" s="480"/>
      <c r="G219" s="480"/>
      <c r="H219" s="480"/>
      <c r="I219" s="480"/>
      <c r="J219" s="480"/>
      <c r="K219" s="440"/>
      <c r="L219" s="441"/>
      <c r="M219" s="441"/>
      <c r="N219" s="441"/>
      <c r="O219" s="441"/>
      <c r="P219" s="441"/>
      <c r="Q219" s="441"/>
      <c r="R219" s="444"/>
      <c r="S219" s="445"/>
      <c r="T219" s="444"/>
      <c r="U219" s="445"/>
      <c r="V219" s="440"/>
      <c r="W219" s="441"/>
      <c r="X219" s="441"/>
      <c r="Y219" s="441"/>
      <c r="Z219" s="441"/>
      <c r="AA219" s="441"/>
      <c r="AB219" s="441"/>
      <c r="AC219" s="441"/>
      <c r="AD219" s="440"/>
      <c r="AE219" s="441"/>
      <c r="AF219" s="441"/>
      <c r="AG219" s="441"/>
      <c r="AH219" s="441"/>
      <c r="AI219" s="441"/>
      <c r="AJ219" s="441"/>
      <c r="AK219" s="450"/>
      <c r="AL219" s="440"/>
      <c r="AM219" s="441"/>
      <c r="AN219" s="441"/>
      <c r="AO219" s="441"/>
      <c r="AP219" s="441"/>
      <c r="AQ219" s="441"/>
      <c r="AR219" s="450"/>
      <c r="AS219" s="485"/>
      <c r="AT219" s="486"/>
      <c r="AU219" s="486"/>
      <c r="AV219" s="486"/>
      <c r="AW219" s="486"/>
      <c r="AX219" s="486"/>
      <c r="AY219" s="487"/>
      <c r="AZ219" s="462"/>
      <c r="BA219" s="463"/>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5">
      <c r="A220" s="436"/>
      <c r="B220" s="37"/>
      <c r="C220" s="200" t="str">
        <f t="shared" ca="1" si="5"/>
        <v/>
      </c>
      <c r="D220" s="481"/>
      <c r="E220" s="482"/>
      <c r="F220" s="482"/>
      <c r="G220" s="482"/>
      <c r="H220" s="482"/>
      <c r="I220" s="482"/>
      <c r="J220" s="482"/>
      <c r="K220" s="409"/>
      <c r="L220" s="410"/>
      <c r="M220" s="410"/>
      <c r="N220" s="410"/>
      <c r="O220" s="410"/>
      <c r="P220" s="410"/>
      <c r="Q220" s="410"/>
      <c r="R220" s="446"/>
      <c r="S220" s="447"/>
      <c r="T220" s="446"/>
      <c r="U220" s="44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88"/>
      <c r="AT220" s="489"/>
      <c r="AU220" s="489"/>
      <c r="AV220" s="489"/>
      <c r="AW220" s="489"/>
      <c r="AX220" s="489"/>
      <c r="AY220" s="490"/>
      <c r="AZ220" s="464"/>
      <c r="BA220" s="465"/>
      <c r="BB220" s="62">
        <v>6</v>
      </c>
      <c r="BC220" s="426"/>
      <c r="BD220" s="427"/>
      <c r="BE220" s="427"/>
      <c r="BF220" s="428"/>
      <c r="BG220" s="429"/>
      <c r="BH220" s="430"/>
      <c r="BI220" s="196"/>
      <c r="BJ220" s="474"/>
      <c r="BK220" s="475"/>
      <c r="BL220" s="475"/>
      <c r="BM220" s="475"/>
      <c r="BN220" s="475"/>
      <c r="BO220" s="476"/>
      <c r="BP220" s="474"/>
      <c r="BQ220" s="475"/>
      <c r="BR220" s="475"/>
      <c r="BS220" s="475"/>
      <c r="BT220" s="475"/>
      <c r="BU220" s="476"/>
      <c r="BV220" s="474"/>
      <c r="BW220" s="475"/>
      <c r="BX220" s="475"/>
      <c r="BY220" s="475"/>
      <c r="BZ220" s="475"/>
      <c r="CA220" s="476"/>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5">
      <c r="A221" s="434">
        <v>36</v>
      </c>
      <c r="B221" s="36"/>
      <c r="C221" s="198" t="str">
        <f t="shared" ca="1" si="5"/>
        <v/>
      </c>
      <c r="D221" s="477" t="s">
        <v>375</v>
      </c>
      <c r="E221" s="478"/>
      <c r="F221" s="478"/>
      <c r="G221" s="478"/>
      <c r="H221" s="478"/>
      <c r="I221" s="478"/>
      <c r="J221" s="478"/>
      <c r="K221" s="438" t="s">
        <v>376</v>
      </c>
      <c r="L221" s="439"/>
      <c r="M221" s="439"/>
      <c r="N221" s="439"/>
      <c r="O221" s="439"/>
      <c r="P221" s="439"/>
      <c r="Q221" s="439"/>
      <c r="R221" s="442" t="s">
        <v>186</v>
      </c>
      <c r="S221" s="443"/>
      <c r="T221" s="442"/>
      <c r="U221" s="443"/>
      <c r="V221" s="438"/>
      <c r="W221" s="439"/>
      <c r="X221" s="439"/>
      <c r="Y221" s="439"/>
      <c r="Z221" s="439"/>
      <c r="AA221" s="439"/>
      <c r="AB221" s="439"/>
      <c r="AC221" s="439"/>
      <c r="AD221" s="438"/>
      <c r="AE221" s="439"/>
      <c r="AF221" s="439"/>
      <c r="AG221" s="439"/>
      <c r="AH221" s="439"/>
      <c r="AI221" s="439"/>
      <c r="AJ221" s="439"/>
      <c r="AK221" s="449"/>
      <c r="AL221" s="438"/>
      <c r="AM221" s="439"/>
      <c r="AN221" s="439"/>
      <c r="AO221" s="439"/>
      <c r="AP221" s="439"/>
      <c r="AQ221" s="439"/>
      <c r="AR221" s="449"/>
      <c r="AS221" s="500"/>
      <c r="AT221" s="483"/>
      <c r="AU221" s="483"/>
      <c r="AV221" s="483"/>
      <c r="AW221" s="483"/>
      <c r="AX221" s="483"/>
      <c r="AY221" s="484"/>
      <c r="AZ221" s="460"/>
      <c r="BA221" s="461"/>
      <c r="BB221" s="60">
        <v>1</v>
      </c>
      <c r="BC221" s="466"/>
      <c r="BD221" s="467"/>
      <c r="BE221" s="467"/>
      <c r="BF221" s="468"/>
      <c r="BG221" s="469"/>
      <c r="BH221" s="470"/>
      <c r="BI221" s="194"/>
      <c r="BJ221" s="471"/>
      <c r="BK221" s="472"/>
      <c r="BL221" s="472"/>
      <c r="BM221" s="472"/>
      <c r="BN221" s="472"/>
      <c r="BO221" s="473"/>
      <c r="BP221" s="471"/>
      <c r="BQ221" s="472"/>
      <c r="BR221" s="472"/>
      <c r="BS221" s="472"/>
      <c r="BT221" s="472"/>
      <c r="BU221" s="473"/>
      <c r="BV221" s="471"/>
      <c r="BW221" s="472"/>
      <c r="BX221" s="472"/>
      <c r="BY221" s="472"/>
      <c r="BZ221" s="472"/>
      <c r="CA221" s="473"/>
      <c r="CB221" s="466"/>
      <c r="CC221" s="467"/>
      <c r="CD221" s="467"/>
      <c r="CE221" s="468"/>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5">
      <c r="A222" s="435"/>
      <c r="B222" s="36"/>
      <c r="C222" s="199" t="str">
        <f t="shared" ca="1" si="5"/>
        <v/>
      </c>
      <c r="D222" s="479"/>
      <c r="E222" s="480"/>
      <c r="F222" s="480"/>
      <c r="G222" s="480"/>
      <c r="H222" s="480"/>
      <c r="I222" s="480"/>
      <c r="J222" s="480"/>
      <c r="K222" s="440"/>
      <c r="L222" s="441"/>
      <c r="M222" s="441"/>
      <c r="N222" s="441"/>
      <c r="O222" s="441"/>
      <c r="P222" s="441"/>
      <c r="Q222" s="441"/>
      <c r="R222" s="444"/>
      <c r="S222" s="445"/>
      <c r="T222" s="444"/>
      <c r="U222" s="445"/>
      <c r="V222" s="440"/>
      <c r="W222" s="441"/>
      <c r="X222" s="441"/>
      <c r="Y222" s="441"/>
      <c r="Z222" s="441"/>
      <c r="AA222" s="441"/>
      <c r="AB222" s="441"/>
      <c r="AC222" s="441"/>
      <c r="AD222" s="440"/>
      <c r="AE222" s="441"/>
      <c r="AF222" s="441"/>
      <c r="AG222" s="441"/>
      <c r="AH222" s="441"/>
      <c r="AI222" s="441"/>
      <c r="AJ222" s="441"/>
      <c r="AK222" s="450"/>
      <c r="AL222" s="440"/>
      <c r="AM222" s="441"/>
      <c r="AN222" s="441"/>
      <c r="AO222" s="441"/>
      <c r="AP222" s="441"/>
      <c r="AQ222" s="441"/>
      <c r="AR222" s="450"/>
      <c r="AS222" s="485"/>
      <c r="AT222" s="486"/>
      <c r="AU222" s="486"/>
      <c r="AV222" s="486"/>
      <c r="AW222" s="486"/>
      <c r="AX222" s="486"/>
      <c r="AY222" s="487"/>
      <c r="AZ222" s="462"/>
      <c r="BA222" s="463"/>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5">
      <c r="A223" s="435"/>
      <c r="B223" s="36"/>
      <c r="C223" s="199" t="str">
        <f t="shared" ca="1" si="5"/>
        <v/>
      </c>
      <c r="D223" s="479"/>
      <c r="E223" s="480"/>
      <c r="F223" s="480"/>
      <c r="G223" s="480"/>
      <c r="H223" s="480"/>
      <c r="I223" s="480"/>
      <c r="J223" s="480"/>
      <c r="K223" s="440"/>
      <c r="L223" s="441"/>
      <c r="M223" s="441"/>
      <c r="N223" s="441"/>
      <c r="O223" s="441"/>
      <c r="P223" s="441"/>
      <c r="Q223" s="441"/>
      <c r="R223" s="444"/>
      <c r="S223" s="445"/>
      <c r="T223" s="444"/>
      <c r="U223" s="445"/>
      <c r="V223" s="440"/>
      <c r="W223" s="441"/>
      <c r="X223" s="441"/>
      <c r="Y223" s="441"/>
      <c r="Z223" s="441"/>
      <c r="AA223" s="441"/>
      <c r="AB223" s="441"/>
      <c r="AC223" s="441"/>
      <c r="AD223" s="440"/>
      <c r="AE223" s="441"/>
      <c r="AF223" s="441"/>
      <c r="AG223" s="441"/>
      <c r="AH223" s="441"/>
      <c r="AI223" s="441"/>
      <c r="AJ223" s="441"/>
      <c r="AK223" s="450"/>
      <c r="AL223" s="440"/>
      <c r="AM223" s="441"/>
      <c r="AN223" s="441"/>
      <c r="AO223" s="441"/>
      <c r="AP223" s="441"/>
      <c r="AQ223" s="441"/>
      <c r="AR223" s="450"/>
      <c r="AS223" s="485"/>
      <c r="AT223" s="486"/>
      <c r="AU223" s="486"/>
      <c r="AV223" s="486"/>
      <c r="AW223" s="486"/>
      <c r="AX223" s="486"/>
      <c r="AY223" s="487"/>
      <c r="AZ223" s="462"/>
      <c r="BA223" s="463"/>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5">
      <c r="A224" s="435"/>
      <c r="B224" s="36"/>
      <c r="C224" s="199" t="str">
        <f t="shared" ca="1" si="5"/>
        <v/>
      </c>
      <c r="D224" s="479"/>
      <c r="E224" s="480"/>
      <c r="F224" s="480"/>
      <c r="G224" s="480"/>
      <c r="H224" s="480"/>
      <c r="I224" s="480"/>
      <c r="J224" s="480"/>
      <c r="K224" s="440"/>
      <c r="L224" s="441"/>
      <c r="M224" s="441"/>
      <c r="N224" s="441"/>
      <c r="O224" s="441"/>
      <c r="P224" s="441"/>
      <c r="Q224" s="441"/>
      <c r="R224" s="444"/>
      <c r="S224" s="445"/>
      <c r="T224" s="444"/>
      <c r="U224" s="445"/>
      <c r="V224" s="440"/>
      <c r="W224" s="441"/>
      <c r="X224" s="441"/>
      <c r="Y224" s="441"/>
      <c r="Z224" s="441"/>
      <c r="AA224" s="441"/>
      <c r="AB224" s="441"/>
      <c r="AC224" s="441"/>
      <c r="AD224" s="440"/>
      <c r="AE224" s="441"/>
      <c r="AF224" s="441"/>
      <c r="AG224" s="441"/>
      <c r="AH224" s="441"/>
      <c r="AI224" s="441"/>
      <c r="AJ224" s="441"/>
      <c r="AK224" s="450"/>
      <c r="AL224" s="440"/>
      <c r="AM224" s="441"/>
      <c r="AN224" s="441"/>
      <c r="AO224" s="441"/>
      <c r="AP224" s="441"/>
      <c r="AQ224" s="441"/>
      <c r="AR224" s="450"/>
      <c r="AS224" s="485"/>
      <c r="AT224" s="486"/>
      <c r="AU224" s="486"/>
      <c r="AV224" s="486"/>
      <c r="AW224" s="486"/>
      <c r="AX224" s="486"/>
      <c r="AY224" s="487"/>
      <c r="AZ224" s="462"/>
      <c r="BA224" s="463"/>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5">
      <c r="A225" s="435"/>
      <c r="B225" s="36"/>
      <c r="C225" s="199" t="str">
        <f t="shared" ca="1" si="5"/>
        <v/>
      </c>
      <c r="D225" s="479"/>
      <c r="E225" s="480"/>
      <c r="F225" s="480"/>
      <c r="G225" s="480"/>
      <c r="H225" s="480"/>
      <c r="I225" s="480"/>
      <c r="J225" s="480"/>
      <c r="K225" s="440"/>
      <c r="L225" s="441"/>
      <c r="M225" s="441"/>
      <c r="N225" s="441"/>
      <c r="O225" s="441"/>
      <c r="P225" s="441"/>
      <c r="Q225" s="441"/>
      <c r="R225" s="444"/>
      <c r="S225" s="445"/>
      <c r="T225" s="444"/>
      <c r="U225" s="445"/>
      <c r="V225" s="440"/>
      <c r="W225" s="441"/>
      <c r="X225" s="441"/>
      <c r="Y225" s="441"/>
      <c r="Z225" s="441"/>
      <c r="AA225" s="441"/>
      <c r="AB225" s="441"/>
      <c r="AC225" s="441"/>
      <c r="AD225" s="440"/>
      <c r="AE225" s="441"/>
      <c r="AF225" s="441"/>
      <c r="AG225" s="441"/>
      <c r="AH225" s="441"/>
      <c r="AI225" s="441"/>
      <c r="AJ225" s="441"/>
      <c r="AK225" s="450"/>
      <c r="AL225" s="440"/>
      <c r="AM225" s="441"/>
      <c r="AN225" s="441"/>
      <c r="AO225" s="441"/>
      <c r="AP225" s="441"/>
      <c r="AQ225" s="441"/>
      <c r="AR225" s="450"/>
      <c r="AS225" s="485"/>
      <c r="AT225" s="486"/>
      <c r="AU225" s="486"/>
      <c r="AV225" s="486"/>
      <c r="AW225" s="486"/>
      <c r="AX225" s="486"/>
      <c r="AY225" s="487"/>
      <c r="AZ225" s="462"/>
      <c r="BA225" s="463"/>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5">
      <c r="A226" s="436"/>
      <c r="B226" s="37"/>
      <c r="C226" s="200" t="str">
        <f t="shared" ca="1" si="5"/>
        <v/>
      </c>
      <c r="D226" s="481"/>
      <c r="E226" s="482"/>
      <c r="F226" s="482"/>
      <c r="G226" s="482"/>
      <c r="H226" s="482"/>
      <c r="I226" s="482"/>
      <c r="J226" s="482"/>
      <c r="K226" s="409"/>
      <c r="L226" s="410"/>
      <c r="M226" s="410"/>
      <c r="N226" s="410"/>
      <c r="O226" s="410"/>
      <c r="P226" s="410"/>
      <c r="Q226" s="410"/>
      <c r="R226" s="446"/>
      <c r="S226" s="447"/>
      <c r="T226" s="446"/>
      <c r="U226" s="44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88"/>
      <c r="AT226" s="489"/>
      <c r="AU226" s="489"/>
      <c r="AV226" s="489"/>
      <c r="AW226" s="489"/>
      <c r="AX226" s="489"/>
      <c r="AY226" s="490"/>
      <c r="AZ226" s="464"/>
      <c r="BA226" s="465"/>
      <c r="BB226" s="62">
        <v>6</v>
      </c>
      <c r="BC226" s="426"/>
      <c r="BD226" s="427"/>
      <c r="BE226" s="427"/>
      <c r="BF226" s="428"/>
      <c r="BG226" s="429"/>
      <c r="BH226" s="430"/>
      <c r="BI226" s="196"/>
      <c r="BJ226" s="474"/>
      <c r="BK226" s="475"/>
      <c r="BL226" s="475"/>
      <c r="BM226" s="475"/>
      <c r="BN226" s="475"/>
      <c r="BO226" s="476"/>
      <c r="BP226" s="474"/>
      <c r="BQ226" s="475"/>
      <c r="BR226" s="475"/>
      <c r="BS226" s="475"/>
      <c r="BT226" s="475"/>
      <c r="BU226" s="476"/>
      <c r="BV226" s="474"/>
      <c r="BW226" s="475"/>
      <c r="BX226" s="475"/>
      <c r="BY226" s="475"/>
      <c r="BZ226" s="475"/>
      <c r="CA226" s="476"/>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5">
      <c r="A227" s="434">
        <v>37</v>
      </c>
      <c r="B227" s="36"/>
      <c r="C227" s="198" t="str">
        <f t="shared" ca="1" si="5"/>
        <v/>
      </c>
      <c r="D227" s="477"/>
      <c r="E227" s="478"/>
      <c r="F227" s="478"/>
      <c r="G227" s="478"/>
      <c r="H227" s="478"/>
      <c r="I227" s="478"/>
      <c r="J227" s="478"/>
      <c r="K227" s="438" t="s">
        <v>377</v>
      </c>
      <c r="L227" s="439"/>
      <c r="M227" s="439"/>
      <c r="N227" s="439"/>
      <c r="O227" s="439"/>
      <c r="P227" s="439"/>
      <c r="Q227" s="439"/>
      <c r="R227" s="442" t="s">
        <v>186</v>
      </c>
      <c r="S227" s="443"/>
      <c r="T227" s="442"/>
      <c r="U227" s="443"/>
      <c r="V227" s="438"/>
      <c r="W227" s="439"/>
      <c r="X227" s="439"/>
      <c r="Y227" s="439"/>
      <c r="Z227" s="439"/>
      <c r="AA227" s="439"/>
      <c r="AB227" s="439"/>
      <c r="AC227" s="439"/>
      <c r="AD227" s="438"/>
      <c r="AE227" s="439"/>
      <c r="AF227" s="439"/>
      <c r="AG227" s="439"/>
      <c r="AH227" s="439"/>
      <c r="AI227" s="439"/>
      <c r="AJ227" s="439"/>
      <c r="AK227" s="449"/>
      <c r="AL227" s="438"/>
      <c r="AM227" s="439"/>
      <c r="AN227" s="439"/>
      <c r="AO227" s="439"/>
      <c r="AP227" s="439"/>
      <c r="AQ227" s="439"/>
      <c r="AR227" s="449"/>
      <c r="AS227" s="500"/>
      <c r="AT227" s="483"/>
      <c r="AU227" s="483"/>
      <c r="AV227" s="483"/>
      <c r="AW227" s="483"/>
      <c r="AX227" s="483"/>
      <c r="AY227" s="484"/>
      <c r="AZ227" s="460"/>
      <c r="BA227" s="461"/>
      <c r="BB227" s="60">
        <v>1</v>
      </c>
      <c r="BC227" s="466"/>
      <c r="BD227" s="467"/>
      <c r="BE227" s="467"/>
      <c r="BF227" s="468"/>
      <c r="BG227" s="469"/>
      <c r="BH227" s="470"/>
      <c r="BI227" s="194"/>
      <c r="BJ227" s="471"/>
      <c r="BK227" s="472"/>
      <c r="BL227" s="472"/>
      <c r="BM227" s="472"/>
      <c r="BN227" s="472"/>
      <c r="BO227" s="473"/>
      <c r="BP227" s="471"/>
      <c r="BQ227" s="472"/>
      <c r="BR227" s="472"/>
      <c r="BS227" s="472"/>
      <c r="BT227" s="472"/>
      <c r="BU227" s="473"/>
      <c r="BV227" s="471"/>
      <c r="BW227" s="472"/>
      <c r="BX227" s="472"/>
      <c r="BY227" s="472"/>
      <c r="BZ227" s="472"/>
      <c r="CA227" s="473"/>
      <c r="CB227" s="466"/>
      <c r="CC227" s="467"/>
      <c r="CD227" s="467"/>
      <c r="CE227" s="468"/>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5">
      <c r="A228" s="435"/>
      <c r="B228" s="36"/>
      <c r="C228" s="199" t="str">
        <f t="shared" ca="1" si="5"/>
        <v/>
      </c>
      <c r="D228" s="479"/>
      <c r="E228" s="480"/>
      <c r="F228" s="480"/>
      <c r="G228" s="480"/>
      <c r="H228" s="480"/>
      <c r="I228" s="480"/>
      <c r="J228" s="480"/>
      <c r="K228" s="440"/>
      <c r="L228" s="441"/>
      <c r="M228" s="441"/>
      <c r="N228" s="441"/>
      <c r="O228" s="441"/>
      <c r="P228" s="441"/>
      <c r="Q228" s="441"/>
      <c r="R228" s="444"/>
      <c r="S228" s="445"/>
      <c r="T228" s="444"/>
      <c r="U228" s="445"/>
      <c r="V228" s="440"/>
      <c r="W228" s="441"/>
      <c r="X228" s="441"/>
      <c r="Y228" s="441"/>
      <c r="Z228" s="441"/>
      <c r="AA228" s="441"/>
      <c r="AB228" s="441"/>
      <c r="AC228" s="441"/>
      <c r="AD228" s="440"/>
      <c r="AE228" s="441"/>
      <c r="AF228" s="441"/>
      <c r="AG228" s="441"/>
      <c r="AH228" s="441"/>
      <c r="AI228" s="441"/>
      <c r="AJ228" s="441"/>
      <c r="AK228" s="450"/>
      <c r="AL228" s="440"/>
      <c r="AM228" s="441"/>
      <c r="AN228" s="441"/>
      <c r="AO228" s="441"/>
      <c r="AP228" s="441"/>
      <c r="AQ228" s="441"/>
      <c r="AR228" s="450"/>
      <c r="AS228" s="485"/>
      <c r="AT228" s="486"/>
      <c r="AU228" s="486"/>
      <c r="AV228" s="486"/>
      <c r="AW228" s="486"/>
      <c r="AX228" s="486"/>
      <c r="AY228" s="487"/>
      <c r="AZ228" s="462"/>
      <c r="BA228" s="463"/>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5">
      <c r="A229" s="435"/>
      <c r="B229" s="36"/>
      <c r="C229" s="199" t="str">
        <f t="shared" ca="1" si="5"/>
        <v/>
      </c>
      <c r="D229" s="479"/>
      <c r="E229" s="480"/>
      <c r="F229" s="480"/>
      <c r="G229" s="480"/>
      <c r="H229" s="480"/>
      <c r="I229" s="480"/>
      <c r="J229" s="480"/>
      <c r="K229" s="440"/>
      <c r="L229" s="441"/>
      <c r="M229" s="441"/>
      <c r="N229" s="441"/>
      <c r="O229" s="441"/>
      <c r="P229" s="441"/>
      <c r="Q229" s="441"/>
      <c r="R229" s="444"/>
      <c r="S229" s="445"/>
      <c r="T229" s="444"/>
      <c r="U229" s="445"/>
      <c r="V229" s="440"/>
      <c r="W229" s="441"/>
      <c r="X229" s="441"/>
      <c r="Y229" s="441"/>
      <c r="Z229" s="441"/>
      <c r="AA229" s="441"/>
      <c r="AB229" s="441"/>
      <c r="AC229" s="441"/>
      <c r="AD229" s="440"/>
      <c r="AE229" s="441"/>
      <c r="AF229" s="441"/>
      <c r="AG229" s="441"/>
      <c r="AH229" s="441"/>
      <c r="AI229" s="441"/>
      <c r="AJ229" s="441"/>
      <c r="AK229" s="450"/>
      <c r="AL229" s="440"/>
      <c r="AM229" s="441"/>
      <c r="AN229" s="441"/>
      <c r="AO229" s="441"/>
      <c r="AP229" s="441"/>
      <c r="AQ229" s="441"/>
      <c r="AR229" s="450"/>
      <c r="AS229" s="485"/>
      <c r="AT229" s="486"/>
      <c r="AU229" s="486"/>
      <c r="AV229" s="486"/>
      <c r="AW229" s="486"/>
      <c r="AX229" s="486"/>
      <c r="AY229" s="487"/>
      <c r="AZ229" s="462"/>
      <c r="BA229" s="463"/>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5">
      <c r="A230" s="435"/>
      <c r="B230" s="36"/>
      <c r="C230" s="199" t="str">
        <f t="shared" ca="1" si="5"/>
        <v/>
      </c>
      <c r="D230" s="479"/>
      <c r="E230" s="480"/>
      <c r="F230" s="480"/>
      <c r="G230" s="480"/>
      <c r="H230" s="480"/>
      <c r="I230" s="480"/>
      <c r="J230" s="480"/>
      <c r="K230" s="440"/>
      <c r="L230" s="441"/>
      <c r="M230" s="441"/>
      <c r="N230" s="441"/>
      <c r="O230" s="441"/>
      <c r="P230" s="441"/>
      <c r="Q230" s="441"/>
      <c r="R230" s="444"/>
      <c r="S230" s="445"/>
      <c r="T230" s="444"/>
      <c r="U230" s="445"/>
      <c r="V230" s="440"/>
      <c r="W230" s="441"/>
      <c r="X230" s="441"/>
      <c r="Y230" s="441"/>
      <c r="Z230" s="441"/>
      <c r="AA230" s="441"/>
      <c r="AB230" s="441"/>
      <c r="AC230" s="441"/>
      <c r="AD230" s="440"/>
      <c r="AE230" s="441"/>
      <c r="AF230" s="441"/>
      <c r="AG230" s="441"/>
      <c r="AH230" s="441"/>
      <c r="AI230" s="441"/>
      <c r="AJ230" s="441"/>
      <c r="AK230" s="450"/>
      <c r="AL230" s="440"/>
      <c r="AM230" s="441"/>
      <c r="AN230" s="441"/>
      <c r="AO230" s="441"/>
      <c r="AP230" s="441"/>
      <c r="AQ230" s="441"/>
      <c r="AR230" s="450"/>
      <c r="AS230" s="485"/>
      <c r="AT230" s="486"/>
      <c r="AU230" s="486"/>
      <c r="AV230" s="486"/>
      <c r="AW230" s="486"/>
      <c r="AX230" s="486"/>
      <c r="AY230" s="487"/>
      <c r="AZ230" s="462"/>
      <c r="BA230" s="463"/>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5">
      <c r="A231" s="435"/>
      <c r="B231" s="36"/>
      <c r="C231" s="199" t="str">
        <f t="shared" ca="1" si="5"/>
        <v/>
      </c>
      <c r="D231" s="479"/>
      <c r="E231" s="480"/>
      <c r="F231" s="480"/>
      <c r="G231" s="480"/>
      <c r="H231" s="480"/>
      <c r="I231" s="480"/>
      <c r="J231" s="480"/>
      <c r="K231" s="440"/>
      <c r="L231" s="441"/>
      <c r="M231" s="441"/>
      <c r="N231" s="441"/>
      <c r="O231" s="441"/>
      <c r="P231" s="441"/>
      <c r="Q231" s="441"/>
      <c r="R231" s="444"/>
      <c r="S231" s="445"/>
      <c r="T231" s="444"/>
      <c r="U231" s="445"/>
      <c r="V231" s="440"/>
      <c r="W231" s="441"/>
      <c r="X231" s="441"/>
      <c r="Y231" s="441"/>
      <c r="Z231" s="441"/>
      <c r="AA231" s="441"/>
      <c r="AB231" s="441"/>
      <c r="AC231" s="441"/>
      <c r="AD231" s="440"/>
      <c r="AE231" s="441"/>
      <c r="AF231" s="441"/>
      <c r="AG231" s="441"/>
      <c r="AH231" s="441"/>
      <c r="AI231" s="441"/>
      <c r="AJ231" s="441"/>
      <c r="AK231" s="450"/>
      <c r="AL231" s="440"/>
      <c r="AM231" s="441"/>
      <c r="AN231" s="441"/>
      <c r="AO231" s="441"/>
      <c r="AP231" s="441"/>
      <c r="AQ231" s="441"/>
      <c r="AR231" s="450"/>
      <c r="AS231" s="485"/>
      <c r="AT231" s="486"/>
      <c r="AU231" s="486"/>
      <c r="AV231" s="486"/>
      <c r="AW231" s="486"/>
      <c r="AX231" s="486"/>
      <c r="AY231" s="487"/>
      <c r="AZ231" s="462"/>
      <c r="BA231" s="463"/>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5">
      <c r="A232" s="436"/>
      <c r="B232" s="37"/>
      <c r="C232" s="200" t="str">
        <f t="shared" ca="1" si="5"/>
        <v/>
      </c>
      <c r="D232" s="481"/>
      <c r="E232" s="482"/>
      <c r="F232" s="482"/>
      <c r="G232" s="482"/>
      <c r="H232" s="482"/>
      <c r="I232" s="482"/>
      <c r="J232" s="482"/>
      <c r="K232" s="409"/>
      <c r="L232" s="410"/>
      <c r="M232" s="410"/>
      <c r="N232" s="410"/>
      <c r="O232" s="410"/>
      <c r="P232" s="410"/>
      <c r="Q232" s="410"/>
      <c r="R232" s="446"/>
      <c r="S232" s="447"/>
      <c r="T232" s="446"/>
      <c r="U232" s="44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88"/>
      <c r="AT232" s="489"/>
      <c r="AU232" s="489"/>
      <c r="AV232" s="489"/>
      <c r="AW232" s="489"/>
      <c r="AX232" s="489"/>
      <c r="AY232" s="490"/>
      <c r="AZ232" s="464"/>
      <c r="BA232" s="465"/>
      <c r="BB232" s="62">
        <v>6</v>
      </c>
      <c r="BC232" s="426"/>
      <c r="BD232" s="427"/>
      <c r="BE232" s="427"/>
      <c r="BF232" s="428"/>
      <c r="BG232" s="429"/>
      <c r="BH232" s="430"/>
      <c r="BI232" s="196"/>
      <c r="BJ232" s="474"/>
      <c r="BK232" s="475"/>
      <c r="BL232" s="475"/>
      <c r="BM232" s="475"/>
      <c r="BN232" s="475"/>
      <c r="BO232" s="476"/>
      <c r="BP232" s="474"/>
      <c r="BQ232" s="475"/>
      <c r="BR232" s="475"/>
      <c r="BS232" s="475"/>
      <c r="BT232" s="475"/>
      <c r="BU232" s="476"/>
      <c r="BV232" s="474"/>
      <c r="BW232" s="475"/>
      <c r="BX232" s="475"/>
      <c r="BY232" s="475"/>
      <c r="BZ232" s="475"/>
      <c r="CA232" s="476"/>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5">
      <c r="A233" s="434">
        <v>38</v>
      </c>
      <c r="B233" s="36"/>
      <c r="C233" s="198" t="str">
        <f t="shared" ca="1" si="5"/>
        <v/>
      </c>
      <c r="D233" s="477" t="s">
        <v>378</v>
      </c>
      <c r="E233" s="478"/>
      <c r="F233" s="478"/>
      <c r="G233" s="478"/>
      <c r="H233" s="478"/>
      <c r="I233" s="478"/>
      <c r="J233" s="478"/>
      <c r="K233" s="438" t="s">
        <v>379</v>
      </c>
      <c r="L233" s="439"/>
      <c r="M233" s="439"/>
      <c r="N233" s="439"/>
      <c r="O233" s="439"/>
      <c r="P233" s="439"/>
      <c r="Q233" s="439"/>
      <c r="R233" s="442" t="s">
        <v>186</v>
      </c>
      <c r="S233" s="443"/>
      <c r="T233" s="442"/>
      <c r="U233" s="443"/>
      <c r="V233" s="438"/>
      <c r="W233" s="439"/>
      <c r="X233" s="439"/>
      <c r="Y233" s="439"/>
      <c r="Z233" s="439"/>
      <c r="AA233" s="439"/>
      <c r="AB233" s="439"/>
      <c r="AC233" s="439"/>
      <c r="AD233" s="438"/>
      <c r="AE233" s="439"/>
      <c r="AF233" s="439"/>
      <c r="AG233" s="439"/>
      <c r="AH233" s="439"/>
      <c r="AI233" s="439"/>
      <c r="AJ233" s="439"/>
      <c r="AK233" s="449"/>
      <c r="AL233" s="438"/>
      <c r="AM233" s="439"/>
      <c r="AN233" s="439"/>
      <c r="AO233" s="439"/>
      <c r="AP233" s="439"/>
      <c r="AQ233" s="439"/>
      <c r="AR233" s="449"/>
      <c r="AS233" s="500"/>
      <c r="AT233" s="483"/>
      <c r="AU233" s="483"/>
      <c r="AV233" s="483"/>
      <c r="AW233" s="483"/>
      <c r="AX233" s="483"/>
      <c r="AY233" s="484"/>
      <c r="AZ233" s="460"/>
      <c r="BA233" s="461"/>
      <c r="BB233" s="60">
        <v>1</v>
      </c>
      <c r="BC233" s="466"/>
      <c r="BD233" s="467"/>
      <c r="BE233" s="467"/>
      <c r="BF233" s="468"/>
      <c r="BG233" s="469"/>
      <c r="BH233" s="470"/>
      <c r="BI233" s="194"/>
      <c r="BJ233" s="471"/>
      <c r="BK233" s="472"/>
      <c r="BL233" s="472"/>
      <c r="BM233" s="472"/>
      <c r="BN233" s="472"/>
      <c r="BO233" s="473"/>
      <c r="BP233" s="471"/>
      <c r="BQ233" s="472"/>
      <c r="BR233" s="472"/>
      <c r="BS233" s="472"/>
      <c r="BT233" s="472"/>
      <c r="BU233" s="473"/>
      <c r="BV233" s="471"/>
      <c r="BW233" s="472"/>
      <c r="BX233" s="472"/>
      <c r="BY233" s="472"/>
      <c r="BZ233" s="472"/>
      <c r="CA233" s="473"/>
      <c r="CB233" s="466"/>
      <c r="CC233" s="467"/>
      <c r="CD233" s="467"/>
      <c r="CE233" s="468"/>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5">
      <c r="A234" s="435"/>
      <c r="B234" s="36"/>
      <c r="C234" s="199" t="str">
        <f t="shared" ca="1" si="5"/>
        <v/>
      </c>
      <c r="D234" s="479"/>
      <c r="E234" s="480"/>
      <c r="F234" s="480"/>
      <c r="G234" s="480"/>
      <c r="H234" s="480"/>
      <c r="I234" s="480"/>
      <c r="J234" s="480"/>
      <c r="K234" s="440"/>
      <c r="L234" s="441"/>
      <c r="M234" s="441"/>
      <c r="N234" s="441"/>
      <c r="O234" s="441"/>
      <c r="P234" s="441"/>
      <c r="Q234" s="441"/>
      <c r="R234" s="444"/>
      <c r="S234" s="445"/>
      <c r="T234" s="444"/>
      <c r="U234" s="445"/>
      <c r="V234" s="440"/>
      <c r="W234" s="441"/>
      <c r="X234" s="441"/>
      <c r="Y234" s="441"/>
      <c r="Z234" s="441"/>
      <c r="AA234" s="441"/>
      <c r="AB234" s="441"/>
      <c r="AC234" s="441"/>
      <c r="AD234" s="440"/>
      <c r="AE234" s="441"/>
      <c r="AF234" s="441"/>
      <c r="AG234" s="441"/>
      <c r="AH234" s="441"/>
      <c r="AI234" s="441"/>
      <c r="AJ234" s="441"/>
      <c r="AK234" s="450"/>
      <c r="AL234" s="440"/>
      <c r="AM234" s="441"/>
      <c r="AN234" s="441"/>
      <c r="AO234" s="441"/>
      <c r="AP234" s="441"/>
      <c r="AQ234" s="441"/>
      <c r="AR234" s="450"/>
      <c r="AS234" s="485"/>
      <c r="AT234" s="486"/>
      <c r="AU234" s="486"/>
      <c r="AV234" s="486"/>
      <c r="AW234" s="486"/>
      <c r="AX234" s="486"/>
      <c r="AY234" s="487"/>
      <c r="AZ234" s="462"/>
      <c r="BA234" s="463"/>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5">
      <c r="A235" s="435"/>
      <c r="B235" s="36"/>
      <c r="C235" s="199" t="str">
        <f t="shared" ca="1" si="5"/>
        <v/>
      </c>
      <c r="D235" s="479"/>
      <c r="E235" s="480"/>
      <c r="F235" s="480"/>
      <c r="G235" s="480"/>
      <c r="H235" s="480"/>
      <c r="I235" s="480"/>
      <c r="J235" s="480"/>
      <c r="K235" s="440"/>
      <c r="L235" s="441"/>
      <c r="M235" s="441"/>
      <c r="N235" s="441"/>
      <c r="O235" s="441"/>
      <c r="P235" s="441"/>
      <c r="Q235" s="441"/>
      <c r="R235" s="444"/>
      <c r="S235" s="445"/>
      <c r="T235" s="444"/>
      <c r="U235" s="445"/>
      <c r="V235" s="440"/>
      <c r="W235" s="441"/>
      <c r="X235" s="441"/>
      <c r="Y235" s="441"/>
      <c r="Z235" s="441"/>
      <c r="AA235" s="441"/>
      <c r="AB235" s="441"/>
      <c r="AC235" s="441"/>
      <c r="AD235" s="440"/>
      <c r="AE235" s="441"/>
      <c r="AF235" s="441"/>
      <c r="AG235" s="441"/>
      <c r="AH235" s="441"/>
      <c r="AI235" s="441"/>
      <c r="AJ235" s="441"/>
      <c r="AK235" s="450"/>
      <c r="AL235" s="440"/>
      <c r="AM235" s="441"/>
      <c r="AN235" s="441"/>
      <c r="AO235" s="441"/>
      <c r="AP235" s="441"/>
      <c r="AQ235" s="441"/>
      <c r="AR235" s="450"/>
      <c r="AS235" s="485"/>
      <c r="AT235" s="486"/>
      <c r="AU235" s="486"/>
      <c r="AV235" s="486"/>
      <c r="AW235" s="486"/>
      <c r="AX235" s="486"/>
      <c r="AY235" s="487"/>
      <c r="AZ235" s="462"/>
      <c r="BA235" s="463"/>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5">
      <c r="A236" s="435"/>
      <c r="B236" s="36"/>
      <c r="C236" s="199" t="str">
        <f t="shared" ca="1" si="5"/>
        <v/>
      </c>
      <c r="D236" s="479"/>
      <c r="E236" s="480"/>
      <c r="F236" s="480"/>
      <c r="G236" s="480"/>
      <c r="H236" s="480"/>
      <c r="I236" s="480"/>
      <c r="J236" s="480"/>
      <c r="K236" s="440"/>
      <c r="L236" s="441"/>
      <c r="M236" s="441"/>
      <c r="N236" s="441"/>
      <c r="O236" s="441"/>
      <c r="P236" s="441"/>
      <c r="Q236" s="441"/>
      <c r="R236" s="444"/>
      <c r="S236" s="445"/>
      <c r="T236" s="444"/>
      <c r="U236" s="445"/>
      <c r="V236" s="440"/>
      <c r="W236" s="441"/>
      <c r="X236" s="441"/>
      <c r="Y236" s="441"/>
      <c r="Z236" s="441"/>
      <c r="AA236" s="441"/>
      <c r="AB236" s="441"/>
      <c r="AC236" s="441"/>
      <c r="AD236" s="440"/>
      <c r="AE236" s="441"/>
      <c r="AF236" s="441"/>
      <c r="AG236" s="441"/>
      <c r="AH236" s="441"/>
      <c r="AI236" s="441"/>
      <c r="AJ236" s="441"/>
      <c r="AK236" s="450"/>
      <c r="AL236" s="440"/>
      <c r="AM236" s="441"/>
      <c r="AN236" s="441"/>
      <c r="AO236" s="441"/>
      <c r="AP236" s="441"/>
      <c r="AQ236" s="441"/>
      <c r="AR236" s="450"/>
      <c r="AS236" s="485"/>
      <c r="AT236" s="486"/>
      <c r="AU236" s="486"/>
      <c r="AV236" s="486"/>
      <c r="AW236" s="486"/>
      <c r="AX236" s="486"/>
      <c r="AY236" s="487"/>
      <c r="AZ236" s="462"/>
      <c r="BA236" s="463"/>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5">
      <c r="A237" s="435"/>
      <c r="B237" s="36"/>
      <c r="C237" s="199" t="str">
        <f t="shared" ca="1" si="5"/>
        <v/>
      </c>
      <c r="D237" s="479"/>
      <c r="E237" s="480"/>
      <c r="F237" s="480"/>
      <c r="G237" s="480"/>
      <c r="H237" s="480"/>
      <c r="I237" s="480"/>
      <c r="J237" s="480"/>
      <c r="K237" s="440"/>
      <c r="L237" s="441"/>
      <c r="M237" s="441"/>
      <c r="N237" s="441"/>
      <c r="O237" s="441"/>
      <c r="P237" s="441"/>
      <c r="Q237" s="441"/>
      <c r="R237" s="444"/>
      <c r="S237" s="445"/>
      <c r="T237" s="444"/>
      <c r="U237" s="445"/>
      <c r="V237" s="440"/>
      <c r="W237" s="441"/>
      <c r="X237" s="441"/>
      <c r="Y237" s="441"/>
      <c r="Z237" s="441"/>
      <c r="AA237" s="441"/>
      <c r="AB237" s="441"/>
      <c r="AC237" s="441"/>
      <c r="AD237" s="440"/>
      <c r="AE237" s="441"/>
      <c r="AF237" s="441"/>
      <c r="AG237" s="441"/>
      <c r="AH237" s="441"/>
      <c r="AI237" s="441"/>
      <c r="AJ237" s="441"/>
      <c r="AK237" s="450"/>
      <c r="AL237" s="440"/>
      <c r="AM237" s="441"/>
      <c r="AN237" s="441"/>
      <c r="AO237" s="441"/>
      <c r="AP237" s="441"/>
      <c r="AQ237" s="441"/>
      <c r="AR237" s="450"/>
      <c r="AS237" s="485"/>
      <c r="AT237" s="486"/>
      <c r="AU237" s="486"/>
      <c r="AV237" s="486"/>
      <c r="AW237" s="486"/>
      <c r="AX237" s="486"/>
      <c r="AY237" s="487"/>
      <c r="AZ237" s="462"/>
      <c r="BA237" s="463"/>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5">
      <c r="A238" s="436"/>
      <c r="B238" s="37"/>
      <c r="C238" s="200" t="str">
        <f t="shared" ca="1" si="5"/>
        <v/>
      </c>
      <c r="D238" s="481"/>
      <c r="E238" s="482"/>
      <c r="F238" s="482"/>
      <c r="G238" s="482"/>
      <c r="H238" s="482"/>
      <c r="I238" s="482"/>
      <c r="J238" s="482"/>
      <c r="K238" s="409"/>
      <c r="L238" s="410"/>
      <c r="M238" s="410"/>
      <c r="N238" s="410"/>
      <c r="O238" s="410"/>
      <c r="P238" s="410"/>
      <c r="Q238" s="410"/>
      <c r="R238" s="446"/>
      <c r="S238" s="447"/>
      <c r="T238" s="446"/>
      <c r="U238" s="44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88"/>
      <c r="AT238" s="489"/>
      <c r="AU238" s="489"/>
      <c r="AV238" s="489"/>
      <c r="AW238" s="489"/>
      <c r="AX238" s="489"/>
      <c r="AY238" s="490"/>
      <c r="AZ238" s="464"/>
      <c r="BA238" s="465"/>
      <c r="BB238" s="62">
        <v>6</v>
      </c>
      <c r="BC238" s="426"/>
      <c r="BD238" s="427"/>
      <c r="BE238" s="427"/>
      <c r="BF238" s="428"/>
      <c r="BG238" s="429"/>
      <c r="BH238" s="430"/>
      <c r="BI238" s="196"/>
      <c r="BJ238" s="474"/>
      <c r="BK238" s="475"/>
      <c r="BL238" s="475"/>
      <c r="BM238" s="475"/>
      <c r="BN238" s="475"/>
      <c r="BO238" s="476"/>
      <c r="BP238" s="474"/>
      <c r="BQ238" s="475"/>
      <c r="BR238" s="475"/>
      <c r="BS238" s="475"/>
      <c r="BT238" s="475"/>
      <c r="BU238" s="476"/>
      <c r="BV238" s="474"/>
      <c r="BW238" s="475"/>
      <c r="BX238" s="475"/>
      <c r="BY238" s="475"/>
      <c r="BZ238" s="475"/>
      <c r="CA238" s="476"/>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5">
      <c r="A239" s="434">
        <v>39</v>
      </c>
      <c r="B239" s="36"/>
      <c r="C239" s="198" t="str">
        <f t="shared" ca="1" si="5"/>
        <v/>
      </c>
      <c r="D239" s="477"/>
      <c r="E239" s="478"/>
      <c r="F239" s="478"/>
      <c r="G239" s="478"/>
      <c r="H239" s="478"/>
      <c r="I239" s="478"/>
      <c r="J239" s="478"/>
      <c r="K239" s="438" t="s">
        <v>380</v>
      </c>
      <c r="L239" s="439"/>
      <c r="M239" s="439"/>
      <c r="N239" s="439"/>
      <c r="O239" s="439"/>
      <c r="P239" s="439"/>
      <c r="Q239" s="439"/>
      <c r="R239" s="442" t="s">
        <v>186</v>
      </c>
      <c r="S239" s="443"/>
      <c r="T239" s="442"/>
      <c r="U239" s="443"/>
      <c r="V239" s="438"/>
      <c r="W239" s="439"/>
      <c r="X239" s="439"/>
      <c r="Y239" s="439"/>
      <c r="Z239" s="439"/>
      <c r="AA239" s="439"/>
      <c r="AB239" s="439"/>
      <c r="AC239" s="439"/>
      <c r="AD239" s="438"/>
      <c r="AE239" s="439"/>
      <c r="AF239" s="439"/>
      <c r="AG239" s="439"/>
      <c r="AH239" s="439"/>
      <c r="AI239" s="439"/>
      <c r="AJ239" s="439"/>
      <c r="AK239" s="449"/>
      <c r="AL239" s="438"/>
      <c r="AM239" s="439"/>
      <c r="AN239" s="439"/>
      <c r="AO239" s="439"/>
      <c r="AP239" s="439"/>
      <c r="AQ239" s="439"/>
      <c r="AR239" s="449"/>
      <c r="AS239" s="500"/>
      <c r="AT239" s="483"/>
      <c r="AU239" s="483"/>
      <c r="AV239" s="483"/>
      <c r="AW239" s="483"/>
      <c r="AX239" s="483"/>
      <c r="AY239" s="484"/>
      <c r="AZ239" s="460"/>
      <c r="BA239" s="461"/>
      <c r="BB239" s="60">
        <v>1</v>
      </c>
      <c r="BC239" s="466"/>
      <c r="BD239" s="467"/>
      <c r="BE239" s="467"/>
      <c r="BF239" s="468"/>
      <c r="BG239" s="469"/>
      <c r="BH239" s="470"/>
      <c r="BI239" s="194"/>
      <c r="BJ239" s="471"/>
      <c r="BK239" s="472"/>
      <c r="BL239" s="472"/>
      <c r="BM239" s="472"/>
      <c r="BN239" s="472"/>
      <c r="BO239" s="473"/>
      <c r="BP239" s="471"/>
      <c r="BQ239" s="472"/>
      <c r="BR239" s="472"/>
      <c r="BS239" s="472"/>
      <c r="BT239" s="472"/>
      <c r="BU239" s="473"/>
      <c r="BV239" s="471"/>
      <c r="BW239" s="472"/>
      <c r="BX239" s="472"/>
      <c r="BY239" s="472"/>
      <c r="BZ239" s="472"/>
      <c r="CA239" s="473"/>
      <c r="CB239" s="466"/>
      <c r="CC239" s="467"/>
      <c r="CD239" s="467"/>
      <c r="CE239" s="468"/>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5">
      <c r="A240" s="435"/>
      <c r="B240" s="36"/>
      <c r="C240" s="199" t="str">
        <f t="shared" ca="1" si="5"/>
        <v/>
      </c>
      <c r="D240" s="479"/>
      <c r="E240" s="480"/>
      <c r="F240" s="480"/>
      <c r="G240" s="480"/>
      <c r="H240" s="480"/>
      <c r="I240" s="480"/>
      <c r="J240" s="480"/>
      <c r="K240" s="440"/>
      <c r="L240" s="441"/>
      <c r="M240" s="441"/>
      <c r="N240" s="441"/>
      <c r="O240" s="441"/>
      <c r="P240" s="441"/>
      <c r="Q240" s="441"/>
      <c r="R240" s="444"/>
      <c r="S240" s="445"/>
      <c r="T240" s="444"/>
      <c r="U240" s="445"/>
      <c r="V240" s="440"/>
      <c r="W240" s="441"/>
      <c r="X240" s="441"/>
      <c r="Y240" s="441"/>
      <c r="Z240" s="441"/>
      <c r="AA240" s="441"/>
      <c r="AB240" s="441"/>
      <c r="AC240" s="441"/>
      <c r="AD240" s="440"/>
      <c r="AE240" s="441"/>
      <c r="AF240" s="441"/>
      <c r="AG240" s="441"/>
      <c r="AH240" s="441"/>
      <c r="AI240" s="441"/>
      <c r="AJ240" s="441"/>
      <c r="AK240" s="450"/>
      <c r="AL240" s="440"/>
      <c r="AM240" s="441"/>
      <c r="AN240" s="441"/>
      <c r="AO240" s="441"/>
      <c r="AP240" s="441"/>
      <c r="AQ240" s="441"/>
      <c r="AR240" s="450"/>
      <c r="AS240" s="485"/>
      <c r="AT240" s="486"/>
      <c r="AU240" s="486"/>
      <c r="AV240" s="486"/>
      <c r="AW240" s="486"/>
      <c r="AX240" s="486"/>
      <c r="AY240" s="487"/>
      <c r="AZ240" s="462"/>
      <c r="BA240" s="463"/>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5">
      <c r="A241" s="435"/>
      <c r="B241" s="36"/>
      <c r="C241" s="199" t="str">
        <f t="shared" ca="1" si="5"/>
        <v/>
      </c>
      <c r="D241" s="479"/>
      <c r="E241" s="480"/>
      <c r="F241" s="480"/>
      <c r="G241" s="480"/>
      <c r="H241" s="480"/>
      <c r="I241" s="480"/>
      <c r="J241" s="480"/>
      <c r="K241" s="440"/>
      <c r="L241" s="441"/>
      <c r="M241" s="441"/>
      <c r="N241" s="441"/>
      <c r="O241" s="441"/>
      <c r="P241" s="441"/>
      <c r="Q241" s="441"/>
      <c r="R241" s="444"/>
      <c r="S241" s="445"/>
      <c r="T241" s="444"/>
      <c r="U241" s="445"/>
      <c r="V241" s="440"/>
      <c r="W241" s="441"/>
      <c r="X241" s="441"/>
      <c r="Y241" s="441"/>
      <c r="Z241" s="441"/>
      <c r="AA241" s="441"/>
      <c r="AB241" s="441"/>
      <c r="AC241" s="441"/>
      <c r="AD241" s="440"/>
      <c r="AE241" s="441"/>
      <c r="AF241" s="441"/>
      <c r="AG241" s="441"/>
      <c r="AH241" s="441"/>
      <c r="AI241" s="441"/>
      <c r="AJ241" s="441"/>
      <c r="AK241" s="450"/>
      <c r="AL241" s="440"/>
      <c r="AM241" s="441"/>
      <c r="AN241" s="441"/>
      <c r="AO241" s="441"/>
      <c r="AP241" s="441"/>
      <c r="AQ241" s="441"/>
      <c r="AR241" s="450"/>
      <c r="AS241" s="485"/>
      <c r="AT241" s="486"/>
      <c r="AU241" s="486"/>
      <c r="AV241" s="486"/>
      <c r="AW241" s="486"/>
      <c r="AX241" s="486"/>
      <c r="AY241" s="487"/>
      <c r="AZ241" s="462"/>
      <c r="BA241" s="463"/>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5">
      <c r="A242" s="435"/>
      <c r="B242" s="36"/>
      <c r="C242" s="199" t="str">
        <f t="shared" ca="1" si="5"/>
        <v/>
      </c>
      <c r="D242" s="479"/>
      <c r="E242" s="480"/>
      <c r="F242" s="480"/>
      <c r="G242" s="480"/>
      <c r="H242" s="480"/>
      <c r="I242" s="480"/>
      <c r="J242" s="480"/>
      <c r="K242" s="440"/>
      <c r="L242" s="441"/>
      <c r="M242" s="441"/>
      <c r="N242" s="441"/>
      <c r="O242" s="441"/>
      <c r="P242" s="441"/>
      <c r="Q242" s="441"/>
      <c r="R242" s="444"/>
      <c r="S242" s="445"/>
      <c r="T242" s="444"/>
      <c r="U242" s="445"/>
      <c r="V242" s="440"/>
      <c r="W242" s="441"/>
      <c r="X242" s="441"/>
      <c r="Y242" s="441"/>
      <c r="Z242" s="441"/>
      <c r="AA242" s="441"/>
      <c r="AB242" s="441"/>
      <c r="AC242" s="441"/>
      <c r="AD242" s="440"/>
      <c r="AE242" s="441"/>
      <c r="AF242" s="441"/>
      <c r="AG242" s="441"/>
      <c r="AH242" s="441"/>
      <c r="AI242" s="441"/>
      <c r="AJ242" s="441"/>
      <c r="AK242" s="450"/>
      <c r="AL242" s="440"/>
      <c r="AM242" s="441"/>
      <c r="AN242" s="441"/>
      <c r="AO242" s="441"/>
      <c r="AP242" s="441"/>
      <c r="AQ242" s="441"/>
      <c r="AR242" s="450"/>
      <c r="AS242" s="485"/>
      <c r="AT242" s="486"/>
      <c r="AU242" s="486"/>
      <c r="AV242" s="486"/>
      <c r="AW242" s="486"/>
      <c r="AX242" s="486"/>
      <c r="AY242" s="487"/>
      <c r="AZ242" s="462"/>
      <c r="BA242" s="463"/>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5">
      <c r="A243" s="435"/>
      <c r="B243" s="36"/>
      <c r="C243" s="199" t="str">
        <f t="shared" ca="1" si="5"/>
        <v/>
      </c>
      <c r="D243" s="479"/>
      <c r="E243" s="480"/>
      <c r="F243" s="480"/>
      <c r="G243" s="480"/>
      <c r="H243" s="480"/>
      <c r="I243" s="480"/>
      <c r="J243" s="480"/>
      <c r="K243" s="440"/>
      <c r="L243" s="441"/>
      <c r="M243" s="441"/>
      <c r="N243" s="441"/>
      <c r="O243" s="441"/>
      <c r="P243" s="441"/>
      <c r="Q243" s="441"/>
      <c r="R243" s="444"/>
      <c r="S243" s="445"/>
      <c r="T243" s="444"/>
      <c r="U243" s="445"/>
      <c r="V243" s="440"/>
      <c r="W243" s="441"/>
      <c r="X243" s="441"/>
      <c r="Y243" s="441"/>
      <c r="Z243" s="441"/>
      <c r="AA243" s="441"/>
      <c r="AB243" s="441"/>
      <c r="AC243" s="441"/>
      <c r="AD243" s="440"/>
      <c r="AE243" s="441"/>
      <c r="AF243" s="441"/>
      <c r="AG243" s="441"/>
      <c r="AH243" s="441"/>
      <c r="AI243" s="441"/>
      <c r="AJ243" s="441"/>
      <c r="AK243" s="450"/>
      <c r="AL243" s="440"/>
      <c r="AM243" s="441"/>
      <c r="AN243" s="441"/>
      <c r="AO243" s="441"/>
      <c r="AP243" s="441"/>
      <c r="AQ243" s="441"/>
      <c r="AR243" s="450"/>
      <c r="AS243" s="485"/>
      <c r="AT243" s="486"/>
      <c r="AU243" s="486"/>
      <c r="AV243" s="486"/>
      <c r="AW243" s="486"/>
      <c r="AX243" s="486"/>
      <c r="AY243" s="487"/>
      <c r="AZ243" s="462"/>
      <c r="BA243" s="463"/>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5">
      <c r="A244" s="436"/>
      <c r="B244" s="37"/>
      <c r="C244" s="200" t="str">
        <f t="shared" ca="1" si="5"/>
        <v/>
      </c>
      <c r="D244" s="481"/>
      <c r="E244" s="482"/>
      <c r="F244" s="482"/>
      <c r="G244" s="482"/>
      <c r="H244" s="482"/>
      <c r="I244" s="482"/>
      <c r="J244" s="482"/>
      <c r="K244" s="409"/>
      <c r="L244" s="410"/>
      <c r="M244" s="410"/>
      <c r="N244" s="410"/>
      <c r="O244" s="410"/>
      <c r="P244" s="410"/>
      <c r="Q244" s="410"/>
      <c r="R244" s="446"/>
      <c r="S244" s="447"/>
      <c r="T244" s="446"/>
      <c r="U244" s="44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88"/>
      <c r="AT244" s="489"/>
      <c r="AU244" s="489"/>
      <c r="AV244" s="489"/>
      <c r="AW244" s="489"/>
      <c r="AX244" s="489"/>
      <c r="AY244" s="490"/>
      <c r="AZ244" s="464"/>
      <c r="BA244" s="465"/>
      <c r="BB244" s="62">
        <v>6</v>
      </c>
      <c r="BC244" s="426"/>
      <c r="BD244" s="427"/>
      <c r="BE244" s="427"/>
      <c r="BF244" s="428"/>
      <c r="BG244" s="429"/>
      <c r="BH244" s="430"/>
      <c r="BI244" s="196"/>
      <c r="BJ244" s="474"/>
      <c r="BK244" s="475"/>
      <c r="BL244" s="475"/>
      <c r="BM244" s="475"/>
      <c r="BN244" s="475"/>
      <c r="BO244" s="476"/>
      <c r="BP244" s="474"/>
      <c r="BQ244" s="475"/>
      <c r="BR244" s="475"/>
      <c r="BS244" s="475"/>
      <c r="BT244" s="475"/>
      <c r="BU244" s="476"/>
      <c r="BV244" s="474"/>
      <c r="BW244" s="475"/>
      <c r="BX244" s="475"/>
      <c r="BY244" s="475"/>
      <c r="BZ244" s="475"/>
      <c r="CA244" s="476"/>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5">
      <c r="A245" s="434">
        <v>40</v>
      </c>
      <c r="B245" s="36"/>
      <c r="C245" s="198" t="str">
        <f t="shared" ca="1" si="5"/>
        <v/>
      </c>
      <c r="D245" s="477"/>
      <c r="E245" s="478"/>
      <c r="F245" s="478"/>
      <c r="G245" s="478"/>
      <c r="H245" s="478"/>
      <c r="I245" s="478"/>
      <c r="J245" s="478"/>
      <c r="K245" s="438" t="s">
        <v>381</v>
      </c>
      <c r="L245" s="439"/>
      <c r="M245" s="439"/>
      <c r="N245" s="439"/>
      <c r="O245" s="439"/>
      <c r="P245" s="439"/>
      <c r="Q245" s="439"/>
      <c r="R245" s="442" t="s">
        <v>186</v>
      </c>
      <c r="S245" s="443"/>
      <c r="T245" s="442"/>
      <c r="U245" s="443"/>
      <c r="V245" s="438"/>
      <c r="W245" s="439"/>
      <c r="X245" s="439"/>
      <c r="Y245" s="439"/>
      <c r="Z245" s="439"/>
      <c r="AA245" s="439"/>
      <c r="AB245" s="439"/>
      <c r="AC245" s="439"/>
      <c r="AD245" s="438"/>
      <c r="AE245" s="439"/>
      <c r="AF245" s="439"/>
      <c r="AG245" s="439"/>
      <c r="AH245" s="439"/>
      <c r="AI245" s="439"/>
      <c r="AJ245" s="439"/>
      <c r="AK245" s="449"/>
      <c r="AL245" s="438"/>
      <c r="AM245" s="439"/>
      <c r="AN245" s="439"/>
      <c r="AO245" s="439"/>
      <c r="AP245" s="439"/>
      <c r="AQ245" s="439"/>
      <c r="AR245" s="449"/>
      <c r="AS245" s="500"/>
      <c r="AT245" s="483"/>
      <c r="AU245" s="483"/>
      <c r="AV245" s="483"/>
      <c r="AW245" s="483"/>
      <c r="AX245" s="483"/>
      <c r="AY245" s="484"/>
      <c r="AZ245" s="460"/>
      <c r="BA245" s="461"/>
      <c r="BB245" s="60">
        <v>1</v>
      </c>
      <c r="BC245" s="466"/>
      <c r="BD245" s="467"/>
      <c r="BE245" s="467"/>
      <c r="BF245" s="468"/>
      <c r="BG245" s="469"/>
      <c r="BH245" s="470"/>
      <c r="BI245" s="194"/>
      <c r="BJ245" s="471"/>
      <c r="BK245" s="472"/>
      <c r="BL245" s="472"/>
      <c r="BM245" s="472"/>
      <c r="BN245" s="472"/>
      <c r="BO245" s="473"/>
      <c r="BP245" s="471"/>
      <c r="BQ245" s="472"/>
      <c r="BR245" s="472"/>
      <c r="BS245" s="472"/>
      <c r="BT245" s="472"/>
      <c r="BU245" s="473"/>
      <c r="BV245" s="471"/>
      <c r="BW245" s="472"/>
      <c r="BX245" s="472"/>
      <c r="BY245" s="472"/>
      <c r="BZ245" s="472"/>
      <c r="CA245" s="473"/>
      <c r="CB245" s="466"/>
      <c r="CC245" s="467"/>
      <c r="CD245" s="467"/>
      <c r="CE245" s="468"/>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5">
      <c r="A246" s="435"/>
      <c r="B246" s="36"/>
      <c r="C246" s="199" t="str">
        <f t="shared" ca="1" si="5"/>
        <v/>
      </c>
      <c r="D246" s="479"/>
      <c r="E246" s="480"/>
      <c r="F246" s="480"/>
      <c r="G246" s="480"/>
      <c r="H246" s="480"/>
      <c r="I246" s="480"/>
      <c r="J246" s="480"/>
      <c r="K246" s="440"/>
      <c r="L246" s="441"/>
      <c r="M246" s="441"/>
      <c r="N246" s="441"/>
      <c r="O246" s="441"/>
      <c r="P246" s="441"/>
      <c r="Q246" s="441"/>
      <c r="R246" s="444"/>
      <c r="S246" s="445"/>
      <c r="T246" s="444"/>
      <c r="U246" s="445"/>
      <c r="V246" s="440"/>
      <c r="W246" s="441"/>
      <c r="X246" s="441"/>
      <c r="Y246" s="441"/>
      <c r="Z246" s="441"/>
      <c r="AA246" s="441"/>
      <c r="AB246" s="441"/>
      <c r="AC246" s="441"/>
      <c r="AD246" s="440"/>
      <c r="AE246" s="441"/>
      <c r="AF246" s="441"/>
      <c r="AG246" s="441"/>
      <c r="AH246" s="441"/>
      <c r="AI246" s="441"/>
      <c r="AJ246" s="441"/>
      <c r="AK246" s="450"/>
      <c r="AL246" s="440"/>
      <c r="AM246" s="441"/>
      <c r="AN246" s="441"/>
      <c r="AO246" s="441"/>
      <c r="AP246" s="441"/>
      <c r="AQ246" s="441"/>
      <c r="AR246" s="450"/>
      <c r="AS246" s="485"/>
      <c r="AT246" s="486"/>
      <c r="AU246" s="486"/>
      <c r="AV246" s="486"/>
      <c r="AW246" s="486"/>
      <c r="AX246" s="486"/>
      <c r="AY246" s="487"/>
      <c r="AZ246" s="462"/>
      <c r="BA246" s="463"/>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5">
      <c r="A247" s="435"/>
      <c r="B247" s="36"/>
      <c r="C247" s="199" t="str">
        <f t="shared" ca="1" si="5"/>
        <v/>
      </c>
      <c r="D247" s="479"/>
      <c r="E247" s="480"/>
      <c r="F247" s="480"/>
      <c r="G247" s="480"/>
      <c r="H247" s="480"/>
      <c r="I247" s="480"/>
      <c r="J247" s="480"/>
      <c r="K247" s="440"/>
      <c r="L247" s="441"/>
      <c r="M247" s="441"/>
      <c r="N247" s="441"/>
      <c r="O247" s="441"/>
      <c r="P247" s="441"/>
      <c r="Q247" s="441"/>
      <c r="R247" s="444"/>
      <c r="S247" s="445"/>
      <c r="T247" s="444"/>
      <c r="U247" s="445"/>
      <c r="V247" s="440"/>
      <c r="W247" s="441"/>
      <c r="X247" s="441"/>
      <c r="Y247" s="441"/>
      <c r="Z247" s="441"/>
      <c r="AA247" s="441"/>
      <c r="AB247" s="441"/>
      <c r="AC247" s="441"/>
      <c r="AD247" s="440"/>
      <c r="AE247" s="441"/>
      <c r="AF247" s="441"/>
      <c r="AG247" s="441"/>
      <c r="AH247" s="441"/>
      <c r="AI247" s="441"/>
      <c r="AJ247" s="441"/>
      <c r="AK247" s="450"/>
      <c r="AL247" s="440"/>
      <c r="AM247" s="441"/>
      <c r="AN247" s="441"/>
      <c r="AO247" s="441"/>
      <c r="AP247" s="441"/>
      <c r="AQ247" s="441"/>
      <c r="AR247" s="450"/>
      <c r="AS247" s="485"/>
      <c r="AT247" s="486"/>
      <c r="AU247" s="486"/>
      <c r="AV247" s="486"/>
      <c r="AW247" s="486"/>
      <c r="AX247" s="486"/>
      <c r="AY247" s="487"/>
      <c r="AZ247" s="462"/>
      <c r="BA247" s="463"/>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5">
      <c r="A248" s="435"/>
      <c r="B248" s="36"/>
      <c r="C248" s="199" t="str">
        <f t="shared" ca="1" si="5"/>
        <v/>
      </c>
      <c r="D248" s="479"/>
      <c r="E248" s="480"/>
      <c r="F248" s="480"/>
      <c r="G248" s="480"/>
      <c r="H248" s="480"/>
      <c r="I248" s="480"/>
      <c r="J248" s="480"/>
      <c r="K248" s="440"/>
      <c r="L248" s="441"/>
      <c r="M248" s="441"/>
      <c r="N248" s="441"/>
      <c r="O248" s="441"/>
      <c r="P248" s="441"/>
      <c r="Q248" s="441"/>
      <c r="R248" s="444"/>
      <c r="S248" s="445"/>
      <c r="T248" s="444"/>
      <c r="U248" s="445"/>
      <c r="V248" s="440"/>
      <c r="W248" s="441"/>
      <c r="X248" s="441"/>
      <c r="Y248" s="441"/>
      <c r="Z248" s="441"/>
      <c r="AA248" s="441"/>
      <c r="AB248" s="441"/>
      <c r="AC248" s="441"/>
      <c r="AD248" s="440"/>
      <c r="AE248" s="441"/>
      <c r="AF248" s="441"/>
      <c r="AG248" s="441"/>
      <c r="AH248" s="441"/>
      <c r="AI248" s="441"/>
      <c r="AJ248" s="441"/>
      <c r="AK248" s="450"/>
      <c r="AL248" s="440"/>
      <c r="AM248" s="441"/>
      <c r="AN248" s="441"/>
      <c r="AO248" s="441"/>
      <c r="AP248" s="441"/>
      <c r="AQ248" s="441"/>
      <c r="AR248" s="450"/>
      <c r="AS248" s="485"/>
      <c r="AT248" s="486"/>
      <c r="AU248" s="486"/>
      <c r="AV248" s="486"/>
      <c r="AW248" s="486"/>
      <c r="AX248" s="486"/>
      <c r="AY248" s="487"/>
      <c r="AZ248" s="462"/>
      <c r="BA248" s="463"/>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5">
      <c r="A249" s="435"/>
      <c r="B249" s="36"/>
      <c r="C249" s="199" t="str">
        <f t="shared" ca="1" si="5"/>
        <v/>
      </c>
      <c r="D249" s="479"/>
      <c r="E249" s="480"/>
      <c r="F249" s="480"/>
      <c r="G249" s="480"/>
      <c r="H249" s="480"/>
      <c r="I249" s="480"/>
      <c r="J249" s="480"/>
      <c r="K249" s="440"/>
      <c r="L249" s="441"/>
      <c r="M249" s="441"/>
      <c r="N249" s="441"/>
      <c r="O249" s="441"/>
      <c r="P249" s="441"/>
      <c r="Q249" s="441"/>
      <c r="R249" s="444"/>
      <c r="S249" s="445"/>
      <c r="T249" s="444"/>
      <c r="U249" s="445"/>
      <c r="V249" s="440"/>
      <c r="W249" s="441"/>
      <c r="X249" s="441"/>
      <c r="Y249" s="441"/>
      <c r="Z249" s="441"/>
      <c r="AA249" s="441"/>
      <c r="AB249" s="441"/>
      <c r="AC249" s="441"/>
      <c r="AD249" s="440"/>
      <c r="AE249" s="441"/>
      <c r="AF249" s="441"/>
      <c r="AG249" s="441"/>
      <c r="AH249" s="441"/>
      <c r="AI249" s="441"/>
      <c r="AJ249" s="441"/>
      <c r="AK249" s="450"/>
      <c r="AL249" s="440"/>
      <c r="AM249" s="441"/>
      <c r="AN249" s="441"/>
      <c r="AO249" s="441"/>
      <c r="AP249" s="441"/>
      <c r="AQ249" s="441"/>
      <c r="AR249" s="450"/>
      <c r="AS249" s="485"/>
      <c r="AT249" s="486"/>
      <c r="AU249" s="486"/>
      <c r="AV249" s="486"/>
      <c r="AW249" s="486"/>
      <c r="AX249" s="486"/>
      <c r="AY249" s="487"/>
      <c r="AZ249" s="462"/>
      <c r="BA249" s="463"/>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5">
      <c r="A250" s="436"/>
      <c r="B250" s="37"/>
      <c r="C250" s="200" t="str">
        <f t="shared" ca="1" si="5"/>
        <v/>
      </c>
      <c r="D250" s="481"/>
      <c r="E250" s="482"/>
      <c r="F250" s="482"/>
      <c r="G250" s="482"/>
      <c r="H250" s="482"/>
      <c r="I250" s="482"/>
      <c r="J250" s="482"/>
      <c r="K250" s="409"/>
      <c r="L250" s="410"/>
      <c r="M250" s="410"/>
      <c r="N250" s="410"/>
      <c r="O250" s="410"/>
      <c r="P250" s="410"/>
      <c r="Q250" s="410"/>
      <c r="R250" s="446"/>
      <c r="S250" s="447"/>
      <c r="T250" s="446"/>
      <c r="U250" s="44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88"/>
      <c r="AT250" s="489"/>
      <c r="AU250" s="489"/>
      <c r="AV250" s="489"/>
      <c r="AW250" s="489"/>
      <c r="AX250" s="489"/>
      <c r="AY250" s="490"/>
      <c r="AZ250" s="464"/>
      <c r="BA250" s="465"/>
      <c r="BB250" s="62">
        <v>6</v>
      </c>
      <c r="BC250" s="426"/>
      <c r="BD250" s="427"/>
      <c r="BE250" s="427"/>
      <c r="BF250" s="428"/>
      <c r="BG250" s="429"/>
      <c r="BH250" s="430"/>
      <c r="BI250" s="196"/>
      <c r="BJ250" s="474"/>
      <c r="BK250" s="475"/>
      <c r="BL250" s="475"/>
      <c r="BM250" s="475"/>
      <c r="BN250" s="475"/>
      <c r="BO250" s="476"/>
      <c r="BP250" s="474"/>
      <c r="BQ250" s="475"/>
      <c r="BR250" s="475"/>
      <c r="BS250" s="475"/>
      <c r="BT250" s="475"/>
      <c r="BU250" s="476"/>
      <c r="BV250" s="474"/>
      <c r="BW250" s="475"/>
      <c r="BX250" s="475"/>
      <c r="BY250" s="475"/>
      <c r="BZ250" s="475"/>
      <c r="CA250" s="476"/>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5">
      <c r="A251" s="434">
        <v>41</v>
      </c>
      <c r="B251" s="36"/>
      <c r="C251" s="198" t="str">
        <f t="shared" ca="1" si="5"/>
        <v/>
      </c>
      <c r="D251" s="477" t="s">
        <v>382</v>
      </c>
      <c r="E251" s="478"/>
      <c r="F251" s="478"/>
      <c r="G251" s="478"/>
      <c r="H251" s="478"/>
      <c r="I251" s="478"/>
      <c r="J251" s="478"/>
      <c r="K251" s="438" t="s">
        <v>383</v>
      </c>
      <c r="L251" s="439"/>
      <c r="M251" s="439"/>
      <c r="N251" s="439"/>
      <c r="O251" s="439"/>
      <c r="P251" s="439"/>
      <c r="Q251" s="439"/>
      <c r="R251" s="442" t="s">
        <v>186</v>
      </c>
      <c r="S251" s="443"/>
      <c r="T251" s="442"/>
      <c r="U251" s="443"/>
      <c r="V251" s="438"/>
      <c r="W251" s="439"/>
      <c r="X251" s="439"/>
      <c r="Y251" s="439"/>
      <c r="Z251" s="439"/>
      <c r="AA251" s="439"/>
      <c r="AB251" s="439"/>
      <c r="AC251" s="439"/>
      <c r="AD251" s="438"/>
      <c r="AE251" s="439"/>
      <c r="AF251" s="439"/>
      <c r="AG251" s="439"/>
      <c r="AH251" s="439"/>
      <c r="AI251" s="439"/>
      <c r="AJ251" s="439"/>
      <c r="AK251" s="449"/>
      <c r="AL251" s="438"/>
      <c r="AM251" s="439"/>
      <c r="AN251" s="439"/>
      <c r="AO251" s="439"/>
      <c r="AP251" s="439"/>
      <c r="AQ251" s="439"/>
      <c r="AR251" s="449"/>
      <c r="AS251" s="500"/>
      <c r="AT251" s="483"/>
      <c r="AU251" s="483"/>
      <c r="AV251" s="483"/>
      <c r="AW251" s="483"/>
      <c r="AX251" s="483"/>
      <c r="AY251" s="484"/>
      <c r="AZ251" s="460"/>
      <c r="BA251" s="461"/>
      <c r="BB251" s="60">
        <v>1</v>
      </c>
      <c r="BC251" s="466"/>
      <c r="BD251" s="467"/>
      <c r="BE251" s="467"/>
      <c r="BF251" s="468"/>
      <c r="BG251" s="469"/>
      <c r="BH251" s="470"/>
      <c r="BI251" s="194"/>
      <c r="BJ251" s="471"/>
      <c r="BK251" s="472"/>
      <c r="BL251" s="472"/>
      <c r="BM251" s="472"/>
      <c r="BN251" s="472"/>
      <c r="BO251" s="473"/>
      <c r="BP251" s="471"/>
      <c r="BQ251" s="472"/>
      <c r="BR251" s="472"/>
      <c r="BS251" s="472"/>
      <c r="BT251" s="472"/>
      <c r="BU251" s="473"/>
      <c r="BV251" s="471"/>
      <c r="BW251" s="472"/>
      <c r="BX251" s="472"/>
      <c r="BY251" s="472"/>
      <c r="BZ251" s="472"/>
      <c r="CA251" s="473"/>
      <c r="CB251" s="466"/>
      <c r="CC251" s="467"/>
      <c r="CD251" s="467"/>
      <c r="CE251" s="468"/>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5">
      <c r="A252" s="435"/>
      <c r="B252" s="36"/>
      <c r="C252" s="199" t="str">
        <f t="shared" ca="1" si="5"/>
        <v/>
      </c>
      <c r="D252" s="479"/>
      <c r="E252" s="480"/>
      <c r="F252" s="480"/>
      <c r="G252" s="480"/>
      <c r="H252" s="480"/>
      <c r="I252" s="480"/>
      <c r="J252" s="480"/>
      <c r="K252" s="440"/>
      <c r="L252" s="441"/>
      <c r="M252" s="441"/>
      <c r="N252" s="441"/>
      <c r="O252" s="441"/>
      <c r="P252" s="441"/>
      <c r="Q252" s="441"/>
      <c r="R252" s="444"/>
      <c r="S252" s="445"/>
      <c r="T252" s="444"/>
      <c r="U252" s="445"/>
      <c r="V252" s="440"/>
      <c r="W252" s="441"/>
      <c r="X252" s="441"/>
      <c r="Y252" s="441"/>
      <c r="Z252" s="441"/>
      <c r="AA252" s="441"/>
      <c r="AB252" s="441"/>
      <c r="AC252" s="441"/>
      <c r="AD252" s="440"/>
      <c r="AE252" s="441"/>
      <c r="AF252" s="441"/>
      <c r="AG252" s="441"/>
      <c r="AH252" s="441"/>
      <c r="AI252" s="441"/>
      <c r="AJ252" s="441"/>
      <c r="AK252" s="450"/>
      <c r="AL252" s="440"/>
      <c r="AM252" s="441"/>
      <c r="AN252" s="441"/>
      <c r="AO252" s="441"/>
      <c r="AP252" s="441"/>
      <c r="AQ252" s="441"/>
      <c r="AR252" s="450"/>
      <c r="AS252" s="485"/>
      <c r="AT252" s="486"/>
      <c r="AU252" s="486"/>
      <c r="AV252" s="486"/>
      <c r="AW252" s="486"/>
      <c r="AX252" s="486"/>
      <c r="AY252" s="487"/>
      <c r="AZ252" s="462"/>
      <c r="BA252" s="463"/>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5">
      <c r="A253" s="435"/>
      <c r="B253" s="36"/>
      <c r="C253" s="199" t="str">
        <f t="shared" ca="1" si="5"/>
        <v/>
      </c>
      <c r="D253" s="479"/>
      <c r="E253" s="480"/>
      <c r="F253" s="480"/>
      <c r="G253" s="480"/>
      <c r="H253" s="480"/>
      <c r="I253" s="480"/>
      <c r="J253" s="480"/>
      <c r="K253" s="440"/>
      <c r="L253" s="441"/>
      <c r="M253" s="441"/>
      <c r="N253" s="441"/>
      <c r="O253" s="441"/>
      <c r="P253" s="441"/>
      <c r="Q253" s="441"/>
      <c r="R253" s="444"/>
      <c r="S253" s="445"/>
      <c r="T253" s="444"/>
      <c r="U253" s="445"/>
      <c r="V253" s="440"/>
      <c r="W253" s="441"/>
      <c r="X253" s="441"/>
      <c r="Y253" s="441"/>
      <c r="Z253" s="441"/>
      <c r="AA253" s="441"/>
      <c r="AB253" s="441"/>
      <c r="AC253" s="441"/>
      <c r="AD253" s="440"/>
      <c r="AE253" s="441"/>
      <c r="AF253" s="441"/>
      <c r="AG253" s="441"/>
      <c r="AH253" s="441"/>
      <c r="AI253" s="441"/>
      <c r="AJ253" s="441"/>
      <c r="AK253" s="450"/>
      <c r="AL253" s="440"/>
      <c r="AM253" s="441"/>
      <c r="AN253" s="441"/>
      <c r="AO253" s="441"/>
      <c r="AP253" s="441"/>
      <c r="AQ253" s="441"/>
      <c r="AR253" s="450"/>
      <c r="AS253" s="485"/>
      <c r="AT253" s="486"/>
      <c r="AU253" s="486"/>
      <c r="AV253" s="486"/>
      <c r="AW253" s="486"/>
      <c r="AX253" s="486"/>
      <c r="AY253" s="487"/>
      <c r="AZ253" s="462"/>
      <c r="BA253" s="463"/>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5">
      <c r="A254" s="435"/>
      <c r="B254" s="36"/>
      <c r="C254" s="199" t="str">
        <f t="shared" ca="1" si="5"/>
        <v/>
      </c>
      <c r="D254" s="479"/>
      <c r="E254" s="480"/>
      <c r="F254" s="480"/>
      <c r="G254" s="480"/>
      <c r="H254" s="480"/>
      <c r="I254" s="480"/>
      <c r="J254" s="480"/>
      <c r="K254" s="440"/>
      <c r="L254" s="441"/>
      <c r="M254" s="441"/>
      <c r="N254" s="441"/>
      <c r="O254" s="441"/>
      <c r="P254" s="441"/>
      <c r="Q254" s="441"/>
      <c r="R254" s="444"/>
      <c r="S254" s="445"/>
      <c r="T254" s="444"/>
      <c r="U254" s="445"/>
      <c r="V254" s="440"/>
      <c r="W254" s="441"/>
      <c r="X254" s="441"/>
      <c r="Y254" s="441"/>
      <c r="Z254" s="441"/>
      <c r="AA254" s="441"/>
      <c r="AB254" s="441"/>
      <c r="AC254" s="441"/>
      <c r="AD254" s="440"/>
      <c r="AE254" s="441"/>
      <c r="AF254" s="441"/>
      <c r="AG254" s="441"/>
      <c r="AH254" s="441"/>
      <c r="AI254" s="441"/>
      <c r="AJ254" s="441"/>
      <c r="AK254" s="450"/>
      <c r="AL254" s="440"/>
      <c r="AM254" s="441"/>
      <c r="AN254" s="441"/>
      <c r="AO254" s="441"/>
      <c r="AP254" s="441"/>
      <c r="AQ254" s="441"/>
      <c r="AR254" s="450"/>
      <c r="AS254" s="485"/>
      <c r="AT254" s="486"/>
      <c r="AU254" s="486"/>
      <c r="AV254" s="486"/>
      <c r="AW254" s="486"/>
      <c r="AX254" s="486"/>
      <c r="AY254" s="487"/>
      <c r="AZ254" s="462"/>
      <c r="BA254" s="463"/>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5">
      <c r="A255" s="435"/>
      <c r="B255" s="36"/>
      <c r="C255" s="199" t="str">
        <f t="shared" ca="1" si="5"/>
        <v/>
      </c>
      <c r="D255" s="479"/>
      <c r="E255" s="480"/>
      <c r="F255" s="480"/>
      <c r="G255" s="480"/>
      <c r="H255" s="480"/>
      <c r="I255" s="480"/>
      <c r="J255" s="480"/>
      <c r="K255" s="440"/>
      <c r="L255" s="441"/>
      <c r="M255" s="441"/>
      <c r="N255" s="441"/>
      <c r="O255" s="441"/>
      <c r="P255" s="441"/>
      <c r="Q255" s="441"/>
      <c r="R255" s="444"/>
      <c r="S255" s="445"/>
      <c r="T255" s="444"/>
      <c r="U255" s="445"/>
      <c r="V255" s="440"/>
      <c r="W255" s="441"/>
      <c r="X255" s="441"/>
      <c r="Y255" s="441"/>
      <c r="Z255" s="441"/>
      <c r="AA255" s="441"/>
      <c r="AB255" s="441"/>
      <c r="AC255" s="441"/>
      <c r="AD255" s="440"/>
      <c r="AE255" s="441"/>
      <c r="AF255" s="441"/>
      <c r="AG255" s="441"/>
      <c r="AH255" s="441"/>
      <c r="AI255" s="441"/>
      <c r="AJ255" s="441"/>
      <c r="AK255" s="450"/>
      <c r="AL255" s="440"/>
      <c r="AM255" s="441"/>
      <c r="AN255" s="441"/>
      <c r="AO255" s="441"/>
      <c r="AP255" s="441"/>
      <c r="AQ255" s="441"/>
      <c r="AR255" s="450"/>
      <c r="AS255" s="485"/>
      <c r="AT255" s="486"/>
      <c r="AU255" s="486"/>
      <c r="AV255" s="486"/>
      <c r="AW255" s="486"/>
      <c r="AX255" s="486"/>
      <c r="AY255" s="487"/>
      <c r="AZ255" s="462"/>
      <c r="BA255" s="463"/>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5">
      <c r="A256" s="436"/>
      <c r="B256" s="37"/>
      <c r="C256" s="200" t="str">
        <f t="shared" ca="1" si="5"/>
        <v/>
      </c>
      <c r="D256" s="481"/>
      <c r="E256" s="482"/>
      <c r="F256" s="482"/>
      <c r="G256" s="482"/>
      <c r="H256" s="482"/>
      <c r="I256" s="482"/>
      <c r="J256" s="482"/>
      <c r="K256" s="409"/>
      <c r="L256" s="410"/>
      <c r="M256" s="410"/>
      <c r="N256" s="410"/>
      <c r="O256" s="410"/>
      <c r="P256" s="410"/>
      <c r="Q256" s="410"/>
      <c r="R256" s="446"/>
      <c r="S256" s="447"/>
      <c r="T256" s="446"/>
      <c r="U256" s="44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88"/>
      <c r="AT256" s="489"/>
      <c r="AU256" s="489"/>
      <c r="AV256" s="489"/>
      <c r="AW256" s="489"/>
      <c r="AX256" s="489"/>
      <c r="AY256" s="490"/>
      <c r="AZ256" s="464"/>
      <c r="BA256" s="465"/>
      <c r="BB256" s="62">
        <v>6</v>
      </c>
      <c r="BC256" s="426"/>
      <c r="BD256" s="427"/>
      <c r="BE256" s="427"/>
      <c r="BF256" s="428"/>
      <c r="BG256" s="429"/>
      <c r="BH256" s="430"/>
      <c r="BI256" s="196"/>
      <c r="BJ256" s="474"/>
      <c r="BK256" s="475"/>
      <c r="BL256" s="475"/>
      <c r="BM256" s="475"/>
      <c r="BN256" s="475"/>
      <c r="BO256" s="476"/>
      <c r="BP256" s="474"/>
      <c r="BQ256" s="475"/>
      <c r="BR256" s="475"/>
      <c r="BS256" s="475"/>
      <c r="BT256" s="475"/>
      <c r="BU256" s="476"/>
      <c r="BV256" s="474"/>
      <c r="BW256" s="475"/>
      <c r="BX256" s="475"/>
      <c r="BY256" s="475"/>
      <c r="BZ256" s="475"/>
      <c r="CA256" s="476"/>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5">
      <c r="A257" s="434">
        <v>42</v>
      </c>
      <c r="B257" s="36"/>
      <c r="C257" s="198" t="str">
        <f t="shared" ca="1" si="5"/>
        <v/>
      </c>
      <c r="D257" s="477"/>
      <c r="E257" s="478"/>
      <c r="F257" s="478"/>
      <c r="G257" s="478"/>
      <c r="H257" s="478"/>
      <c r="I257" s="478"/>
      <c r="J257" s="478"/>
      <c r="K257" s="438" t="s">
        <v>384</v>
      </c>
      <c r="L257" s="439"/>
      <c r="M257" s="439"/>
      <c r="N257" s="439"/>
      <c r="O257" s="439"/>
      <c r="P257" s="439"/>
      <c r="Q257" s="439"/>
      <c r="R257" s="442" t="s">
        <v>186</v>
      </c>
      <c r="S257" s="443"/>
      <c r="T257" s="442"/>
      <c r="U257" s="443"/>
      <c r="V257" s="438"/>
      <c r="W257" s="439"/>
      <c r="X257" s="439"/>
      <c r="Y257" s="439"/>
      <c r="Z257" s="439"/>
      <c r="AA257" s="439"/>
      <c r="AB257" s="439"/>
      <c r="AC257" s="439"/>
      <c r="AD257" s="438"/>
      <c r="AE257" s="439"/>
      <c r="AF257" s="439"/>
      <c r="AG257" s="439"/>
      <c r="AH257" s="439"/>
      <c r="AI257" s="439"/>
      <c r="AJ257" s="439"/>
      <c r="AK257" s="449"/>
      <c r="AL257" s="438"/>
      <c r="AM257" s="439"/>
      <c r="AN257" s="439"/>
      <c r="AO257" s="439"/>
      <c r="AP257" s="439"/>
      <c r="AQ257" s="439"/>
      <c r="AR257" s="449"/>
      <c r="AS257" s="500"/>
      <c r="AT257" s="483"/>
      <c r="AU257" s="483"/>
      <c r="AV257" s="483"/>
      <c r="AW257" s="483"/>
      <c r="AX257" s="483"/>
      <c r="AY257" s="484"/>
      <c r="AZ257" s="460"/>
      <c r="BA257" s="461"/>
      <c r="BB257" s="60">
        <v>1</v>
      </c>
      <c r="BC257" s="466"/>
      <c r="BD257" s="467"/>
      <c r="BE257" s="467"/>
      <c r="BF257" s="468"/>
      <c r="BG257" s="469"/>
      <c r="BH257" s="470"/>
      <c r="BI257" s="194"/>
      <c r="BJ257" s="471"/>
      <c r="BK257" s="472"/>
      <c r="BL257" s="472"/>
      <c r="BM257" s="472"/>
      <c r="BN257" s="472"/>
      <c r="BO257" s="473"/>
      <c r="BP257" s="471"/>
      <c r="BQ257" s="472"/>
      <c r="BR257" s="472"/>
      <c r="BS257" s="472"/>
      <c r="BT257" s="472"/>
      <c r="BU257" s="473"/>
      <c r="BV257" s="471"/>
      <c r="BW257" s="472"/>
      <c r="BX257" s="472"/>
      <c r="BY257" s="472"/>
      <c r="BZ257" s="472"/>
      <c r="CA257" s="473"/>
      <c r="CB257" s="466"/>
      <c r="CC257" s="467"/>
      <c r="CD257" s="467"/>
      <c r="CE257" s="468"/>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5">
      <c r="A258" s="435"/>
      <c r="B258" s="36"/>
      <c r="C258" s="199" t="str">
        <f t="shared" ca="1" si="5"/>
        <v/>
      </c>
      <c r="D258" s="479"/>
      <c r="E258" s="480"/>
      <c r="F258" s="480"/>
      <c r="G258" s="480"/>
      <c r="H258" s="480"/>
      <c r="I258" s="480"/>
      <c r="J258" s="480"/>
      <c r="K258" s="440"/>
      <c r="L258" s="441"/>
      <c r="M258" s="441"/>
      <c r="N258" s="441"/>
      <c r="O258" s="441"/>
      <c r="P258" s="441"/>
      <c r="Q258" s="441"/>
      <c r="R258" s="444"/>
      <c r="S258" s="445"/>
      <c r="T258" s="444"/>
      <c r="U258" s="445"/>
      <c r="V258" s="440"/>
      <c r="W258" s="441"/>
      <c r="X258" s="441"/>
      <c r="Y258" s="441"/>
      <c r="Z258" s="441"/>
      <c r="AA258" s="441"/>
      <c r="AB258" s="441"/>
      <c r="AC258" s="441"/>
      <c r="AD258" s="440"/>
      <c r="AE258" s="441"/>
      <c r="AF258" s="441"/>
      <c r="AG258" s="441"/>
      <c r="AH258" s="441"/>
      <c r="AI258" s="441"/>
      <c r="AJ258" s="441"/>
      <c r="AK258" s="450"/>
      <c r="AL258" s="440"/>
      <c r="AM258" s="441"/>
      <c r="AN258" s="441"/>
      <c r="AO258" s="441"/>
      <c r="AP258" s="441"/>
      <c r="AQ258" s="441"/>
      <c r="AR258" s="450"/>
      <c r="AS258" s="485"/>
      <c r="AT258" s="486"/>
      <c r="AU258" s="486"/>
      <c r="AV258" s="486"/>
      <c r="AW258" s="486"/>
      <c r="AX258" s="486"/>
      <c r="AY258" s="487"/>
      <c r="AZ258" s="462"/>
      <c r="BA258" s="463"/>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5">
      <c r="A259" s="435"/>
      <c r="B259" s="36"/>
      <c r="C259" s="199" t="str">
        <f t="shared" ca="1" si="5"/>
        <v/>
      </c>
      <c r="D259" s="479"/>
      <c r="E259" s="480"/>
      <c r="F259" s="480"/>
      <c r="G259" s="480"/>
      <c r="H259" s="480"/>
      <c r="I259" s="480"/>
      <c r="J259" s="480"/>
      <c r="K259" s="440"/>
      <c r="L259" s="441"/>
      <c r="M259" s="441"/>
      <c r="N259" s="441"/>
      <c r="O259" s="441"/>
      <c r="P259" s="441"/>
      <c r="Q259" s="441"/>
      <c r="R259" s="444"/>
      <c r="S259" s="445"/>
      <c r="T259" s="444"/>
      <c r="U259" s="445"/>
      <c r="V259" s="440"/>
      <c r="W259" s="441"/>
      <c r="X259" s="441"/>
      <c r="Y259" s="441"/>
      <c r="Z259" s="441"/>
      <c r="AA259" s="441"/>
      <c r="AB259" s="441"/>
      <c r="AC259" s="441"/>
      <c r="AD259" s="440"/>
      <c r="AE259" s="441"/>
      <c r="AF259" s="441"/>
      <c r="AG259" s="441"/>
      <c r="AH259" s="441"/>
      <c r="AI259" s="441"/>
      <c r="AJ259" s="441"/>
      <c r="AK259" s="450"/>
      <c r="AL259" s="440"/>
      <c r="AM259" s="441"/>
      <c r="AN259" s="441"/>
      <c r="AO259" s="441"/>
      <c r="AP259" s="441"/>
      <c r="AQ259" s="441"/>
      <c r="AR259" s="450"/>
      <c r="AS259" s="485"/>
      <c r="AT259" s="486"/>
      <c r="AU259" s="486"/>
      <c r="AV259" s="486"/>
      <c r="AW259" s="486"/>
      <c r="AX259" s="486"/>
      <c r="AY259" s="487"/>
      <c r="AZ259" s="462"/>
      <c r="BA259" s="463"/>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5">
      <c r="A260" s="435"/>
      <c r="B260" s="36"/>
      <c r="C260" s="199" t="str">
        <f t="shared" ca="1" si="5"/>
        <v/>
      </c>
      <c r="D260" s="479"/>
      <c r="E260" s="480"/>
      <c r="F260" s="480"/>
      <c r="G260" s="480"/>
      <c r="H260" s="480"/>
      <c r="I260" s="480"/>
      <c r="J260" s="480"/>
      <c r="K260" s="440"/>
      <c r="L260" s="441"/>
      <c r="M260" s="441"/>
      <c r="N260" s="441"/>
      <c r="O260" s="441"/>
      <c r="P260" s="441"/>
      <c r="Q260" s="441"/>
      <c r="R260" s="444"/>
      <c r="S260" s="445"/>
      <c r="T260" s="444"/>
      <c r="U260" s="445"/>
      <c r="V260" s="440"/>
      <c r="W260" s="441"/>
      <c r="X260" s="441"/>
      <c r="Y260" s="441"/>
      <c r="Z260" s="441"/>
      <c r="AA260" s="441"/>
      <c r="AB260" s="441"/>
      <c r="AC260" s="441"/>
      <c r="AD260" s="440"/>
      <c r="AE260" s="441"/>
      <c r="AF260" s="441"/>
      <c r="AG260" s="441"/>
      <c r="AH260" s="441"/>
      <c r="AI260" s="441"/>
      <c r="AJ260" s="441"/>
      <c r="AK260" s="450"/>
      <c r="AL260" s="440"/>
      <c r="AM260" s="441"/>
      <c r="AN260" s="441"/>
      <c r="AO260" s="441"/>
      <c r="AP260" s="441"/>
      <c r="AQ260" s="441"/>
      <c r="AR260" s="450"/>
      <c r="AS260" s="485"/>
      <c r="AT260" s="486"/>
      <c r="AU260" s="486"/>
      <c r="AV260" s="486"/>
      <c r="AW260" s="486"/>
      <c r="AX260" s="486"/>
      <c r="AY260" s="487"/>
      <c r="AZ260" s="462"/>
      <c r="BA260" s="463"/>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5">
      <c r="A261" s="435"/>
      <c r="B261" s="36"/>
      <c r="C261" s="199" t="str">
        <f t="shared" ca="1" si="5"/>
        <v/>
      </c>
      <c r="D261" s="479"/>
      <c r="E261" s="480"/>
      <c r="F261" s="480"/>
      <c r="G261" s="480"/>
      <c r="H261" s="480"/>
      <c r="I261" s="480"/>
      <c r="J261" s="480"/>
      <c r="K261" s="440"/>
      <c r="L261" s="441"/>
      <c r="M261" s="441"/>
      <c r="N261" s="441"/>
      <c r="O261" s="441"/>
      <c r="P261" s="441"/>
      <c r="Q261" s="441"/>
      <c r="R261" s="444"/>
      <c r="S261" s="445"/>
      <c r="T261" s="444"/>
      <c r="U261" s="445"/>
      <c r="V261" s="440"/>
      <c r="W261" s="441"/>
      <c r="X261" s="441"/>
      <c r="Y261" s="441"/>
      <c r="Z261" s="441"/>
      <c r="AA261" s="441"/>
      <c r="AB261" s="441"/>
      <c r="AC261" s="441"/>
      <c r="AD261" s="440"/>
      <c r="AE261" s="441"/>
      <c r="AF261" s="441"/>
      <c r="AG261" s="441"/>
      <c r="AH261" s="441"/>
      <c r="AI261" s="441"/>
      <c r="AJ261" s="441"/>
      <c r="AK261" s="450"/>
      <c r="AL261" s="440"/>
      <c r="AM261" s="441"/>
      <c r="AN261" s="441"/>
      <c r="AO261" s="441"/>
      <c r="AP261" s="441"/>
      <c r="AQ261" s="441"/>
      <c r="AR261" s="450"/>
      <c r="AS261" s="485"/>
      <c r="AT261" s="486"/>
      <c r="AU261" s="486"/>
      <c r="AV261" s="486"/>
      <c r="AW261" s="486"/>
      <c r="AX261" s="486"/>
      <c r="AY261" s="487"/>
      <c r="AZ261" s="462"/>
      <c r="BA261" s="463"/>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5">
      <c r="A262" s="436"/>
      <c r="B262" s="37"/>
      <c r="C262" s="200" t="str">
        <f t="shared" ca="1" si="5"/>
        <v/>
      </c>
      <c r="D262" s="481"/>
      <c r="E262" s="482"/>
      <c r="F262" s="482"/>
      <c r="G262" s="482"/>
      <c r="H262" s="482"/>
      <c r="I262" s="482"/>
      <c r="J262" s="482"/>
      <c r="K262" s="409"/>
      <c r="L262" s="410"/>
      <c r="M262" s="410"/>
      <c r="N262" s="410"/>
      <c r="O262" s="410"/>
      <c r="P262" s="410"/>
      <c r="Q262" s="410"/>
      <c r="R262" s="446"/>
      <c r="S262" s="447"/>
      <c r="T262" s="446"/>
      <c r="U262" s="44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88"/>
      <c r="AT262" s="489"/>
      <c r="AU262" s="489"/>
      <c r="AV262" s="489"/>
      <c r="AW262" s="489"/>
      <c r="AX262" s="489"/>
      <c r="AY262" s="490"/>
      <c r="AZ262" s="464"/>
      <c r="BA262" s="465"/>
      <c r="BB262" s="62">
        <v>6</v>
      </c>
      <c r="BC262" s="426"/>
      <c r="BD262" s="427"/>
      <c r="BE262" s="427"/>
      <c r="BF262" s="428"/>
      <c r="BG262" s="429"/>
      <c r="BH262" s="430"/>
      <c r="BI262" s="196"/>
      <c r="BJ262" s="474"/>
      <c r="BK262" s="475"/>
      <c r="BL262" s="475"/>
      <c r="BM262" s="475"/>
      <c r="BN262" s="475"/>
      <c r="BO262" s="476"/>
      <c r="BP262" s="474"/>
      <c r="BQ262" s="475"/>
      <c r="BR262" s="475"/>
      <c r="BS262" s="475"/>
      <c r="BT262" s="475"/>
      <c r="BU262" s="476"/>
      <c r="BV262" s="474"/>
      <c r="BW262" s="475"/>
      <c r="BX262" s="475"/>
      <c r="BY262" s="475"/>
      <c r="BZ262" s="475"/>
      <c r="CA262" s="476"/>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5">
      <c r="A263" s="434">
        <v>43</v>
      </c>
      <c r="B263" s="36"/>
      <c r="C263" s="198" t="str">
        <f t="shared" ca="1" si="5"/>
        <v/>
      </c>
      <c r="D263" s="477"/>
      <c r="E263" s="478"/>
      <c r="F263" s="478"/>
      <c r="G263" s="478"/>
      <c r="H263" s="478"/>
      <c r="I263" s="478"/>
      <c r="J263" s="478"/>
      <c r="K263" s="438" t="s">
        <v>385</v>
      </c>
      <c r="L263" s="439"/>
      <c r="M263" s="439"/>
      <c r="N263" s="439"/>
      <c r="O263" s="439"/>
      <c r="P263" s="439"/>
      <c r="Q263" s="439"/>
      <c r="R263" s="442" t="s">
        <v>186</v>
      </c>
      <c r="S263" s="443"/>
      <c r="T263" s="442"/>
      <c r="U263" s="443"/>
      <c r="V263" s="438"/>
      <c r="W263" s="439"/>
      <c r="X263" s="439"/>
      <c r="Y263" s="439"/>
      <c r="Z263" s="439"/>
      <c r="AA263" s="439"/>
      <c r="AB263" s="439"/>
      <c r="AC263" s="439"/>
      <c r="AD263" s="438"/>
      <c r="AE263" s="439"/>
      <c r="AF263" s="439"/>
      <c r="AG263" s="439"/>
      <c r="AH263" s="439"/>
      <c r="AI263" s="439"/>
      <c r="AJ263" s="439"/>
      <c r="AK263" s="449"/>
      <c r="AL263" s="438"/>
      <c r="AM263" s="439"/>
      <c r="AN263" s="439"/>
      <c r="AO263" s="439"/>
      <c r="AP263" s="439"/>
      <c r="AQ263" s="439"/>
      <c r="AR263" s="449"/>
      <c r="AS263" s="500"/>
      <c r="AT263" s="483"/>
      <c r="AU263" s="483"/>
      <c r="AV263" s="483"/>
      <c r="AW263" s="483"/>
      <c r="AX263" s="483"/>
      <c r="AY263" s="484"/>
      <c r="AZ263" s="460"/>
      <c r="BA263" s="461"/>
      <c r="BB263" s="60">
        <v>1</v>
      </c>
      <c r="BC263" s="466"/>
      <c r="BD263" s="467"/>
      <c r="BE263" s="467"/>
      <c r="BF263" s="468"/>
      <c r="BG263" s="469"/>
      <c r="BH263" s="470"/>
      <c r="BI263" s="194"/>
      <c r="BJ263" s="471"/>
      <c r="BK263" s="472"/>
      <c r="BL263" s="472"/>
      <c r="BM263" s="472"/>
      <c r="BN263" s="472"/>
      <c r="BO263" s="473"/>
      <c r="BP263" s="471"/>
      <c r="BQ263" s="472"/>
      <c r="BR263" s="472"/>
      <c r="BS263" s="472"/>
      <c r="BT263" s="472"/>
      <c r="BU263" s="473"/>
      <c r="BV263" s="471"/>
      <c r="BW263" s="472"/>
      <c r="BX263" s="472"/>
      <c r="BY263" s="472"/>
      <c r="BZ263" s="472"/>
      <c r="CA263" s="473"/>
      <c r="CB263" s="466"/>
      <c r="CC263" s="467"/>
      <c r="CD263" s="467"/>
      <c r="CE263" s="468"/>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5">
      <c r="A264" s="435"/>
      <c r="B264" s="36"/>
      <c r="C264" s="199" t="str">
        <f t="shared" ca="1" si="5"/>
        <v/>
      </c>
      <c r="D264" s="479"/>
      <c r="E264" s="480"/>
      <c r="F264" s="480"/>
      <c r="G264" s="480"/>
      <c r="H264" s="480"/>
      <c r="I264" s="480"/>
      <c r="J264" s="480"/>
      <c r="K264" s="440"/>
      <c r="L264" s="441"/>
      <c r="M264" s="441"/>
      <c r="N264" s="441"/>
      <c r="O264" s="441"/>
      <c r="P264" s="441"/>
      <c r="Q264" s="441"/>
      <c r="R264" s="444"/>
      <c r="S264" s="445"/>
      <c r="T264" s="444"/>
      <c r="U264" s="445"/>
      <c r="V264" s="440"/>
      <c r="W264" s="441"/>
      <c r="X264" s="441"/>
      <c r="Y264" s="441"/>
      <c r="Z264" s="441"/>
      <c r="AA264" s="441"/>
      <c r="AB264" s="441"/>
      <c r="AC264" s="441"/>
      <c r="AD264" s="440"/>
      <c r="AE264" s="441"/>
      <c r="AF264" s="441"/>
      <c r="AG264" s="441"/>
      <c r="AH264" s="441"/>
      <c r="AI264" s="441"/>
      <c r="AJ264" s="441"/>
      <c r="AK264" s="450"/>
      <c r="AL264" s="440"/>
      <c r="AM264" s="441"/>
      <c r="AN264" s="441"/>
      <c r="AO264" s="441"/>
      <c r="AP264" s="441"/>
      <c r="AQ264" s="441"/>
      <c r="AR264" s="450"/>
      <c r="AS264" s="485"/>
      <c r="AT264" s="486"/>
      <c r="AU264" s="486"/>
      <c r="AV264" s="486"/>
      <c r="AW264" s="486"/>
      <c r="AX264" s="486"/>
      <c r="AY264" s="487"/>
      <c r="AZ264" s="462"/>
      <c r="BA264" s="463"/>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5">
      <c r="A265" s="435"/>
      <c r="B265" s="36"/>
      <c r="C265" s="199" t="str">
        <f t="shared" ca="1" si="5"/>
        <v/>
      </c>
      <c r="D265" s="479"/>
      <c r="E265" s="480"/>
      <c r="F265" s="480"/>
      <c r="G265" s="480"/>
      <c r="H265" s="480"/>
      <c r="I265" s="480"/>
      <c r="J265" s="480"/>
      <c r="K265" s="440"/>
      <c r="L265" s="441"/>
      <c r="M265" s="441"/>
      <c r="N265" s="441"/>
      <c r="O265" s="441"/>
      <c r="P265" s="441"/>
      <c r="Q265" s="441"/>
      <c r="R265" s="444"/>
      <c r="S265" s="445"/>
      <c r="T265" s="444"/>
      <c r="U265" s="445"/>
      <c r="V265" s="440"/>
      <c r="W265" s="441"/>
      <c r="X265" s="441"/>
      <c r="Y265" s="441"/>
      <c r="Z265" s="441"/>
      <c r="AA265" s="441"/>
      <c r="AB265" s="441"/>
      <c r="AC265" s="441"/>
      <c r="AD265" s="440"/>
      <c r="AE265" s="441"/>
      <c r="AF265" s="441"/>
      <c r="AG265" s="441"/>
      <c r="AH265" s="441"/>
      <c r="AI265" s="441"/>
      <c r="AJ265" s="441"/>
      <c r="AK265" s="450"/>
      <c r="AL265" s="440"/>
      <c r="AM265" s="441"/>
      <c r="AN265" s="441"/>
      <c r="AO265" s="441"/>
      <c r="AP265" s="441"/>
      <c r="AQ265" s="441"/>
      <c r="AR265" s="450"/>
      <c r="AS265" s="485"/>
      <c r="AT265" s="486"/>
      <c r="AU265" s="486"/>
      <c r="AV265" s="486"/>
      <c r="AW265" s="486"/>
      <c r="AX265" s="486"/>
      <c r="AY265" s="487"/>
      <c r="AZ265" s="462"/>
      <c r="BA265" s="463"/>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5">
      <c r="A266" s="435"/>
      <c r="B266" s="36"/>
      <c r="C266" s="199" t="str">
        <f t="shared" ca="1" si="5"/>
        <v/>
      </c>
      <c r="D266" s="479"/>
      <c r="E266" s="480"/>
      <c r="F266" s="480"/>
      <c r="G266" s="480"/>
      <c r="H266" s="480"/>
      <c r="I266" s="480"/>
      <c r="J266" s="480"/>
      <c r="K266" s="440"/>
      <c r="L266" s="441"/>
      <c r="M266" s="441"/>
      <c r="N266" s="441"/>
      <c r="O266" s="441"/>
      <c r="P266" s="441"/>
      <c r="Q266" s="441"/>
      <c r="R266" s="444"/>
      <c r="S266" s="445"/>
      <c r="T266" s="444"/>
      <c r="U266" s="445"/>
      <c r="V266" s="440"/>
      <c r="W266" s="441"/>
      <c r="X266" s="441"/>
      <c r="Y266" s="441"/>
      <c r="Z266" s="441"/>
      <c r="AA266" s="441"/>
      <c r="AB266" s="441"/>
      <c r="AC266" s="441"/>
      <c r="AD266" s="440"/>
      <c r="AE266" s="441"/>
      <c r="AF266" s="441"/>
      <c r="AG266" s="441"/>
      <c r="AH266" s="441"/>
      <c r="AI266" s="441"/>
      <c r="AJ266" s="441"/>
      <c r="AK266" s="450"/>
      <c r="AL266" s="440"/>
      <c r="AM266" s="441"/>
      <c r="AN266" s="441"/>
      <c r="AO266" s="441"/>
      <c r="AP266" s="441"/>
      <c r="AQ266" s="441"/>
      <c r="AR266" s="450"/>
      <c r="AS266" s="485"/>
      <c r="AT266" s="486"/>
      <c r="AU266" s="486"/>
      <c r="AV266" s="486"/>
      <c r="AW266" s="486"/>
      <c r="AX266" s="486"/>
      <c r="AY266" s="487"/>
      <c r="AZ266" s="462"/>
      <c r="BA266" s="463"/>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5">
      <c r="A267" s="435"/>
      <c r="B267" s="36"/>
      <c r="C267" s="199" t="str">
        <f t="shared" ca="1" si="5"/>
        <v/>
      </c>
      <c r="D267" s="479"/>
      <c r="E267" s="480"/>
      <c r="F267" s="480"/>
      <c r="G267" s="480"/>
      <c r="H267" s="480"/>
      <c r="I267" s="480"/>
      <c r="J267" s="480"/>
      <c r="K267" s="440"/>
      <c r="L267" s="441"/>
      <c r="M267" s="441"/>
      <c r="N267" s="441"/>
      <c r="O267" s="441"/>
      <c r="P267" s="441"/>
      <c r="Q267" s="441"/>
      <c r="R267" s="444"/>
      <c r="S267" s="445"/>
      <c r="T267" s="444"/>
      <c r="U267" s="445"/>
      <c r="V267" s="440"/>
      <c r="W267" s="441"/>
      <c r="X267" s="441"/>
      <c r="Y267" s="441"/>
      <c r="Z267" s="441"/>
      <c r="AA267" s="441"/>
      <c r="AB267" s="441"/>
      <c r="AC267" s="441"/>
      <c r="AD267" s="440"/>
      <c r="AE267" s="441"/>
      <c r="AF267" s="441"/>
      <c r="AG267" s="441"/>
      <c r="AH267" s="441"/>
      <c r="AI267" s="441"/>
      <c r="AJ267" s="441"/>
      <c r="AK267" s="450"/>
      <c r="AL267" s="440"/>
      <c r="AM267" s="441"/>
      <c r="AN267" s="441"/>
      <c r="AO267" s="441"/>
      <c r="AP267" s="441"/>
      <c r="AQ267" s="441"/>
      <c r="AR267" s="450"/>
      <c r="AS267" s="485"/>
      <c r="AT267" s="486"/>
      <c r="AU267" s="486"/>
      <c r="AV267" s="486"/>
      <c r="AW267" s="486"/>
      <c r="AX267" s="486"/>
      <c r="AY267" s="487"/>
      <c r="AZ267" s="462"/>
      <c r="BA267" s="463"/>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5">
      <c r="A268" s="436"/>
      <c r="B268" s="37"/>
      <c r="C268" s="200" t="str">
        <f t="shared" ca="1" si="5"/>
        <v/>
      </c>
      <c r="D268" s="481"/>
      <c r="E268" s="482"/>
      <c r="F268" s="482"/>
      <c r="G268" s="482"/>
      <c r="H268" s="482"/>
      <c r="I268" s="482"/>
      <c r="J268" s="482"/>
      <c r="K268" s="409"/>
      <c r="L268" s="410"/>
      <c r="M268" s="410"/>
      <c r="N268" s="410"/>
      <c r="O268" s="410"/>
      <c r="P268" s="410"/>
      <c r="Q268" s="410"/>
      <c r="R268" s="446"/>
      <c r="S268" s="447"/>
      <c r="T268" s="446"/>
      <c r="U268" s="44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88"/>
      <c r="AT268" s="489"/>
      <c r="AU268" s="489"/>
      <c r="AV268" s="489"/>
      <c r="AW268" s="489"/>
      <c r="AX268" s="489"/>
      <c r="AY268" s="490"/>
      <c r="AZ268" s="464"/>
      <c r="BA268" s="465"/>
      <c r="BB268" s="62">
        <v>6</v>
      </c>
      <c r="BC268" s="426"/>
      <c r="BD268" s="427"/>
      <c r="BE268" s="427"/>
      <c r="BF268" s="428"/>
      <c r="BG268" s="429"/>
      <c r="BH268" s="430"/>
      <c r="BI268" s="196"/>
      <c r="BJ268" s="474"/>
      <c r="BK268" s="475"/>
      <c r="BL268" s="475"/>
      <c r="BM268" s="475"/>
      <c r="BN268" s="475"/>
      <c r="BO268" s="476"/>
      <c r="BP268" s="474"/>
      <c r="BQ268" s="475"/>
      <c r="BR268" s="475"/>
      <c r="BS268" s="475"/>
      <c r="BT268" s="475"/>
      <c r="BU268" s="476"/>
      <c r="BV268" s="474"/>
      <c r="BW268" s="475"/>
      <c r="BX268" s="475"/>
      <c r="BY268" s="475"/>
      <c r="BZ268" s="475"/>
      <c r="CA268" s="476"/>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5">
      <c r="A269" s="434">
        <v>44</v>
      </c>
      <c r="B269" s="36"/>
      <c r="C269" s="198" t="str">
        <f t="shared" ca="1" si="5"/>
        <v/>
      </c>
      <c r="D269" s="477" t="s">
        <v>386</v>
      </c>
      <c r="E269" s="478"/>
      <c r="F269" s="478"/>
      <c r="G269" s="478"/>
      <c r="H269" s="478"/>
      <c r="I269" s="478"/>
      <c r="J269" s="478"/>
      <c r="K269" s="438" t="s">
        <v>387</v>
      </c>
      <c r="L269" s="439"/>
      <c r="M269" s="439"/>
      <c r="N269" s="439"/>
      <c r="O269" s="439"/>
      <c r="P269" s="439"/>
      <c r="Q269" s="439"/>
      <c r="R269" s="442" t="s">
        <v>186</v>
      </c>
      <c r="S269" s="443"/>
      <c r="T269" s="442"/>
      <c r="U269" s="443"/>
      <c r="V269" s="438"/>
      <c r="W269" s="439"/>
      <c r="X269" s="439"/>
      <c r="Y269" s="439"/>
      <c r="Z269" s="439"/>
      <c r="AA269" s="439"/>
      <c r="AB269" s="439"/>
      <c r="AC269" s="439"/>
      <c r="AD269" s="438"/>
      <c r="AE269" s="439"/>
      <c r="AF269" s="439"/>
      <c r="AG269" s="439"/>
      <c r="AH269" s="439"/>
      <c r="AI269" s="439"/>
      <c r="AJ269" s="439"/>
      <c r="AK269" s="449"/>
      <c r="AL269" s="438"/>
      <c r="AM269" s="439"/>
      <c r="AN269" s="439"/>
      <c r="AO269" s="439"/>
      <c r="AP269" s="439"/>
      <c r="AQ269" s="439"/>
      <c r="AR269" s="449"/>
      <c r="AS269" s="500"/>
      <c r="AT269" s="483"/>
      <c r="AU269" s="483"/>
      <c r="AV269" s="483"/>
      <c r="AW269" s="483"/>
      <c r="AX269" s="483"/>
      <c r="AY269" s="484"/>
      <c r="AZ269" s="460"/>
      <c r="BA269" s="461"/>
      <c r="BB269" s="60">
        <v>1</v>
      </c>
      <c r="BC269" s="466"/>
      <c r="BD269" s="467"/>
      <c r="BE269" s="467"/>
      <c r="BF269" s="468"/>
      <c r="BG269" s="469"/>
      <c r="BH269" s="470"/>
      <c r="BI269" s="194"/>
      <c r="BJ269" s="471"/>
      <c r="BK269" s="472"/>
      <c r="BL269" s="472"/>
      <c r="BM269" s="472"/>
      <c r="BN269" s="472"/>
      <c r="BO269" s="473"/>
      <c r="BP269" s="471"/>
      <c r="BQ269" s="472"/>
      <c r="BR269" s="472"/>
      <c r="BS269" s="472"/>
      <c r="BT269" s="472"/>
      <c r="BU269" s="473"/>
      <c r="BV269" s="471"/>
      <c r="BW269" s="472"/>
      <c r="BX269" s="472"/>
      <c r="BY269" s="472"/>
      <c r="BZ269" s="472"/>
      <c r="CA269" s="473"/>
      <c r="CB269" s="466"/>
      <c r="CC269" s="467"/>
      <c r="CD269" s="467"/>
      <c r="CE269" s="468"/>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5">
      <c r="A270" s="435"/>
      <c r="B270" s="36"/>
      <c r="C270" s="199" t="str">
        <f t="shared" ca="1" si="5"/>
        <v/>
      </c>
      <c r="D270" s="479"/>
      <c r="E270" s="480"/>
      <c r="F270" s="480"/>
      <c r="G270" s="480"/>
      <c r="H270" s="480"/>
      <c r="I270" s="480"/>
      <c r="J270" s="480"/>
      <c r="K270" s="440"/>
      <c r="L270" s="441"/>
      <c r="M270" s="441"/>
      <c r="N270" s="441"/>
      <c r="O270" s="441"/>
      <c r="P270" s="441"/>
      <c r="Q270" s="441"/>
      <c r="R270" s="444"/>
      <c r="S270" s="445"/>
      <c r="T270" s="444"/>
      <c r="U270" s="445"/>
      <c r="V270" s="440"/>
      <c r="W270" s="441"/>
      <c r="X270" s="441"/>
      <c r="Y270" s="441"/>
      <c r="Z270" s="441"/>
      <c r="AA270" s="441"/>
      <c r="AB270" s="441"/>
      <c r="AC270" s="441"/>
      <c r="AD270" s="440"/>
      <c r="AE270" s="441"/>
      <c r="AF270" s="441"/>
      <c r="AG270" s="441"/>
      <c r="AH270" s="441"/>
      <c r="AI270" s="441"/>
      <c r="AJ270" s="441"/>
      <c r="AK270" s="450"/>
      <c r="AL270" s="440"/>
      <c r="AM270" s="441"/>
      <c r="AN270" s="441"/>
      <c r="AO270" s="441"/>
      <c r="AP270" s="441"/>
      <c r="AQ270" s="441"/>
      <c r="AR270" s="450"/>
      <c r="AS270" s="485"/>
      <c r="AT270" s="486"/>
      <c r="AU270" s="486"/>
      <c r="AV270" s="486"/>
      <c r="AW270" s="486"/>
      <c r="AX270" s="486"/>
      <c r="AY270" s="487"/>
      <c r="AZ270" s="462"/>
      <c r="BA270" s="463"/>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5">
      <c r="A271" s="435"/>
      <c r="B271" s="36"/>
      <c r="C271" s="199" t="str">
        <f t="shared" ca="1" si="5"/>
        <v/>
      </c>
      <c r="D271" s="479"/>
      <c r="E271" s="480"/>
      <c r="F271" s="480"/>
      <c r="G271" s="480"/>
      <c r="H271" s="480"/>
      <c r="I271" s="480"/>
      <c r="J271" s="480"/>
      <c r="K271" s="440"/>
      <c r="L271" s="441"/>
      <c r="M271" s="441"/>
      <c r="N271" s="441"/>
      <c r="O271" s="441"/>
      <c r="P271" s="441"/>
      <c r="Q271" s="441"/>
      <c r="R271" s="444"/>
      <c r="S271" s="445"/>
      <c r="T271" s="444"/>
      <c r="U271" s="445"/>
      <c r="V271" s="440"/>
      <c r="W271" s="441"/>
      <c r="X271" s="441"/>
      <c r="Y271" s="441"/>
      <c r="Z271" s="441"/>
      <c r="AA271" s="441"/>
      <c r="AB271" s="441"/>
      <c r="AC271" s="441"/>
      <c r="AD271" s="440"/>
      <c r="AE271" s="441"/>
      <c r="AF271" s="441"/>
      <c r="AG271" s="441"/>
      <c r="AH271" s="441"/>
      <c r="AI271" s="441"/>
      <c r="AJ271" s="441"/>
      <c r="AK271" s="450"/>
      <c r="AL271" s="440"/>
      <c r="AM271" s="441"/>
      <c r="AN271" s="441"/>
      <c r="AO271" s="441"/>
      <c r="AP271" s="441"/>
      <c r="AQ271" s="441"/>
      <c r="AR271" s="450"/>
      <c r="AS271" s="485"/>
      <c r="AT271" s="486"/>
      <c r="AU271" s="486"/>
      <c r="AV271" s="486"/>
      <c r="AW271" s="486"/>
      <c r="AX271" s="486"/>
      <c r="AY271" s="487"/>
      <c r="AZ271" s="462"/>
      <c r="BA271" s="463"/>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5">
      <c r="A272" s="435"/>
      <c r="B272" s="36"/>
      <c r="C272" s="199" t="str">
        <f t="shared" ca="1" si="5"/>
        <v/>
      </c>
      <c r="D272" s="479"/>
      <c r="E272" s="480"/>
      <c r="F272" s="480"/>
      <c r="G272" s="480"/>
      <c r="H272" s="480"/>
      <c r="I272" s="480"/>
      <c r="J272" s="480"/>
      <c r="K272" s="440"/>
      <c r="L272" s="441"/>
      <c r="M272" s="441"/>
      <c r="N272" s="441"/>
      <c r="O272" s="441"/>
      <c r="P272" s="441"/>
      <c r="Q272" s="441"/>
      <c r="R272" s="444"/>
      <c r="S272" s="445"/>
      <c r="T272" s="444"/>
      <c r="U272" s="445"/>
      <c r="V272" s="440"/>
      <c r="W272" s="441"/>
      <c r="X272" s="441"/>
      <c r="Y272" s="441"/>
      <c r="Z272" s="441"/>
      <c r="AA272" s="441"/>
      <c r="AB272" s="441"/>
      <c r="AC272" s="441"/>
      <c r="AD272" s="440"/>
      <c r="AE272" s="441"/>
      <c r="AF272" s="441"/>
      <c r="AG272" s="441"/>
      <c r="AH272" s="441"/>
      <c r="AI272" s="441"/>
      <c r="AJ272" s="441"/>
      <c r="AK272" s="450"/>
      <c r="AL272" s="440"/>
      <c r="AM272" s="441"/>
      <c r="AN272" s="441"/>
      <c r="AO272" s="441"/>
      <c r="AP272" s="441"/>
      <c r="AQ272" s="441"/>
      <c r="AR272" s="450"/>
      <c r="AS272" s="485"/>
      <c r="AT272" s="486"/>
      <c r="AU272" s="486"/>
      <c r="AV272" s="486"/>
      <c r="AW272" s="486"/>
      <c r="AX272" s="486"/>
      <c r="AY272" s="487"/>
      <c r="AZ272" s="462"/>
      <c r="BA272" s="463"/>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5">
      <c r="A273" s="435"/>
      <c r="B273" s="36"/>
      <c r="C273" s="199" t="str">
        <f t="shared" ca="1" si="5"/>
        <v/>
      </c>
      <c r="D273" s="479"/>
      <c r="E273" s="480"/>
      <c r="F273" s="480"/>
      <c r="G273" s="480"/>
      <c r="H273" s="480"/>
      <c r="I273" s="480"/>
      <c r="J273" s="480"/>
      <c r="K273" s="440"/>
      <c r="L273" s="441"/>
      <c r="M273" s="441"/>
      <c r="N273" s="441"/>
      <c r="O273" s="441"/>
      <c r="P273" s="441"/>
      <c r="Q273" s="441"/>
      <c r="R273" s="444"/>
      <c r="S273" s="445"/>
      <c r="T273" s="444"/>
      <c r="U273" s="445"/>
      <c r="V273" s="440"/>
      <c r="W273" s="441"/>
      <c r="X273" s="441"/>
      <c r="Y273" s="441"/>
      <c r="Z273" s="441"/>
      <c r="AA273" s="441"/>
      <c r="AB273" s="441"/>
      <c r="AC273" s="441"/>
      <c r="AD273" s="440"/>
      <c r="AE273" s="441"/>
      <c r="AF273" s="441"/>
      <c r="AG273" s="441"/>
      <c r="AH273" s="441"/>
      <c r="AI273" s="441"/>
      <c r="AJ273" s="441"/>
      <c r="AK273" s="450"/>
      <c r="AL273" s="440"/>
      <c r="AM273" s="441"/>
      <c r="AN273" s="441"/>
      <c r="AO273" s="441"/>
      <c r="AP273" s="441"/>
      <c r="AQ273" s="441"/>
      <c r="AR273" s="450"/>
      <c r="AS273" s="485"/>
      <c r="AT273" s="486"/>
      <c r="AU273" s="486"/>
      <c r="AV273" s="486"/>
      <c r="AW273" s="486"/>
      <c r="AX273" s="486"/>
      <c r="AY273" s="487"/>
      <c r="AZ273" s="462"/>
      <c r="BA273" s="463"/>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5">
      <c r="A274" s="436"/>
      <c r="B274" s="37"/>
      <c r="C274" s="200" t="str">
        <f t="shared" ref="C274:C337" ca="1" si="6">IF(AND(OFFSET($K274,-($BB274-1),0)&lt;&gt;"",OFFSET($R274,-($BB274-1),0)&lt;&gt;"x"),"●","")</f>
        <v/>
      </c>
      <c r="D274" s="481"/>
      <c r="E274" s="482"/>
      <c r="F274" s="482"/>
      <c r="G274" s="482"/>
      <c r="H274" s="482"/>
      <c r="I274" s="482"/>
      <c r="J274" s="482"/>
      <c r="K274" s="409"/>
      <c r="L274" s="410"/>
      <c r="M274" s="410"/>
      <c r="N274" s="410"/>
      <c r="O274" s="410"/>
      <c r="P274" s="410"/>
      <c r="Q274" s="410"/>
      <c r="R274" s="446"/>
      <c r="S274" s="447"/>
      <c r="T274" s="446"/>
      <c r="U274" s="44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88"/>
      <c r="AT274" s="489"/>
      <c r="AU274" s="489"/>
      <c r="AV274" s="489"/>
      <c r="AW274" s="489"/>
      <c r="AX274" s="489"/>
      <c r="AY274" s="490"/>
      <c r="AZ274" s="464"/>
      <c r="BA274" s="465"/>
      <c r="BB274" s="62">
        <v>6</v>
      </c>
      <c r="BC274" s="426"/>
      <c r="BD274" s="427"/>
      <c r="BE274" s="427"/>
      <c r="BF274" s="428"/>
      <c r="BG274" s="429"/>
      <c r="BH274" s="430"/>
      <c r="BI274" s="196"/>
      <c r="BJ274" s="474"/>
      <c r="BK274" s="475"/>
      <c r="BL274" s="475"/>
      <c r="BM274" s="475"/>
      <c r="BN274" s="475"/>
      <c r="BO274" s="476"/>
      <c r="BP274" s="474"/>
      <c r="BQ274" s="475"/>
      <c r="BR274" s="475"/>
      <c r="BS274" s="475"/>
      <c r="BT274" s="475"/>
      <c r="BU274" s="476"/>
      <c r="BV274" s="474"/>
      <c r="BW274" s="475"/>
      <c r="BX274" s="475"/>
      <c r="BY274" s="475"/>
      <c r="BZ274" s="475"/>
      <c r="CA274" s="476"/>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5">
      <c r="A275" s="434">
        <v>45</v>
      </c>
      <c r="B275" s="36"/>
      <c r="C275" s="198" t="str">
        <f t="shared" ca="1" si="6"/>
        <v/>
      </c>
      <c r="D275" s="477"/>
      <c r="E275" s="478"/>
      <c r="F275" s="478"/>
      <c r="G275" s="478"/>
      <c r="H275" s="478"/>
      <c r="I275" s="478"/>
      <c r="J275" s="478"/>
      <c r="K275" s="438" t="s">
        <v>388</v>
      </c>
      <c r="L275" s="439"/>
      <c r="M275" s="439"/>
      <c r="N275" s="439"/>
      <c r="O275" s="439"/>
      <c r="P275" s="439"/>
      <c r="Q275" s="439"/>
      <c r="R275" s="442" t="s">
        <v>186</v>
      </c>
      <c r="S275" s="443"/>
      <c r="T275" s="442"/>
      <c r="U275" s="443"/>
      <c r="V275" s="438"/>
      <c r="W275" s="439"/>
      <c r="X275" s="439"/>
      <c r="Y275" s="439"/>
      <c r="Z275" s="439"/>
      <c r="AA275" s="439"/>
      <c r="AB275" s="439"/>
      <c r="AC275" s="439"/>
      <c r="AD275" s="438"/>
      <c r="AE275" s="439"/>
      <c r="AF275" s="439"/>
      <c r="AG275" s="439"/>
      <c r="AH275" s="439"/>
      <c r="AI275" s="439"/>
      <c r="AJ275" s="439"/>
      <c r="AK275" s="449"/>
      <c r="AL275" s="438"/>
      <c r="AM275" s="439"/>
      <c r="AN275" s="439"/>
      <c r="AO275" s="439"/>
      <c r="AP275" s="439"/>
      <c r="AQ275" s="439"/>
      <c r="AR275" s="449"/>
      <c r="AS275" s="500"/>
      <c r="AT275" s="483"/>
      <c r="AU275" s="483"/>
      <c r="AV275" s="483"/>
      <c r="AW275" s="483"/>
      <c r="AX275" s="483"/>
      <c r="AY275" s="484"/>
      <c r="AZ275" s="460"/>
      <c r="BA275" s="461"/>
      <c r="BB275" s="60">
        <v>1</v>
      </c>
      <c r="BC275" s="466"/>
      <c r="BD275" s="467"/>
      <c r="BE275" s="467"/>
      <c r="BF275" s="468"/>
      <c r="BG275" s="469"/>
      <c r="BH275" s="470"/>
      <c r="BI275" s="194"/>
      <c r="BJ275" s="471"/>
      <c r="BK275" s="472"/>
      <c r="BL275" s="472"/>
      <c r="BM275" s="472"/>
      <c r="BN275" s="472"/>
      <c r="BO275" s="473"/>
      <c r="BP275" s="471"/>
      <c r="BQ275" s="472"/>
      <c r="BR275" s="472"/>
      <c r="BS275" s="472"/>
      <c r="BT275" s="472"/>
      <c r="BU275" s="473"/>
      <c r="BV275" s="471"/>
      <c r="BW275" s="472"/>
      <c r="BX275" s="472"/>
      <c r="BY275" s="472"/>
      <c r="BZ275" s="472"/>
      <c r="CA275" s="473"/>
      <c r="CB275" s="466"/>
      <c r="CC275" s="467"/>
      <c r="CD275" s="467"/>
      <c r="CE275" s="468"/>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5">
      <c r="A276" s="435"/>
      <c r="B276" s="36"/>
      <c r="C276" s="199" t="str">
        <f t="shared" ca="1" si="6"/>
        <v/>
      </c>
      <c r="D276" s="479"/>
      <c r="E276" s="480"/>
      <c r="F276" s="480"/>
      <c r="G276" s="480"/>
      <c r="H276" s="480"/>
      <c r="I276" s="480"/>
      <c r="J276" s="480"/>
      <c r="K276" s="440"/>
      <c r="L276" s="441"/>
      <c r="M276" s="441"/>
      <c r="N276" s="441"/>
      <c r="O276" s="441"/>
      <c r="P276" s="441"/>
      <c r="Q276" s="441"/>
      <c r="R276" s="444"/>
      <c r="S276" s="445"/>
      <c r="T276" s="444"/>
      <c r="U276" s="445"/>
      <c r="V276" s="440"/>
      <c r="W276" s="441"/>
      <c r="X276" s="441"/>
      <c r="Y276" s="441"/>
      <c r="Z276" s="441"/>
      <c r="AA276" s="441"/>
      <c r="AB276" s="441"/>
      <c r="AC276" s="441"/>
      <c r="AD276" s="440"/>
      <c r="AE276" s="441"/>
      <c r="AF276" s="441"/>
      <c r="AG276" s="441"/>
      <c r="AH276" s="441"/>
      <c r="AI276" s="441"/>
      <c r="AJ276" s="441"/>
      <c r="AK276" s="450"/>
      <c r="AL276" s="440"/>
      <c r="AM276" s="441"/>
      <c r="AN276" s="441"/>
      <c r="AO276" s="441"/>
      <c r="AP276" s="441"/>
      <c r="AQ276" s="441"/>
      <c r="AR276" s="450"/>
      <c r="AS276" s="485"/>
      <c r="AT276" s="486"/>
      <c r="AU276" s="486"/>
      <c r="AV276" s="486"/>
      <c r="AW276" s="486"/>
      <c r="AX276" s="486"/>
      <c r="AY276" s="487"/>
      <c r="AZ276" s="462"/>
      <c r="BA276" s="463"/>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5">
      <c r="A277" s="435"/>
      <c r="B277" s="36"/>
      <c r="C277" s="199" t="str">
        <f t="shared" ca="1" si="6"/>
        <v/>
      </c>
      <c r="D277" s="479"/>
      <c r="E277" s="480"/>
      <c r="F277" s="480"/>
      <c r="G277" s="480"/>
      <c r="H277" s="480"/>
      <c r="I277" s="480"/>
      <c r="J277" s="480"/>
      <c r="K277" s="440"/>
      <c r="L277" s="441"/>
      <c r="M277" s="441"/>
      <c r="N277" s="441"/>
      <c r="O277" s="441"/>
      <c r="P277" s="441"/>
      <c r="Q277" s="441"/>
      <c r="R277" s="444"/>
      <c r="S277" s="445"/>
      <c r="T277" s="444"/>
      <c r="U277" s="445"/>
      <c r="V277" s="440"/>
      <c r="W277" s="441"/>
      <c r="X277" s="441"/>
      <c r="Y277" s="441"/>
      <c r="Z277" s="441"/>
      <c r="AA277" s="441"/>
      <c r="AB277" s="441"/>
      <c r="AC277" s="441"/>
      <c r="AD277" s="440"/>
      <c r="AE277" s="441"/>
      <c r="AF277" s="441"/>
      <c r="AG277" s="441"/>
      <c r="AH277" s="441"/>
      <c r="AI277" s="441"/>
      <c r="AJ277" s="441"/>
      <c r="AK277" s="450"/>
      <c r="AL277" s="440"/>
      <c r="AM277" s="441"/>
      <c r="AN277" s="441"/>
      <c r="AO277" s="441"/>
      <c r="AP277" s="441"/>
      <c r="AQ277" s="441"/>
      <c r="AR277" s="450"/>
      <c r="AS277" s="485"/>
      <c r="AT277" s="486"/>
      <c r="AU277" s="486"/>
      <c r="AV277" s="486"/>
      <c r="AW277" s="486"/>
      <c r="AX277" s="486"/>
      <c r="AY277" s="487"/>
      <c r="AZ277" s="462"/>
      <c r="BA277" s="463"/>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5">
      <c r="A278" s="435"/>
      <c r="B278" s="36"/>
      <c r="C278" s="199" t="str">
        <f t="shared" ca="1" si="6"/>
        <v/>
      </c>
      <c r="D278" s="479"/>
      <c r="E278" s="480"/>
      <c r="F278" s="480"/>
      <c r="G278" s="480"/>
      <c r="H278" s="480"/>
      <c r="I278" s="480"/>
      <c r="J278" s="480"/>
      <c r="K278" s="440"/>
      <c r="L278" s="441"/>
      <c r="M278" s="441"/>
      <c r="N278" s="441"/>
      <c r="O278" s="441"/>
      <c r="P278" s="441"/>
      <c r="Q278" s="441"/>
      <c r="R278" s="444"/>
      <c r="S278" s="445"/>
      <c r="T278" s="444"/>
      <c r="U278" s="445"/>
      <c r="V278" s="440"/>
      <c r="W278" s="441"/>
      <c r="X278" s="441"/>
      <c r="Y278" s="441"/>
      <c r="Z278" s="441"/>
      <c r="AA278" s="441"/>
      <c r="AB278" s="441"/>
      <c r="AC278" s="441"/>
      <c r="AD278" s="440"/>
      <c r="AE278" s="441"/>
      <c r="AF278" s="441"/>
      <c r="AG278" s="441"/>
      <c r="AH278" s="441"/>
      <c r="AI278" s="441"/>
      <c r="AJ278" s="441"/>
      <c r="AK278" s="450"/>
      <c r="AL278" s="440"/>
      <c r="AM278" s="441"/>
      <c r="AN278" s="441"/>
      <c r="AO278" s="441"/>
      <c r="AP278" s="441"/>
      <c r="AQ278" s="441"/>
      <c r="AR278" s="450"/>
      <c r="AS278" s="485"/>
      <c r="AT278" s="486"/>
      <c r="AU278" s="486"/>
      <c r="AV278" s="486"/>
      <c r="AW278" s="486"/>
      <c r="AX278" s="486"/>
      <c r="AY278" s="487"/>
      <c r="AZ278" s="462"/>
      <c r="BA278" s="463"/>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5">
      <c r="A279" s="435"/>
      <c r="B279" s="36"/>
      <c r="C279" s="199" t="str">
        <f t="shared" ca="1" si="6"/>
        <v/>
      </c>
      <c r="D279" s="479"/>
      <c r="E279" s="480"/>
      <c r="F279" s="480"/>
      <c r="G279" s="480"/>
      <c r="H279" s="480"/>
      <c r="I279" s="480"/>
      <c r="J279" s="480"/>
      <c r="K279" s="440"/>
      <c r="L279" s="441"/>
      <c r="M279" s="441"/>
      <c r="N279" s="441"/>
      <c r="O279" s="441"/>
      <c r="P279" s="441"/>
      <c r="Q279" s="441"/>
      <c r="R279" s="444"/>
      <c r="S279" s="445"/>
      <c r="T279" s="444"/>
      <c r="U279" s="445"/>
      <c r="V279" s="440"/>
      <c r="W279" s="441"/>
      <c r="X279" s="441"/>
      <c r="Y279" s="441"/>
      <c r="Z279" s="441"/>
      <c r="AA279" s="441"/>
      <c r="AB279" s="441"/>
      <c r="AC279" s="441"/>
      <c r="AD279" s="440"/>
      <c r="AE279" s="441"/>
      <c r="AF279" s="441"/>
      <c r="AG279" s="441"/>
      <c r="AH279" s="441"/>
      <c r="AI279" s="441"/>
      <c r="AJ279" s="441"/>
      <c r="AK279" s="450"/>
      <c r="AL279" s="440"/>
      <c r="AM279" s="441"/>
      <c r="AN279" s="441"/>
      <c r="AO279" s="441"/>
      <c r="AP279" s="441"/>
      <c r="AQ279" s="441"/>
      <c r="AR279" s="450"/>
      <c r="AS279" s="485"/>
      <c r="AT279" s="486"/>
      <c r="AU279" s="486"/>
      <c r="AV279" s="486"/>
      <c r="AW279" s="486"/>
      <c r="AX279" s="486"/>
      <c r="AY279" s="487"/>
      <c r="AZ279" s="462"/>
      <c r="BA279" s="463"/>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5">
      <c r="A280" s="436"/>
      <c r="B280" s="37"/>
      <c r="C280" s="200" t="str">
        <f t="shared" ca="1" si="6"/>
        <v/>
      </c>
      <c r="D280" s="481"/>
      <c r="E280" s="482"/>
      <c r="F280" s="482"/>
      <c r="G280" s="482"/>
      <c r="H280" s="482"/>
      <c r="I280" s="482"/>
      <c r="J280" s="482"/>
      <c r="K280" s="409"/>
      <c r="L280" s="410"/>
      <c r="M280" s="410"/>
      <c r="N280" s="410"/>
      <c r="O280" s="410"/>
      <c r="P280" s="410"/>
      <c r="Q280" s="410"/>
      <c r="R280" s="446"/>
      <c r="S280" s="447"/>
      <c r="T280" s="446"/>
      <c r="U280" s="44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88"/>
      <c r="AT280" s="489"/>
      <c r="AU280" s="489"/>
      <c r="AV280" s="489"/>
      <c r="AW280" s="489"/>
      <c r="AX280" s="489"/>
      <c r="AY280" s="490"/>
      <c r="AZ280" s="464"/>
      <c r="BA280" s="465"/>
      <c r="BB280" s="62">
        <v>6</v>
      </c>
      <c r="BC280" s="426"/>
      <c r="BD280" s="427"/>
      <c r="BE280" s="427"/>
      <c r="BF280" s="428"/>
      <c r="BG280" s="429"/>
      <c r="BH280" s="430"/>
      <c r="BI280" s="196"/>
      <c r="BJ280" s="474"/>
      <c r="BK280" s="475"/>
      <c r="BL280" s="475"/>
      <c r="BM280" s="475"/>
      <c r="BN280" s="475"/>
      <c r="BO280" s="476"/>
      <c r="BP280" s="474"/>
      <c r="BQ280" s="475"/>
      <c r="BR280" s="475"/>
      <c r="BS280" s="475"/>
      <c r="BT280" s="475"/>
      <c r="BU280" s="476"/>
      <c r="BV280" s="474"/>
      <c r="BW280" s="475"/>
      <c r="BX280" s="475"/>
      <c r="BY280" s="475"/>
      <c r="BZ280" s="475"/>
      <c r="CA280" s="476"/>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5">
      <c r="A281" s="434">
        <v>46</v>
      </c>
      <c r="B281" s="36"/>
      <c r="C281" s="198" t="str">
        <f t="shared" ca="1" si="6"/>
        <v/>
      </c>
      <c r="D281" s="477"/>
      <c r="E281" s="478"/>
      <c r="F281" s="478"/>
      <c r="G281" s="478"/>
      <c r="H281" s="478"/>
      <c r="I281" s="478"/>
      <c r="J281" s="478"/>
      <c r="K281" s="438" t="s">
        <v>389</v>
      </c>
      <c r="L281" s="439"/>
      <c r="M281" s="439"/>
      <c r="N281" s="439"/>
      <c r="O281" s="439"/>
      <c r="P281" s="439"/>
      <c r="Q281" s="439"/>
      <c r="R281" s="442" t="s">
        <v>186</v>
      </c>
      <c r="S281" s="443"/>
      <c r="T281" s="442"/>
      <c r="U281" s="443"/>
      <c r="V281" s="438"/>
      <c r="W281" s="439"/>
      <c r="X281" s="439"/>
      <c r="Y281" s="439"/>
      <c r="Z281" s="439"/>
      <c r="AA281" s="439"/>
      <c r="AB281" s="439"/>
      <c r="AC281" s="439"/>
      <c r="AD281" s="438"/>
      <c r="AE281" s="439"/>
      <c r="AF281" s="439"/>
      <c r="AG281" s="439"/>
      <c r="AH281" s="439"/>
      <c r="AI281" s="439"/>
      <c r="AJ281" s="439"/>
      <c r="AK281" s="449"/>
      <c r="AL281" s="438"/>
      <c r="AM281" s="439"/>
      <c r="AN281" s="439"/>
      <c r="AO281" s="439"/>
      <c r="AP281" s="439"/>
      <c r="AQ281" s="439"/>
      <c r="AR281" s="449"/>
      <c r="AS281" s="500"/>
      <c r="AT281" s="483"/>
      <c r="AU281" s="483"/>
      <c r="AV281" s="483"/>
      <c r="AW281" s="483"/>
      <c r="AX281" s="483"/>
      <c r="AY281" s="484"/>
      <c r="AZ281" s="460"/>
      <c r="BA281" s="461"/>
      <c r="BB281" s="60">
        <v>1</v>
      </c>
      <c r="BC281" s="466"/>
      <c r="BD281" s="467"/>
      <c r="BE281" s="467"/>
      <c r="BF281" s="468"/>
      <c r="BG281" s="469"/>
      <c r="BH281" s="470"/>
      <c r="BI281" s="194"/>
      <c r="BJ281" s="471"/>
      <c r="BK281" s="472"/>
      <c r="BL281" s="472"/>
      <c r="BM281" s="472"/>
      <c r="BN281" s="472"/>
      <c r="BO281" s="473"/>
      <c r="BP281" s="471"/>
      <c r="BQ281" s="472"/>
      <c r="BR281" s="472"/>
      <c r="BS281" s="472"/>
      <c r="BT281" s="472"/>
      <c r="BU281" s="473"/>
      <c r="BV281" s="471"/>
      <c r="BW281" s="472"/>
      <c r="BX281" s="472"/>
      <c r="BY281" s="472"/>
      <c r="BZ281" s="472"/>
      <c r="CA281" s="473"/>
      <c r="CB281" s="466"/>
      <c r="CC281" s="467"/>
      <c r="CD281" s="467"/>
      <c r="CE281" s="468"/>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5">
      <c r="A282" s="435"/>
      <c r="B282" s="36"/>
      <c r="C282" s="199" t="str">
        <f t="shared" ca="1" si="6"/>
        <v/>
      </c>
      <c r="D282" s="479"/>
      <c r="E282" s="480"/>
      <c r="F282" s="480"/>
      <c r="G282" s="480"/>
      <c r="H282" s="480"/>
      <c r="I282" s="480"/>
      <c r="J282" s="480"/>
      <c r="K282" s="440"/>
      <c r="L282" s="441"/>
      <c r="M282" s="441"/>
      <c r="N282" s="441"/>
      <c r="O282" s="441"/>
      <c r="P282" s="441"/>
      <c r="Q282" s="441"/>
      <c r="R282" s="444"/>
      <c r="S282" s="445"/>
      <c r="T282" s="444"/>
      <c r="U282" s="445"/>
      <c r="V282" s="440"/>
      <c r="W282" s="441"/>
      <c r="X282" s="441"/>
      <c r="Y282" s="441"/>
      <c r="Z282" s="441"/>
      <c r="AA282" s="441"/>
      <c r="AB282" s="441"/>
      <c r="AC282" s="441"/>
      <c r="AD282" s="440"/>
      <c r="AE282" s="441"/>
      <c r="AF282" s="441"/>
      <c r="AG282" s="441"/>
      <c r="AH282" s="441"/>
      <c r="AI282" s="441"/>
      <c r="AJ282" s="441"/>
      <c r="AK282" s="450"/>
      <c r="AL282" s="440"/>
      <c r="AM282" s="441"/>
      <c r="AN282" s="441"/>
      <c r="AO282" s="441"/>
      <c r="AP282" s="441"/>
      <c r="AQ282" s="441"/>
      <c r="AR282" s="450"/>
      <c r="AS282" s="485"/>
      <c r="AT282" s="486"/>
      <c r="AU282" s="486"/>
      <c r="AV282" s="486"/>
      <c r="AW282" s="486"/>
      <c r="AX282" s="486"/>
      <c r="AY282" s="487"/>
      <c r="AZ282" s="462"/>
      <c r="BA282" s="463"/>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5">
      <c r="A283" s="435"/>
      <c r="B283" s="36"/>
      <c r="C283" s="199" t="str">
        <f t="shared" ca="1" si="6"/>
        <v/>
      </c>
      <c r="D283" s="479"/>
      <c r="E283" s="480"/>
      <c r="F283" s="480"/>
      <c r="G283" s="480"/>
      <c r="H283" s="480"/>
      <c r="I283" s="480"/>
      <c r="J283" s="480"/>
      <c r="K283" s="440"/>
      <c r="L283" s="441"/>
      <c r="M283" s="441"/>
      <c r="N283" s="441"/>
      <c r="O283" s="441"/>
      <c r="P283" s="441"/>
      <c r="Q283" s="441"/>
      <c r="R283" s="444"/>
      <c r="S283" s="445"/>
      <c r="T283" s="444"/>
      <c r="U283" s="445"/>
      <c r="V283" s="440"/>
      <c r="W283" s="441"/>
      <c r="X283" s="441"/>
      <c r="Y283" s="441"/>
      <c r="Z283" s="441"/>
      <c r="AA283" s="441"/>
      <c r="AB283" s="441"/>
      <c r="AC283" s="441"/>
      <c r="AD283" s="440"/>
      <c r="AE283" s="441"/>
      <c r="AF283" s="441"/>
      <c r="AG283" s="441"/>
      <c r="AH283" s="441"/>
      <c r="AI283" s="441"/>
      <c r="AJ283" s="441"/>
      <c r="AK283" s="450"/>
      <c r="AL283" s="440"/>
      <c r="AM283" s="441"/>
      <c r="AN283" s="441"/>
      <c r="AO283" s="441"/>
      <c r="AP283" s="441"/>
      <c r="AQ283" s="441"/>
      <c r="AR283" s="450"/>
      <c r="AS283" s="485"/>
      <c r="AT283" s="486"/>
      <c r="AU283" s="486"/>
      <c r="AV283" s="486"/>
      <c r="AW283" s="486"/>
      <c r="AX283" s="486"/>
      <c r="AY283" s="487"/>
      <c r="AZ283" s="462"/>
      <c r="BA283" s="463"/>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5">
      <c r="A284" s="435"/>
      <c r="B284" s="36"/>
      <c r="C284" s="199" t="str">
        <f t="shared" ca="1" si="6"/>
        <v/>
      </c>
      <c r="D284" s="479"/>
      <c r="E284" s="480"/>
      <c r="F284" s="480"/>
      <c r="G284" s="480"/>
      <c r="H284" s="480"/>
      <c r="I284" s="480"/>
      <c r="J284" s="480"/>
      <c r="K284" s="440"/>
      <c r="L284" s="441"/>
      <c r="M284" s="441"/>
      <c r="N284" s="441"/>
      <c r="O284" s="441"/>
      <c r="P284" s="441"/>
      <c r="Q284" s="441"/>
      <c r="R284" s="444"/>
      <c r="S284" s="445"/>
      <c r="T284" s="444"/>
      <c r="U284" s="445"/>
      <c r="V284" s="440"/>
      <c r="W284" s="441"/>
      <c r="X284" s="441"/>
      <c r="Y284" s="441"/>
      <c r="Z284" s="441"/>
      <c r="AA284" s="441"/>
      <c r="AB284" s="441"/>
      <c r="AC284" s="441"/>
      <c r="AD284" s="440"/>
      <c r="AE284" s="441"/>
      <c r="AF284" s="441"/>
      <c r="AG284" s="441"/>
      <c r="AH284" s="441"/>
      <c r="AI284" s="441"/>
      <c r="AJ284" s="441"/>
      <c r="AK284" s="450"/>
      <c r="AL284" s="440"/>
      <c r="AM284" s="441"/>
      <c r="AN284" s="441"/>
      <c r="AO284" s="441"/>
      <c r="AP284" s="441"/>
      <c r="AQ284" s="441"/>
      <c r="AR284" s="450"/>
      <c r="AS284" s="485"/>
      <c r="AT284" s="486"/>
      <c r="AU284" s="486"/>
      <c r="AV284" s="486"/>
      <c r="AW284" s="486"/>
      <c r="AX284" s="486"/>
      <c r="AY284" s="487"/>
      <c r="AZ284" s="462"/>
      <c r="BA284" s="463"/>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5">
      <c r="A285" s="435"/>
      <c r="B285" s="36"/>
      <c r="C285" s="199" t="str">
        <f t="shared" ca="1" si="6"/>
        <v/>
      </c>
      <c r="D285" s="479"/>
      <c r="E285" s="480"/>
      <c r="F285" s="480"/>
      <c r="G285" s="480"/>
      <c r="H285" s="480"/>
      <c r="I285" s="480"/>
      <c r="J285" s="480"/>
      <c r="K285" s="440"/>
      <c r="L285" s="441"/>
      <c r="M285" s="441"/>
      <c r="N285" s="441"/>
      <c r="O285" s="441"/>
      <c r="P285" s="441"/>
      <c r="Q285" s="441"/>
      <c r="R285" s="444"/>
      <c r="S285" s="445"/>
      <c r="T285" s="444"/>
      <c r="U285" s="445"/>
      <c r="V285" s="440"/>
      <c r="W285" s="441"/>
      <c r="X285" s="441"/>
      <c r="Y285" s="441"/>
      <c r="Z285" s="441"/>
      <c r="AA285" s="441"/>
      <c r="AB285" s="441"/>
      <c r="AC285" s="441"/>
      <c r="AD285" s="440"/>
      <c r="AE285" s="441"/>
      <c r="AF285" s="441"/>
      <c r="AG285" s="441"/>
      <c r="AH285" s="441"/>
      <c r="AI285" s="441"/>
      <c r="AJ285" s="441"/>
      <c r="AK285" s="450"/>
      <c r="AL285" s="440"/>
      <c r="AM285" s="441"/>
      <c r="AN285" s="441"/>
      <c r="AO285" s="441"/>
      <c r="AP285" s="441"/>
      <c r="AQ285" s="441"/>
      <c r="AR285" s="450"/>
      <c r="AS285" s="485"/>
      <c r="AT285" s="486"/>
      <c r="AU285" s="486"/>
      <c r="AV285" s="486"/>
      <c r="AW285" s="486"/>
      <c r="AX285" s="486"/>
      <c r="AY285" s="487"/>
      <c r="AZ285" s="462"/>
      <c r="BA285" s="463"/>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5">
      <c r="A286" s="436"/>
      <c r="B286" s="37"/>
      <c r="C286" s="200" t="str">
        <f t="shared" ca="1" si="6"/>
        <v/>
      </c>
      <c r="D286" s="481"/>
      <c r="E286" s="482"/>
      <c r="F286" s="482"/>
      <c r="G286" s="482"/>
      <c r="H286" s="482"/>
      <c r="I286" s="482"/>
      <c r="J286" s="482"/>
      <c r="K286" s="409"/>
      <c r="L286" s="410"/>
      <c r="M286" s="410"/>
      <c r="N286" s="410"/>
      <c r="O286" s="410"/>
      <c r="P286" s="410"/>
      <c r="Q286" s="410"/>
      <c r="R286" s="446"/>
      <c r="S286" s="447"/>
      <c r="T286" s="446"/>
      <c r="U286" s="44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88"/>
      <c r="AT286" s="489"/>
      <c r="AU286" s="489"/>
      <c r="AV286" s="489"/>
      <c r="AW286" s="489"/>
      <c r="AX286" s="489"/>
      <c r="AY286" s="490"/>
      <c r="AZ286" s="464"/>
      <c r="BA286" s="465"/>
      <c r="BB286" s="62">
        <v>6</v>
      </c>
      <c r="BC286" s="426"/>
      <c r="BD286" s="427"/>
      <c r="BE286" s="427"/>
      <c r="BF286" s="428"/>
      <c r="BG286" s="429"/>
      <c r="BH286" s="430"/>
      <c r="BI286" s="196"/>
      <c r="BJ286" s="474"/>
      <c r="BK286" s="475"/>
      <c r="BL286" s="475"/>
      <c r="BM286" s="475"/>
      <c r="BN286" s="475"/>
      <c r="BO286" s="476"/>
      <c r="BP286" s="474"/>
      <c r="BQ286" s="475"/>
      <c r="BR286" s="475"/>
      <c r="BS286" s="475"/>
      <c r="BT286" s="475"/>
      <c r="BU286" s="476"/>
      <c r="BV286" s="474"/>
      <c r="BW286" s="475"/>
      <c r="BX286" s="475"/>
      <c r="BY286" s="475"/>
      <c r="BZ286" s="475"/>
      <c r="CA286" s="476"/>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5">
      <c r="A287" s="434">
        <v>47</v>
      </c>
      <c r="B287" s="36"/>
      <c r="C287" s="198" t="str">
        <f t="shared" ca="1" si="6"/>
        <v/>
      </c>
      <c r="D287" s="477"/>
      <c r="E287" s="478"/>
      <c r="F287" s="478"/>
      <c r="G287" s="478"/>
      <c r="H287" s="478"/>
      <c r="I287" s="478"/>
      <c r="J287" s="478"/>
      <c r="K287" s="438" t="s">
        <v>283</v>
      </c>
      <c r="L287" s="439"/>
      <c r="M287" s="439"/>
      <c r="N287" s="439"/>
      <c r="O287" s="439"/>
      <c r="P287" s="439"/>
      <c r="Q287" s="439"/>
      <c r="R287" s="442" t="s">
        <v>186</v>
      </c>
      <c r="S287" s="443"/>
      <c r="T287" s="442"/>
      <c r="U287" s="443"/>
      <c r="V287" s="438"/>
      <c r="W287" s="439"/>
      <c r="X287" s="439"/>
      <c r="Y287" s="439"/>
      <c r="Z287" s="439"/>
      <c r="AA287" s="439"/>
      <c r="AB287" s="439"/>
      <c r="AC287" s="439"/>
      <c r="AD287" s="438"/>
      <c r="AE287" s="439"/>
      <c r="AF287" s="439"/>
      <c r="AG287" s="439"/>
      <c r="AH287" s="439"/>
      <c r="AI287" s="439"/>
      <c r="AJ287" s="439"/>
      <c r="AK287" s="449"/>
      <c r="AL287" s="438"/>
      <c r="AM287" s="439"/>
      <c r="AN287" s="439"/>
      <c r="AO287" s="439"/>
      <c r="AP287" s="439"/>
      <c r="AQ287" s="439"/>
      <c r="AR287" s="449"/>
      <c r="AS287" s="500"/>
      <c r="AT287" s="483"/>
      <c r="AU287" s="483"/>
      <c r="AV287" s="483"/>
      <c r="AW287" s="483"/>
      <c r="AX287" s="483"/>
      <c r="AY287" s="484"/>
      <c r="AZ287" s="460"/>
      <c r="BA287" s="461"/>
      <c r="BB287" s="60">
        <v>1</v>
      </c>
      <c r="BC287" s="466"/>
      <c r="BD287" s="467"/>
      <c r="BE287" s="467"/>
      <c r="BF287" s="468"/>
      <c r="BG287" s="469"/>
      <c r="BH287" s="470"/>
      <c r="BI287" s="194"/>
      <c r="BJ287" s="471"/>
      <c r="BK287" s="472"/>
      <c r="BL287" s="472"/>
      <c r="BM287" s="472"/>
      <c r="BN287" s="472"/>
      <c r="BO287" s="473"/>
      <c r="BP287" s="471"/>
      <c r="BQ287" s="472"/>
      <c r="BR287" s="472"/>
      <c r="BS287" s="472"/>
      <c r="BT287" s="472"/>
      <c r="BU287" s="473"/>
      <c r="BV287" s="471"/>
      <c r="BW287" s="472"/>
      <c r="BX287" s="472"/>
      <c r="BY287" s="472"/>
      <c r="BZ287" s="472"/>
      <c r="CA287" s="473"/>
      <c r="CB287" s="466"/>
      <c r="CC287" s="467"/>
      <c r="CD287" s="467"/>
      <c r="CE287" s="468"/>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5">
      <c r="A288" s="435"/>
      <c r="B288" s="36"/>
      <c r="C288" s="199" t="str">
        <f t="shared" ca="1" si="6"/>
        <v/>
      </c>
      <c r="D288" s="479"/>
      <c r="E288" s="480"/>
      <c r="F288" s="480"/>
      <c r="G288" s="480"/>
      <c r="H288" s="480"/>
      <c r="I288" s="480"/>
      <c r="J288" s="480"/>
      <c r="K288" s="440"/>
      <c r="L288" s="441"/>
      <c r="M288" s="441"/>
      <c r="N288" s="441"/>
      <c r="O288" s="441"/>
      <c r="P288" s="441"/>
      <c r="Q288" s="441"/>
      <c r="R288" s="444"/>
      <c r="S288" s="445"/>
      <c r="T288" s="444"/>
      <c r="U288" s="445"/>
      <c r="V288" s="440"/>
      <c r="W288" s="441"/>
      <c r="X288" s="441"/>
      <c r="Y288" s="441"/>
      <c r="Z288" s="441"/>
      <c r="AA288" s="441"/>
      <c r="AB288" s="441"/>
      <c r="AC288" s="441"/>
      <c r="AD288" s="440"/>
      <c r="AE288" s="441"/>
      <c r="AF288" s="441"/>
      <c r="AG288" s="441"/>
      <c r="AH288" s="441"/>
      <c r="AI288" s="441"/>
      <c r="AJ288" s="441"/>
      <c r="AK288" s="450"/>
      <c r="AL288" s="440"/>
      <c r="AM288" s="441"/>
      <c r="AN288" s="441"/>
      <c r="AO288" s="441"/>
      <c r="AP288" s="441"/>
      <c r="AQ288" s="441"/>
      <c r="AR288" s="450"/>
      <c r="AS288" s="485"/>
      <c r="AT288" s="486"/>
      <c r="AU288" s="486"/>
      <c r="AV288" s="486"/>
      <c r="AW288" s="486"/>
      <c r="AX288" s="486"/>
      <c r="AY288" s="487"/>
      <c r="AZ288" s="462"/>
      <c r="BA288" s="463"/>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5">
      <c r="A289" s="435"/>
      <c r="B289" s="36"/>
      <c r="C289" s="199" t="str">
        <f t="shared" ca="1" si="6"/>
        <v/>
      </c>
      <c r="D289" s="479"/>
      <c r="E289" s="480"/>
      <c r="F289" s="480"/>
      <c r="G289" s="480"/>
      <c r="H289" s="480"/>
      <c r="I289" s="480"/>
      <c r="J289" s="480"/>
      <c r="K289" s="440"/>
      <c r="L289" s="441"/>
      <c r="M289" s="441"/>
      <c r="N289" s="441"/>
      <c r="O289" s="441"/>
      <c r="P289" s="441"/>
      <c r="Q289" s="441"/>
      <c r="R289" s="444"/>
      <c r="S289" s="445"/>
      <c r="T289" s="444"/>
      <c r="U289" s="445"/>
      <c r="V289" s="440"/>
      <c r="W289" s="441"/>
      <c r="X289" s="441"/>
      <c r="Y289" s="441"/>
      <c r="Z289" s="441"/>
      <c r="AA289" s="441"/>
      <c r="AB289" s="441"/>
      <c r="AC289" s="441"/>
      <c r="AD289" s="440"/>
      <c r="AE289" s="441"/>
      <c r="AF289" s="441"/>
      <c r="AG289" s="441"/>
      <c r="AH289" s="441"/>
      <c r="AI289" s="441"/>
      <c r="AJ289" s="441"/>
      <c r="AK289" s="450"/>
      <c r="AL289" s="440"/>
      <c r="AM289" s="441"/>
      <c r="AN289" s="441"/>
      <c r="AO289" s="441"/>
      <c r="AP289" s="441"/>
      <c r="AQ289" s="441"/>
      <c r="AR289" s="450"/>
      <c r="AS289" s="485"/>
      <c r="AT289" s="486"/>
      <c r="AU289" s="486"/>
      <c r="AV289" s="486"/>
      <c r="AW289" s="486"/>
      <c r="AX289" s="486"/>
      <c r="AY289" s="487"/>
      <c r="AZ289" s="462"/>
      <c r="BA289" s="463"/>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5">
      <c r="A290" s="435"/>
      <c r="B290" s="36"/>
      <c r="C290" s="199" t="str">
        <f t="shared" ca="1" si="6"/>
        <v/>
      </c>
      <c r="D290" s="479"/>
      <c r="E290" s="480"/>
      <c r="F290" s="480"/>
      <c r="G290" s="480"/>
      <c r="H290" s="480"/>
      <c r="I290" s="480"/>
      <c r="J290" s="480"/>
      <c r="K290" s="440"/>
      <c r="L290" s="441"/>
      <c r="M290" s="441"/>
      <c r="N290" s="441"/>
      <c r="O290" s="441"/>
      <c r="P290" s="441"/>
      <c r="Q290" s="441"/>
      <c r="R290" s="444"/>
      <c r="S290" s="445"/>
      <c r="T290" s="444"/>
      <c r="U290" s="445"/>
      <c r="V290" s="440"/>
      <c r="W290" s="441"/>
      <c r="X290" s="441"/>
      <c r="Y290" s="441"/>
      <c r="Z290" s="441"/>
      <c r="AA290" s="441"/>
      <c r="AB290" s="441"/>
      <c r="AC290" s="441"/>
      <c r="AD290" s="440"/>
      <c r="AE290" s="441"/>
      <c r="AF290" s="441"/>
      <c r="AG290" s="441"/>
      <c r="AH290" s="441"/>
      <c r="AI290" s="441"/>
      <c r="AJ290" s="441"/>
      <c r="AK290" s="450"/>
      <c r="AL290" s="440"/>
      <c r="AM290" s="441"/>
      <c r="AN290" s="441"/>
      <c r="AO290" s="441"/>
      <c r="AP290" s="441"/>
      <c r="AQ290" s="441"/>
      <c r="AR290" s="450"/>
      <c r="AS290" s="485"/>
      <c r="AT290" s="486"/>
      <c r="AU290" s="486"/>
      <c r="AV290" s="486"/>
      <c r="AW290" s="486"/>
      <c r="AX290" s="486"/>
      <c r="AY290" s="487"/>
      <c r="AZ290" s="462"/>
      <c r="BA290" s="463"/>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5">
      <c r="A291" s="435"/>
      <c r="B291" s="36"/>
      <c r="C291" s="199" t="str">
        <f t="shared" ca="1" si="6"/>
        <v/>
      </c>
      <c r="D291" s="479"/>
      <c r="E291" s="480"/>
      <c r="F291" s="480"/>
      <c r="G291" s="480"/>
      <c r="H291" s="480"/>
      <c r="I291" s="480"/>
      <c r="J291" s="480"/>
      <c r="K291" s="440"/>
      <c r="L291" s="441"/>
      <c r="M291" s="441"/>
      <c r="N291" s="441"/>
      <c r="O291" s="441"/>
      <c r="P291" s="441"/>
      <c r="Q291" s="441"/>
      <c r="R291" s="444"/>
      <c r="S291" s="445"/>
      <c r="T291" s="444"/>
      <c r="U291" s="445"/>
      <c r="V291" s="440"/>
      <c r="W291" s="441"/>
      <c r="X291" s="441"/>
      <c r="Y291" s="441"/>
      <c r="Z291" s="441"/>
      <c r="AA291" s="441"/>
      <c r="AB291" s="441"/>
      <c r="AC291" s="441"/>
      <c r="AD291" s="440"/>
      <c r="AE291" s="441"/>
      <c r="AF291" s="441"/>
      <c r="AG291" s="441"/>
      <c r="AH291" s="441"/>
      <c r="AI291" s="441"/>
      <c r="AJ291" s="441"/>
      <c r="AK291" s="450"/>
      <c r="AL291" s="440"/>
      <c r="AM291" s="441"/>
      <c r="AN291" s="441"/>
      <c r="AO291" s="441"/>
      <c r="AP291" s="441"/>
      <c r="AQ291" s="441"/>
      <c r="AR291" s="450"/>
      <c r="AS291" s="485"/>
      <c r="AT291" s="486"/>
      <c r="AU291" s="486"/>
      <c r="AV291" s="486"/>
      <c r="AW291" s="486"/>
      <c r="AX291" s="486"/>
      <c r="AY291" s="487"/>
      <c r="AZ291" s="462"/>
      <c r="BA291" s="463"/>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5">
      <c r="A292" s="436"/>
      <c r="B292" s="37"/>
      <c r="C292" s="200" t="str">
        <f t="shared" ca="1" si="6"/>
        <v/>
      </c>
      <c r="D292" s="481"/>
      <c r="E292" s="482"/>
      <c r="F292" s="482"/>
      <c r="G292" s="482"/>
      <c r="H292" s="482"/>
      <c r="I292" s="482"/>
      <c r="J292" s="482"/>
      <c r="K292" s="409"/>
      <c r="L292" s="410"/>
      <c r="M292" s="410"/>
      <c r="N292" s="410"/>
      <c r="O292" s="410"/>
      <c r="P292" s="410"/>
      <c r="Q292" s="410"/>
      <c r="R292" s="446"/>
      <c r="S292" s="447"/>
      <c r="T292" s="446"/>
      <c r="U292" s="44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88"/>
      <c r="AT292" s="489"/>
      <c r="AU292" s="489"/>
      <c r="AV292" s="489"/>
      <c r="AW292" s="489"/>
      <c r="AX292" s="489"/>
      <c r="AY292" s="490"/>
      <c r="AZ292" s="464"/>
      <c r="BA292" s="465"/>
      <c r="BB292" s="62">
        <v>6</v>
      </c>
      <c r="BC292" s="426"/>
      <c r="BD292" s="427"/>
      <c r="BE292" s="427"/>
      <c r="BF292" s="428"/>
      <c r="BG292" s="429"/>
      <c r="BH292" s="430"/>
      <c r="BI292" s="196"/>
      <c r="BJ292" s="474"/>
      <c r="BK292" s="475"/>
      <c r="BL292" s="475"/>
      <c r="BM292" s="475"/>
      <c r="BN292" s="475"/>
      <c r="BO292" s="476"/>
      <c r="BP292" s="474"/>
      <c r="BQ292" s="475"/>
      <c r="BR292" s="475"/>
      <c r="BS292" s="475"/>
      <c r="BT292" s="475"/>
      <c r="BU292" s="476"/>
      <c r="BV292" s="474"/>
      <c r="BW292" s="475"/>
      <c r="BX292" s="475"/>
      <c r="BY292" s="475"/>
      <c r="BZ292" s="475"/>
      <c r="CA292" s="476"/>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5">
      <c r="A293" s="434">
        <v>48</v>
      </c>
      <c r="B293" s="36"/>
      <c r="C293" s="198" t="str">
        <f t="shared" ca="1" si="6"/>
        <v/>
      </c>
      <c r="D293" s="477" t="s">
        <v>390</v>
      </c>
      <c r="E293" s="478"/>
      <c r="F293" s="478"/>
      <c r="G293" s="478"/>
      <c r="H293" s="478"/>
      <c r="I293" s="478"/>
      <c r="J293" s="478"/>
      <c r="K293" s="438" t="s">
        <v>391</v>
      </c>
      <c r="L293" s="439"/>
      <c r="M293" s="439"/>
      <c r="N293" s="439"/>
      <c r="O293" s="439"/>
      <c r="P293" s="439"/>
      <c r="Q293" s="439"/>
      <c r="R293" s="442" t="s">
        <v>186</v>
      </c>
      <c r="S293" s="443"/>
      <c r="T293" s="442"/>
      <c r="U293" s="443"/>
      <c r="V293" s="438"/>
      <c r="W293" s="439"/>
      <c r="X293" s="439"/>
      <c r="Y293" s="439"/>
      <c r="Z293" s="439"/>
      <c r="AA293" s="439"/>
      <c r="AB293" s="439"/>
      <c r="AC293" s="439"/>
      <c r="AD293" s="438"/>
      <c r="AE293" s="439"/>
      <c r="AF293" s="439"/>
      <c r="AG293" s="439"/>
      <c r="AH293" s="439"/>
      <c r="AI293" s="439"/>
      <c r="AJ293" s="439"/>
      <c r="AK293" s="449"/>
      <c r="AL293" s="438"/>
      <c r="AM293" s="439"/>
      <c r="AN293" s="439"/>
      <c r="AO293" s="439"/>
      <c r="AP293" s="439"/>
      <c r="AQ293" s="439"/>
      <c r="AR293" s="449"/>
      <c r="AS293" s="500"/>
      <c r="AT293" s="483"/>
      <c r="AU293" s="483"/>
      <c r="AV293" s="483"/>
      <c r="AW293" s="483"/>
      <c r="AX293" s="483"/>
      <c r="AY293" s="484"/>
      <c r="AZ293" s="460"/>
      <c r="BA293" s="461"/>
      <c r="BB293" s="60">
        <v>1</v>
      </c>
      <c r="BC293" s="466"/>
      <c r="BD293" s="467"/>
      <c r="BE293" s="467"/>
      <c r="BF293" s="468"/>
      <c r="BG293" s="469"/>
      <c r="BH293" s="470"/>
      <c r="BI293" s="194"/>
      <c r="BJ293" s="471"/>
      <c r="BK293" s="472"/>
      <c r="BL293" s="472"/>
      <c r="BM293" s="472"/>
      <c r="BN293" s="472"/>
      <c r="BO293" s="473"/>
      <c r="BP293" s="471"/>
      <c r="BQ293" s="472"/>
      <c r="BR293" s="472"/>
      <c r="BS293" s="472"/>
      <c r="BT293" s="472"/>
      <c r="BU293" s="473"/>
      <c r="BV293" s="471"/>
      <c r="BW293" s="472"/>
      <c r="BX293" s="472"/>
      <c r="BY293" s="472"/>
      <c r="BZ293" s="472"/>
      <c r="CA293" s="473"/>
      <c r="CB293" s="466"/>
      <c r="CC293" s="467"/>
      <c r="CD293" s="467"/>
      <c r="CE293" s="468"/>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5">
      <c r="A294" s="435"/>
      <c r="B294" s="36"/>
      <c r="C294" s="199" t="str">
        <f t="shared" ca="1" si="6"/>
        <v/>
      </c>
      <c r="D294" s="479"/>
      <c r="E294" s="480"/>
      <c r="F294" s="480"/>
      <c r="G294" s="480"/>
      <c r="H294" s="480"/>
      <c r="I294" s="480"/>
      <c r="J294" s="480"/>
      <c r="K294" s="440"/>
      <c r="L294" s="441"/>
      <c r="M294" s="441"/>
      <c r="N294" s="441"/>
      <c r="O294" s="441"/>
      <c r="P294" s="441"/>
      <c r="Q294" s="441"/>
      <c r="R294" s="444"/>
      <c r="S294" s="445"/>
      <c r="T294" s="444"/>
      <c r="U294" s="445"/>
      <c r="V294" s="440"/>
      <c r="W294" s="441"/>
      <c r="X294" s="441"/>
      <c r="Y294" s="441"/>
      <c r="Z294" s="441"/>
      <c r="AA294" s="441"/>
      <c r="AB294" s="441"/>
      <c r="AC294" s="441"/>
      <c r="AD294" s="440"/>
      <c r="AE294" s="441"/>
      <c r="AF294" s="441"/>
      <c r="AG294" s="441"/>
      <c r="AH294" s="441"/>
      <c r="AI294" s="441"/>
      <c r="AJ294" s="441"/>
      <c r="AK294" s="450"/>
      <c r="AL294" s="440"/>
      <c r="AM294" s="441"/>
      <c r="AN294" s="441"/>
      <c r="AO294" s="441"/>
      <c r="AP294" s="441"/>
      <c r="AQ294" s="441"/>
      <c r="AR294" s="450"/>
      <c r="AS294" s="485"/>
      <c r="AT294" s="486"/>
      <c r="AU294" s="486"/>
      <c r="AV294" s="486"/>
      <c r="AW294" s="486"/>
      <c r="AX294" s="486"/>
      <c r="AY294" s="487"/>
      <c r="AZ294" s="462"/>
      <c r="BA294" s="463"/>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5">
      <c r="A295" s="435"/>
      <c r="B295" s="36"/>
      <c r="C295" s="199" t="str">
        <f t="shared" ca="1" si="6"/>
        <v/>
      </c>
      <c r="D295" s="479"/>
      <c r="E295" s="480"/>
      <c r="F295" s="480"/>
      <c r="G295" s="480"/>
      <c r="H295" s="480"/>
      <c r="I295" s="480"/>
      <c r="J295" s="480"/>
      <c r="K295" s="440"/>
      <c r="L295" s="441"/>
      <c r="M295" s="441"/>
      <c r="N295" s="441"/>
      <c r="O295" s="441"/>
      <c r="P295" s="441"/>
      <c r="Q295" s="441"/>
      <c r="R295" s="444"/>
      <c r="S295" s="445"/>
      <c r="T295" s="444"/>
      <c r="U295" s="445"/>
      <c r="V295" s="440"/>
      <c r="W295" s="441"/>
      <c r="X295" s="441"/>
      <c r="Y295" s="441"/>
      <c r="Z295" s="441"/>
      <c r="AA295" s="441"/>
      <c r="AB295" s="441"/>
      <c r="AC295" s="441"/>
      <c r="AD295" s="440"/>
      <c r="AE295" s="441"/>
      <c r="AF295" s="441"/>
      <c r="AG295" s="441"/>
      <c r="AH295" s="441"/>
      <c r="AI295" s="441"/>
      <c r="AJ295" s="441"/>
      <c r="AK295" s="450"/>
      <c r="AL295" s="440"/>
      <c r="AM295" s="441"/>
      <c r="AN295" s="441"/>
      <c r="AO295" s="441"/>
      <c r="AP295" s="441"/>
      <c r="AQ295" s="441"/>
      <c r="AR295" s="450"/>
      <c r="AS295" s="485"/>
      <c r="AT295" s="486"/>
      <c r="AU295" s="486"/>
      <c r="AV295" s="486"/>
      <c r="AW295" s="486"/>
      <c r="AX295" s="486"/>
      <c r="AY295" s="487"/>
      <c r="AZ295" s="462"/>
      <c r="BA295" s="463"/>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5">
      <c r="A296" s="435"/>
      <c r="B296" s="36"/>
      <c r="C296" s="199" t="str">
        <f t="shared" ca="1" si="6"/>
        <v/>
      </c>
      <c r="D296" s="479"/>
      <c r="E296" s="480"/>
      <c r="F296" s="480"/>
      <c r="G296" s="480"/>
      <c r="H296" s="480"/>
      <c r="I296" s="480"/>
      <c r="J296" s="480"/>
      <c r="K296" s="440"/>
      <c r="L296" s="441"/>
      <c r="M296" s="441"/>
      <c r="N296" s="441"/>
      <c r="O296" s="441"/>
      <c r="P296" s="441"/>
      <c r="Q296" s="441"/>
      <c r="R296" s="444"/>
      <c r="S296" s="445"/>
      <c r="T296" s="444"/>
      <c r="U296" s="445"/>
      <c r="V296" s="440"/>
      <c r="W296" s="441"/>
      <c r="X296" s="441"/>
      <c r="Y296" s="441"/>
      <c r="Z296" s="441"/>
      <c r="AA296" s="441"/>
      <c r="AB296" s="441"/>
      <c r="AC296" s="441"/>
      <c r="AD296" s="440"/>
      <c r="AE296" s="441"/>
      <c r="AF296" s="441"/>
      <c r="AG296" s="441"/>
      <c r="AH296" s="441"/>
      <c r="AI296" s="441"/>
      <c r="AJ296" s="441"/>
      <c r="AK296" s="450"/>
      <c r="AL296" s="440"/>
      <c r="AM296" s="441"/>
      <c r="AN296" s="441"/>
      <c r="AO296" s="441"/>
      <c r="AP296" s="441"/>
      <c r="AQ296" s="441"/>
      <c r="AR296" s="450"/>
      <c r="AS296" s="485"/>
      <c r="AT296" s="486"/>
      <c r="AU296" s="486"/>
      <c r="AV296" s="486"/>
      <c r="AW296" s="486"/>
      <c r="AX296" s="486"/>
      <c r="AY296" s="487"/>
      <c r="AZ296" s="462"/>
      <c r="BA296" s="463"/>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5">
      <c r="A297" s="435"/>
      <c r="B297" s="36"/>
      <c r="C297" s="199" t="str">
        <f t="shared" ca="1" si="6"/>
        <v/>
      </c>
      <c r="D297" s="479"/>
      <c r="E297" s="480"/>
      <c r="F297" s="480"/>
      <c r="G297" s="480"/>
      <c r="H297" s="480"/>
      <c r="I297" s="480"/>
      <c r="J297" s="480"/>
      <c r="K297" s="440"/>
      <c r="L297" s="441"/>
      <c r="M297" s="441"/>
      <c r="N297" s="441"/>
      <c r="O297" s="441"/>
      <c r="P297" s="441"/>
      <c r="Q297" s="441"/>
      <c r="R297" s="444"/>
      <c r="S297" s="445"/>
      <c r="T297" s="444"/>
      <c r="U297" s="445"/>
      <c r="V297" s="440"/>
      <c r="W297" s="441"/>
      <c r="X297" s="441"/>
      <c r="Y297" s="441"/>
      <c r="Z297" s="441"/>
      <c r="AA297" s="441"/>
      <c r="AB297" s="441"/>
      <c r="AC297" s="441"/>
      <c r="AD297" s="440"/>
      <c r="AE297" s="441"/>
      <c r="AF297" s="441"/>
      <c r="AG297" s="441"/>
      <c r="AH297" s="441"/>
      <c r="AI297" s="441"/>
      <c r="AJ297" s="441"/>
      <c r="AK297" s="450"/>
      <c r="AL297" s="440"/>
      <c r="AM297" s="441"/>
      <c r="AN297" s="441"/>
      <c r="AO297" s="441"/>
      <c r="AP297" s="441"/>
      <c r="AQ297" s="441"/>
      <c r="AR297" s="450"/>
      <c r="AS297" s="485"/>
      <c r="AT297" s="486"/>
      <c r="AU297" s="486"/>
      <c r="AV297" s="486"/>
      <c r="AW297" s="486"/>
      <c r="AX297" s="486"/>
      <c r="AY297" s="487"/>
      <c r="AZ297" s="462"/>
      <c r="BA297" s="463"/>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5">
      <c r="A298" s="436"/>
      <c r="B298" s="37"/>
      <c r="C298" s="200" t="str">
        <f t="shared" ca="1" si="6"/>
        <v/>
      </c>
      <c r="D298" s="481"/>
      <c r="E298" s="482"/>
      <c r="F298" s="482"/>
      <c r="G298" s="482"/>
      <c r="H298" s="482"/>
      <c r="I298" s="482"/>
      <c r="J298" s="482"/>
      <c r="K298" s="409"/>
      <c r="L298" s="410"/>
      <c r="M298" s="410"/>
      <c r="N298" s="410"/>
      <c r="O298" s="410"/>
      <c r="P298" s="410"/>
      <c r="Q298" s="410"/>
      <c r="R298" s="446"/>
      <c r="S298" s="447"/>
      <c r="T298" s="446"/>
      <c r="U298" s="44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88"/>
      <c r="AT298" s="489"/>
      <c r="AU298" s="489"/>
      <c r="AV298" s="489"/>
      <c r="AW298" s="489"/>
      <c r="AX298" s="489"/>
      <c r="AY298" s="490"/>
      <c r="AZ298" s="464"/>
      <c r="BA298" s="465"/>
      <c r="BB298" s="62">
        <v>6</v>
      </c>
      <c r="BC298" s="426"/>
      <c r="BD298" s="427"/>
      <c r="BE298" s="427"/>
      <c r="BF298" s="428"/>
      <c r="BG298" s="429"/>
      <c r="BH298" s="430"/>
      <c r="BI298" s="196"/>
      <c r="BJ298" s="474"/>
      <c r="BK298" s="475"/>
      <c r="BL298" s="475"/>
      <c r="BM298" s="475"/>
      <c r="BN298" s="475"/>
      <c r="BO298" s="476"/>
      <c r="BP298" s="474"/>
      <c r="BQ298" s="475"/>
      <c r="BR298" s="475"/>
      <c r="BS298" s="475"/>
      <c r="BT298" s="475"/>
      <c r="BU298" s="476"/>
      <c r="BV298" s="474"/>
      <c r="BW298" s="475"/>
      <c r="BX298" s="475"/>
      <c r="BY298" s="475"/>
      <c r="BZ298" s="475"/>
      <c r="CA298" s="476"/>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5">
      <c r="A299" s="434">
        <v>49</v>
      </c>
      <c r="B299" s="36"/>
      <c r="C299" s="198" t="str">
        <f t="shared" ca="1" si="6"/>
        <v/>
      </c>
      <c r="D299" s="477"/>
      <c r="E299" s="478"/>
      <c r="F299" s="478"/>
      <c r="G299" s="478"/>
      <c r="H299" s="478"/>
      <c r="I299" s="478"/>
      <c r="J299" s="478"/>
      <c r="K299" s="438" t="s">
        <v>392</v>
      </c>
      <c r="L299" s="439"/>
      <c r="M299" s="439"/>
      <c r="N299" s="439"/>
      <c r="O299" s="439"/>
      <c r="P299" s="439"/>
      <c r="Q299" s="439"/>
      <c r="R299" s="442" t="s">
        <v>186</v>
      </c>
      <c r="S299" s="443"/>
      <c r="T299" s="442"/>
      <c r="U299" s="443"/>
      <c r="V299" s="438"/>
      <c r="W299" s="439"/>
      <c r="X299" s="439"/>
      <c r="Y299" s="439"/>
      <c r="Z299" s="439"/>
      <c r="AA299" s="439"/>
      <c r="AB299" s="439"/>
      <c r="AC299" s="439"/>
      <c r="AD299" s="438"/>
      <c r="AE299" s="439"/>
      <c r="AF299" s="439"/>
      <c r="AG299" s="439"/>
      <c r="AH299" s="439"/>
      <c r="AI299" s="439"/>
      <c r="AJ299" s="439"/>
      <c r="AK299" s="449"/>
      <c r="AL299" s="438"/>
      <c r="AM299" s="439"/>
      <c r="AN299" s="439"/>
      <c r="AO299" s="439"/>
      <c r="AP299" s="439"/>
      <c r="AQ299" s="439"/>
      <c r="AR299" s="449"/>
      <c r="AS299" s="500"/>
      <c r="AT299" s="483"/>
      <c r="AU299" s="483"/>
      <c r="AV299" s="483"/>
      <c r="AW299" s="483"/>
      <c r="AX299" s="483"/>
      <c r="AY299" s="484"/>
      <c r="AZ299" s="460"/>
      <c r="BA299" s="461"/>
      <c r="BB299" s="60">
        <v>1</v>
      </c>
      <c r="BC299" s="466"/>
      <c r="BD299" s="467"/>
      <c r="BE299" s="467"/>
      <c r="BF299" s="468"/>
      <c r="BG299" s="469"/>
      <c r="BH299" s="470"/>
      <c r="BI299" s="194"/>
      <c r="BJ299" s="471"/>
      <c r="BK299" s="472"/>
      <c r="BL299" s="472"/>
      <c r="BM299" s="472"/>
      <c r="BN299" s="472"/>
      <c r="BO299" s="473"/>
      <c r="BP299" s="471"/>
      <c r="BQ299" s="472"/>
      <c r="BR299" s="472"/>
      <c r="BS299" s="472"/>
      <c r="BT299" s="472"/>
      <c r="BU299" s="473"/>
      <c r="BV299" s="471"/>
      <c r="BW299" s="472"/>
      <c r="BX299" s="472"/>
      <c r="BY299" s="472"/>
      <c r="BZ299" s="472"/>
      <c r="CA299" s="473"/>
      <c r="CB299" s="466"/>
      <c r="CC299" s="467"/>
      <c r="CD299" s="467"/>
      <c r="CE299" s="468"/>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5">
      <c r="A300" s="435"/>
      <c r="B300" s="36"/>
      <c r="C300" s="199" t="str">
        <f t="shared" ca="1" si="6"/>
        <v/>
      </c>
      <c r="D300" s="479"/>
      <c r="E300" s="480"/>
      <c r="F300" s="480"/>
      <c r="G300" s="480"/>
      <c r="H300" s="480"/>
      <c r="I300" s="480"/>
      <c r="J300" s="480"/>
      <c r="K300" s="440"/>
      <c r="L300" s="441"/>
      <c r="M300" s="441"/>
      <c r="N300" s="441"/>
      <c r="O300" s="441"/>
      <c r="P300" s="441"/>
      <c r="Q300" s="441"/>
      <c r="R300" s="444"/>
      <c r="S300" s="445"/>
      <c r="T300" s="444"/>
      <c r="U300" s="445"/>
      <c r="V300" s="440"/>
      <c r="W300" s="441"/>
      <c r="X300" s="441"/>
      <c r="Y300" s="441"/>
      <c r="Z300" s="441"/>
      <c r="AA300" s="441"/>
      <c r="AB300" s="441"/>
      <c r="AC300" s="441"/>
      <c r="AD300" s="440"/>
      <c r="AE300" s="441"/>
      <c r="AF300" s="441"/>
      <c r="AG300" s="441"/>
      <c r="AH300" s="441"/>
      <c r="AI300" s="441"/>
      <c r="AJ300" s="441"/>
      <c r="AK300" s="450"/>
      <c r="AL300" s="440"/>
      <c r="AM300" s="441"/>
      <c r="AN300" s="441"/>
      <c r="AO300" s="441"/>
      <c r="AP300" s="441"/>
      <c r="AQ300" s="441"/>
      <c r="AR300" s="450"/>
      <c r="AS300" s="485"/>
      <c r="AT300" s="486"/>
      <c r="AU300" s="486"/>
      <c r="AV300" s="486"/>
      <c r="AW300" s="486"/>
      <c r="AX300" s="486"/>
      <c r="AY300" s="487"/>
      <c r="AZ300" s="462"/>
      <c r="BA300" s="463"/>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5">
      <c r="A301" s="435"/>
      <c r="B301" s="36"/>
      <c r="C301" s="199" t="str">
        <f t="shared" ca="1" si="6"/>
        <v/>
      </c>
      <c r="D301" s="479"/>
      <c r="E301" s="480"/>
      <c r="F301" s="480"/>
      <c r="G301" s="480"/>
      <c r="H301" s="480"/>
      <c r="I301" s="480"/>
      <c r="J301" s="480"/>
      <c r="K301" s="440"/>
      <c r="L301" s="441"/>
      <c r="M301" s="441"/>
      <c r="N301" s="441"/>
      <c r="O301" s="441"/>
      <c r="P301" s="441"/>
      <c r="Q301" s="441"/>
      <c r="R301" s="444"/>
      <c r="S301" s="445"/>
      <c r="T301" s="444"/>
      <c r="U301" s="445"/>
      <c r="V301" s="440"/>
      <c r="W301" s="441"/>
      <c r="X301" s="441"/>
      <c r="Y301" s="441"/>
      <c r="Z301" s="441"/>
      <c r="AA301" s="441"/>
      <c r="AB301" s="441"/>
      <c r="AC301" s="441"/>
      <c r="AD301" s="440"/>
      <c r="AE301" s="441"/>
      <c r="AF301" s="441"/>
      <c r="AG301" s="441"/>
      <c r="AH301" s="441"/>
      <c r="AI301" s="441"/>
      <c r="AJ301" s="441"/>
      <c r="AK301" s="450"/>
      <c r="AL301" s="440"/>
      <c r="AM301" s="441"/>
      <c r="AN301" s="441"/>
      <c r="AO301" s="441"/>
      <c r="AP301" s="441"/>
      <c r="AQ301" s="441"/>
      <c r="AR301" s="450"/>
      <c r="AS301" s="485"/>
      <c r="AT301" s="486"/>
      <c r="AU301" s="486"/>
      <c r="AV301" s="486"/>
      <c r="AW301" s="486"/>
      <c r="AX301" s="486"/>
      <c r="AY301" s="487"/>
      <c r="AZ301" s="462"/>
      <c r="BA301" s="463"/>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5">
      <c r="A302" s="435"/>
      <c r="B302" s="36"/>
      <c r="C302" s="199" t="str">
        <f t="shared" ca="1" si="6"/>
        <v/>
      </c>
      <c r="D302" s="479"/>
      <c r="E302" s="480"/>
      <c r="F302" s="480"/>
      <c r="G302" s="480"/>
      <c r="H302" s="480"/>
      <c r="I302" s="480"/>
      <c r="J302" s="480"/>
      <c r="K302" s="440"/>
      <c r="L302" s="441"/>
      <c r="M302" s="441"/>
      <c r="N302" s="441"/>
      <c r="O302" s="441"/>
      <c r="P302" s="441"/>
      <c r="Q302" s="441"/>
      <c r="R302" s="444"/>
      <c r="S302" s="445"/>
      <c r="T302" s="444"/>
      <c r="U302" s="445"/>
      <c r="V302" s="440"/>
      <c r="W302" s="441"/>
      <c r="X302" s="441"/>
      <c r="Y302" s="441"/>
      <c r="Z302" s="441"/>
      <c r="AA302" s="441"/>
      <c r="AB302" s="441"/>
      <c r="AC302" s="441"/>
      <c r="AD302" s="440"/>
      <c r="AE302" s="441"/>
      <c r="AF302" s="441"/>
      <c r="AG302" s="441"/>
      <c r="AH302" s="441"/>
      <c r="AI302" s="441"/>
      <c r="AJ302" s="441"/>
      <c r="AK302" s="450"/>
      <c r="AL302" s="440"/>
      <c r="AM302" s="441"/>
      <c r="AN302" s="441"/>
      <c r="AO302" s="441"/>
      <c r="AP302" s="441"/>
      <c r="AQ302" s="441"/>
      <c r="AR302" s="450"/>
      <c r="AS302" s="485"/>
      <c r="AT302" s="486"/>
      <c r="AU302" s="486"/>
      <c r="AV302" s="486"/>
      <c r="AW302" s="486"/>
      <c r="AX302" s="486"/>
      <c r="AY302" s="487"/>
      <c r="AZ302" s="462"/>
      <c r="BA302" s="463"/>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5">
      <c r="A303" s="435"/>
      <c r="B303" s="36"/>
      <c r="C303" s="199" t="str">
        <f t="shared" ca="1" si="6"/>
        <v/>
      </c>
      <c r="D303" s="479"/>
      <c r="E303" s="480"/>
      <c r="F303" s="480"/>
      <c r="G303" s="480"/>
      <c r="H303" s="480"/>
      <c r="I303" s="480"/>
      <c r="J303" s="480"/>
      <c r="K303" s="440"/>
      <c r="L303" s="441"/>
      <c r="M303" s="441"/>
      <c r="N303" s="441"/>
      <c r="O303" s="441"/>
      <c r="P303" s="441"/>
      <c r="Q303" s="441"/>
      <c r="R303" s="444"/>
      <c r="S303" s="445"/>
      <c r="T303" s="444"/>
      <c r="U303" s="445"/>
      <c r="V303" s="440"/>
      <c r="W303" s="441"/>
      <c r="X303" s="441"/>
      <c r="Y303" s="441"/>
      <c r="Z303" s="441"/>
      <c r="AA303" s="441"/>
      <c r="AB303" s="441"/>
      <c r="AC303" s="441"/>
      <c r="AD303" s="440"/>
      <c r="AE303" s="441"/>
      <c r="AF303" s="441"/>
      <c r="AG303" s="441"/>
      <c r="AH303" s="441"/>
      <c r="AI303" s="441"/>
      <c r="AJ303" s="441"/>
      <c r="AK303" s="450"/>
      <c r="AL303" s="440"/>
      <c r="AM303" s="441"/>
      <c r="AN303" s="441"/>
      <c r="AO303" s="441"/>
      <c r="AP303" s="441"/>
      <c r="AQ303" s="441"/>
      <c r="AR303" s="450"/>
      <c r="AS303" s="485"/>
      <c r="AT303" s="486"/>
      <c r="AU303" s="486"/>
      <c r="AV303" s="486"/>
      <c r="AW303" s="486"/>
      <c r="AX303" s="486"/>
      <c r="AY303" s="487"/>
      <c r="AZ303" s="462"/>
      <c r="BA303" s="463"/>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5">
      <c r="A304" s="436"/>
      <c r="B304" s="37"/>
      <c r="C304" s="200" t="str">
        <f t="shared" ca="1" si="6"/>
        <v/>
      </c>
      <c r="D304" s="481"/>
      <c r="E304" s="482"/>
      <c r="F304" s="482"/>
      <c r="G304" s="482"/>
      <c r="H304" s="482"/>
      <c r="I304" s="482"/>
      <c r="J304" s="482"/>
      <c r="K304" s="409"/>
      <c r="L304" s="410"/>
      <c r="M304" s="410"/>
      <c r="N304" s="410"/>
      <c r="O304" s="410"/>
      <c r="P304" s="410"/>
      <c r="Q304" s="410"/>
      <c r="R304" s="446"/>
      <c r="S304" s="447"/>
      <c r="T304" s="446"/>
      <c r="U304" s="44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88"/>
      <c r="AT304" s="489"/>
      <c r="AU304" s="489"/>
      <c r="AV304" s="489"/>
      <c r="AW304" s="489"/>
      <c r="AX304" s="489"/>
      <c r="AY304" s="490"/>
      <c r="AZ304" s="464"/>
      <c r="BA304" s="465"/>
      <c r="BB304" s="62">
        <v>6</v>
      </c>
      <c r="BC304" s="426"/>
      <c r="BD304" s="427"/>
      <c r="BE304" s="427"/>
      <c r="BF304" s="428"/>
      <c r="BG304" s="429"/>
      <c r="BH304" s="430"/>
      <c r="BI304" s="196"/>
      <c r="BJ304" s="474"/>
      <c r="BK304" s="475"/>
      <c r="BL304" s="475"/>
      <c r="BM304" s="475"/>
      <c r="BN304" s="475"/>
      <c r="BO304" s="476"/>
      <c r="BP304" s="474"/>
      <c r="BQ304" s="475"/>
      <c r="BR304" s="475"/>
      <c r="BS304" s="475"/>
      <c r="BT304" s="475"/>
      <c r="BU304" s="476"/>
      <c r="BV304" s="474"/>
      <c r="BW304" s="475"/>
      <c r="BX304" s="475"/>
      <c r="BY304" s="475"/>
      <c r="BZ304" s="475"/>
      <c r="CA304" s="476"/>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5">
      <c r="A305" s="434">
        <v>50</v>
      </c>
      <c r="B305" s="36"/>
      <c r="C305" s="198" t="str">
        <f t="shared" ca="1" si="6"/>
        <v/>
      </c>
      <c r="D305" s="477"/>
      <c r="E305" s="478"/>
      <c r="F305" s="478"/>
      <c r="G305" s="478"/>
      <c r="H305" s="478"/>
      <c r="I305" s="478"/>
      <c r="J305" s="478"/>
      <c r="K305" s="438" t="s">
        <v>393</v>
      </c>
      <c r="L305" s="439"/>
      <c r="M305" s="439"/>
      <c r="N305" s="439"/>
      <c r="O305" s="439"/>
      <c r="P305" s="439"/>
      <c r="Q305" s="439"/>
      <c r="R305" s="442" t="s">
        <v>186</v>
      </c>
      <c r="S305" s="443"/>
      <c r="T305" s="442"/>
      <c r="U305" s="443"/>
      <c r="V305" s="438"/>
      <c r="W305" s="439"/>
      <c r="X305" s="439"/>
      <c r="Y305" s="439"/>
      <c r="Z305" s="439"/>
      <c r="AA305" s="439"/>
      <c r="AB305" s="439"/>
      <c r="AC305" s="439"/>
      <c r="AD305" s="438"/>
      <c r="AE305" s="439"/>
      <c r="AF305" s="439"/>
      <c r="AG305" s="439"/>
      <c r="AH305" s="439"/>
      <c r="AI305" s="439"/>
      <c r="AJ305" s="439"/>
      <c r="AK305" s="449"/>
      <c r="AL305" s="438"/>
      <c r="AM305" s="439"/>
      <c r="AN305" s="439"/>
      <c r="AO305" s="439"/>
      <c r="AP305" s="439"/>
      <c r="AQ305" s="439"/>
      <c r="AR305" s="449"/>
      <c r="AS305" s="500"/>
      <c r="AT305" s="483"/>
      <c r="AU305" s="483"/>
      <c r="AV305" s="483"/>
      <c r="AW305" s="483"/>
      <c r="AX305" s="483"/>
      <c r="AY305" s="484"/>
      <c r="AZ305" s="460"/>
      <c r="BA305" s="461"/>
      <c r="BB305" s="60">
        <v>1</v>
      </c>
      <c r="BC305" s="466"/>
      <c r="BD305" s="467"/>
      <c r="BE305" s="467"/>
      <c r="BF305" s="468"/>
      <c r="BG305" s="469"/>
      <c r="BH305" s="470"/>
      <c r="BI305" s="194"/>
      <c r="BJ305" s="471"/>
      <c r="BK305" s="472"/>
      <c r="BL305" s="472"/>
      <c r="BM305" s="472"/>
      <c r="BN305" s="472"/>
      <c r="BO305" s="473"/>
      <c r="BP305" s="471"/>
      <c r="BQ305" s="472"/>
      <c r="BR305" s="472"/>
      <c r="BS305" s="472"/>
      <c r="BT305" s="472"/>
      <c r="BU305" s="473"/>
      <c r="BV305" s="471"/>
      <c r="BW305" s="472"/>
      <c r="BX305" s="472"/>
      <c r="BY305" s="472"/>
      <c r="BZ305" s="472"/>
      <c r="CA305" s="473"/>
      <c r="CB305" s="466"/>
      <c r="CC305" s="467"/>
      <c r="CD305" s="467"/>
      <c r="CE305" s="468"/>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5">
      <c r="A306" s="435"/>
      <c r="B306" s="36"/>
      <c r="C306" s="199" t="str">
        <f t="shared" ca="1" si="6"/>
        <v/>
      </c>
      <c r="D306" s="479"/>
      <c r="E306" s="480"/>
      <c r="F306" s="480"/>
      <c r="G306" s="480"/>
      <c r="H306" s="480"/>
      <c r="I306" s="480"/>
      <c r="J306" s="480"/>
      <c r="K306" s="440"/>
      <c r="L306" s="441"/>
      <c r="M306" s="441"/>
      <c r="N306" s="441"/>
      <c r="O306" s="441"/>
      <c r="P306" s="441"/>
      <c r="Q306" s="441"/>
      <c r="R306" s="444"/>
      <c r="S306" s="445"/>
      <c r="T306" s="444"/>
      <c r="U306" s="445"/>
      <c r="V306" s="440"/>
      <c r="W306" s="441"/>
      <c r="X306" s="441"/>
      <c r="Y306" s="441"/>
      <c r="Z306" s="441"/>
      <c r="AA306" s="441"/>
      <c r="AB306" s="441"/>
      <c r="AC306" s="441"/>
      <c r="AD306" s="440"/>
      <c r="AE306" s="441"/>
      <c r="AF306" s="441"/>
      <c r="AG306" s="441"/>
      <c r="AH306" s="441"/>
      <c r="AI306" s="441"/>
      <c r="AJ306" s="441"/>
      <c r="AK306" s="450"/>
      <c r="AL306" s="440"/>
      <c r="AM306" s="441"/>
      <c r="AN306" s="441"/>
      <c r="AO306" s="441"/>
      <c r="AP306" s="441"/>
      <c r="AQ306" s="441"/>
      <c r="AR306" s="450"/>
      <c r="AS306" s="485"/>
      <c r="AT306" s="486"/>
      <c r="AU306" s="486"/>
      <c r="AV306" s="486"/>
      <c r="AW306" s="486"/>
      <c r="AX306" s="486"/>
      <c r="AY306" s="487"/>
      <c r="AZ306" s="462"/>
      <c r="BA306" s="463"/>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5">
      <c r="A307" s="435"/>
      <c r="B307" s="36"/>
      <c r="C307" s="199" t="str">
        <f t="shared" ca="1" si="6"/>
        <v/>
      </c>
      <c r="D307" s="479"/>
      <c r="E307" s="480"/>
      <c r="F307" s="480"/>
      <c r="G307" s="480"/>
      <c r="H307" s="480"/>
      <c r="I307" s="480"/>
      <c r="J307" s="480"/>
      <c r="K307" s="440"/>
      <c r="L307" s="441"/>
      <c r="M307" s="441"/>
      <c r="N307" s="441"/>
      <c r="O307" s="441"/>
      <c r="P307" s="441"/>
      <c r="Q307" s="441"/>
      <c r="R307" s="444"/>
      <c r="S307" s="445"/>
      <c r="T307" s="444"/>
      <c r="U307" s="445"/>
      <c r="V307" s="440"/>
      <c r="W307" s="441"/>
      <c r="X307" s="441"/>
      <c r="Y307" s="441"/>
      <c r="Z307" s="441"/>
      <c r="AA307" s="441"/>
      <c r="AB307" s="441"/>
      <c r="AC307" s="441"/>
      <c r="AD307" s="440"/>
      <c r="AE307" s="441"/>
      <c r="AF307" s="441"/>
      <c r="AG307" s="441"/>
      <c r="AH307" s="441"/>
      <c r="AI307" s="441"/>
      <c r="AJ307" s="441"/>
      <c r="AK307" s="450"/>
      <c r="AL307" s="440"/>
      <c r="AM307" s="441"/>
      <c r="AN307" s="441"/>
      <c r="AO307" s="441"/>
      <c r="AP307" s="441"/>
      <c r="AQ307" s="441"/>
      <c r="AR307" s="450"/>
      <c r="AS307" s="485"/>
      <c r="AT307" s="486"/>
      <c r="AU307" s="486"/>
      <c r="AV307" s="486"/>
      <c r="AW307" s="486"/>
      <c r="AX307" s="486"/>
      <c r="AY307" s="487"/>
      <c r="AZ307" s="462"/>
      <c r="BA307" s="463"/>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5">
      <c r="A308" s="435"/>
      <c r="B308" s="36"/>
      <c r="C308" s="199" t="str">
        <f t="shared" ca="1" si="6"/>
        <v/>
      </c>
      <c r="D308" s="479"/>
      <c r="E308" s="480"/>
      <c r="F308" s="480"/>
      <c r="G308" s="480"/>
      <c r="H308" s="480"/>
      <c r="I308" s="480"/>
      <c r="J308" s="480"/>
      <c r="K308" s="440"/>
      <c r="L308" s="441"/>
      <c r="M308" s="441"/>
      <c r="N308" s="441"/>
      <c r="O308" s="441"/>
      <c r="P308" s="441"/>
      <c r="Q308" s="441"/>
      <c r="R308" s="444"/>
      <c r="S308" s="445"/>
      <c r="T308" s="444"/>
      <c r="U308" s="445"/>
      <c r="V308" s="440"/>
      <c r="W308" s="441"/>
      <c r="X308" s="441"/>
      <c r="Y308" s="441"/>
      <c r="Z308" s="441"/>
      <c r="AA308" s="441"/>
      <c r="AB308" s="441"/>
      <c r="AC308" s="441"/>
      <c r="AD308" s="440"/>
      <c r="AE308" s="441"/>
      <c r="AF308" s="441"/>
      <c r="AG308" s="441"/>
      <c r="AH308" s="441"/>
      <c r="AI308" s="441"/>
      <c r="AJ308" s="441"/>
      <c r="AK308" s="450"/>
      <c r="AL308" s="440"/>
      <c r="AM308" s="441"/>
      <c r="AN308" s="441"/>
      <c r="AO308" s="441"/>
      <c r="AP308" s="441"/>
      <c r="AQ308" s="441"/>
      <c r="AR308" s="450"/>
      <c r="AS308" s="485"/>
      <c r="AT308" s="486"/>
      <c r="AU308" s="486"/>
      <c r="AV308" s="486"/>
      <c r="AW308" s="486"/>
      <c r="AX308" s="486"/>
      <c r="AY308" s="487"/>
      <c r="AZ308" s="462"/>
      <c r="BA308" s="463"/>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5">
      <c r="A309" s="435"/>
      <c r="B309" s="36"/>
      <c r="C309" s="199" t="str">
        <f t="shared" ca="1" si="6"/>
        <v/>
      </c>
      <c r="D309" s="479"/>
      <c r="E309" s="480"/>
      <c r="F309" s="480"/>
      <c r="G309" s="480"/>
      <c r="H309" s="480"/>
      <c r="I309" s="480"/>
      <c r="J309" s="480"/>
      <c r="K309" s="440"/>
      <c r="L309" s="441"/>
      <c r="M309" s="441"/>
      <c r="N309" s="441"/>
      <c r="O309" s="441"/>
      <c r="P309" s="441"/>
      <c r="Q309" s="441"/>
      <c r="R309" s="444"/>
      <c r="S309" s="445"/>
      <c r="T309" s="444"/>
      <c r="U309" s="445"/>
      <c r="V309" s="440"/>
      <c r="W309" s="441"/>
      <c r="X309" s="441"/>
      <c r="Y309" s="441"/>
      <c r="Z309" s="441"/>
      <c r="AA309" s="441"/>
      <c r="AB309" s="441"/>
      <c r="AC309" s="441"/>
      <c r="AD309" s="440"/>
      <c r="AE309" s="441"/>
      <c r="AF309" s="441"/>
      <c r="AG309" s="441"/>
      <c r="AH309" s="441"/>
      <c r="AI309" s="441"/>
      <c r="AJ309" s="441"/>
      <c r="AK309" s="450"/>
      <c r="AL309" s="440"/>
      <c r="AM309" s="441"/>
      <c r="AN309" s="441"/>
      <c r="AO309" s="441"/>
      <c r="AP309" s="441"/>
      <c r="AQ309" s="441"/>
      <c r="AR309" s="450"/>
      <c r="AS309" s="485"/>
      <c r="AT309" s="486"/>
      <c r="AU309" s="486"/>
      <c r="AV309" s="486"/>
      <c r="AW309" s="486"/>
      <c r="AX309" s="486"/>
      <c r="AY309" s="487"/>
      <c r="AZ309" s="462"/>
      <c r="BA309" s="463"/>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5">
      <c r="A310" s="436"/>
      <c r="B310" s="37"/>
      <c r="C310" s="200" t="str">
        <f t="shared" ca="1" si="6"/>
        <v/>
      </c>
      <c r="D310" s="481"/>
      <c r="E310" s="482"/>
      <c r="F310" s="482"/>
      <c r="G310" s="482"/>
      <c r="H310" s="482"/>
      <c r="I310" s="482"/>
      <c r="J310" s="482"/>
      <c r="K310" s="409"/>
      <c r="L310" s="410"/>
      <c r="M310" s="410"/>
      <c r="N310" s="410"/>
      <c r="O310" s="410"/>
      <c r="P310" s="410"/>
      <c r="Q310" s="410"/>
      <c r="R310" s="446"/>
      <c r="S310" s="447"/>
      <c r="T310" s="446"/>
      <c r="U310" s="44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88"/>
      <c r="AT310" s="489"/>
      <c r="AU310" s="489"/>
      <c r="AV310" s="489"/>
      <c r="AW310" s="489"/>
      <c r="AX310" s="489"/>
      <c r="AY310" s="490"/>
      <c r="AZ310" s="464"/>
      <c r="BA310" s="465"/>
      <c r="BB310" s="62">
        <v>6</v>
      </c>
      <c r="BC310" s="426"/>
      <c r="BD310" s="427"/>
      <c r="BE310" s="427"/>
      <c r="BF310" s="428"/>
      <c r="BG310" s="429"/>
      <c r="BH310" s="430"/>
      <c r="BI310" s="196"/>
      <c r="BJ310" s="474"/>
      <c r="BK310" s="475"/>
      <c r="BL310" s="475"/>
      <c r="BM310" s="475"/>
      <c r="BN310" s="475"/>
      <c r="BO310" s="476"/>
      <c r="BP310" s="474"/>
      <c r="BQ310" s="475"/>
      <c r="BR310" s="475"/>
      <c r="BS310" s="475"/>
      <c r="BT310" s="475"/>
      <c r="BU310" s="476"/>
      <c r="BV310" s="474"/>
      <c r="BW310" s="475"/>
      <c r="BX310" s="475"/>
      <c r="BY310" s="475"/>
      <c r="BZ310" s="475"/>
      <c r="CA310" s="476"/>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5">
      <c r="A311" s="434">
        <v>51</v>
      </c>
      <c r="B311" s="36"/>
      <c r="C311" s="198" t="str">
        <f t="shared" ca="1" si="6"/>
        <v/>
      </c>
      <c r="D311" s="477"/>
      <c r="E311" s="478"/>
      <c r="F311" s="478"/>
      <c r="G311" s="478"/>
      <c r="H311" s="478"/>
      <c r="I311" s="478"/>
      <c r="J311" s="478"/>
      <c r="K311" s="438" t="s">
        <v>394</v>
      </c>
      <c r="L311" s="439"/>
      <c r="M311" s="439"/>
      <c r="N311" s="439"/>
      <c r="O311" s="439"/>
      <c r="P311" s="439"/>
      <c r="Q311" s="439"/>
      <c r="R311" s="442" t="s">
        <v>186</v>
      </c>
      <c r="S311" s="443"/>
      <c r="T311" s="442"/>
      <c r="U311" s="443"/>
      <c r="V311" s="438"/>
      <c r="W311" s="439"/>
      <c r="X311" s="439"/>
      <c r="Y311" s="439"/>
      <c r="Z311" s="439"/>
      <c r="AA311" s="439"/>
      <c r="AB311" s="439"/>
      <c r="AC311" s="439"/>
      <c r="AD311" s="438"/>
      <c r="AE311" s="439"/>
      <c r="AF311" s="439"/>
      <c r="AG311" s="439"/>
      <c r="AH311" s="439"/>
      <c r="AI311" s="439"/>
      <c r="AJ311" s="439"/>
      <c r="AK311" s="449"/>
      <c r="AL311" s="438"/>
      <c r="AM311" s="439"/>
      <c r="AN311" s="439"/>
      <c r="AO311" s="439"/>
      <c r="AP311" s="439"/>
      <c r="AQ311" s="439"/>
      <c r="AR311" s="449"/>
      <c r="AS311" s="500"/>
      <c r="AT311" s="483"/>
      <c r="AU311" s="483"/>
      <c r="AV311" s="483"/>
      <c r="AW311" s="483"/>
      <c r="AX311" s="483"/>
      <c r="AY311" s="484"/>
      <c r="AZ311" s="460"/>
      <c r="BA311" s="461"/>
      <c r="BB311" s="60">
        <v>1</v>
      </c>
      <c r="BC311" s="466"/>
      <c r="BD311" s="467"/>
      <c r="BE311" s="467"/>
      <c r="BF311" s="468"/>
      <c r="BG311" s="469"/>
      <c r="BH311" s="470"/>
      <c r="BI311" s="194"/>
      <c r="BJ311" s="471"/>
      <c r="BK311" s="472"/>
      <c r="BL311" s="472"/>
      <c r="BM311" s="472"/>
      <c r="BN311" s="472"/>
      <c r="BO311" s="473"/>
      <c r="BP311" s="471"/>
      <c r="BQ311" s="472"/>
      <c r="BR311" s="472"/>
      <c r="BS311" s="472"/>
      <c r="BT311" s="472"/>
      <c r="BU311" s="473"/>
      <c r="BV311" s="471"/>
      <c r="BW311" s="472"/>
      <c r="BX311" s="472"/>
      <c r="BY311" s="472"/>
      <c r="BZ311" s="472"/>
      <c r="CA311" s="473"/>
      <c r="CB311" s="466"/>
      <c r="CC311" s="467"/>
      <c r="CD311" s="467"/>
      <c r="CE311" s="468"/>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5">
      <c r="A312" s="435"/>
      <c r="B312" s="36"/>
      <c r="C312" s="199" t="str">
        <f t="shared" ca="1" si="6"/>
        <v/>
      </c>
      <c r="D312" s="479"/>
      <c r="E312" s="480"/>
      <c r="F312" s="480"/>
      <c r="G312" s="480"/>
      <c r="H312" s="480"/>
      <c r="I312" s="480"/>
      <c r="J312" s="480"/>
      <c r="K312" s="440"/>
      <c r="L312" s="441"/>
      <c r="M312" s="441"/>
      <c r="N312" s="441"/>
      <c r="O312" s="441"/>
      <c r="P312" s="441"/>
      <c r="Q312" s="441"/>
      <c r="R312" s="444"/>
      <c r="S312" s="445"/>
      <c r="T312" s="444"/>
      <c r="U312" s="445"/>
      <c r="V312" s="440"/>
      <c r="W312" s="441"/>
      <c r="X312" s="441"/>
      <c r="Y312" s="441"/>
      <c r="Z312" s="441"/>
      <c r="AA312" s="441"/>
      <c r="AB312" s="441"/>
      <c r="AC312" s="441"/>
      <c r="AD312" s="440"/>
      <c r="AE312" s="441"/>
      <c r="AF312" s="441"/>
      <c r="AG312" s="441"/>
      <c r="AH312" s="441"/>
      <c r="AI312" s="441"/>
      <c r="AJ312" s="441"/>
      <c r="AK312" s="450"/>
      <c r="AL312" s="440"/>
      <c r="AM312" s="441"/>
      <c r="AN312" s="441"/>
      <c r="AO312" s="441"/>
      <c r="AP312" s="441"/>
      <c r="AQ312" s="441"/>
      <c r="AR312" s="450"/>
      <c r="AS312" s="485"/>
      <c r="AT312" s="486"/>
      <c r="AU312" s="486"/>
      <c r="AV312" s="486"/>
      <c r="AW312" s="486"/>
      <c r="AX312" s="486"/>
      <c r="AY312" s="487"/>
      <c r="AZ312" s="462"/>
      <c r="BA312" s="463"/>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5">
      <c r="A313" s="435"/>
      <c r="B313" s="36"/>
      <c r="C313" s="199" t="str">
        <f t="shared" ca="1" si="6"/>
        <v/>
      </c>
      <c r="D313" s="479"/>
      <c r="E313" s="480"/>
      <c r="F313" s="480"/>
      <c r="G313" s="480"/>
      <c r="H313" s="480"/>
      <c r="I313" s="480"/>
      <c r="J313" s="480"/>
      <c r="K313" s="440"/>
      <c r="L313" s="441"/>
      <c r="M313" s="441"/>
      <c r="N313" s="441"/>
      <c r="O313" s="441"/>
      <c r="P313" s="441"/>
      <c r="Q313" s="441"/>
      <c r="R313" s="444"/>
      <c r="S313" s="445"/>
      <c r="T313" s="444"/>
      <c r="U313" s="445"/>
      <c r="V313" s="440"/>
      <c r="W313" s="441"/>
      <c r="X313" s="441"/>
      <c r="Y313" s="441"/>
      <c r="Z313" s="441"/>
      <c r="AA313" s="441"/>
      <c r="AB313" s="441"/>
      <c r="AC313" s="441"/>
      <c r="AD313" s="440"/>
      <c r="AE313" s="441"/>
      <c r="AF313" s="441"/>
      <c r="AG313" s="441"/>
      <c r="AH313" s="441"/>
      <c r="AI313" s="441"/>
      <c r="AJ313" s="441"/>
      <c r="AK313" s="450"/>
      <c r="AL313" s="440"/>
      <c r="AM313" s="441"/>
      <c r="AN313" s="441"/>
      <c r="AO313" s="441"/>
      <c r="AP313" s="441"/>
      <c r="AQ313" s="441"/>
      <c r="AR313" s="450"/>
      <c r="AS313" s="485"/>
      <c r="AT313" s="486"/>
      <c r="AU313" s="486"/>
      <c r="AV313" s="486"/>
      <c r="AW313" s="486"/>
      <c r="AX313" s="486"/>
      <c r="AY313" s="487"/>
      <c r="AZ313" s="462"/>
      <c r="BA313" s="463"/>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5">
      <c r="A314" s="435"/>
      <c r="B314" s="36"/>
      <c r="C314" s="199" t="str">
        <f t="shared" ca="1" si="6"/>
        <v/>
      </c>
      <c r="D314" s="479"/>
      <c r="E314" s="480"/>
      <c r="F314" s="480"/>
      <c r="G314" s="480"/>
      <c r="H314" s="480"/>
      <c r="I314" s="480"/>
      <c r="J314" s="480"/>
      <c r="K314" s="440"/>
      <c r="L314" s="441"/>
      <c r="M314" s="441"/>
      <c r="N314" s="441"/>
      <c r="O314" s="441"/>
      <c r="P314" s="441"/>
      <c r="Q314" s="441"/>
      <c r="R314" s="444"/>
      <c r="S314" s="445"/>
      <c r="T314" s="444"/>
      <c r="U314" s="445"/>
      <c r="V314" s="440"/>
      <c r="W314" s="441"/>
      <c r="X314" s="441"/>
      <c r="Y314" s="441"/>
      <c r="Z314" s="441"/>
      <c r="AA314" s="441"/>
      <c r="AB314" s="441"/>
      <c r="AC314" s="441"/>
      <c r="AD314" s="440"/>
      <c r="AE314" s="441"/>
      <c r="AF314" s="441"/>
      <c r="AG314" s="441"/>
      <c r="AH314" s="441"/>
      <c r="AI314" s="441"/>
      <c r="AJ314" s="441"/>
      <c r="AK314" s="450"/>
      <c r="AL314" s="440"/>
      <c r="AM314" s="441"/>
      <c r="AN314" s="441"/>
      <c r="AO314" s="441"/>
      <c r="AP314" s="441"/>
      <c r="AQ314" s="441"/>
      <c r="AR314" s="450"/>
      <c r="AS314" s="485"/>
      <c r="AT314" s="486"/>
      <c r="AU314" s="486"/>
      <c r="AV314" s="486"/>
      <c r="AW314" s="486"/>
      <c r="AX314" s="486"/>
      <c r="AY314" s="487"/>
      <c r="AZ314" s="462"/>
      <c r="BA314" s="463"/>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5">
      <c r="A315" s="435"/>
      <c r="B315" s="36"/>
      <c r="C315" s="199" t="str">
        <f t="shared" ca="1" si="6"/>
        <v/>
      </c>
      <c r="D315" s="479"/>
      <c r="E315" s="480"/>
      <c r="F315" s="480"/>
      <c r="G315" s="480"/>
      <c r="H315" s="480"/>
      <c r="I315" s="480"/>
      <c r="J315" s="480"/>
      <c r="K315" s="440"/>
      <c r="L315" s="441"/>
      <c r="M315" s="441"/>
      <c r="N315" s="441"/>
      <c r="O315" s="441"/>
      <c r="P315" s="441"/>
      <c r="Q315" s="441"/>
      <c r="R315" s="444"/>
      <c r="S315" s="445"/>
      <c r="T315" s="444"/>
      <c r="U315" s="445"/>
      <c r="V315" s="440"/>
      <c r="W315" s="441"/>
      <c r="X315" s="441"/>
      <c r="Y315" s="441"/>
      <c r="Z315" s="441"/>
      <c r="AA315" s="441"/>
      <c r="AB315" s="441"/>
      <c r="AC315" s="441"/>
      <c r="AD315" s="440"/>
      <c r="AE315" s="441"/>
      <c r="AF315" s="441"/>
      <c r="AG315" s="441"/>
      <c r="AH315" s="441"/>
      <c r="AI315" s="441"/>
      <c r="AJ315" s="441"/>
      <c r="AK315" s="450"/>
      <c r="AL315" s="440"/>
      <c r="AM315" s="441"/>
      <c r="AN315" s="441"/>
      <c r="AO315" s="441"/>
      <c r="AP315" s="441"/>
      <c r="AQ315" s="441"/>
      <c r="AR315" s="450"/>
      <c r="AS315" s="485"/>
      <c r="AT315" s="486"/>
      <c r="AU315" s="486"/>
      <c r="AV315" s="486"/>
      <c r="AW315" s="486"/>
      <c r="AX315" s="486"/>
      <c r="AY315" s="487"/>
      <c r="AZ315" s="462"/>
      <c r="BA315" s="463"/>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5">
      <c r="A316" s="436"/>
      <c r="B316" s="37"/>
      <c r="C316" s="200" t="str">
        <f t="shared" ca="1" si="6"/>
        <v/>
      </c>
      <c r="D316" s="481"/>
      <c r="E316" s="482"/>
      <c r="F316" s="482"/>
      <c r="G316" s="482"/>
      <c r="H316" s="482"/>
      <c r="I316" s="482"/>
      <c r="J316" s="482"/>
      <c r="K316" s="409"/>
      <c r="L316" s="410"/>
      <c r="M316" s="410"/>
      <c r="N316" s="410"/>
      <c r="O316" s="410"/>
      <c r="P316" s="410"/>
      <c r="Q316" s="410"/>
      <c r="R316" s="446"/>
      <c r="S316" s="447"/>
      <c r="T316" s="446"/>
      <c r="U316" s="44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88"/>
      <c r="AT316" s="489"/>
      <c r="AU316" s="489"/>
      <c r="AV316" s="489"/>
      <c r="AW316" s="489"/>
      <c r="AX316" s="489"/>
      <c r="AY316" s="490"/>
      <c r="AZ316" s="464"/>
      <c r="BA316" s="465"/>
      <c r="BB316" s="62">
        <v>6</v>
      </c>
      <c r="BC316" s="426"/>
      <c r="BD316" s="427"/>
      <c r="BE316" s="427"/>
      <c r="BF316" s="428"/>
      <c r="BG316" s="429"/>
      <c r="BH316" s="430"/>
      <c r="BI316" s="196"/>
      <c r="BJ316" s="474"/>
      <c r="BK316" s="475"/>
      <c r="BL316" s="475"/>
      <c r="BM316" s="475"/>
      <c r="BN316" s="475"/>
      <c r="BO316" s="476"/>
      <c r="BP316" s="474"/>
      <c r="BQ316" s="475"/>
      <c r="BR316" s="475"/>
      <c r="BS316" s="475"/>
      <c r="BT316" s="475"/>
      <c r="BU316" s="476"/>
      <c r="BV316" s="474"/>
      <c r="BW316" s="475"/>
      <c r="BX316" s="475"/>
      <c r="BY316" s="475"/>
      <c r="BZ316" s="475"/>
      <c r="CA316" s="476"/>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5">
      <c r="A317" s="434">
        <v>52</v>
      </c>
      <c r="B317" s="36"/>
      <c r="C317" s="198" t="str">
        <f t="shared" ca="1" si="6"/>
        <v/>
      </c>
      <c r="D317" s="477" t="s">
        <v>395</v>
      </c>
      <c r="E317" s="478"/>
      <c r="F317" s="478"/>
      <c r="G317" s="478"/>
      <c r="H317" s="478"/>
      <c r="I317" s="478"/>
      <c r="J317" s="478"/>
      <c r="K317" s="438" t="s">
        <v>396</v>
      </c>
      <c r="L317" s="439"/>
      <c r="M317" s="439"/>
      <c r="N317" s="439"/>
      <c r="O317" s="439"/>
      <c r="P317" s="439"/>
      <c r="Q317" s="439"/>
      <c r="R317" s="442" t="s">
        <v>186</v>
      </c>
      <c r="S317" s="443"/>
      <c r="T317" s="442"/>
      <c r="U317" s="443"/>
      <c r="V317" s="438"/>
      <c r="W317" s="439"/>
      <c r="X317" s="439"/>
      <c r="Y317" s="439"/>
      <c r="Z317" s="439"/>
      <c r="AA317" s="439"/>
      <c r="AB317" s="439"/>
      <c r="AC317" s="439"/>
      <c r="AD317" s="438"/>
      <c r="AE317" s="439"/>
      <c r="AF317" s="439"/>
      <c r="AG317" s="439"/>
      <c r="AH317" s="439"/>
      <c r="AI317" s="439"/>
      <c r="AJ317" s="439"/>
      <c r="AK317" s="449"/>
      <c r="AL317" s="438"/>
      <c r="AM317" s="439"/>
      <c r="AN317" s="439"/>
      <c r="AO317" s="439"/>
      <c r="AP317" s="439"/>
      <c r="AQ317" s="439"/>
      <c r="AR317" s="449"/>
      <c r="AS317" s="500"/>
      <c r="AT317" s="483"/>
      <c r="AU317" s="483"/>
      <c r="AV317" s="483"/>
      <c r="AW317" s="483"/>
      <c r="AX317" s="483"/>
      <c r="AY317" s="484"/>
      <c r="AZ317" s="460"/>
      <c r="BA317" s="461"/>
      <c r="BB317" s="60">
        <v>1</v>
      </c>
      <c r="BC317" s="466"/>
      <c r="BD317" s="467"/>
      <c r="BE317" s="467"/>
      <c r="BF317" s="468"/>
      <c r="BG317" s="469"/>
      <c r="BH317" s="470"/>
      <c r="BI317" s="194"/>
      <c r="BJ317" s="471"/>
      <c r="BK317" s="472"/>
      <c r="BL317" s="472"/>
      <c r="BM317" s="472"/>
      <c r="BN317" s="472"/>
      <c r="BO317" s="473"/>
      <c r="BP317" s="471"/>
      <c r="BQ317" s="472"/>
      <c r="BR317" s="472"/>
      <c r="BS317" s="472"/>
      <c r="BT317" s="472"/>
      <c r="BU317" s="473"/>
      <c r="BV317" s="471"/>
      <c r="BW317" s="472"/>
      <c r="BX317" s="472"/>
      <c r="BY317" s="472"/>
      <c r="BZ317" s="472"/>
      <c r="CA317" s="473"/>
      <c r="CB317" s="466"/>
      <c r="CC317" s="467"/>
      <c r="CD317" s="467"/>
      <c r="CE317" s="468"/>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5">
      <c r="A318" s="435"/>
      <c r="B318" s="36"/>
      <c r="C318" s="199" t="str">
        <f t="shared" ca="1" si="6"/>
        <v/>
      </c>
      <c r="D318" s="479"/>
      <c r="E318" s="480"/>
      <c r="F318" s="480"/>
      <c r="G318" s="480"/>
      <c r="H318" s="480"/>
      <c r="I318" s="480"/>
      <c r="J318" s="480"/>
      <c r="K318" s="440"/>
      <c r="L318" s="441"/>
      <c r="M318" s="441"/>
      <c r="N318" s="441"/>
      <c r="O318" s="441"/>
      <c r="P318" s="441"/>
      <c r="Q318" s="441"/>
      <c r="R318" s="444"/>
      <c r="S318" s="445"/>
      <c r="T318" s="444"/>
      <c r="U318" s="445"/>
      <c r="V318" s="440"/>
      <c r="W318" s="441"/>
      <c r="X318" s="441"/>
      <c r="Y318" s="441"/>
      <c r="Z318" s="441"/>
      <c r="AA318" s="441"/>
      <c r="AB318" s="441"/>
      <c r="AC318" s="441"/>
      <c r="AD318" s="440"/>
      <c r="AE318" s="441"/>
      <c r="AF318" s="441"/>
      <c r="AG318" s="441"/>
      <c r="AH318" s="441"/>
      <c r="AI318" s="441"/>
      <c r="AJ318" s="441"/>
      <c r="AK318" s="450"/>
      <c r="AL318" s="440"/>
      <c r="AM318" s="441"/>
      <c r="AN318" s="441"/>
      <c r="AO318" s="441"/>
      <c r="AP318" s="441"/>
      <c r="AQ318" s="441"/>
      <c r="AR318" s="450"/>
      <c r="AS318" s="485"/>
      <c r="AT318" s="486"/>
      <c r="AU318" s="486"/>
      <c r="AV318" s="486"/>
      <c r="AW318" s="486"/>
      <c r="AX318" s="486"/>
      <c r="AY318" s="487"/>
      <c r="AZ318" s="462"/>
      <c r="BA318" s="463"/>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5">
      <c r="A319" s="435"/>
      <c r="B319" s="36"/>
      <c r="C319" s="199" t="str">
        <f t="shared" ca="1" si="6"/>
        <v/>
      </c>
      <c r="D319" s="479"/>
      <c r="E319" s="480"/>
      <c r="F319" s="480"/>
      <c r="G319" s="480"/>
      <c r="H319" s="480"/>
      <c r="I319" s="480"/>
      <c r="J319" s="480"/>
      <c r="K319" s="440"/>
      <c r="L319" s="441"/>
      <c r="M319" s="441"/>
      <c r="N319" s="441"/>
      <c r="O319" s="441"/>
      <c r="P319" s="441"/>
      <c r="Q319" s="441"/>
      <c r="R319" s="444"/>
      <c r="S319" s="445"/>
      <c r="T319" s="444"/>
      <c r="U319" s="445"/>
      <c r="V319" s="440"/>
      <c r="W319" s="441"/>
      <c r="X319" s="441"/>
      <c r="Y319" s="441"/>
      <c r="Z319" s="441"/>
      <c r="AA319" s="441"/>
      <c r="AB319" s="441"/>
      <c r="AC319" s="441"/>
      <c r="AD319" s="440"/>
      <c r="AE319" s="441"/>
      <c r="AF319" s="441"/>
      <c r="AG319" s="441"/>
      <c r="AH319" s="441"/>
      <c r="AI319" s="441"/>
      <c r="AJ319" s="441"/>
      <c r="AK319" s="450"/>
      <c r="AL319" s="440"/>
      <c r="AM319" s="441"/>
      <c r="AN319" s="441"/>
      <c r="AO319" s="441"/>
      <c r="AP319" s="441"/>
      <c r="AQ319" s="441"/>
      <c r="AR319" s="450"/>
      <c r="AS319" s="485"/>
      <c r="AT319" s="486"/>
      <c r="AU319" s="486"/>
      <c r="AV319" s="486"/>
      <c r="AW319" s="486"/>
      <c r="AX319" s="486"/>
      <c r="AY319" s="487"/>
      <c r="AZ319" s="462"/>
      <c r="BA319" s="463"/>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5">
      <c r="A320" s="435"/>
      <c r="B320" s="36"/>
      <c r="C320" s="199" t="str">
        <f t="shared" ca="1" si="6"/>
        <v/>
      </c>
      <c r="D320" s="479"/>
      <c r="E320" s="480"/>
      <c r="F320" s="480"/>
      <c r="G320" s="480"/>
      <c r="H320" s="480"/>
      <c r="I320" s="480"/>
      <c r="J320" s="480"/>
      <c r="K320" s="440"/>
      <c r="L320" s="441"/>
      <c r="M320" s="441"/>
      <c r="N320" s="441"/>
      <c r="O320" s="441"/>
      <c r="P320" s="441"/>
      <c r="Q320" s="441"/>
      <c r="R320" s="444"/>
      <c r="S320" s="445"/>
      <c r="T320" s="444"/>
      <c r="U320" s="445"/>
      <c r="V320" s="440"/>
      <c r="W320" s="441"/>
      <c r="X320" s="441"/>
      <c r="Y320" s="441"/>
      <c r="Z320" s="441"/>
      <c r="AA320" s="441"/>
      <c r="AB320" s="441"/>
      <c r="AC320" s="441"/>
      <c r="AD320" s="440"/>
      <c r="AE320" s="441"/>
      <c r="AF320" s="441"/>
      <c r="AG320" s="441"/>
      <c r="AH320" s="441"/>
      <c r="AI320" s="441"/>
      <c r="AJ320" s="441"/>
      <c r="AK320" s="450"/>
      <c r="AL320" s="440"/>
      <c r="AM320" s="441"/>
      <c r="AN320" s="441"/>
      <c r="AO320" s="441"/>
      <c r="AP320" s="441"/>
      <c r="AQ320" s="441"/>
      <c r="AR320" s="450"/>
      <c r="AS320" s="485"/>
      <c r="AT320" s="486"/>
      <c r="AU320" s="486"/>
      <c r="AV320" s="486"/>
      <c r="AW320" s="486"/>
      <c r="AX320" s="486"/>
      <c r="AY320" s="487"/>
      <c r="AZ320" s="462"/>
      <c r="BA320" s="463"/>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5">
      <c r="A321" s="435"/>
      <c r="B321" s="36"/>
      <c r="C321" s="199" t="str">
        <f t="shared" ca="1" si="6"/>
        <v/>
      </c>
      <c r="D321" s="479"/>
      <c r="E321" s="480"/>
      <c r="F321" s="480"/>
      <c r="G321" s="480"/>
      <c r="H321" s="480"/>
      <c r="I321" s="480"/>
      <c r="J321" s="480"/>
      <c r="K321" s="440"/>
      <c r="L321" s="441"/>
      <c r="M321" s="441"/>
      <c r="N321" s="441"/>
      <c r="O321" s="441"/>
      <c r="P321" s="441"/>
      <c r="Q321" s="441"/>
      <c r="R321" s="444"/>
      <c r="S321" s="445"/>
      <c r="T321" s="444"/>
      <c r="U321" s="445"/>
      <c r="V321" s="440"/>
      <c r="W321" s="441"/>
      <c r="X321" s="441"/>
      <c r="Y321" s="441"/>
      <c r="Z321" s="441"/>
      <c r="AA321" s="441"/>
      <c r="AB321" s="441"/>
      <c r="AC321" s="441"/>
      <c r="AD321" s="440"/>
      <c r="AE321" s="441"/>
      <c r="AF321" s="441"/>
      <c r="AG321" s="441"/>
      <c r="AH321" s="441"/>
      <c r="AI321" s="441"/>
      <c r="AJ321" s="441"/>
      <c r="AK321" s="450"/>
      <c r="AL321" s="440"/>
      <c r="AM321" s="441"/>
      <c r="AN321" s="441"/>
      <c r="AO321" s="441"/>
      <c r="AP321" s="441"/>
      <c r="AQ321" s="441"/>
      <c r="AR321" s="450"/>
      <c r="AS321" s="485"/>
      <c r="AT321" s="486"/>
      <c r="AU321" s="486"/>
      <c r="AV321" s="486"/>
      <c r="AW321" s="486"/>
      <c r="AX321" s="486"/>
      <c r="AY321" s="487"/>
      <c r="AZ321" s="462"/>
      <c r="BA321" s="463"/>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5">
      <c r="A322" s="436"/>
      <c r="B322" s="37"/>
      <c r="C322" s="200" t="str">
        <f t="shared" ca="1" si="6"/>
        <v/>
      </c>
      <c r="D322" s="481"/>
      <c r="E322" s="482"/>
      <c r="F322" s="482"/>
      <c r="G322" s="482"/>
      <c r="H322" s="482"/>
      <c r="I322" s="482"/>
      <c r="J322" s="482"/>
      <c r="K322" s="409"/>
      <c r="L322" s="410"/>
      <c r="M322" s="410"/>
      <c r="N322" s="410"/>
      <c r="O322" s="410"/>
      <c r="P322" s="410"/>
      <c r="Q322" s="410"/>
      <c r="R322" s="446"/>
      <c r="S322" s="447"/>
      <c r="T322" s="446"/>
      <c r="U322" s="44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88"/>
      <c r="AT322" s="489"/>
      <c r="AU322" s="489"/>
      <c r="AV322" s="489"/>
      <c r="AW322" s="489"/>
      <c r="AX322" s="489"/>
      <c r="AY322" s="490"/>
      <c r="AZ322" s="464"/>
      <c r="BA322" s="465"/>
      <c r="BB322" s="62">
        <v>6</v>
      </c>
      <c r="BC322" s="426"/>
      <c r="BD322" s="427"/>
      <c r="BE322" s="427"/>
      <c r="BF322" s="428"/>
      <c r="BG322" s="429"/>
      <c r="BH322" s="430"/>
      <c r="BI322" s="196"/>
      <c r="BJ322" s="474"/>
      <c r="BK322" s="475"/>
      <c r="BL322" s="475"/>
      <c r="BM322" s="475"/>
      <c r="BN322" s="475"/>
      <c r="BO322" s="476"/>
      <c r="BP322" s="474"/>
      <c r="BQ322" s="475"/>
      <c r="BR322" s="475"/>
      <c r="BS322" s="475"/>
      <c r="BT322" s="475"/>
      <c r="BU322" s="476"/>
      <c r="BV322" s="474"/>
      <c r="BW322" s="475"/>
      <c r="BX322" s="475"/>
      <c r="BY322" s="475"/>
      <c r="BZ322" s="475"/>
      <c r="CA322" s="476"/>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5">
      <c r="A323" s="434">
        <v>53</v>
      </c>
      <c r="B323" s="36"/>
      <c r="C323" s="198" t="str">
        <f t="shared" ca="1" si="6"/>
        <v/>
      </c>
      <c r="D323" s="477"/>
      <c r="E323" s="478"/>
      <c r="F323" s="478"/>
      <c r="G323" s="478"/>
      <c r="H323" s="478"/>
      <c r="I323" s="478"/>
      <c r="J323" s="478"/>
      <c r="K323" s="438" t="s">
        <v>397</v>
      </c>
      <c r="L323" s="439"/>
      <c r="M323" s="439"/>
      <c r="N323" s="439"/>
      <c r="O323" s="439"/>
      <c r="P323" s="439"/>
      <c r="Q323" s="439"/>
      <c r="R323" s="442" t="s">
        <v>186</v>
      </c>
      <c r="S323" s="443"/>
      <c r="T323" s="442"/>
      <c r="U323" s="443"/>
      <c r="V323" s="438"/>
      <c r="W323" s="439"/>
      <c r="X323" s="439"/>
      <c r="Y323" s="439"/>
      <c r="Z323" s="439"/>
      <c r="AA323" s="439"/>
      <c r="AB323" s="439"/>
      <c r="AC323" s="439"/>
      <c r="AD323" s="438"/>
      <c r="AE323" s="439"/>
      <c r="AF323" s="439"/>
      <c r="AG323" s="439"/>
      <c r="AH323" s="439"/>
      <c r="AI323" s="439"/>
      <c r="AJ323" s="439"/>
      <c r="AK323" s="449"/>
      <c r="AL323" s="438"/>
      <c r="AM323" s="439"/>
      <c r="AN323" s="439"/>
      <c r="AO323" s="439"/>
      <c r="AP323" s="439"/>
      <c r="AQ323" s="439"/>
      <c r="AR323" s="449"/>
      <c r="AS323" s="500"/>
      <c r="AT323" s="483"/>
      <c r="AU323" s="483"/>
      <c r="AV323" s="483"/>
      <c r="AW323" s="483"/>
      <c r="AX323" s="483"/>
      <c r="AY323" s="484"/>
      <c r="AZ323" s="460"/>
      <c r="BA323" s="461"/>
      <c r="BB323" s="60">
        <v>1</v>
      </c>
      <c r="BC323" s="466"/>
      <c r="BD323" s="467"/>
      <c r="BE323" s="467"/>
      <c r="BF323" s="468"/>
      <c r="BG323" s="469"/>
      <c r="BH323" s="470"/>
      <c r="BI323" s="194"/>
      <c r="BJ323" s="471"/>
      <c r="BK323" s="472"/>
      <c r="BL323" s="472"/>
      <c r="BM323" s="472"/>
      <c r="BN323" s="472"/>
      <c r="BO323" s="473"/>
      <c r="BP323" s="471"/>
      <c r="BQ323" s="472"/>
      <c r="BR323" s="472"/>
      <c r="BS323" s="472"/>
      <c r="BT323" s="472"/>
      <c r="BU323" s="473"/>
      <c r="BV323" s="471"/>
      <c r="BW323" s="472"/>
      <c r="BX323" s="472"/>
      <c r="BY323" s="472"/>
      <c r="BZ323" s="472"/>
      <c r="CA323" s="473"/>
      <c r="CB323" s="466"/>
      <c r="CC323" s="467"/>
      <c r="CD323" s="467"/>
      <c r="CE323" s="468"/>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5">
      <c r="A324" s="435"/>
      <c r="B324" s="36"/>
      <c r="C324" s="199" t="str">
        <f t="shared" ca="1" si="6"/>
        <v/>
      </c>
      <c r="D324" s="479"/>
      <c r="E324" s="480"/>
      <c r="F324" s="480"/>
      <c r="G324" s="480"/>
      <c r="H324" s="480"/>
      <c r="I324" s="480"/>
      <c r="J324" s="480"/>
      <c r="K324" s="440"/>
      <c r="L324" s="441"/>
      <c r="M324" s="441"/>
      <c r="N324" s="441"/>
      <c r="O324" s="441"/>
      <c r="P324" s="441"/>
      <c r="Q324" s="441"/>
      <c r="R324" s="444"/>
      <c r="S324" s="445"/>
      <c r="T324" s="444"/>
      <c r="U324" s="445"/>
      <c r="V324" s="440"/>
      <c r="W324" s="441"/>
      <c r="X324" s="441"/>
      <c r="Y324" s="441"/>
      <c r="Z324" s="441"/>
      <c r="AA324" s="441"/>
      <c r="AB324" s="441"/>
      <c r="AC324" s="441"/>
      <c r="AD324" s="440"/>
      <c r="AE324" s="441"/>
      <c r="AF324" s="441"/>
      <c r="AG324" s="441"/>
      <c r="AH324" s="441"/>
      <c r="AI324" s="441"/>
      <c r="AJ324" s="441"/>
      <c r="AK324" s="450"/>
      <c r="AL324" s="440"/>
      <c r="AM324" s="441"/>
      <c r="AN324" s="441"/>
      <c r="AO324" s="441"/>
      <c r="AP324" s="441"/>
      <c r="AQ324" s="441"/>
      <c r="AR324" s="450"/>
      <c r="AS324" s="485"/>
      <c r="AT324" s="486"/>
      <c r="AU324" s="486"/>
      <c r="AV324" s="486"/>
      <c r="AW324" s="486"/>
      <c r="AX324" s="486"/>
      <c r="AY324" s="487"/>
      <c r="AZ324" s="462"/>
      <c r="BA324" s="463"/>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5">
      <c r="A325" s="435"/>
      <c r="B325" s="36"/>
      <c r="C325" s="199" t="str">
        <f t="shared" ca="1" si="6"/>
        <v/>
      </c>
      <c r="D325" s="479"/>
      <c r="E325" s="480"/>
      <c r="F325" s="480"/>
      <c r="G325" s="480"/>
      <c r="H325" s="480"/>
      <c r="I325" s="480"/>
      <c r="J325" s="480"/>
      <c r="K325" s="440"/>
      <c r="L325" s="441"/>
      <c r="M325" s="441"/>
      <c r="N325" s="441"/>
      <c r="O325" s="441"/>
      <c r="P325" s="441"/>
      <c r="Q325" s="441"/>
      <c r="R325" s="444"/>
      <c r="S325" s="445"/>
      <c r="T325" s="444"/>
      <c r="U325" s="445"/>
      <c r="V325" s="440"/>
      <c r="W325" s="441"/>
      <c r="X325" s="441"/>
      <c r="Y325" s="441"/>
      <c r="Z325" s="441"/>
      <c r="AA325" s="441"/>
      <c r="AB325" s="441"/>
      <c r="AC325" s="441"/>
      <c r="AD325" s="440"/>
      <c r="AE325" s="441"/>
      <c r="AF325" s="441"/>
      <c r="AG325" s="441"/>
      <c r="AH325" s="441"/>
      <c r="AI325" s="441"/>
      <c r="AJ325" s="441"/>
      <c r="AK325" s="450"/>
      <c r="AL325" s="440"/>
      <c r="AM325" s="441"/>
      <c r="AN325" s="441"/>
      <c r="AO325" s="441"/>
      <c r="AP325" s="441"/>
      <c r="AQ325" s="441"/>
      <c r="AR325" s="450"/>
      <c r="AS325" s="485"/>
      <c r="AT325" s="486"/>
      <c r="AU325" s="486"/>
      <c r="AV325" s="486"/>
      <c r="AW325" s="486"/>
      <c r="AX325" s="486"/>
      <c r="AY325" s="487"/>
      <c r="AZ325" s="462"/>
      <c r="BA325" s="463"/>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5">
      <c r="A326" s="435"/>
      <c r="B326" s="36"/>
      <c r="C326" s="199" t="str">
        <f t="shared" ca="1" si="6"/>
        <v/>
      </c>
      <c r="D326" s="479"/>
      <c r="E326" s="480"/>
      <c r="F326" s="480"/>
      <c r="G326" s="480"/>
      <c r="H326" s="480"/>
      <c r="I326" s="480"/>
      <c r="J326" s="480"/>
      <c r="K326" s="440"/>
      <c r="L326" s="441"/>
      <c r="M326" s="441"/>
      <c r="N326" s="441"/>
      <c r="O326" s="441"/>
      <c r="P326" s="441"/>
      <c r="Q326" s="441"/>
      <c r="R326" s="444"/>
      <c r="S326" s="445"/>
      <c r="T326" s="444"/>
      <c r="U326" s="445"/>
      <c r="V326" s="440"/>
      <c r="W326" s="441"/>
      <c r="X326" s="441"/>
      <c r="Y326" s="441"/>
      <c r="Z326" s="441"/>
      <c r="AA326" s="441"/>
      <c r="AB326" s="441"/>
      <c r="AC326" s="441"/>
      <c r="AD326" s="440"/>
      <c r="AE326" s="441"/>
      <c r="AF326" s="441"/>
      <c r="AG326" s="441"/>
      <c r="AH326" s="441"/>
      <c r="AI326" s="441"/>
      <c r="AJ326" s="441"/>
      <c r="AK326" s="450"/>
      <c r="AL326" s="440"/>
      <c r="AM326" s="441"/>
      <c r="AN326" s="441"/>
      <c r="AO326" s="441"/>
      <c r="AP326" s="441"/>
      <c r="AQ326" s="441"/>
      <c r="AR326" s="450"/>
      <c r="AS326" s="485"/>
      <c r="AT326" s="486"/>
      <c r="AU326" s="486"/>
      <c r="AV326" s="486"/>
      <c r="AW326" s="486"/>
      <c r="AX326" s="486"/>
      <c r="AY326" s="487"/>
      <c r="AZ326" s="462"/>
      <c r="BA326" s="463"/>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5">
      <c r="A327" s="435"/>
      <c r="B327" s="36"/>
      <c r="C327" s="199" t="str">
        <f t="shared" ca="1" si="6"/>
        <v/>
      </c>
      <c r="D327" s="479"/>
      <c r="E327" s="480"/>
      <c r="F327" s="480"/>
      <c r="G327" s="480"/>
      <c r="H327" s="480"/>
      <c r="I327" s="480"/>
      <c r="J327" s="480"/>
      <c r="K327" s="440"/>
      <c r="L327" s="441"/>
      <c r="M327" s="441"/>
      <c r="N327" s="441"/>
      <c r="O327" s="441"/>
      <c r="P327" s="441"/>
      <c r="Q327" s="441"/>
      <c r="R327" s="444"/>
      <c r="S327" s="445"/>
      <c r="T327" s="444"/>
      <c r="U327" s="445"/>
      <c r="V327" s="440"/>
      <c r="W327" s="441"/>
      <c r="X327" s="441"/>
      <c r="Y327" s="441"/>
      <c r="Z327" s="441"/>
      <c r="AA327" s="441"/>
      <c r="AB327" s="441"/>
      <c r="AC327" s="441"/>
      <c r="AD327" s="440"/>
      <c r="AE327" s="441"/>
      <c r="AF327" s="441"/>
      <c r="AG327" s="441"/>
      <c r="AH327" s="441"/>
      <c r="AI327" s="441"/>
      <c r="AJ327" s="441"/>
      <c r="AK327" s="450"/>
      <c r="AL327" s="440"/>
      <c r="AM327" s="441"/>
      <c r="AN327" s="441"/>
      <c r="AO327" s="441"/>
      <c r="AP327" s="441"/>
      <c r="AQ327" s="441"/>
      <c r="AR327" s="450"/>
      <c r="AS327" s="485"/>
      <c r="AT327" s="486"/>
      <c r="AU327" s="486"/>
      <c r="AV327" s="486"/>
      <c r="AW327" s="486"/>
      <c r="AX327" s="486"/>
      <c r="AY327" s="487"/>
      <c r="AZ327" s="462"/>
      <c r="BA327" s="463"/>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5">
      <c r="A328" s="436"/>
      <c r="B328" s="37"/>
      <c r="C328" s="200" t="str">
        <f t="shared" ca="1" si="6"/>
        <v/>
      </c>
      <c r="D328" s="481"/>
      <c r="E328" s="482"/>
      <c r="F328" s="482"/>
      <c r="G328" s="482"/>
      <c r="H328" s="482"/>
      <c r="I328" s="482"/>
      <c r="J328" s="482"/>
      <c r="K328" s="409"/>
      <c r="L328" s="410"/>
      <c r="M328" s="410"/>
      <c r="N328" s="410"/>
      <c r="O328" s="410"/>
      <c r="P328" s="410"/>
      <c r="Q328" s="410"/>
      <c r="R328" s="446"/>
      <c r="S328" s="447"/>
      <c r="T328" s="446"/>
      <c r="U328" s="44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88"/>
      <c r="AT328" s="489"/>
      <c r="AU328" s="489"/>
      <c r="AV328" s="489"/>
      <c r="AW328" s="489"/>
      <c r="AX328" s="489"/>
      <c r="AY328" s="490"/>
      <c r="AZ328" s="464"/>
      <c r="BA328" s="465"/>
      <c r="BB328" s="62">
        <v>6</v>
      </c>
      <c r="BC328" s="426"/>
      <c r="BD328" s="427"/>
      <c r="BE328" s="427"/>
      <c r="BF328" s="428"/>
      <c r="BG328" s="429"/>
      <c r="BH328" s="430"/>
      <c r="BI328" s="196"/>
      <c r="BJ328" s="474"/>
      <c r="BK328" s="475"/>
      <c r="BL328" s="475"/>
      <c r="BM328" s="475"/>
      <c r="BN328" s="475"/>
      <c r="BO328" s="476"/>
      <c r="BP328" s="474"/>
      <c r="BQ328" s="475"/>
      <c r="BR328" s="475"/>
      <c r="BS328" s="475"/>
      <c r="BT328" s="475"/>
      <c r="BU328" s="476"/>
      <c r="BV328" s="474"/>
      <c r="BW328" s="475"/>
      <c r="BX328" s="475"/>
      <c r="BY328" s="475"/>
      <c r="BZ328" s="475"/>
      <c r="CA328" s="476"/>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5">
      <c r="A329" s="434">
        <v>54</v>
      </c>
      <c r="B329" s="36"/>
      <c r="C329" s="198" t="str">
        <f t="shared" ca="1" si="6"/>
        <v/>
      </c>
      <c r="D329" s="477"/>
      <c r="E329" s="478"/>
      <c r="F329" s="478"/>
      <c r="G329" s="478"/>
      <c r="H329" s="478"/>
      <c r="I329" s="478"/>
      <c r="J329" s="478"/>
      <c r="K329" s="438" t="s">
        <v>398</v>
      </c>
      <c r="L329" s="439"/>
      <c r="M329" s="439"/>
      <c r="N329" s="439"/>
      <c r="O329" s="439"/>
      <c r="P329" s="439"/>
      <c r="Q329" s="439"/>
      <c r="R329" s="442" t="s">
        <v>186</v>
      </c>
      <c r="S329" s="443"/>
      <c r="T329" s="442"/>
      <c r="U329" s="443"/>
      <c r="V329" s="438"/>
      <c r="W329" s="439"/>
      <c r="X329" s="439"/>
      <c r="Y329" s="439"/>
      <c r="Z329" s="439"/>
      <c r="AA329" s="439"/>
      <c r="AB329" s="439"/>
      <c r="AC329" s="439"/>
      <c r="AD329" s="438"/>
      <c r="AE329" s="439"/>
      <c r="AF329" s="439"/>
      <c r="AG329" s="439"/>
      <c r="AH329" s="439"/>
      <c r="AI329" s="439"/>
      <c r="AJ329" s="439"/>
      <c r="AK329" s="449"/>
      <c r="AL329" s="438"/>
      <c r="AM329" s="439"/>
      <c r="AN329" s="439"/>
      <c r="AO329" s="439"/>
      <c r="AP329" s="439"/>
      <c r="AQ329" s="439"/>
      <c r="AR329" s="449"/>
      <c r="AS329" s="500"/>
      <c r="AT329" s="483"/>
      <c r="AU329" s="483"/>
      <c r="AV329" s="483"/>
      <c r="AW329" s="483"/>
      <c r="AX329" s="483"/>
      <c r="AY329" s="484"/>
      <c r="AZ329" s="460"/>
      <c r="BA329" s="461"/>
      <c r="BB329" s="60">
        <v>1</v>
      </c>
      <c r="BC329" s="466"/>
      <c r="BD329" s="467"/>
      <c r="BE329" s="467"/>
      <c r="BF329" s="468"/>
      <c r="BG329" s="469"/>
      <c r="BH329" s="470"/>
      <c r="BI329" s="194"/>
      <c r="BJ329" s="471"/>
      <c r="BK329" s="472"/>
      <c r="BL329" s="472"/>
      <c r="BM329" s="472"/>
      <c r="BN329" s="472"/>
      <c r="BO329" s="473"/>
      <c r="BP329" s="471"/>
      <c r="BQ329" s="472"/>
      <c r="BR329" s="472"/>
      <c r="BS329" s="472"/>
      <c r="BT329" s="472"/>
      <c r="BU329" s="473"/>
      <c r="BV329" s="471"/>
      <c r="BW329" s="472"/>
      <c r="BX329" s="472"/>
      <c r="BY329" s="472"/>
      <c r="BZ329" s="472"/>
      <c r="CA329" s="473"/>
      <c r="CB329" s="466"/>
      <c r="CC329" s="467"/>
      <c r="CD329" s="467"/>
      <c r="CE329" s="468"/>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5">
      <c r="A330" s="435"/>
      <c r="B330" s="36"/>
      <c r="C330" s="199" t="str">
        <f t="shared" ca="1" si="6"/>
        <v/>
      </c>
      <c r="D330" s="479"/>
      <c r="E330" s="480"/>
      <c r="F330" s="480"/>
      <c r="G330" s="480"/>
      <c r="H330" s="480"/>
      <c r="I330" s="480"/>
      <c r="J330" s="480"/>
      <c r="K330" s="440"/>
      <c r="L330" s="441"/>
      <c r="M330" s="441"/>
      <c r="N330" s="441"/>
      <c r="O330" s="441"/>
      <c r="P330" s="441"/>
      <c r="Q330" s="441"/>
      <c r="R330" s="444"/>
      <c r="S330" s="445"/>
      <c r="T330" s="444"/>
      <c r="U330" s="445"/>
      <c r="V330" s="440"/>
      <c r="W330" s="441"/>
      <c r="X330" s="441"/>
      <c r="Y330" s="441"/>
      <c r="Z330" s="441"/>
      <c r="AA330" s="441"/>
      <c r="AB330" s="441"/>
      <c r="AC330" s="441"/>
      <c r="AD330" s="440"/>
      <c r="AE330" s="441"/>
      <c r="AF330" s="441"/>
      <c r="AG330" s="441"/>
      <c r="AH330" s="441"/>
      <c r="AI330" s="441"/>
      <c r="AJ330" s="441"/>
      <c r="AK330" s="450"/>
      <c r="AL330" s="440"/>
      <c r="AM330" s="441"/>
      <c r="AN330" s="441"/>
      <c r="AO330" s="441"/>
      <c r="AP330" s="441"/>
      <c r="AQ330" s="441"/>
      <c r="AR330" s="450"/>
      <c r="AS330" s="485"/>
      <c r="AT330" s="486"/>
      <c r="AU330" s="486"/>
      <c r="AV330" s="486"/>
      <c r="AW330" s="486"/>
      <c r="AX330" s="486"/>
      <c r="AY330" s="487"/>
      <c r="AZ330" s="462"/>
      <c r="BA330" s="463"/>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5">
      <c r="A331" s="435"/>
      <c r="B331" s="36"/>
      <c r="C331" s="199" t="str">
        <f t="shared" ca="1" si="6"/>
        <v/>
      </c>
      <c r="D331" s="479"/>
      <c r="E331" s="480"/>
      <c r="F331" s="480"/>
      <c r="G331" s="480"/>
      <c r="H331" s="480"/>
      <c r="I331" s="480"/>
      <c r="J331" s="480"/>
      <c r="K331" s="440"/>
      <c r="L331" s="441"/>
      <c r="M331" s="441"/>
      <c r="N331" s="441"/>
      <c r="O331" s="441"/>
      <c r="P331" s="441"/>
      <c r="Q331" s="441"/>
      <c r="R331" s="444"/>
      <c r="S331" s="445"/>
      <c r="T331" s="444"/>
      <c r="U331" s="445"/>
      <c r="V331" s="440"/>
      <c r="W331" s="441"/>
      <c r="X331" s="441"/>
      <c r="Y331" s="441"/>
      <c r="Z331" s="441"/>
      <c r="AA331" s="441"/>
      <c r="AB331" s="441"/>
      <c r="AC331" s="441"/>
      <c r="AD331" s="440"/>
      <c r="AE331" s="441"/>
      <c r="AF331" s="441"/>
      <c r="AG331" s="441"/>
      <c r="AH331" s="441"/>
      <c r="AI331" s="441"/>
      <c r="AJ331" s="441"/>
      <c r="AK331" s="450"/>
      <c r="AL331" s="440"/>
      <c r="AM331" s="441"/>
      <c r="AN331" s="441"/>
      <c r="AO331" s="441"/>
      <c r="AP331" s="441"/>
      <c r="AQ331" s="441"/>
      <c r="AR331" s="450"/>
      <c r="AS331" s="485"/>
      <c r="AT331" s="486"/>
      <c r="AU331" s="486"/>
      <c r="AV331" s="486"/>
      <c r="AW331" s="486"/>
      <c r="AX331" s="486"/>
      <c r="AY331" s="487"/>
      <c r="AZ331" s="462"/>
      <c r="BA331" s="463"/>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5">
      <c r="A332" s="435"/>
      <c r="B332" s="36"/>
      <c r="C332" s="199" t="str">
        <f t="shared" ca="1" si="6"/>
        <v/>
      </c>
      <c r="D332" s="479"/>
      <c r="E332" s="480"/>
      <c r="F332" s="480"/>
      <c r="G332" s="480"/>
      <c r="H332" s="480"/>
      <c r="I332" s="480"/>
      <c r="J332" s="480"/>
      <c r="K332" s="440"/>
      <c r="L332" s="441"/>
      <c r="M332" s="441"/>
      <c r="N332" s="441"/>
      <c r="O332" s="441"/>
      <c r="P332" s="441"/>
      <c r="Q332" s="441"/>
      <c r="R332" s="444"/>
      <c r="S332" s="445"/>
      <c r="T332" s="444"/>
      <c r="U332" s="445"/>
      <c r="V332" s="440"/>
      <c r="W332" s="441"/>
      <c r="X332" s="441"/>
      <c r="Y332" s="441"/>
      <c r="Z332" s="441"/>
      <c r="AA332" s="441"/>
      <c r="AB332" s="441"/>
      <c r="AC332" s="441"/>
      <c r="AD332" s="440"/>
      <c r="AE332" s="441"/>
      <c r="AF332" s="441"/>
      <c r="AG332" s="441"/>
      <c r="AH332" s="441"/>
      <c r="AI332" s="441"/>
      <c r="AJ332" s="441"/>
      <c r="AK332" s="450"/>
      <c r="AL332" s="440"/>
      <c r="AM332" s="441"/>
      <c r="AN332" s="441"/>
      <c r="AO332" s="441"/>
      <c r="AP332" s="441"/>
      <c r="AQ332" s="441"/>
      <c r="AR332" s="450"/>
      <c r="AS332" s="485"/>
      <c r="AT332" s="486"/>
      <c r="AU332" s="486"/>
      <c r="AV332" s="486"/>
      <c r="AW332" s="486"/>
      <c r="AX332" s="486"/>
      <c r="AY332" s="487"/>
      <c r="AZ332" s="462"/>
      <c r="BA332" s="463"/>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5">
      <c r="A333" s="435"/>
      <c r="B333" s="36"/>
      <c r="C333" s="199" t="str">
        <f t="shared" ca="1" si="6"/>
        <v/>
      </c>
      <c r="D333" s="479"/>
      <c r="E333" s="480"/>
      <c r="F333" s="480"/>
      <c r="G333" s="480"/>
      <c r="H333" s="480"/>
      <c r="I333" s="480"/>
      <c r="J333" s="480"/>
      <c r="K333" s="440"/>
      <c r="L333" s="441"/>
      <c r="M333" s="441"/>
      <c r="N333" s="441"/>
      <c r="O333" s="441"/>
      <c r="P333" s="441"/>
      <c r="Q333" s="441"/>
      <c r="R333" s="444"/>
      <c r="S333" s="445"/>
      <c r="T333" s="444"/>
      <c r="U333" s="445"/>
      <c r="V333" s="440"/>
      <c r="W333" s="441"/>
      <c r="X333" s="441"/>
      <c r="Y333" s="441"/>
      <c r="Z333" s="441"/>
      <c r="AA333" s="441"/>
      <c r="AB333" s="441"/>
      <c r="AC333" s="441"/>
      <c r="AD333" s="440"/>
      <c r="AE333" s="441"/>
      <c r="AF333" s="441"/>
      <c r="AG333" s="441"/>
      <c r="AH333" s="441"/>
      <c r="AI333" s="441"/>
      <c r="AJ333" s="441"/>
      <c r="AK333" s="450"/>
      <c r="AL333" s="440"/>
      <c r="AM333" s="441"/>
      <c r="AN333" s="441"/>
      <c r="AO333" s="441"/>
      <c r="AP333" s="441"/>
      <c r="AQ333" s="441"/>
      <c r="AR333" s="450"/>
      <c r="AS333" s="485"/>
      <c r="AT333" s="486"/>
      <c r="AU333" s="486"/>
      <c r="AV333" s="486"/>
      <c r="AW333" s="486"/>
      <c r="AX333" s="486"/>
      <c r="AY333" s="487"/>
      <c r="AZ333" s="462"/>
      <c r="BA333" s="463"/>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5">
      <c r="A334" s="436"/>
      <c r="B334" s="37"/>
      <c r="C334" s="200" t="str">
        <f t="shared" ca="1" si="6"/>
        <v/>
      </c>
      <c r="D334" s="481"/>
      <c r="E334" s="482"/>
      <c r="F334" s="482"/>
      <c r="G334" s="482"/>
      <c r="H334" s="482"/>
      <c r="I334" s="482"/>
      <c r="J334" s="482"/>
      <c r="K334" s="409"/>
      <c r="L334" s="410"/>
      <c r="M334" s="410"/>
      <c r="N334" s="410"/>
      <c r="O334" s="410"/>
      <c r="P334" s="410"/>
      <c r="Q334" s="410"/>
      <c r="R334" s="446"/>
      <c r="S334" s="447"/>
      <c r="T334" s="446"/>
      <c r="U334" s="44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88"/>
      <c r="AT334" s="489"/>
      <c r="AU334" s="489"/>
      <c r="AV334" s="489"/>
      <c r="AW334" s="489"/>
      <c r="AX334" s="489"/>
      <c r="AY334" s="490"/>
      <c r="AZ334" s="464"/>
      <c r="BA334" s="465"/>
      <c r="BB334" s="62">
        <v>6</v>
      </c>
      <c r="BC334" s="426"/>
      <c r="BD334" s="427"/>
      <c r="BE334" s="427"/>
      <c r="BF334" s="428"/>
      <c r="BG334" s="429"/>
      <c r="BH334" s="430"/>
      <c r="BI334" s="196"/>
      <c r="BJ334" s="474"/>
      <c r="BK334" s="475"/>
      <c r="BL334" s="475"/>
      <c r="BM334" s="475"/>
      <c r="BN334" s="475"/>
      <c r="BO334" s="476"/>
      <c r="BP334" s="474"/>
      <c r="BQ334" s="475"/>
      <c r="BR334" s="475"/>
      <c r="BS334" s="475"/>
      <c r="BT334" s="475"/>
      <c r="BU334" s="476"/>
      <c r="BV334" s="474"/>
      <c r="BW334" s="475"/>
      <c r="BX334" s="475"/>
      <c r="BY334" s="475"/>
      <c r="BZ334" s="475"/>
      <c r="CA334" s="476"/>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5">
      <c r="A335" s="434">
        <v>55</v>
      </c>
      <c r="B335" s="36"/>
      <c r="C335" s="198" t="str">
        <f t="shared" ca="1" si="6"/>
        <v/>
      </c>
      <c r="D335" s="477"/>
      <c r="E335" s="478"/>
      <c r="F335" s="478"/>
      <c r="G335" s="478"/>
      <c r="H335" s="478"/>
      <c r="I335" s="478"/>
      <c r="J335" s="478"/>
      <c r="K335" s="438" t="s">
        <v>399</v>
      </c>
      <c r="L335" s="439"/>
      <c r="M335" s="439"/>
      <c r="N335" s="439"/>
      <c r="O335" s="439"/>
      <c r="P335" s="439"/>
      <c r="Q335" s="439"/>
      <c r="R335" s="442" t="s">
        <v>186</v>
      </c>
      <c r="S335" s="443"/>
      <c r="T335" s="442"/>
      <c r="U335" s="443"/>
      <c r="V335" s="438"/>
      <c r="W335" s="439"/>
      <c r="X335" s="439"/>
      <c r="Y335" s="439"/>
      <c r="Z335" s="439"/>
      <c r="AA335" s="439"/>
      <c r="AB335" s="439"/>
      <c r="AC335" s="439"/>
      <c r="AD335" s="438"/>
      <c r="AE335" s="439"/>
      <c r="AF335" s="439"/>
      <c r="AG335" s="439"/>
      <c r="AH335" s="439"/>
      <c r="AI335" s="439"/>
      <c r="AJ335" s="439"/>
      <c r="AK335" s="449"/>
      <c r="AL335" s="438"/>
      <c r="AM335" s="439"/>
      <c r="AN335" s="439"/>
      <c r="AO335" s="439"/>
      <c r="AP335" s="439"/>
      <c r="AQ335" s="439"/>
      <c r="AR335" s="449"/>
      <c r="AS335" s="500"/>
      <c r="AT335" s="483"/>
      <c r="AU335" s="483"/>
      <c r="AV335" s="483"/>
      <c r="AW335" s="483"/>
      <c r="AX335" s="483"/>
      <c r="AY335" s="484"/>
      <c r="AZ335" s="460"/>
      <c r="BA335" s="461"/>
      <c r="BB335" s="60">
        <v>1</v>
      </c>
      <c r="BC335" s="466"/>
      <c r="BD335" s="467"/>
      <c r="BE335" s="467"/>
      <c r="BF335" s="468"/>
      <c r="BG335" s="469"/>
      <c r="BH335" s="470"/>
      <c r="BI335" s="194"/>
      <c r="BJ335" s="471"/>
      <c r="BK335" s="472"/>
      <c r="BL335" s="472"/>
      <c r="BM335" s="472"/>
      <c r="BN335" s="472"/>
      <c r="BO335" s="473"/>
      <c r="BP335" s="471"/>
      <c r="BQ335" s="472"/>
      <c r="BR335" s="472"/>
      <c r="BS335" s="472"/>
      <c r="BT335" s="472"/>
      <c r="BU335" s="473"/>
      <c r="BV335" s="471"/>
      <c r="BW335" s="472"/>
      <c r="BX335" s="472"/>
      <c r="BY335" s="472"/>
      <c r="BZ335" s="472"/>
      <c r="CA335" s="473"/>
      <c r="CB335" s="466"/>
      <c r="CC335" s="467"/>
      <c r="CD335" s="467"/>
      <c r="CE335" s="468"/>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5">
      <c r="A336" s="435"/>
      <c r="B336" s="36"/>
      <c r="C336" s="199" t="str">
        <f t="shared" ca="1" si="6"/>
        <v/>
      </c>
      <c r="D336" s="479"/>
      <c r="E336" s="480"/>
      <c r="F336" s="480"/>
      <c r="G336" s="480"/>
      <c r="H336" s="480"/>
      <c r="I336" s="480"/>
      <c r="J336" s="480"/>
      <c r="K336" s="440"/>
      <c r="L336" s="441"/>
      <c r="M336" s="441"/>
      <c r="N336" s="441"/>
      <c r="O336" s="441"/>
      <c r="P336" s="441"/>
      <c r="Q336" s="441"/>
      <c r="R336" s="444"/>
      <c r="S336" s="445"/>
      <c r="T336" s="444"/>
      <c r="U336" s="445"/>
      <c r="V336" s="440"/>
      <c r="W336" s="441"/>
      <c r="X336" s="441"/>
      <c r="Y336" s="441"/>
      <c r="Z336" s="441"/>
      <c r="AA336" s="441"/>
      <c r="AB336" s="441"/>
      <c r="AC336" s="441"/>
      <c r="AD336" s="440"/>
      <c r="AE336" s="441"/>
      <c r="AF336" s="441"/>
      <c r="AG336" s="441"/>
      <c r="AH336" s="441"/>
      <c r="AI336" s="441"/>
      <c r="AJ336" s="441"/>
      <c r="AK336" s="450"/>
      <c r="AL336" s="440"/>
      <c r="AM336" s="441"/>
      <c r="AN336" s="441"/>
      <c r="AO336" s="441"/>
      <c r="AP336" s="441"/>
      <c r="AQ336" s="441"/>
      <c r="AR336" s="450"/>
      <c r="AS336" s="485"/>
      <c r="AT336" s="486"/>
      <c r="AU336" s="486"/>
      <c r="AV336" s="486"/>
      <c r="AW336" s="486"/>
      <c r="AX336" s="486"/>
      <c r="AY336" s="487"/>
      <c r="AZ336" s="462"/>
      <c r="BA336" s="463"/>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5">
      <c r="A337" s="435"/>
      <c r="B337" s="36"/>
      <c r="C337" s="199" t="str">
        <f t="shared" ca="1" si="6"/>
        <v/>
      </c>
      <c r="D337" s="479"/>
      <c r="E337" s="480"/>
      <c r="F337" s="480"/>
      <c r="G337" s="480"/>
      <c r="H337" s="480"/>
      <c r="I337" s="480"/>
      <c r="J337" s="480"/>
      <c r="K337" s="440"/>
      <c r="L337" s="441"/>
      <c r="M337" s="441"/>
      <c r="N337" s="441"/>
      <c r="O337" s="441"/>
      <c r="P337" s="441"/>
      <c r="Q337" s="441"/>
      <c r="R337" s="444"/>
      <c r="S337" s="445"/>
      <c r="T337" s="444"/>
      <c r="U337" s="445"/>
      <c r="V337" s="440"/>
      <c r="W337" s="441"/>
      <c r="X337" s="441"/>
      <c r="Y337" s="441"/>
      <c r="Z337" s="441"/>
      <c r="AA337" s="441"/>
      <c r="AB337" s="441"/>
      <c r="AC337" s="441"/>
      <c r="AD337" s="440"/>
      <c r="AE337" s="441"/>
      <c r="AF337" s="441"/>
      <c r="AG337" s="441"/>
      <c r="AH337" s="441"/>
      <c r="AI337" s="441"/>
      <c r="AJ337" s="441"/>
      <c r="AK337" s="450"/>
      <c r="AL337" s="440"/>
      <c r="AM337" s="441"/>
      <c r="AN337" s="441"/>
      <c r="AO337" s="441"/>
      <c r="AP337" s="441"/>
      <c r="AQ337" s="441"/>
      <c r="AR337" s="450"/>
      <c r="AS337" s="485"/>
      <c r="AT337" s="486"/>
      <c r="AU337" s="486"/>
      <c r="AV337" s="486"/>
      <c r="AW337" s="486"/>
      <c r="AX337" s="486"/>
      <c r="AY337" s="487"/>
      <c r="AZ337" s="462"/>
      <c r="BA337" s="463"/>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5">
      <c r="A338" s="435"/>
      <c r="B338" s="36"/>
      <c r="C338" s="199" t="str">
        <f t="shared" ref="C338:C401" ca="1" si="7">IF(AND(OFFSET($K338,-($BB338-1),0)&lt;&gt;"",OFFSET($R338,-($BB338-1),0)&lt;&gt;"x"),"●","")</f>
        <v/>
      </c>
      <c r="D338" s="479"/>
      <c r="E338" s="480"/>
      <c r="F338" s="480"/>
      <c r="G338" s="480"/>
      <c r="H338" s="480"/>
      <c r="I338" s="480"/>
      <c r="J338" s="480"/>
      <c r="K338" s="440"/>
      <c r="L338" s="441"/>
      <c r="M338" s="441"/>
      <c r="N338" s="441"/>
      <c r="O338" s="441"/>
      <c r="P338" s="441"/>
      <c r="Q338" s="441"/>
      <c r="R338" s="444"/>
      <c r="S338" s="445"/>
      <c r="T338" s="444"/>
      <c r="U338" s="445"/>
      <c r="V338" s="440"/>
      <c r="W338" s="441"/>
      <c r="X338" s="441"/>
      <c r="Y338" s="441"/>
      <c r="Z338" s="441"/>
      <c r="AA338" s="441"/>
      <c r="AB338" s="441"/>
      <c r="AC338" s="441"/>
      <c r="AD338" s="440"/>
      <c r="AE338" s="441"/>
      <c r="AF338" s="441"/>
      <c r="AG338" s="441"/>
      <c r="AH338" s="441"/>
      <c r="AI338" s="441"/>
      <c r="AJ338" s="441"/>
      <c r="AK338" s="450"/>
      <c r="AL338" s="440"/>
      <c r="AM338" s="441"/>
      <c r="AN338" s="441"/>
      <c r="AO338" s="441"/>
      <c r="AP338" s="441"/>
      <c r="AQ338" s="441"/>
      <c r="AR338" s="450"/>
      <c r="AS338" s="485"/>
      <c r="AT338" s="486"/>
      <c r="AU338" s="486"/>
      <c r="AV338" s="486"/>
      <c r="AW338" s="486"/>
      <c r="AX338" s="486"/>
      <c r="AY338" s="487"/>
      <c r="AZ338" s="462"/>
      <c r="BA338" s="463"/>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5">
      <c r="A339" s="435"/>
      <c r="B339" s="36"/>
      <c r="C339" s="199" t="str">
        <f t="shared" ca="1" si="7"/>
        <v/>
      </c>
      <c r="D339" s="479"/>
      <c r="E339" s="480"/>
      <c r="F339" s="480"/>
      <c r="G339" s="480"/>
      <c r="H339" s="480"/>
      <c r="I339" s="480"/>
      <c r="J339" s="480"/>
      <c r="K339" s="440"/>
      <c r="L339" s="441"/>
      <c r="M339" s="441"/>
      <c r="N339" s="441"/>
      <c r="O339" s="441"/>
      <c r="P339" s="441"/>
      <c r="Q339" s="441"/>
      <c r="R339" s="444"/>
      <c r="S339" s="445"/>
      <c r="T339" s="444"/>
      <c r="U339" s="445"/>
      <c r="V339" s="440"/>
      <c r="W339" s="441"/>
      <c r="X339" s="441"/>
      <c r="Y339" s="441"/>
      <c r="Z339" s="441"/>
      <c r="AA339" s="441"/>
      <c r="AB339" s="441"/>
      <c r="AC339" s="441"/>
      <c r="AD339" s="440"/>
      <c r="AE339" s="441"/>
      <c r="AF339" s="441"/>
      <c r="AG339" s="441"/>
      <c r="AH339" s="441"/>
      <c r="AI339" s="441"/>
      <c r="AJ339" s="441"/>
      <c r="AK339" s="450"/>
      <c r="AL339" s="440"/>
      <c r="AM339" s="441"/>
      <c r="AN339" s="441"/>
      <c r="AO339" s="441"/>
      <c r="AP339" s="441"/>
      <c r="AQ339" s="441"/>
      <c r="AR339" s="450"/>
      <c r="AS339" s="485"/>
      <c r="AT339" s="486"/>
      <c r="AU339" s="486"/>
      <c r="AV339" s="486"/>
      <c r="AW339" s="486"/>
      <c r="AX339" s="486"/>
      <c r="AY339" s="487"/>
      <c r="AZ339" s="462"/>
      <c r="BA339" s="463"/>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5">
      <c r="A340" s="436"/>
      <c r="B340" s="37"/>
      <c r="C340" s="200" t="str">
        <f t="shared" ca="1" si="7"/>
        <v/>
      </c>
      <c r="D340" s="481"/>
      <c r="E340" s="482"/>
      <c r="F340" s="482"/>
      <c r="G340" s="482"/>
      <c r="H340" s="482"/>
      <c r="I340" s="482"/>
      <c r="J340" s="482"/>
      <c r="K340" s="409"/>
      <c r="L340" s="410"/>
      <c r="M340" s="410"/>
      <c r="N340" s="410"/>
      <c r="O340" s="410"/>
      <c r="P340" s="410"/>
      <c r="Q340" s="410"/>
      <c r="R340" s="446"/>
      <c r="S340" s="447"/>
      <c r="T340" s="446"/>
      <c r="U340" s="447"/>
      <c r="V340" s="409"/>
      <c r="W340" s="410"/>
      <c r="X340" s="410"/>
      <c r="Y340" s="410"/>
      <c r="Z340" s="410"/>
      <c r="AA340" s="410"/>
      <c r="AB340" s="410"/>
      <c r="AC340" s="410"/>
      <c r="AD340" s="409"/>
      <c r="AE340" s="410"/>
      <c r="AF340" s="410"/>
      <c r="AG340" s="410"/>
      <c r="AH340" s="410"/>
      <c r="AI340" s="410"/>
      <c r="AJ340" s="410"/>
      <c r="AK340" s="411"/>
      <c r="AL340" s="409"/>
      <c r="AM340" s="410"/>
      <c r="AN340" s="410"/>
      <c r="AO340" s="410"/>
      <c r="AP340" s="410"/>
      <c r="AQ340" s="410"/>
      <c r="AR340" s="411"/>
      <c r="AS340" s="488"/>
      <c r="AT340" s="489"/>
      <c r="AU340" s="489"/>
      <c r="AV340" s="489"/>
      <c r="AW340" s="489"/>
      <c r="AX340" s="489"/>
      <c r="AY340" s="490"/>
      <c r="AZ340" s="464"/>
      <c r="BA340" s="465"/>
      <c r="BB340" s="62">
        <v>6</v>
      </c>
      <c r="BC340" s="426"/>
      <c r="BD340" s="427"/>
      <c r="BE340" s="427"/>
      <c r="BF340" s="428"/>
      <c r="BG340" s="429"/>
      <c r="BH340" s="430"/>
      <c r="BI340" s="196"/>
      <c r="BJ340" s="474"/>
      <c r="BK340" s="475"/>
      <c r="BL340" s="475"/>
      <c r="BM340" s="475"/>
      <c r="BN340" s="475"/>
      <c r="BO340" s="476"/>
      <c r="BP340" s="474"/>
      <c r="BQ340" s="475"/>
      <c r="BR340" s="475"/>
      <c r="BS340" s="475"/>
      <c r="BT340" s="475"/>
      <c r="BU340" s="476"/>
      <c r="BV340" s="474"/>
      <c r="BW340" s="475"/>
      <c r="BX340" s="475"/>
      <c r="BY340" s="475"/>
      <c r="BZ340" s="475"/>
      <c r="CA340" s="476"/>
      <c r="CB340" s="426"/>
      <c r="CC340" s="427"/>
      <c r="CD340" s="427"/>
      <c r="CE340" s="428"/>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5">
      <c r="A341" s="434">
        <v>56</v>
      </c>
      <c r="B341" s="36"/>
      <c r="C341" s="198" t="str">
        <f t="shared" ca="1" si="7"/>
        <v/>
      </c>
      <c r="D341" s="477"/>
      <c r="E341" s="478"/>
      <c r="F341" s="478"/>
      <c r="G341" s="478"/>
      <c r="H341" s="478"/>
      <c r="I341" s="478"/>
      <c r="J341" s="478"/>
      <c r="K341" s="438" t="s">
        <v>400</v>
      </c>
      <c r="L341" s="439"/>
      <c r="M341" s="439"/>
      <c r="N341" s="439"/>
      <c r="O341" s="439"/>
      <c r="P341" s="439"/>
      <c r="Q341" s="439"/>
      <c r="R341" s="442" t="s">
        <v>186</v>
      </c>
      <c r="S341" s="443"/>
      <c r="T341" s="442"/>
      <c r="U341" s="443"/>
      <c r="V341" s="438"/>
      <c r="W341" s="439"/>
      <c r="X341" s="439"/>
      <c r="Y341" s="439"/>
      <c r="Z341" s="439"/>
      <c r="AA341" s="439"/>
      <c r="AB341" s="439"/>
      <c r="AC341" s="439"/>
      <c r="AD341" s="438"/>
      <c r="AE341" s="439"/>
      <c r="AF341" s="439"/>
      <c r="AG341" s="439"/>
      <c r="AH341" s="439"/>
      <c r="AI341" s="439"/>
      <c r="AJ341" s="439"/>
      <c r="AK341" s="449"/>
      <c r="AL341" s="438"/>
      <c r="AM341" s="439"/>
      <c r="AN341" s="439"/>
      <c r="AO341" s="439"/>
      <c r="AP341" s="439"/>
      <c r="AQ341" s="439"/>
      <c r="AR341" s="449"/>
      <c r="AS341" s="500"/>
      <c r="AT341" s="483"/>
      <c r="AU341" s="483"/>
      <c r="AV341" s="483"/>
      <c r="AW341" s="483"/>
      <c r="AX341" s="483"/>
      <c r="AY341" s="484"/>
      <c r="AZ341" s="460"/>
      <c r="BA341" s="461"/>
      <c r="BB341" s="60">
        <v>1</v>
      </c>
      <c r="BC341" s="466"/>
      <c r="BD341" s="467"/>
      <c r="BE341" s="467"/>
      <c r="BF341" s="468"/>
      <c r="BG341" s="469"/>
      <c r="BH341" s="470"/>
      <c r="BI341" s="194"/>
      <c r="BJ341" s="471"/>
      <c r="BK341" s="472"/>
      <c r="BL341" s="472"/>
      <c r="BM341" s="472"/>
      <c r="BN341" s="472"/>
      <c r="BO341" s="473"/>
      <c r="BP341" s="471"/>
      <c r="BQ341" s="472"/>
      <c r="BR341" s="472"/>
      <c r="BS341" s="472"/>
      <c r="BT341" s="472"/>
      <c r="BU341" s="473"/>
      <c r="BV341" s="471"/>
      <c r="BW341" s="472"/>
      <c r="BX341" s="472"/>
      <c r="BY341" s="472"/>
      <c r="BZ341" s="472"/>
      <c r="CA341" s="473"/>
      <c r="CB341" s="466"/>
      <c r="CC341" s="467"/>
      <c r="CD341" s="467"/>
      <c r="CE341" s="468"/>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5">
      <c r="A342" s="435"/>
      <c r="B342" s="36"/>
      <c r="C342" s="199" t="str">
        <f t="shared" ca="1" si="7"/>
        <v/>
      </c>
      <c r="D342" s="479"/>
      <c r="E342" s="480"/>
      <c r="F342" s="480"/>
      <c r="G342" s="480"/>
      <c r="H342" s="480"/>
      <c r="I342" s="480"/>
      <c r="J342" s="480"/>
      <c r="K342" s="440"/>
      <c r="L342" s="441"/>
      <c r="M342" s="441"/>
      <c r="N342" s="441"/>
      <c r="O342" s="441"/>
      <c r="P342" s="441"/>
      <c r="Q342" s="441"/>
      <c r="R342" s="444"/>
      <c r="S342" s="445"/>
      <c r="T342" s="444"/>
      <c r="U342" s="445"/>
      <c r="V342" s="440"/>
      <c r="W342" s="441"/>
      <c r="X342" s="441"/>
      <c r="Y342" s="441"/>
      <c r="Z342" s="441"/>
      <c r="AA342" s="441"/>
      <c r="AB342" s="441"/>
      <c r="AC342" s="441"/>
      <c r="AD342" s="440"/>
      <c r="AE342" s="441"/>
      <c r="AF342" s="441"/>
      <c r="AG342" s="441"/>
      <c r="AH342" s="441"/>
      <c r="AI342" s="441"/>
      <c r="AJ342" s="441"/>
      <c r="AK342" s="450"/>
      <c r="AL342" s="440"/>
      <c r="AM342" s="441"/>
      <c r="AN342" s="441"/>
      <c r="AO342" s="441"/>
      <c r="AP342" s="441"/>
      <c r="AQ342" s="441"/>
      <c r="AR342" s="450"/>
      <c r="AS342" s="485"/>
      <c r="AT342" s="486"/>
      <c r="AU342" s="486"/>
      <c r="AV342" s="486"/>
      <c r="AW342" s="486"/>
      <c r="AX342" s="486"/>
      <c r="AY342" s="487"/>
      <c r="AZ342" s="462"/>
      <c r="BA342" s="463"/>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5">
      <c r="A343" s="435"/>
      <c r="B343" s="36"/>
      <c r="C343" s="199" t="str">
        <f t="shared" ca="1" si="7"/>
        <v/>
      </c>
      <c r="D343" s="479"/>
      <c r="E343" s="480"/>
      <c r="F343" s="480"/>
      <c r="G343" s="480"/>
      <c r="H343" s="480"/>
      <c r="I343" s="480"/>
      <c r="J343" s="480"/>
      <c r="K343" s="440"/>
      <c r="L343" s="441"/>
      <c r="M343" s="441"/>
      <c r="N343" s="441"/>
      <c r="O343" s="441"/>
      <c r="P343" s="441"/>
      <c r="Q343" s="441"/>
      <c r="R343" s="444"/>
      <c r="S343" s="445"/>
      <c r="T343" s="444"/>
      <c r="U343" s="445"/>
      <c r="V343" s="440"/>
      <c r="W343" s="441"/>
      <c r="X343" s="441"/>
      <c r="Y343" s="441"/>
      <c r="Z343" s="441"/>
      <c r="AA343" s="441"/>
      <c r="AB343" s="441"/>
      <c r="AC343" s="441"/>
      <c r="AD343" s="440"/>
      <c r="AE343" s="441"/>
      <c r="AF343" s="441"/>
      <c r="AG343" s="441"/>
      <c r="AH343" s="441"/>
      <c r="AI343" s="441"/>
      <c r="AJ343" s="441"/>
      <c r="AK343" s="450"/>
      <c r="AL343" s="440"/>
      <c r="AM343" s="441"/>
      <c r="AN343" s="441"/>
      <c r="AO343" s="441"/>
      <c r="AP343" s="441"/>
      <c r="AQ343" s="441"/>
      <c r="AR343" s="450"/>
      <c r="AS343" s="485"/>
      <c r="AT343" s="486"/>
      <c r="AU343" s="486"/>
      <c r="AV343" s="486"/>
      <c r="AW343" s="486"/>
      <c r="AX343" s="486"/>
      <c r="AY343" s="487"/>
      <c r="AZ343" s="462"/>
      <c r="BA343" s="463"/>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5">
      <c r="A344" s="435"/>
      <c r="B344" s="36"/>
      <c r="C344" s="199" t="str">
        <f t="shared" ca="1" si="7"/>
        <v/>
      </c>
      <c r="D344" s="479"/>
      <c r="E344" s="480"/>
      <c r="F344" s="480"/>
      <c r="G344" s="480"/>
      <c r="H344" s="480"/>
      <c r="I344" s="480"/>
      <c r="J344" s="480"/>
      <c r="K344" s="440"/>
      <c r="L344" s="441"/>
      <c r="M344" s="441"/>
      <c r="N344" s="441"/>
      <c r="O344" s="441"/>
      <c r="P344" s="441"/>
      <c r="Q344" s="441"/>
      <c r="R344" s="444"/>
      <c r="S344" s="445"/>
      <c r="T344" s="444"/>
      <c r="U344" s="445"/>
      <c r="V344" s="440"/>
      <c r="W344" s="441"/>
      <c r="X344" s="441"/>
      <c r="Y344" s="441"/>
      <c r="Z344" s="441"/>
      <c r="AA344" s="441"/>
      <c r="AB344" s="441"/>
      <c r="AC344" s="441"/>
      <c r="AD344" s="440"/>
      <c r="AE344" s="441"/>
      <c r="AF344" s="441"/>
      <c r="AG344" s="441"/>
      <c r="AH344" s="441"/>
      <c r="AI344" s="441"/>
      <c r="AJ344" s="441"/>
      <c r="AK344" s="450"/>
      <c r="AL344" s="440"/>
      <c r="AM344" s="441"/>
      <c r="AN344" s="441"/>
      <c r="AO344" s="441"/>
      <c r="AP344" s="441"/>
      <c r="AQ344" s="441"/>
      <c r="AR344" s="450"/>
      <c r="AS344" s="485"/>
      <c r="AT344" s="486"/>
      <c r="AU344" s="486"/>
      <c r="AV344" s="486"/>
      <c r="AW344" s="486"/>
      <c r="AX344" s="486"/>
      <c r="AY344" s="487"/>
      <c r="AZ344" s="462"/>
      <c r="BA344" s="463"/>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5">
      <c r="A345" s="435"/>
      <c r="B345" s="36"/>
      <c r="C345" s="199" t="str">
        <f t="shared" ca="1" si="7"/>
        <v/>
      </c>
      <c r="D345" s="479"/>
      <c r="E345" s="480"/>
      <c r="F345" s="480"/>
      <c r="G345" s="480"/>
      <c r="H345" s="480"/>
      <c r="I345" s="480"/>
      <c r="J345" s="480"/>
      <c r="K345" s="440"/>
      <c r="L345" s="441"/>
      <c r="M345" s="441"/>
      <c r="N345" s="441"/>
      <c r="O345" s="441"/>
      <c r="P345" s="441"/>
      <c r="Q345" s="441"/>
      <c r="R345" s="444"/>
      <c r="S345" s="445"/>
      <c r="T345" s="444"/>
      <c r="U345" s="445"/>
      <c r="V345" s="440"/>
      <c r="W345" s="441"/>
      <c r="X345" s="441"/>
      <c r="Y345" s="441"/>
      <c r="Z345" s="441"/>
      <c r="AA345" s="441"/>
      <c r="AB345" s="441"/>
      <c r="AC345" s="441"/>
      <c r="AD345" s="440"/>
      <c r="AE345" s="441"/>
      <c r="AF345" s="441"/>
      <c r="AG345" s="441"/>
      <c r="AH345" s="441"/>
      <c r="AI345" s="441"/>
      <c r="AJ345" s="441"/>
      <c r="AK345" s="450"/>
      <c r="AL345" s="440"/>
      <c r="AM345" s="441"/>
      <c r="AN345" s="441"/>
      <c r="AO345" s="441"/>
      <c r="AP345" s="441"/>
      <c r="AQ345" s="441"/>
      <c r="AR345" s="450"/>
      <c r="AS345" s="485"/>
      <c r="AT345" s="486"/>
      <c r="AU345" s="486"/>
      <c r="AV345" s="486"/>
      <c r="AW345" s="486"/>
      <c r="AX345" s="486"/>
      <c r="AY345" s="487"/>
      <c r="AZ345" s="462"/>
      <c r="BA345" s="463"/>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5">
      <c r="A346" s="436"/>
      <c r="B346" s="37"/>
      <c r="C346" s="200" t="str">
        <f t="shared" ca="1" si="7"/>
        <v/>
      </c>
      <c r="D346" s="481"/>
      <c r="E346" s="482"/>
      <c r="F346" s="482"/>
      <c r="G346" s="482"/>
      <c r="H346" s="482"/>
      <c r="I346" s="482"/>
      <c r="J346" s="482"/>
      <c r="K346" s="409"/>
      <c r="L346" s="410"/>
      <c r="M346" s="410"/>
      <c r="N346" s="410"/>
      <c r="O346" s="410"/>
      <c r="P346" s="410"/>
      <c r="Q346" s="410"/>
      <c r="R346" s="446"/>
      <c r="S346" s="447"/>
      <c r="T346" s="446"/>
      <c r="U346" s="447"/>
      <c r="V346" s="409"/>
      <c r="W346" s="410"/>
      <c r="X346" s="410"/>
      <c r="Y346" s="410"/>
      <c r="Z346" s="410"/>
      <c r="AA346" s="410"/>
      <c r="AB346" s="410"/>
      <c r="AC346" s="410"/>
      <c r="AD346" s="409"/>
      <c r="AE346" s="410"/>
      <c r="AF346" s="410"/>
      <c r="AG346" s="410"/>
      <c r="AH346" s="410"/>
      <c r="AI346" s="410"/>
      <c r="AJ346" s="410"/>
      <c r="AK346" s="411"/>
      <c r="AL346" s="409"/>
      <c r="AM346" s="410"/>
      <c r="AN346" s="410"/>
      <c r="AO346" s="410"/>
      <c r="AP346" s="410"/>
      <c r="AQ346" s="410"/>
      <c r="AR346" s="411"/>
      <c r="AS346" s="488"/>
      <c r="AT346" s="489"/>
      <c r="AU346" s="489"/>
      <c r="AV346" s="489"/>
      <c r="AW346" s="489"/>
      <c r="AX346" s="489"/>
      <c r="AY346" s="490"/>
      <c r="AZ346" s="464"/>
      <c r="BA346" s="465"/>
      <c r="BB346" s="62">
        <v>6</v>
      </c>
      <c r="BC346" s="426"/>
      <c r="BD346" s="427"/>
      <c r="BE346" s="427"/>
      <c r="BF346" s="428"/>
      <c r="BG346" s="429"/>
      <c r="BH346" s="430"/>
      <c r="BI346" s="196"/>
      <c r="BJ346" s="474"/>
      <c r="BK346" s="475"/>
      <c r="BL346" s="475"/>
      <c r="BM346" s="475"/>
      <c r="BN346" s="475"/>
      <c r="BO346" s="476"/>
      <c r="BP346" s="474"/>
      <c r="BQ346" s="475"/>
      <c r="BR346" s="475"/>
      <c r="BS346" s="475"/>
      <c r="BT346" s="475"/>
      <c r="BU346" s="476"/>
      <c r="BV346" s="474"/>
      <c r="BW346" s="475"/>
      <c r="BX346" s="475"/>
      <c r="BY346" s="475"/>
      <c r="BZ346" s="475"/>
      <c r="CA346" s="476"/>
      <c r="CB346" s="426"/>
      <c r="CC346" s="427"/>
      <c r="CD346" s="427"/>
      <c r="CE346" s="428"/>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5">
      <c r="A347" s="434">
        <v>57</v>
      </c>
      <c r="B347" s="36"/>
      <c r="C347" s="198" t="str">
        <f t="shared" ca="1" si="7"/>
        <v/>
      </c>
      <c r="D347" s="477"/>
      <c r="E347" s="478"/>
      <c r="F347" s="478"/>
      <c r="G347" s="478"/>
      <c r="H347" s="478"/>
      <c r="I347" s="478"/>
      <c r="J347" s="478"/>
      <c r="K347" s="438" t="s">
        <v>401</v>
      </c>
      <c r="L347" s="439"/>
      <c r="M347" s="439"/>
      <c r="N347" s="439"/>
      <c r="O347" s="439"/>
      <c r="P347" s="439"/>
      <c r="Q347" s="439"/>
      <c r="R347" s="442" t="s">
        <v>186</v>
      </c>
      <c r="S347" s="443"/>
      <c r="T347" s="442"/>
      <c r="U347" s="443"/>
      <c r="V347" s="438"/>
      <c r="W347" s="439"/>
      <c r="X347" s="439"/>
      <c r="Y347" s="439"/>
      <c r="Z347" s="439"/>
      <c r="AA347" s="439"/>
      <c r="AB347" s="439"/>
      <c r="AC347" s="439"/>
      <c r="AD347" s="438"/>
      <c r="AE347" s="439"/>
      <c r="AF347" s="439"/>
      <c r="AG347" s="439"/>
      <c r="AH347" s="439"/>
      <c r="AI347" s="439"/>
      <c r="AJ347" s="439"/>
      <c r="AK347" s="449"/>
      <c r="AL347" s="438"/>
      <c r="AM347" s="439"/>
      <c r="AN347" s="439"/>
      <c r="AO347" s="439"/>
      <c r="AP347" s="439"/>
      <c r="AQ347" s="439"/>
      <c r="AR347" s="449"/>
      <c r="AS347" s="500"/>
      <c r="AT347" s="483"/>
      <c r="AU347" s="483"/>
      <c r="AV347" s="483"/>
      <c r="AW347" s="483"/>
      <c r="AX347" s="483"/>
      <c r="AY347" s="484"/>
      <c r="AZ347" s="460"/>
      <c r="BA347" s="461"/>
      <c r="BB347" s="60">
        <v>1</v>
      </c>
      <c r="BC347" s="466"/>
      <c r="BD347" s="467"/>
      <c r="BE347" s="467"/>
      <c r="BF347" s="468"/>
      <c r="BG347" s="469"/>
      <c r="BH347" s="470"/>
      <c r="BI347" s="194"/>
      <c r="BJ347" s="471"/>
      <c r="BK347" s="472"/>
      <c r="BL347" s="472"/>
      <c r="BM347" s="472"/>
      <c r="BN347" s="472"/>
      <c r="BO347" s="473"/>
      <c r="BP347" s="471"/>
      <c r="BQ347" s="472"/>
      <c r="BR347" s="472"/>
      <c r="BS347" s="472"/>
      <c r="BT347" s="472"/>
      <c r="BU347" s="473"/>
      <c r="BV347" s="471"/>
      <c r="BW347" s="472"/>
      <c r="BX347" s="472"/>
      <c r="BY347" s="472"/>
      <c r="BZ347" s="472"/>
      <c r="CA347" s="473"/>
      <c r="CB347" s="466"/>
      <c r="CC347" s="467"/>
      <c r="CD347" s="467"/>
      <c r="CE347" s="468"/>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5">
      <c r="A348" s="435"/>
      <c r="B348" s="36"/>
      <c r="C348" s="199" t="str">
        <f t="shared" ca="1" si="7"/>
        <v/>
      </c>
      <c r="D348" s="479"/>
      <c r="E348" s="480"/>
      <c r="F348" s="480"/>
      <c r="G348" s="480"/>
      <c r="H348" s="480"/>
      <c r="I348" s="480"/>
      <c r="J348" s="480"/>
      <c r="K348" s="440"/>
      <c r="L348" s="441"/>
      <c r="M348" s="441"/>
      <c r="N348" s="441"/>
      <c r="O348" s="441"/>
      <c r="P348" s="441"/>
      <c r="Q348" s="441"/>
      <c r="R348" s="444"/>
      <c r="S348" s="445"/>
      <c r="T348" s="444"/>
      <c r="U348" s="445"/>
      <c r="V348" s="440"/>
      <c r="W348" s="441"/>
      <c r="X348" s="441"/>
      <c r="Y348" s="441"/>
      <c r="Z348" s="441"/>
      <c r="AA348" s="441"/>
      <c r="AB348" s="441"/>
      <c r="AC348" s="441"/>
      <c r="AD348" s="440"/>
      <c r="AE348" s="441"/>
      <c r="AF348" s="441"/>
      <c r="AG348" s="441"/>
      <c r="AH348" s="441"/>
      <c r="AI348" s="441"/>
      <c r="AJ348" s="441"/>
      <c r="AK348" s="450"/>
      <c r="AL348" s="440"/>
      <c r="AM348" s="441"/>
      <c r="AN348" s="441"/>
      <c r="AO348" s="441"/>
      <c r="AP348" s="441"/>
      <c r="AQ348" s="441"/>
      <c r="AR348" s="450"/>
      <c r="AS348" s="485"/>
      <c r="AT348" s="486"/>
      <c r="AU348" s="486"/>
      <c r="AV348" s="486"/>
      <c r="AW348" s="486"/>
      <c r="AX348" s="486"/>
      <c r="AY348" s="487"/>
      <c r="AZ348" s="462"/>
      <c r="BA348" s="463"/>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5">
      <c r="A349" s="435"/>
      <c r="B349" s="36"/>
      <c r="C349" s="199" t="str">
        <f t="shared" ca="1" si="7"/>
        <v/>
      </c>
      <c r="D349" s="479"/>
      <c r="E349" s="480"/>
      <c r="F349" s="480"/>
      <c r="G349" s="480"/>
      <c r="H349" s="480"/>
      <c r="I349" s="480"/>
      <c r="J349" s="480"/>
      <c r="K349" s="440"/>
      <c r="L349" s="441"/>
      <c r="M349" s="441"/>
      <c r="N349" s="441"/>
      <c r="O349" s="441"/>
      <c r="P349" s="441"/>
      <c r="Q349" s="441"/>
      <c r="R349" s="444"/>
      <c r="S349" s="445"/>
      <c r="T349" s="444"/>
      <c r="U349" s="445"/>
      <c r="V349" s="440"/>
      <c r="W349" s="441"/>
      <c r="X349" s="441"/>
      <c r="Y349" s="441"/>
      <c r="Z349" s="441"/>
      <c r="AA349" s="441"/>
      <c r="AB349" s="441"/>
      <c r="AC349" s="441"/>
      <c r="AD349" s="440"/>
      <c r="AE349" s="441"/>
      <c r="AF349" s="441"/>
      <c r="AG349" s="441"/>
      <c r="AH349" s="441"/>
      <c r="AI349" s="441"/>
      <c r="AJ349" s="441"/>
      <c r="AK349" s="450"/>
      <c r="AL349" s="440"/>
      <c r="AM349" s="441"/>
      <c r="AN349" s="441"/>
      <c r="AO349" s="441"/>
      <c r="AP349" s="441"/>
      <c r="AQ349" s="441"/>
      <c r="AR349" s="450"/>
      <c r="AS349" s="485"/>
      <c r="AT349" s="486"/>
      <c r="AU349" s="486"/>
      <c r="AV349" s="486"/>
      <c r="AW349" s="486"/>
      <c r="AX349" s="486"/>
      <c r="AY349" s="487"/>
      <c r="AZ349" s="462"/>
      <c r="BA349" s="463"/>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5">
      <c r="A350" s="435"/>
      <c r="B350" s="36"/>
      <c r="C350" s="199" t="str">
        <f t="shared" ca="1" si="7"/>
        <v/>
      </c>
      <c r="D350" s="479"/>
      <c r="E350" s="480"/>
      <c r="F350" s="480"/>
      <c r="G350" s="480"/>
      <c r="H350" s="480"/>
      <c r="I350" s="480"/>
      <c r="J350" s="480"/>
      <c r="K350" s="440"/>
      <c r="L350" s="441"/>
      <c r="M350" s="441"/>
      <c r="N350" s="441"/>
      <c r="O350" s="441"/>
      <c r="P350" s="441"/>
      <c r="Q350" s="441"/>
      <c r="R350" s="444"/>
      <c r="S350" s="445"/>
      <c r="T350" s="444"/>
      <c r="U350" s="445"/>
      <c r="V350" s="440"/>
      <c r="W350" s="441"/>
      <c r="X350" s="441"/>
      <c r="Y350" s="441"/>
      <c r="Z350" s="441"/>
      <c r="AA350" s="441"/>
      <c r="AB350" s="441"/>
      <c r="AC350" s="441"/>
      <c r="AD350" s="440"/>
      <c r="AE350" s="441"/>
      <c r="AF350" s="441"/>
      <c r="AG350" s="441"/>
      <c r="AH350" s="441"/>
      <c r="AI350" s="441"/>
      <c r="AJ350" s="441"/>
      <c r="AK350" s="450"/>
      <c r="AL350" s="440"/>
      <c r="AM350" s="441"/>
      <c r="AN350" s="441"/>
      <c r="AO350" s="441"/>
      <c r="AP350" s="441"/>
      <c r="AQ350" s="441"/>
      <c r="AR350" s="450"/>
      <c r="AS350" s="485"/>
      <c r="AT350" s="486"/>
      <c r="AU350" s="486"/>
      <c r="AV350" s="486"/>
      <c r="AW350" s="486"/>
      <c r="AX350" s="486"/>
      <c r="AY350" s="487"/>
      <c r="AZ350" s="462"/>
      <c r="BA350" s="463"/>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5">
      <c r="A351" s="435"/>
      <c r="B351" s="36"/>
      <c r="C351" s="199" t="str">
        <f t="shared" ca="1" si="7"/>
        <v/>
      </c>
      <c r="D351" s="479"/>
      <c r="E351" s="480"/>
      <c r="F351" s="480"/>
      <c r="G351" s="480"/>
      <c r="H351" s="480"/>
      <c r="I351" s="480"/>
      <c r="J351" s="480"/>
      <c r="K351" s="440"/>
      <c r="L351" s="441"/>
      <c r="M351" s="441"/>
      <c r="N351" s="441"/>
      <c r="O351" s="441"/>
      <c r="P351" s="441"/>
      <c r="Q351" s="441"/>
      <c r="R351" s="444"/>
      <c r="S351" s="445"/>
      <c r="T351" s="444"/>
      <c r="U351" s="445"/>
      <c r="V351" s="440"/>
      <c r="W351" s="441"/>
      <c r="X351" s="441"/>
      <c r="Y351" s="441"/>
      <c r="Z351" s="441"/>
      <c r="AA351" s="441"/>
      <c r="AB351" s="441"/>
      <c r="AC351" s="441"/>
      <c r="AD351" s="440"/>
      <c r="AE351" s="441"/>
      <c r="AF351" s="441"/>
      <c r="AG351" s="441"/>
      <c r="AH351" s="441"/>
      <c r="AI351" s="441"/>
      <c r="AJ351" s="441"/>
      <c r="AK351" s="450"/>
      <c r="AL351" s="440"/>
      <c r="AM351" s="441"/>
      <c r="AN351" s="441"/>
      <c r="AO351" s="441"/>
      <c r="AP351" s="441"/>
      <c r="AQ351" s="441"/>
      <c r="AR351" s="450"/>
      <c r="AS351" s="485"/>
      <c r="AT351" s="486"/>
      <c r="AU351" s="486"/>
      <c r="AV351" s="486"/>
      <c r="AW351" s="486"/>
      <c r="AX351" s="486"/>
      <c r="AY351" s="487"/>
      <c r="AZ351" s="462"/>
      <c r="BA351" s="463"/>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16.5">
      <c r="A352" s="436"/>
      <c r="B352" s="37"/>
      <c r="C352" s="200" t="str">
        <f t="shared" ca="1" si="7"/>
        <v/>
      </c>
      <c r="D352" s="481"/>
      <c r="E352" s="482"/>
      <c r="F352" s="482"/>
      <c r="G352" s="482"/>
      <c r="H352" s="482"/>
      <c r="I352" s="482"/>
      <c r="J352" s="482"/>
      <c r="K352" s="409"/>
      <c r="L352" s="410"/>
      <c r="M352" s="410"/>
      <c r="N352" s="410"/>
      <c r="O352" s="410"/>
      <c r="P352" s="410"/>
      <c r="Q352" s="410"/>
      <c r="R352" s="446"/>
      <c r="S352" s="447"/>
      <c r="T352" s="446"/>
      <c r="U352" s="447"/>
      <c r="V352" s="409"/>
      <c r="W352" s="410"/>
      <c r="X352" s="410"/>
      <c r="Y352" s="410"/>
      <c r="Z352" s="410"/>
      <c r="AA352" s="410"/>
      <c r="AB352" s="410"/>
      <c r="AC352" s="410"/>
      <c r="AD352" s="409"/>
      <c r="AE352" s="410"/>
      <c r="AF352" s="410"/>
      <c r="AG352" s="410"/>
      <c r="AH352" s="410"/>
      <c r="AI352" s="410"/>
      <c r="AJ352" s="410"/>
      <c r="AK352" s="411"/>
      <c r="AL352" s="409"/>
      <c r="AM352" s="410"/>
      <c r="AN352" s="410"/>
      <c r="AO352" s="410"/>
      <c r="AP352" s="410"/>
      <c r="AQ352" s="410"/>
      <c r="AR352" s="411"/>
      <c r="AS352" s="488"/>
      <c r="AT352" s="489"/>
      <c r="AU352" s="489"/>
      <c r="AV352" s="489"/>
      <c r="AW352" s="489"/>
      <c r="AX352" s="489"/>
      <c r="AY352" s="490"/>
      <c r="AZ352" s="464"/>
      <c r="BA352" s="465"/>
      <c r="BB352" s="62">
        <v>6</v>
      </c>
      <c r="BC352" s="426"/>
      <c r="BD352" s="427"/>
      <c r="BE352" s="427"/>
      <c r="BF352" s="428"/>
      <c r="BG352" s="429"/>
      <c r="BH352" s="430"/>
      <c r="BI352" s="196"/>
      <c r="BJ352" s="474"/>
      <c r="BK352" s="475"/>
      <c r="BL352" s="475"/>
      <c r="BM352" s="475"/>
      <c r="BN352" s="475"/>
      <c r="BO352" s="476"/>
      <c r="BP352" s="474"/>
      <c r="BQ352" s="475"/>
      <c r="BR352" s="475"/>
      <c r="BS352" s="475"/>
      <c r="BT352" s="475"/>
      <c r="BU352" s="476"/>
      <c r="BV352" s="474"/>
      <c r="BW352" s="475"/>
      <c r="BX352" s="475"/>
      <c r="BY352" s="475"/>
      <c r="BZ352" s="475"/>
      <c r="CA352" s="476"/>
      <c r="CB352" s="426"/>
      <c r="CC352" s="427"/>
      <c r="CD352" s="427"/>
      <c r="CE352" s="428"/>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5">
      <c r="A353" s="434">
        <v>58</v>
      </c>
      <c r="B353" s="36"/>
      <c r="C353" s="198" t="str">
        <f t="shared" ca="1" si="7"/>
        <v/>
      </c>
      <c r="D353" s="477"/>
      <c r="E353" s="478"/>
      <c r="F353" s="478"/>
      <c r="G353" s="478"/>
      <c r="H353" s="478"/>
      <c r="I353" s="478"/>
      <c r="J353" s="478"/>
      <c r="K353" s="438" t="s">
        <v>402</v>
      </c>
      <c r="L353" s="439"/>
      <c r="M353" s="439"/>
      <c r="N353" s="439"/>
      <c r="O353" s="439"/>
      <c r="P353" s="439"/>
      <c r="Q353" s="439"/>
      <c r="R353" s="442" t="s">
        <v>186</v>
      </c>
      <c r="S353" s="443"/>
      <c r="T353" s="442"/>
      <c r="U353" s="443"/>
      <c r="V353" s="438"/>
      <c r="W353" s="439"/>
      <c r="X353" s="439"/>
      <c r="Y353" s="439"/>
      <c r="Z353" s="439"/>
      <c r="AA353" s="439"/>
      <c r="AB353" s="439"/>
      <c r="AC353" s="439"/>
      <c r="AD353" s="438"/>
      <c r="AE353" s="439"/>
      <c r="AF353" s="439"/>
      <c r="AG353" s="439"/>
      <c r="AH353" s="439"/>
      <c r="AI353" s="439"/>
      <c r="AJ353" s="439"/>
      <c r="AK353" s="449"/>
      <c r="AL353" s="438"/>
      <c r="AM353" s="439"/>
      <c r="AN353" s="439"/>
      <c r="AO353" s="439"/>
      <c r="AP353" s="439"/>
      <c r="AQ353" s="439"/>
      <c r="AR353" s="449"/>
      <c r="AS353" s="500"/>
      <c r="AT353" s="483"/>
      <c r="AU353" s="483"/>
      <c r="AV353" s="483"/>
      <c r="AW353" s="483"/>
      <c r="AX353" s="483"/>
      <c r="AY353" s="484"/>
      <c r="AZ353" s="460"/>
      <c r="BA353" s="461"/>
      <c r="BB353" s="60">
        <v>1</v>
      </c>
      <c r="BC353" s="466"/>
      <c r="BD353" s="467"/>
      <c r="BE353" s="467"/>
      <c r="BF353" s="468"/>
      <c r="BG353" s="469"/>
      <c r="BH353" s="470"/>
      <c r="BI353" s="194"/>
      <c r="BJ353" s="471"/>
      <c r="BK353" s="472"/>
      <c r="BL353" s="472"/>
      <c r="BM353" s="472"/>
      <c r="BN353" s="472"/>
      <c r="BO353" s="473"/>
      <c r="BP353" s="471"/>
      <c r="BQ353" s="472"/>
      <c r="BR353" s="472"/>
      <c r="BS353" s="472"/>
      <c r="BT353" s="472"/>
      <c r="BU353" s="473"/>
      <c r="BV353" s="471"/>
      <c r="BW353" s="472"/>
      <c r="BX353" s="472"/>
      <c r="BY353" s="472"/>
      <c r="BZ353" s="472"/>
      <c r="CA353" s="473"/>
      <c r="CB353" s="466"/>
      <c r="CC353" s="467"/>
      <c r="CD353" s="467"/>
      <c r="CE353" s="468"/>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5">
      <c r="A354" s="435"/>
      <c r="B354" s="36"/>
      <c r="C354" s="199" t="str">
        <f t="shared" ca="1" si="7"/>
        <v/>
      </c>
      <c r="D354" s="479"/>
      <c r="E354" s="480"/>
      <c r="F354" s="480"/>
      <c r="G354" s="480"/>
      <c r="H354" s="480"/>
      <c r="I354" s="480"/>
      <c r="J354" s="480"/>
      <c r="K354" s="440"/>
      <c r="L354" s="441"/>
      <c r="M354" s="441"/>
      <c r="N354" s="441"/>
      <c r="O354" s="441"/>
      <c r="P354" s="441"/>
      <c r="Q354" s="441"/>
      <c r="R354" s="444"/>
      <c r="S354" s="445"/>
      <c r="T354" s="444"/>
      <c r="U354" s="445"/>
      <c r="V354" s="440"/>
      <c r="W354" s="441"/>
      <c r="X354" s="441"/>
      <c r="Y354" s="441"/>
      <c r="Z354" s="441"/>
      <c r="AA354" s="441"/>
      <c r="AB354" s="441"/>
      <c r="AC354" s="441"/>
      <c r="AD354" s="440"/>
      <c r="AE354" s="441"/>
      <c r="AF354" s="441"/>
      <c r="AG354" s="441"/>
      <c r="AH354" s="441"/>
      <c r="AI354" s="441"/>
      <c r="AJ354" s="441"/>
      <c r="AK354" s="450"/>
      <c r="AL354" s="440"/>
      <c r="AM354" s="441"/>
      <c r="AN354" s="441"/>
      <c r="AO354" s="441"/>
      <c r="AP354" s="441"/>
      <c r="AQ354" s="441"/>
      <c r="AR354" s="450"/>
      <c r="AS354" s="485"/>
      <c r="AT354" s="486"/>
      <c r="AU354" s="486"/>
      <c r="AV354" s="486"/>
      <c r="AW354" s="486"/>
      <c r="AX354" s="486"/>
      <c r="AY354" s="487"/>
      <c r="AZ354" s="462"/>
      <c r="BA354" s="463"/>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5">
      <c r="A355" s="435"/>
      <c r="B355" s="36"/>
      <c r="C355" s="199" t="str">
        <f t="shared" ca="1" si="7"/>
        <v/>
      </c>
      <c r="D355" s="479"/>
      <c r="E355" s="480"/>
      <c r="F355" s="480"/>
      <c r="G355" s="480"/>
      <c r="H355" s="480"/>
      <c r="I355" s="480"/>
      <c r="J355" s="480"/>
      <c r="K355" s="440"/>
      <c r="L355" s="441"/>
      <c r="M355" s="441"/>
      <c r="N355" s="441"/>
      <c r="O355" s="441"/>
      <c r="P355" s="441"/>
      <c r="Q355" s="441"/>
      <c r="R355" s="444"/>
      <c r="S355" s="445"/>
      <c r="T355" s="444"/>
      <c r="U355" s="445"/>
      <c r="V355" s="440"/>
      <c r="W355" s="441"/>
      <c r="X355" s="441"/>
      <c r="Y355" s="441"/>
      <c r="Z355" s="441"/>
      <c r="AA355" s="441"/>
      <c r="AB355" s="441"/>
      <c r="AC355" s="441"/>
      <c r="AD355" s="440"/>
      <c r="AE355" s="441"/>
      <c r="AF355" s="441"/>
      <c r="AG355" s="441"/>
      <c r="AH355" s="441"/>
      <c r="AI355" s="441"/>
      <c r="AJ355" s="441"/>
      <c r="AK355" s="450"/>
      <c r="AL355" s="440"/>
      <c r="AM355" s="441"/>
      <c r="AN355" s="441"/>
      <c r="AO355" s="441"/>
      <c r="AP355" s="441"/>
      <c r="AQ355" s="441"/>
      <c r="AR355" s="450"/>
      <c r="AS355" s="485"/>
      <c r="AT355" s="486"/>
      <c r="AU355" s="486"/>
      <c r="AV355" s="486"/>
      <c r="AW355" s="486"/>
      <c r="AX355" s="486"/>
      <c r="AY355" s="487"/>
      <c r="AZ355" s="462"/>
      <c r="BA355" s="463"/>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5">
      <c r="A356" s="435"/>
      <c r="B356" s="36"/>
      <c r="C356" s="199" t="str">
        <f t="shared" ca="1" si="7"/>
        <v/>
      </c>
      <c r="D356" s="479"/>
      <c r="E356" s="480"/>
      <c r="F356" s="480"/>
      <c r="G356" s="480"/>
      <c r="H356" s="480"/>
      <c r="I356" s="480"/>
      <c r="J356" s="480"/>
      <c r="K356" s="440"/>
      <c r="L356" s="441"/>
      <c r="M356" s="441"/>
      <c r="N356" s="441"/>
      <c r="O356" s="441"/>
      <c r="P356" s="441"/>
      <c r="Q356" s="441"/>
      <c r="R356" s="444"/>
      <c r="S356" s="445"/>
      <c r="T356" s="444"/>
      <c r="U356" s="445"/>
      <c r="V356" s="440"/>
      <c r="W356" s="441"/>
      <c r="X356" s="441"/>
      <c r="Y356" s="441"/>
      <c r="Z356" s="441"/>
      <c r="AA356" s="441"/>
      <c r="AB356" s="441"/>
      <c r="AC356" s="441"/>
      <c r="AD356" s="440"/>
      <c r="AE356" s="441"/>
      <c r="AF356" s="441"/>
      <c r="AG356" s="441"/>
      <c r="AH356" s="441"/>
      <c r="AI356" s="441"/>
      <c r="AJ356" s="441"/>
      <c r="AK356" s="450"/>
      <c r="AL356" s="440"/>
      <c r="AM356" s="441"/>
      <c r="AN356" s="441"/>
      <c r="AO356" s="441"/>
      <c r="AP356" s="441"/>
      <c r="AQ356" s="441"/>
      <c r="AR356" s="450"/>
      <c r="AS356" s="485"/>
      <c r="AT356" s="486"/>
      <c r="AU356" s="486"/>
      <c r="AV356" s="486"/>
      <c r="AW356" s="486"/>
      <c r="AX356" s="486"/>
      <c r="AY356" s="487"/>
      <c r="AZ356" s="462"/>
      <c r="BA356" s="463"/>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5">
      <c r="A357" s="435"/>
      <c r="B357" s="36"/>
      <c r="C357" s="199" t="str">
        <f t="shared" ca="1" si="7"/>
        <v/>
      </c>
      <c r="D357" s="479"/>
      <c r="E357" s="480"/>
      <c r="F357" s="480"/>
      <c r="G357" s="480"/>
      <c r="H357" s="480"/>
      <c r="I357" s="480"/>
      <c r="J357" s="480"/>
      <c r="K357" s="440"/>
      <c r="L357" s="441"/>
      <c r="M357" s="441"/>
      <c r="N357" s="441"/>
      <c r="O357" s="441"/>
      <c r="P357" s="441"/>
      <c r="Q357" s="441"/>
      <c r="R357" s="444"/>
      <c r="S357" s="445"/>
      <c r="T357" s="444"/>
      <c r="U357" s="445"/>
      <c r="V357" s="440"/>
      <c r="W357" s="441"/>
      <c r="X357" s="441"/>
      <c r="Y357" s="441"/>
      <c r="Z357" s="441"/>
      <c r="AA357" s="441"/>
      <c r="AB357" s="441"/>
      <c r="AC357" s="441"/>
      <c r="AD357" s="440"/>
      <c r="AE357" s="441"/>
      <c r="AF357" s="441"/>
      <c r="AG357" s="441"/>
      <c r="AH357" s="441"/>
      <c r="AI357" s="441"/>
      <c r="AJ357" s="441"/>
      <c r="AK357" s="450"/>
      <c r="AL357" s="440"/>
      <c r="AM357" s="441"/>
      <c r="AN357" s="441"/>
      <c r="AO357" s="441"/>
      <c r="AP357" s="441"/>
      <c r="AQ357" s="441"/>
      <c r="AR357" s="450"/>
      <c r="AS357" s="485"/>
      <c r="AT357" s="486"/>
      <c r="AU357" s="486"/>
      <c r="AV357" s="486"/>
      <c r="AW357" s="486"/>
      <c r="AX357" s="486"/>
      <c r="AY357" s="487"/>
      <c r="AZ357" s="462"/>
      <c r="BA357" s="463"/>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6.5">
      <c r="A358" s="436"/>
      <c r="B358" s="37"/>
      <c r="C358" s="200" t="str">
        <f t="shared" ca="1" si="7"/>
        <v/>
      </c>
      <c r="D358" s="481"/>
      <c r="E358" s="482"/>
      <c r="F358" s="482"/>
      <c r="G358" s="482"/>
      <c r="H358" s="482"/>
      <c r="I358" s="482"/>
      <c r="J358" s="482"/>
      <c r="K358" s="409"/>
      <c r="L358" s="410"/>
      <c r="M358" s="410"/>
      <c r="N358" s="410"/>
      <c r="O358" s="410"/>
      <c r="P358" s="410"/>
      <c r="Q358" s="410"/>
      <c r="R358" s="446"/>
      <c r="S358" s="447"/>
      <c r="T358" s="446"/>
      <c r="U358" s="447"/>
      <c r="V358" s="409"/>
      <c r="W358" s="410"/>
      <c r="X358" s="410"/>
      <c r="Y358" s="410"/>
      <c r="Z358" s="410"/>
      <c r="AA358" s="410"/>
      <c r="AB358" s="410"/>
      <c r="AC358" s="410"/>
      <c r="AD358" s="409"/>
      <c r="AE358" s="410"/>
      <c r="AF358" s="410"/>
      <c r="AG358" s="410"/>
      <c r="AH358" s="410"/>
      <c r="AI358" s="410"/>
      <c r="AJ358" s="410"/>
      <c r="AK358" s="411"/>
      <c r="AL358" s="409"/>
      <c r="AM358" s="410"/>
      <c r="AN358" s="410"/>
      <c r="AO358" s="410"/>
      <c r="AP358" s="410"/>
      <c r="AQ358" s="410"/>
      <c r="AR358" s="411"/>
      <c r="AS358" s="488"/>
      <c r="AT358" s="489"/>
      <c r="AU358" s="489"/>
      <c r="AV358" s="489"/>
      <c r="AW358" s="489"/>
      <c r="AX358" s="489"/>
      <c r="AY358" s="490"/>
      <c r="AZ358" s="464"/>
      <c r="BA358" s="465"/>
      <c r="BB358" s="62">
        <v>6</v>
      </c>
      <c r="BC358" s="426"/>
      <c r="BD358" s="427"/>
      <c r="BE358" s="427"/>
      <c r="BF358" s="428"/>
      <c r="BG358" s="429"/>
      <c r="BH358" s="430"/>
      <c r="BI358" s="196"/>
      <c r="BJ358" s="474"/>
      <c r="BK358" s="475"/>
      <c r="BL358" s="475"/>
      <c r="BM358" s="475"/>
      <c r="BN358" s="475"/>
      <c r="BO358" s="476"/>
      <c r="BP358" s="474"/>
      <c r="BQ358" s="475"/>
      <c r="BR358" s="475"/>
      <c r="BS358" s="475"/>
      <c r="BT358" s="475"/>
      <c r="BU358" s="476"/>
      <c r="BV358" s="474"/>
      <c r="BW358" s="475"/>
      <c r="BX358" s="475"/>
      <c r="BY358" s="475"/>
      <c r="BZ358" s="475"/>
      <c r="CA358" s="476"/>
      <c r="CB358" s="426"/>
      <c r="CC358" s="427"/>
      <c r="CD358" s="427"/>
      <c r="CE358" s="428"/>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6.5">
      <c r="A359" s="434">
        <v>59</v>
      </c>
      <c r="B359" s="36"/>
      <c r="C359" s="198" t="str">
        <f t="shared" ca="1" si="7"/>
        <v/>
      </c>
      <c r="D359" s="477"/>
      <c r="E359" s="478"/>
      <c r="F359" s="478"/>
      <c r="G359" s="478"/>
      <c r="H359" s="478"/>
      <c r="I359" s="478"/>
      <c r="J359" s="478"/>
      <c r="K359" s="438" t="s">
        <v>403</v>
      </c>
      <c r="L359" s="439"/>
      <c r="M359" s="439"/>
      <c r="N359" s="439"/>
      <c r="O359" s="439"/>
      <c r="P359" s="439"/>
      <c r="Q359" s="439"/>
      <c r="R359" s="442" t="s">
        <v>186</v>
      </c>
      <c r="S359" s="443"/>
      <c r="T359" s="442"/>
      <c r="U359" s="443"/>
      <c r="V359" s="438"/>
      <c r="W359" s="439"/>
      <c r="X359" s="439"/>
      <c r="Y359" s="439"/>
      <c r="Z359" s="439"/>
      <c r="AA359" s="439"/>
      <c r="AB359" s="439"/>
      <c r="AC359" s="439"/>
      <c r="AD359" s="438"/>
      <c r="AE359" s="439"/>
      <c r="AF359" s="439"/>
      <c r="AG359" s="439"/>
      <c r="AH359" s="439"/>
      <c r="AI359" s="439"/>
      <c r="AJ359" s="439"/>
      <c r="AK359" s="449"/>
      <c r="AL359" s="438"/>
      <c r="AM359" s="439"/>
      <c r="AN359" s="439"/>
      <c r="AO359" s="439"/>
      <c r="AP359" s="439"/>
      <c r="AQ359" s="439"/>
      <c r="AR359" s="449"/>
      <c r="AS359" s="500"/>
      <c r="AT359" s="483"/>
      <c r="AU359" s="483"/>
      <c r="AV359" s="483"/>
      <c r="AW359" s="483"/>
      <c r="AX359" s="483"/>
      <c r="AY359" s="484"/>
      <c r="AZ359" s="460"/>
      <c r="BA359" s="461"/>
      <c r="BB359" s="60">
        <v>1</v>
      </c>
      <c r="BC359" s="466"/>
      <c r="BD359" s="467"/>
      <c r="BE359" s="467"/>
      <c r="BF359" s="468"/>
      <c r="BG359" s="469"/>
      <c r="BH359" s="470"/>
      <c r="BI359" s="194"/>
      <c r="BJ359" s="471"/>
      <c r="BK359" s="472"/>
      <c r="BL359" s="472"/>
      <c r="BM359" s="472"/>
      <c r="BN359" s="472"/>
      <c r="BO359" s="473"/>
      <c r="BP359" s="471"/>
      <c r="BQ359" s="472"/>
      <c r="BR359" s="472"/>
      <c r="BS359" s="472"/>
      <c r="BT359" s="472"/>
      <c r="BU359" s="473"/>
      <c r="BV359" s="471"/>
      <c r="BW359" s="472"/>
      <c r="BX359" s="472"/>
      <c r="BY359" s="472"/>
      <c r="BZ359" s="472"/>
      <c r="CA359" s="473"/>
      <c r="CB359" s="466"/>
      <c r="CC359" s="467"/>
      <c r="CD359" s="467"/>
      <c r="CE359" s="468"/>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5">
      <c r="A360" s="435"/>
      <c r="B360" s="36"/>
      <c r="C360" s="199" t="str">
        <f t="shared" ca="1" si="7"/>
        <v/>
      </c>
      <c r="D360" s="479"/>
      <c r="E360" s="480"/>
      <c r="F360" s="480"/>
      <c r="G360" s="480"/>
      <c r="H360" s="480"/>
      <c r="I360" s="480"/>
      <c r="J360" s="480"/>
      <c r="K360" s="440"/>
      <c r="L360" s="441"/>
      <c r="M360" s="441"/>
      <c r="N360" s="441"/>
      <c r="O360" s="441"/>
      <c r="P360" s="441"/>
      <c r="Q360" s="441"/>
      <c r="R360" s="444"/>
      <c r="S360" s="445"/>
      <c r="T360" s="444"/>
      <c r="U360" s="445"/>
      <c r="V360" s="440"/>
      <c r="W360" s="441"/>
      <c r="X360" s="441"/>
      <c r="Y360" s="441"/>
      <c r="Z360" s="441"/>
      <c r="AA360" s="441"/>
      <c r="AB360" s="441"/>
      <c r="AC360" s="441"/>
      <c r="AD360" s="440"/>
      <c r="AE360" s="441"/>
      <c r="AF360" s="441"/>
      <c r="AG360" s="441"/>
      <c r="AH360" s="441"/>
      <c r="AI360" s="441"/>
      <c r="AJ360" s="441"/>
      <c r="AK360" s="450"/>
      <c r="AL360" s="440"/>
      <c r="AM360" s="441"/>
      <c r="AN360" s="441"/>
      <c r="AO360" s="441"/>
      <c r="AP360" s="441"/>
      <c r="AQ360" s="441"/>
      <c r="AR360" s="450"/>
      <c r="AS360" s="485"/>
      <c r="AT360" s="486"/>
      <c r="AU360" s="486"/>
      <c r="AV360" s="486"/>
      <c r="AW360" s="486"/>
      <c r="AX360" s="486"/>
      <c r="AY360" s="487"/>
      <c r="AZ360" s="462"/>
      <c r="BA360" s="463"/>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5">
      <c r="A361" s="435"/>
      <c r="B361" s="36"/>
      <c r="C361" s="199" t="str">
        <f t="shared" ca="1" si="7"/>
        <v/>
      </c>
      <c r="D361" s="479"/>
      <c r="E361" s="480"/>
      <c r="F361" s="480"/>
      <c r="G361" s="480"/>
      <c r="H361" s="480"/>
      <c r="I361" s="480"/>
      <c r="J361" s="480"/>
      <c r="K361" s="440"/>
      <c r="L361" s="441"/>
      <c r="M361" s="441"/>
      <c r="N361" s="441"/>
      <c r="O361" s="441"/>
      <c r="P361" s="441"/>
      <c r="Q361" s="441"/>
      <c r="R361" s="444"/>
      <c r="S361" s="445"/>
      <c r="T361" s="444"/>
      <c r="U361" s="445"/>
      <c r="V361" s="440"/>
      <c r="W361" s="441"/>
      <c r="X361" s="441"/>
      <c r="Y361" s="441"/>
      <c r="Z361" s="441"/>
      <c r="AA361" s="441"/>
      <c r="AB361" s="441"/>
      <c r="AC361" s="441"/>
      <c r="AD361" s="440"/>
      <c r="AE361" s="441"/>
      <c r="AF361" s="441"/>
      <c r="AG361" s="441"/>
      <c r="AH361" s="441"/>
      <c r="AI361" s="441"/>
      <c r="AJ361" s="441"/>
      <c r="AK361" s="450"/>
      <c r="AL361" s="440"/>
      <c r="AM361" s="441"/>
      <c r="AN361" s="441"/>
      <c r="AO361" s="441"/>
      <c r="AP361" s="441"/>
      <c r="AQ361" s="441"/>
      <c r="AR361" s="450"/>
      <c r="AS361" s="485"/>
      <c r="AT361" s="486"/>
      <c r="AU361" s="486"/>
      <c r="AV361" s="486"/>
      <c r="AW361" s="486"/>
      <c r="AX361" s="486"/>
      <c r="AY361" s="487"/>
      <c r="AZ361" s="462"/>
      <c r="BA361" s="463"/>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5">
      <c r="A362" s="435"/>
      <c r="B362" s="36"/>
      <c r="C362" s="199" t="str">
        <f t="shared" ca="1" si="7"/>
        <v/>
      </c>
      <c r="D362" s="479"/>
      <c r="E362" s="480"/>
      <c r="F362" s="480"/>
      <c r="G362" s="480"/>
      <c r="H362" s="480"/>
      <c r="I362" s="480"/>
      <c r="J362" s="480"/>
      <c r="K362" s="440"/>
      <c r="L362" s="441"/>
      <c r="M362" s="441"/>
      <c r="N362" s="441"/>
      <c r="O362" s="441"/>
      <c r="P362" s="441"/>
      <c r="Q362" s="441"/>
      <c r="R362" s="444"/>
      <c r="S362" s="445"/>
      <c r="T362" s="444"/>
      <c r="U362" s="445"/>
      <c r="V362" s="440"/>
      <c r="W362" s="441"/>
      <c r="X362" s="441"/>
      <c r="Y362" s="441"/>
      <c r="Z362" s="441"/>
      <c r="AA362" s="441"/>
      <c r="AB362" s="441"/>
      <c r="AC362" s="441"/>
      <c r="AD362" s="440"/>
      <c r="AE362" s="441"/>
      <c r="AF362" s="441"/>
      <c r="AG362" s="441"/>
      <c r="AH362" s="441"/>
      <c r="AI362" s="441"/>
      <c r="AJ362" s="441"/>
      <c r="AK362" s="450"/>
      <c r="AL362" s="440"/>
      <c r="AM362" s="441"/>
      <c r="AN362" s="441"/>
      <c r="AO362" s="441"/>
      <c r="AP362" s="441"/>
      <c r="AQ362" s="441"/>
      <c r="AR362" s="450"/>
      <c r="AS362" s="485"/>
      <c r="AT362" s="486"/>
      <c r="AU362" s="486"/>
      <c r="AV362" s="486"/>
      <c r="AW362" s="486"/>
      <c r="AX362" s="486"/>
      <c r="AY362" s="487"/>
      <c r="AZ362" s="462"/>
      <c r="BA362" s="463"/>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5">
      <c r="A363" s="435"/>
      <c r="B363" s="36"/>
      <c r="C363" s="199" t="str">
        <f t="shared" ca="1" si="7"/>
        <v/>
      </c>
      <c r="D363" s="479"/>
      <c r="E363" s="480"/>
      <c r="F363" s="480"/>
      <c r="G363" s="480"/>
      <c r="H363" s="480"/>
      <c r="I363" s="480"/>
      <c r="J363" s="480"/>
      <c r="K363" s="440"/>
      <c r="L363" s="441"/>
      <c r="M363" s="441"/>
      <c r="N363" s="441"/>
      <c r="O363" s="441"/>
      <c r="P363" s="441"/>
      <c r="Q363" s="441"/>
      <c r="R363" s="444"/>
      <c r="S363" s="445"/>
      <c r="T363" s="444"/>
      <c r="U363" s="445"/>
      <c r="V363" s="440"/>
      <c r="W363" s="441"/>
      <c r="X363" s="441"/>
      <c r="Y363" s="441"/>
      <c r="Z363" s="441"/>
      <c r="AA363" s="441"/>
      <c r="AB363" s="441"/>
      <c r="AC363" s="441"/>
      <c r="AD363" s="440"/>
      <c r="AE363" s="441"/>
      <c r="AF363" s="441"/>
      <c r="AG363" s="441"/>
      <c r="AH363" s="441"/>
      <c r="AI363" s="441"/>
      <c r="AJ363" s="441"/>
      <c r="AK363" s="450"/>
      <c r="AL363" s="440"/>
      <c r="AM363" s="441"/>
      <c r="AN363" s="441"/>
      <c r="AO363" s="441"/>
      <c r="AP363" s="441"/>
      <c r="AQ363" s="441"/>
      <c r="AR363" s="450"/>
      <c r="AS363" s="485"/>
      <c r="AT363" s="486"/>
      <c r="AU363" s="486"/>
      <c r="AV363" s="486"/>
      <c r="AW363" s="486"/>
      <c r="AX363" s="486"/>
      <c r="AY363" s="487"/>
      <c r="AZ363" s="462"/>
      <c r="BA363" s="463"/>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16.5">
      <c r="A364" s="436"/>
      <c r="B364" s="37"/>
      <c r="C364" s="200" t="str">
        <f t="shared" ca="1" si="7"/>
        <v/>
      </c>
      <c r="D364" s="481"/>
      <c r="E364" s="482"/>
      <c r="F364" s="482"/>
      <c r="G364" s="482"/>
      <c r="H364" s="482"/>
      <c r="I364" s="482"/>
      <c r="J364" s="482"/>
      <c r="K364" s="409"/>
      <c r="L364" s="410"/>
      <c r="M364" s="410"/>
      <c r="N364" s="410"/>
      <c r="O364" s="410"/>
      <c r="P364" s="410"/>
      <c r="Q364" s="410"/>
      <c r="R364" s="446"/>
      <c r="S364" s="447"/>
      <c r="T364" s="446"/>
      <c r="U364" s="447"/>
      <c r="V364" s="409"/>
      <c r="W364" s="410"/>
      <c r="X364" s="410"/>
      <c r="Y364" s="410"/>
      <c r="Z364" s="410"/>
      <c r="AA364" s="410"/>
      <c r="AB364" s="410"/>
      <c r="AC364" s="410"/>
      <c r="AD364" s="409"/>
      <c r="AE364" s="410"/>
      <c r="AF364" s="410"/>
      <c r="AG364" s="410"/>
      <c r="AH364" s="410"/>
      <c r="AI364" s="410"/>
      <c r="AJ364" s="410"/>
      <c r="AK364" s="411"/>
      <c r="AL364" s="409"/>
      <c r="AM364" s="410"/>
      <c r="AN364" s="410"/>
      <c r="AO364" s="410"/>
      <c r="AP364" s="410"/>
      <c r="AQ364" s="410"/>
      <c r="AR364" s="411"/>
      <c r="AS364" s="488"/>
      <c r="AT364" s="489"/>
      <c r="AU364" s="489"/>
      <c r="AV364" s="489"/>
      <c r="AW364" s="489"/>
      <c r="AX364" s="489"/>
      <c r="AY364" s="490"/>
      <c r="AZ364" s="464"/>
      <c r="BA364" s="465"/>
      <c r="BB364" s="62">
        <v>6</v>
      </c>
      <c r="BC364" s="426"/>
      <c r="BD364" s="427"/>
      <c r="BE364" s="427"/>
      <c r="BF364" s="428"/>
      <c r="BG364" s="429"/>
      <c r="BH364" s="430"/>
      <c r="BI364" s="196"/>
      <c r="BJ364" s="474"/>
      <c r="BK364" s="475"/>
      <c r="BL364" s="475"/>
      <c r="BM364" s="475"/>
      <c r="BN364" s="475"/>
      <c r="BO364" s="476"/>
      <c r="BP364" s="474"/>
      <c r="BQ364" s="475"/>
      <c r="BR364" s="475"/>
      <c r="BS364" s="475"/>
      <c r="BT364" s="475"/>
      <c r="BU364" s="476"/>
      <c r="BV364" s="474"/>
      <c r="BW364" s="475"/>
      <c r="BX364" s="475"/>
      <c r="BY364" s="475"/>
      <c r="BZ364" s="475"/>
      <c r="CA364" s="476"/>
      <c r="CB364" s="426"/>
      <c r="CC364" s="427"/>
      <c r="CD364" s="427"/>
      <c r="CE364" s="428"/>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16.5">
      <c r="A365" s="434">
        <v>60</v>
      </c>
      <c r="B365" s="36"/>
      <c r="C365" s="198" t="str">
        <f t="shared" ca="1" si="7"/>
        <v/>
      </c>
      <c r="D365" s="477" t="s">
        <v>404</v>
      </c>
      <c r="E365" s="478"/>
      <c r="F365" s="478"/>
      <c r="G365" s="478"/>
      <c r="H365" s="478"/>
      <c r="I365" s="478"/>
      <c r="J365" s="478"/>
      <c r="K365" s="438" t="s">
        <v>405</v>
      </c>
      <c r="L365" s="439"/>
      <c r="M365" s="439"/>
      <c r="N365" s="439"/>
      <c r="O365" s="439"/>
      <c r="P365" s="439"/>
      <c r="Q365" s="439"/>
      <c r="R365" s="442" t="s">
        <v>186</v>
      </c>
      <c r="S365" s="443"/>
      <c r="T365" s="442"/>
      <c r="U365" s="443"/>
      <c r="V365" s="438"/>
      <c r="W365" s="439"/>
      <c r="X365" s="439"/>
      <c r="Y365" s="439"/>
      <c r="Z365" s="439"/>
      <c r="AA365" s="439"/>
      <c r="AB365" s="439"/>
      <c r="AC365" s="439"/>
      <c r="AD365" s="438"/>
      <c r="AE365" s="439"/>
      <c r="AF365" s="439"/>
      <c r="AG365" s="439"/>
      <c r="AH365" s="439"/>
      <c r="AI365" s="439"/>
      <c r="AJ365" s="439"/>
      <c r="AK365" s="439"/>
      <c r="AL365" s="438" t="s">
        <v>406</v>
      </c>
      <c r="AM365" s="439"/>
      <c r="AN365" s="439"/>
      <c r="AO365" s="439"/>
      <c r="AP365" s="439"/>
      <c r="AQ365" s="439"/>
      <c r="AR365" s="449"/>
      <c r="AS365" s="500"/>
      <c r="AT365" s="483"/>
      <c r="AU365" s="483"/>
      <c r="AV365" s="483"/>
      <c r="AW365" s="483"/>
      <c r="AX365" s="483"/>
      <c r="AY365" s="484"/>
      <c r="AZ365" s="633"/>
      <c r="BA365" s="634"/>
      <c r="BB365" s="60">
        <v>1</v>
      </c>
      <c r="BC365" s="623"/>
      <c r="BD365" s="624"/>
      <c r="BE365" s="624"/>
      <c r="BF365" s="625"/>
      <c r="BG365" s="626"/>
      <c r="BH365" s="627"/>
      <c r="BI365" s="234"/>
      <c r="BJ365" s="471"/>
      <c r="BK365" s="472"/>
      <c r="BL365" s="472"/>
      <c r="BM365" s="472"/>
      <c r="BN365" s="472"/>
      <c r="BO365" s="473"/>
      <c r="BP365" s="471"/>
      <c r="BQ365" s="472"/>
      <c r="BR365" s="472"/>
      <c r="BS365" s="472"/>
      <c r="BT365" s="472"/>
      <c r="BU365" s="473"/>
      <c r="BV365" s="471"/>
      <c r="BW365" s="472"/>
      <c r="BX365" s="472"/>
      <c r="BY365" s="472"/>
      <c r="BZ365" s="472"/>
      <c r="CA365" s="473"/>
      <c r="CB365" s="623"/>
      <c r="CC365" s="624"/>
      <c r="CD365" s="624"/>
      <c r="CE365" s="625"/>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row>
    <row r="366" spans="1:103" ht="16.5">
      <c r="A366" s="435"/>
      <c r="B366" s="36"/>
      <c r="C366" s="199" t="str">
        <f t="shared" ca="1" si="7"/>
        <v/>
      </c>
      <c r="D366" s="479"/>
      <c r="E366" s="480"/>
      <c r="F366" s="480"/>
      <c r="G366" s="480"/>
      <c r="H366" s="480"/>
      <c r="I366" s="480"/>
      <c r="J366" s="480"/>
      <c r="K366" s="440"/>
      <c r="L366" s="441"/>
      <c r="M366" s="441"/>
      <c r="N366" s="441"/>
      <c r="O366" s="441"/>
      <c r="P366" s="441"/>
      <c r="Q366" s="441"/>
      <c r="R366" s="444"/>
      <c r="S366" s="445"/>
      <c r="T366" s="444"/>
      <c r="U366" s="445"/>
      <c r="V366" s="440"/>
      <c r="W366" s="441"/>
      <c r="X366" s="441"/>
      <c r="Y366" s="441"/>
      <c r="Z366" s="441"/>
      <c r="AA366" s="441"/>
      <c r="AB366" s="441"/>
      <c r="AC366" s="441"/>
      <c r="AD366" s="440"/>
      <c r="AE366" s="441"/>
      <c r="AF366" s="441"/>
      <c r="AG366" s="441"/>
      <c r="AH366" s="441"/>
      <c r="AI366" s="441"/>
      <c r="AJ366" s="441"/>
      <c r="AK366" s="441"/>
      <c r="AL366" s="440"/>
      <c r="AM366" s="441"/>
      <c r="AN366" s="441"/>
      <c r="AO366" s="441"/>
      <c r="AP366" s="441"/>
      <c r="AQ366" s="441"/>
      <c r="AR366" s="450"/>
      <c r="AS366" s="485"/>
      <c r="AT366" s="486"/>
      <c r="AU366" s="486"/>
      <c r="AV366" s="486"/>
      <c r="AW366" s="486"/>
      <c r="AX366" s="486"/>
      <c r="AY366" s="487"/>
      <c r="AZ366" s="635"/>
      <c r="BA366" s="636"/>
      <c r="BB366" s="61">
        <v>2</v>
      </c>
      <c r="BC366" s="618"/>
      <c r="BD366" s="619"/>
      <c r="BE366" s="619"/>
      <c r="BF366" s="620"/>
      <c r="BG366" s="621"/>
      <c r="BH366" s="622"/>
      <c r="BI366" s="235"/>
      <c r="BJ366" s="423"/>
      <c r="BK366" s="424"/>
      <c r="BL366" s="424"/>
      <c r="BM366" s="424"/>
      <c r="BN366" s="424"/>
      <c r="BO366" s="425"/>
      <c r="BP366" s="423"/>
      <c r="BQ366" s="424"/>
      <c r="BR366" s="424"/>
      <c r="BS366" s="424"/>
      <c r="BT366" s="424"/>
      <c r="BU366" s="425"/>
      <c r="BV366" s="423"/>
      <c r="BW366" s="424"/>
      <c r="BX366" s="424"/>
      <c r="BY366" s="424"/>
      <c r="BZ366" s="424"/>
      <c r="CA366" s="425"/>
      <c r="CB366" s="618"/>
      <c r="CC366" s="619"/>
      <c r="CD366" s="619"/>
      <c r="CE366" s="620"/>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row>
    <row r="367" spans="1:103" ht="16.5">
      <c r="A367" s="435"/>
      <c r="B367" s="36"/>
      <c r="C367" s="199" t="str">
        <f t="shared" ca="1" si="7"/>
        <v/>
      </c>
      <c r="D367" s="479"/>
      <c r="E367" s="480"/>
      <c r="F367" s="480"/>
      <c r="G367" s="480"/>
      <c r="H367" s="480"/>
      <c r="I367" s="480"/>
      <c r="J367" s="480"/>
      <c r="K367" s="440"/>
      <c r="L367" s="441"/>
      <c r="M367" s="441"/>
      <c r="N367" s="441"/>
      <c r="O367" s="441"/>
      <c r="P367" s="441"/>
      <c r="Q367" s="441"/>
      <c r="R367" s="444"/>
      <c r="S367" s="445"/>
      <c r="T367" s="444"/>
      <c r="U367" s="445"/>
      <c r="V367" s="440"/>
      <c r="W367" s="441"/>
      <c r="X367" s="441"/>
      <c r="Y367" s="441"/>
      <c r="Z367" s="441"/>
      <c r="AA367" s="441"/>
      <c r="AB367" s="441"/>
      <c r="AC367" s="441"/>
      <c r="AD367" s="440"/>
      <c r="AE367" s="441"/>
      <c r="AF367" s="441"/>
      <c r="AG367" s="441"/>
      <c r="AH367" s="441"/>
      <c r="AI367" s="441"/>
      <c r="AJ367" s="441"/>
      <c r="AK367" s="441"/>
      <c r="AL367" s="440"/>
      <c r="AM367" s="441"/>
      <c r="AN367" s="441"/>
      <c r="AO367" s="441"/>
      <c r="AP367" s="441"/>
      <c r="AQ367" s="441"/>
      <c r="AR367" s="450"/>
      <c r="AS367" s="485"/>
      <c r="AT367" s="486"/>
      <c r="AU367" s="486"/>
      <c r="AV367" s="486"/>
      <c r="AW367" s="486"/>
      <c r="AX367" s="486"/>
      <c r="AY367" s="487"/>
      <c r="AZ367" s="635"/>
      <c r="BA367" s="636"/>
      <c r="BB367" s="61">
        <v>3</v>
      </c>
      <c r="BC367" s="618"/>
      <c r="BD367" s="619"/>
      <c r="BE367" s="619"/>
      <c r="BF367" s="620"/>
      <c r="BG367" s="621"/>
      <c r="BH367" s="622"/>
      <c r="BI367" s="235"/>
      <c r="BJ367" s="423"/>
      <c r="BK367" s="424"/>
      <c r="BL367" s="424"/>
      <c r="BM367" s="424"/>
      <c r="BN367" s="424"/>
      <c r="BO367" s="425"/>
      <c r="BP367" s="423"/>
      <c r="BQ367" s="424"/>
      <c r="BR367" s="424"/>
      <c r="BS367" s="424"/>
      <c r="BT367" s="424"/>
      <c r="BU367" s="425"/>
      <c r="BV367" s="423"/>
      <c r="BW367" s="424"/>
      <c r="BX367" s="424"/>
      <c r="BY367" s="424"/>
      <c r="BZ367" s="424"/>
      <c r="CA367" s="425"/>
      <c r="CB367" s="618"/>
      <c r="CC367" s="619"/>
      <c r="CD367" s="619"/>
      <c r="CE367" s="620"/>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row>
    <row r="368" spans="1:103" ht="16.5">
      <c r="A368" s="435"/>
      <c r="B368" s="36"/>
      <c r="C368" s="199" t="str">
        <f t="shared" ca="1" si="7"/>
        <v/>
      </c>
      <c r="D368" s="479"/>
      <c r="E368" s="480"/>
      <c r="F368" s="480"/>
      <c r="G368" s="480"/>
      <c r="H368" s="480"/>
      <c r="I368" s="480"/>
      <c r="J368" s="480"/>
      <c r="K368" s="440"/>
      <c r="L368" s="441"/>
      <c r="M368" s="441"/>
      <c r="N368" s="441"/>
      <c r="O368" s="441"/>
      <c r="P368" s="441"/>
      <c r="Q368" s="441"/>
      <c r="R368" s="444"/>
      <c r="S368" s="445"/>
      <c r="T368" s="444"/>
      <c r="U368" s="445"/>
      <c r="V368" s="440"/>
      <c r="W368" s="441"/>
      <c r="X368" s="441"/>
      <c r="Y368" s="441"/>
      <c r="Z368" s="441"/>
      <c r="AA368" s="441"/>
      <c r="AB368" s="441"/>
      <c r="AC368" s="441"/>
      <c r="AD368" s="440"/>
      <c r="AE368" s="441"/>
      <c r="AF368" s="441"/>
      <c r="AG368" s="441"/>
      <c r="AH368" s="441"/>
      <c r="AI368" s="441"/>
      <c r="AJ368" s="441"/>
      <c r="AK368" s="441"/>
      <c r="AL368" s="440"/>
      <c r="AM368" s="441"/>
      <c r="AN368" s="441"/>
      <c r="AO368" s="441"/>
      <c r="AP368" s="441"/>
      <c r="AQ368" s="441"/>
      <c r="AR368" s="450"/>
      <c r="AS368" s="485"/>
      <c r="AT368" s="486"/>
      <c r="AU368" s="486"/>
      <c r="AV368" s="486"/>
      <c r="AW368" s="486"/>
      <c r="AX368" s="486"/>
      <c r="AY368" s="487"/>
      <c r="AZ368" s="635"/>
      <c r="BA368" s="636"/>
      <c r="BB368" s="61">
        <v>4</v>
      </c>
      <c r="BC368" s="618"/>
      <c r="BD368" s="619"/>
      <c r="BE368" s="619"/>
      <c r="BF368" s="620"/>
      <c r="BG368" s="621"/>
      <c r="BH368" s="622"/>
      <c r="BI368" s="235"/>
      <c r="BJ368" s="423"/>
      <c r="BK368" s="424"/>
      <c r="BL368" s="424"/>
      <c r="BM368" s="424"/>
      <c r="BN368" s="424"/>
      <c r="BO368" s="425"/>
      <c r="BP368" s="423"/>
      <c r="BQ368" s="424"/>
      <c r="BR368" s="424"/>
      <c r="BS368" s="424"/>
      <c r="BT368" s="424"/>
      <c r="BU368" s="425"/>
      <c r="BV368" s="423"/>
      <c r="BW368" s="424"/>
      <c r="BX368" s="424"/>
      <c r="BY368" s="424"/>
      <c r="BZ368" s="424"/>
      <c r="CA368" s="425"/>
      <c r="CB368" s="618"/>
      <c r="CC368" s="619"/>
      <c r="CD368" s="619"/>
      <c r="CE368" s="620"/>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row>
    <row r="369" spans="1:103" ht="16.5">
      <c r="A369" s="435"/>
      <c r="B369" s="36"/>
      <c r="C369" s="199" t="str">
        <f t="shared" ca="1" si="7"/>
        <v/>
      </c>
      <c r="D369" s="479"/>
      <c r="E369" s="480"/>
      <c r="F369" s="480"/>
      <c r="G369" s="480"/>
      <c r="H369" s="480"/>
      <c r="I369" s="480"/>
      <c r="J369" s="480"/>
      <c r="K369" s="440"/>
      <c r="L369" s="441"/>
      <c r="M369" s="441"/>
      <c r="N369" s="441"/>
      <c r="O369" s="441"/>
      <c r="P369" s="441"/>
      <c r="Q369" s="441"/>
      <c r="R369" s="444"/>
      <c r="S369" s="445"/>
      <c r="T369" s="444"/>
      <c r="U369" s="445"/>
      <c r="V369" s="440"/>
      <c r="W369" s="441"/>
      <c r="X369" s="441"/>
      <c r="Y369" s="441"/>
      <c r="Z369" s="441"/>
      <c r="AA369" s="441"/>
      <c r="AB369" s="441"/>
      <c r="AC369" s="441"/>
      <c r="AD369" s="440"/>
      <c r="AE369" s="441"/>
      <c r="AF369" s="441"/>
      <c r="AG369" s="441"/>
      <c r="AH369" s="441"/>
      <c r="AI369" s="441"/>
      <c r="AJ369" s="441"/>
      <c r="AK369" s="441"/>
      <c r="AL369" s="440"/>
      <c r="AM369" s="441"/>
      <c r="AN369" s="441"/>
      <c r="AO369" s="441"/>
      <c r="AP369" s="441"/>
      <c r="AQ369" s="441"/>
      <c r="AR369" s="450"/>
      <c r="AS369" s="485"/>
      <c r="AT369" s="486"/>
      <c r="AU369" s="486"/>
      <c r="AV369" s="486"/>
      <c r="AW369" s="486"/>
      <c r="AX369" s="486"/>
      <c r="AY369" s="487"/>
      <c r="AZ369" s="635"/>
      <c r="BA369" s="636"/>
      <c r="BB369" s="61">
        <v>5</v>
      </c>
      <c r="BC369" s="618"/>
      <c r="BD369" s="619"/>
      <c r="BE369" s="619"/>
      <c r="BF369" s="620"/>
      <c r="BG369" s="621"/>
      <c r="BH369" s="622"/>
      <c r="BI369" s="235"/>
      <c r="BJ369" s="423"/>
      <c r="BK369" s="424"/>
      <c r="BL369" s="424"/>
      <c r="BM369" s="424"/>
      <c r="BN369" s="424"/>
      <c r="BO369" s="425"/>
      <c r="BP369" s="423"/>
      <c r="BQ369" s="424"/>
      <c r="BR369" s="424"/>
      <c r="BS369" s="424"/>
      <c r="BT369" s="424"/>
      <c r="BU369" s="425"/>
      <c r="BV369" s="423"/>
      <c r="BW369" s="424"/>
      <c r="BX369" s="424"/>
      <c r="BY369" s="424"/>
      <c r="BZ369" s="424"/>
      <c r="CA369" s="425"/>
      <c r="CB369" s="618"/>
      <c r="CC369" s="619"/>
      <c r="CD369" s="619"/>
      <c r="CE369" s="620"/>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row>
    <row r="370" spans="1:103" ht="16.5">
      <c r="A370" s="436"/>
      <c r="B370" s="37"/>
      <c r="C370" s="200" t="str">
        <f t="shared" ca="1" si="7"/>
        <v/>
      </c>
      <c r="D370" s="481"/>
      <c r="E370" s="482"/>
      <c r="F370" s="482"/>
      <c r="G370" s="482"/>
      <c r="H370" s="482"/>
      <c r="I370" s="482"/>
      <c r="J370" s="482"/>
      <c r="K370" s="409"/>
      <c r="L370" s="410"/>
      <c r="M370" s="410"/>
      <c r="N370" s="410"/>
      <c r="O370" s="410"/>
      <c r="P370" s="410"/>
      <c r="Q370" s="410"/>
      <c r="R370" s="446"/>
      <c r="S370" s="447"/>
      <c r="T370" s="446"/>
      <c r="U370" s="447"/>
      <c r="V370" s="409"/>
      <c r="W370" s="410"/>
      <c r="X370" s="410"/>
      <c r="Y370" s="410"/>
      <c r="Z370" s="410"/>
      <c r="AA370" s="410"/>
      <c r="AB370" s="410"/>
      <c r="AC370" s="410"/>
      <c r="AD370" s="409"/>
      <c r="AE370" s="410"/>
      <c r="AF370" s="410"/>
      <c r="AG370" s="410"/>
      <c r="AH370" s="410"/>
      <c r="AI370" s="410"/>
      <c r="AJ370" s="410"/>
      <c r="AK370" s="410"/>
      <c r="AL370" s="409"/>
      <c r="AM370" s="410"/>
      <c r="AN370" s="410"/>
      <c r="AO370" s="410"/>
      <c r="AP370" s="410"/>
      <c r="AQ370" s="410"/>
      <c r="AR370" s="411"/>
      <c r="AS370" s="488"/>
      <c r="AT370" s="489"/>
      <c r="AU370" s="489"/>
      <c r="AV370" s="489"/>
      <c r="AW370" s="489"/>
      <c r="AX370" s="489"/>
      <c r="AY370" s="490"/>
      <c r="AZ370" s="637"/>
      <c r="BA370" s="638"/>
      <c r="BB370" s="62">
        <v>6</v>
      </c>
      <c r="BC370" s="628"/>
      <c r="BD370" s="629"/>
      <c r="BE370" s="629"/>
      <c r="BF370" s="630"/>
      <c r="BG370" s="631"/>
      <c r="BH370" s="632"/>
      <c r="BI370" s="237"/>
      <c r="BJ370" s="474"/>
      <c r="BK370" s="475"/>
      <c r="BL370" s="475"/>
      <c r="BM370" s="475"/>
      <c r="BN370" s="475"/>
      <c r="BO370" s="476"/>
      <c r="BP370" s="474"/>
      <c r="BQ370" s="475"/>
      <c r="BR370" s="475"/>
      <c r="BS370" s="475"/>
      <c r="BT370" s="475"/>
      <c r="BU370" s="476"/>
      <c r="BV370" s="474"/>
      <c r="BW370" s="475"/>
      <c r="BX370" s="475"/>
      <c r="BY370" s="475"/>
      <c r="BZ370" s="475"/>
      <c r="CA370" s="476"/>
      <c r="CB370" s="628"/>
      <c r="CC370" s="629"/>
      <c r="CD370" s="629"/>
      <c r="CE370" s="630"/>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row>
    <row r="371" spans="1:103" ht="16.5">
      <c r="A371" s="434">
        <v>61</v>
      </c>
      <c r="B371" s="36"/>
      <c r="C371" s="198" t="str">
        <f t="shared" ca="1" si="7"/>
        <v/>
      </c>
      <c r="D371" s="477"/>
      <c r="E371" s="478"/>
      <c r="F371" s="478"/>
      <c r="G371" s="478"/>
      <c r="H371" s="478"/>
      <c r="I371" s="478"/>
      <c r="J371" s="478"/>
      <c r="K371" s="438" t="s">
        <v>407</v>
      </c>
      <c r="L371" s="439"/>
      <c r="M371" s="439"/>
      <c r="N371" s="439"/>
      <c r="O371" s="439"/>
      <c r="P371" s="439"/>
      <c r="Q371" s="439"/>
      <c r="R371" s="442" t="s">
        <v>186</v>
      </c>
      <c r="S371" s="443"/>
      <c r="T371" s="442"/>
      <c r="U371" s="443"/>
      <c r="V371" s="438"/>
      <c r="W371" s="439"/>
      <c r="X371" s="439"/>
      <c r="Y371" s="439"/>
      <c r="Z371" s="439"/>
      <c r="AA371" s="439"/>
      <c r="AB371" s="439"/>
      <c r="AC371" s="439"/>
      <c r="AD371" s="438"/>
      <c r="AE371" s="439"/>
      <c r="AF371" s="439"/>
      <c r="AG371" s="439"/>
      <c r="AH371" s="439"/>
      <c r="AI371" s="439"/>
      <c r="AJ371" s="439"/>
      <c r="AK371" s="449"/>
      <c r="AL371" s="438"/>
      <c r="AM371" s="439"/>
      <c r="AN371" s="439"/>
      <c r="AO371" s="439"/>
      <c r="AP371" s="439"/>
      <c r="AQ371" s="439"/>
      <c r="AR371" s="449"/>
      <c r="AS371" s="500"/>
      <c r="AT371" s="483"/>
      <c r="AU371" s="483"/>
      <c r="AV371" s="483"/>
      <c r="AW371" s="483"/>
      <c r="AX371" s="483"/>
      <c r="AY371" s="484"/>
      <c r="AZ371" s="460"/>
      <c r="BA371" s="461"/>
      <c r="BB371" s="60">
        <v>1</v>
      </c>
      <c r="BC371" s="466"/>
      <c r="BD371" s="467"/>
      <c r="BE371" s="467"/>
      <c r="BF371" s="468"/>
      <c r="BG371" s="469"/>
      <c r="BH371" s="470"/>
      <c r="BI371" s="194"/>
      <c r="BJ371" s="471"/>
      <c r="BK371" s="472"/>
      <c r="BL371" s="472"/>
      <c r="BM371" s="472"/>
      <c r="BN371" s="472"/>
      <c r="BO371" s="473"/>
      <c r="BP371" s="471"/>
      <c r="BQ371" s="472"/>
      <c r="BR371" s="472"/>
      <c r="BS371" s="472"/>
      <c r="BT371" s="472"/>
      <c r="BU371" s="473"/>
      <c r="BV371" s="471"/>
      <c r="BW371" s="472"/>
      <c r="BX371" s="472"/>
      <c r="BY371" s="472"/>
      <c r="BZ371" s="472"/>
      <c r="CA371" s="473"/>
      <c r="CB371" s="466"/>
      <c r="CC371" s="467"/>
      <c r="CD371" s="467"/>
      <c r="CE371" s="468"/>
      <c r="CF371" s="409"/>
      <c r="CG371" s="410"/>
      <c r="CH371" s="410"/>
      <c r="CI371" s="410"/>
      <c r="CJ371" s="411"/>
      <c r="CK371" s="409"/>
      <c r="CL371" s="410"/>
      <c r="CM371" s="410"/>
      <c r="CN371" s="410"/>
      <c r="CO371" s="411"/>
      <c r="CP371" s="409"/>
      <c r="CQ371" s="410"/>
      <c r="CR371" s="410"/>
      <c r="CS371" s="410"/>
      <c r="CT371" s="411"/>
      <c r="CU371" s="415"/>
      <c r="CV371" s="416"/>
      <c r="CW371" s="416"/>
      <c r="CX371" s="416"/>
      <c r="CY371" s="417"/>
    </row>
    <row r="372" spans="1:103" ht="16.5">
      <c r="A372" s="435"/>
      <c r="B372" s="36"/>
      <c r="C372" s="199" t="str">
        <f t="shared" ca="1" si="7"/>
        <v/>
      </c>
      <c r="D372" s="479"/>
      <c r="E372" s="480"/>
      <c r="F372" s="480"/>
      <c r="G372" s="480"/>
      <c r="H372" s="480"/>
      <c r="I372" s="480"/>
      <c r="J372" s="480"/>
      <c r="K372" s="440"/>
      <c r="L372" s="441"/>
      <c r="M372" s="441"/>
      <c r="N372" s="441"/>
      <c r="O372" s="441"/>
      <c r="P372" s="441"/>
      <c r="Q372" s="441"/>
      <c r="R372" s="444"/>
      <c r="S372" s="445"/>
      <c r="T372" s="444"/>
      <c r="U372" s="445"/>
      <c r="V372" s="440"/>
      <c r="W372" s="441"/>
      <c r="X372" s="441"/>
      <c r="Y372" s="441"/>
      <c r="Z372" s="441"/>
      <c r="AA372" s="441"/>
      <c r="AB372" s="441"/>
      <c r="AC372" s="441"/>
      <c r="AD372" s="440"/>
      <c r="AE372" s="441"/>
      <c r="AF372" s="441"/>
      <c r="AG372" s="441"/>
      <c r="AH372" s="441"/>
      <c r="AI372" s="441"/>
      <c r="AJ372" s="441"/>
      <c r="AK372" s="450"/>
      <c r="AL372" s="440"/>
      <c r="AM372" s="441"/>
      <c r="AN372" s="441"/>
      <c r="AO372" s="441"/>
      <c r="AP372" s="441"/>
      <c r="AQ372" s="441"/>
      <c r="AR372" s="450"/>
      <c r="AS372" s="485"/>
      <c r="AT372" s="486"/>
      <c r="AU372" s="486"/>
      <c r="AV372" s="486"/>
      <c r="AW372" s="486"/>
      <c r="AX372" s="486"/>
      <c r="AY372" s="487"/>
      <c r="AZ372" s="462"/>
      <c r="BA372" s="463"/>
      <c r="BB372" s="61">
        <v>2</v>
      </c>
      <c r="BC372" s="418"/>
      <c r="BD372" s="419"/>
      <c r="BE372" s="419"/>
      <c r="BF372" s="420"/>
      <c r="BG372" s="421"/>
      <c r="BH372" s="422"/>
      <c r="BI372" s="195"/>
      <c r="BJ372" s="423"/>
      <c r="BK372" s="424"/>
      <c r="BL372" s="424"/>
      <c r="BM372" s="424"/>
      <c r="BN372" s="424"/>
      <c r="BO372" s="425"/>
      <c r="BP372" s="423"/>
      <c r="BQ372" s="424"/>
      <c r="BR372" s="424"/>
      <c r="BS372" s="424"/>
      <c r="BT372" s="424"/>
      <c r="BU372" s="425"/>
      <c r="BV372" s="423"/>
      <c r="BW372" s="424"/>
      <c r="BX372" s="424"/>
      <c r="BY372" s="424"/>
      <c r="BZ372" s="424"/>
      <c r="CA372" s="425"/>
      <c r="CB372" s="418"/>
      <c r="CC372" s="419"/>
      <c r="CD372" s="419"/>
      <c r="CE372" s="420"/>
      <c r="CF372" s="412"/>
      <c r="CG372" s="413"/>
      <c r="CH372" s="413"/>
      <c r="CI372" s="413"/>
      <c r="CJ372" s="414"/>
      <c r="CK372" s="412"/>
      <c r="CL372" s="413"/>
      <c r="CM372" s="413"/>
      <c r="CN372" s="413"/>
      <c r="CO372" s="414"/>
      <c r="CP372" s="412"/>
      <c r="CQ372" s="413"/>
      <c r="CR372" s="413"/>
      <c r="CS372" s="413"/>
      <c r="CT372" s="414"/>
      <c r="CU372" s="415"/>
      <c r="CV372" s="416"/>
      <c r="CW372" s="416"/>
      <c r="CX372" s="416"/>
      <c r="CY372" s="417"/>
    </row>
    <row r="373" spans="1:103" ht="16.5">
      <c r="A373" s="435"/>
      <c r="B373" s="36"/>
      <c r="C373" s="199" t="str">
        <f t="shared" ca="1" si="7"/>
        <v/>
      </c>
      <c r="D373" s="479"/>
      <c r="E373" s="480"/>
      <c r="F373" s="480"/>
      <c r="G373" s="480"/>
      <c r="H373" s="480"/>
      <c r="I373" s="480"/>
      <c r="J373" s="480"/>
      <c r="K373" s="440"/>
      <c r="L373" s="441"/>
      <c r="M373" s="441"/>
      <c r="N373" s="441"/>
      <c r="O373" s="441"/>
      <c r="P373" s="441"/>
      <c r="Q373" s="441"/>
      <c r="R373" s="444"/>
      <c r="S373" s="445"/>
      <c r="T373" s="444"/>
      <c r="U373" s="445"/>
      <c r="V373" s="440"/>
      <c r="W373" s="441"/>
      <c r="X373" s="441"/>
      <c r="Y373" s="441"/>
      <c r="Z373" s="441"/>
      <c r="AA373" s="441"/>
      <c r="AB373" s="441"/>
      <c r="AC373" s="441"/>
      <c r="AD373" s="440"/>
      <c r="AE373" s="441"/>
      <c r="AF373" s="441"/>
      <c r="AG373" s="441"/>
      <c r="AH373" s="441"/>
      <c r="AI373" s="441"/>
      <c r="AJ373" s="441"/>
      <c r="AK373" s="450"/>
      <c r="AL373" s="440"/>
      <c r="AM373" s="441"/>
      <c r="AN373" s="441"/>
      <c r="AO373" s="441"/>
      <c r="AP373" s="441"/>
      <c r="AQ373" s="441"/>
      <c r="AR373" s="450"/>
      <c r="AS373" s="485"/>
      <c r="AT373" s="486"/>
      <c r="AU373" s="486"/>
      <c r="AV373" s="486"/>
      <c r="AW373" s="486"/>
      <c r="AX373" s="486"/>
      <c r="AY373" s="487"/>
      <c r="AZ373" s="462"/>
      <c r="BA373" s="463"/>
      <c r="BB373" s="61">
        <v>3</v>
      </c>
      <c r="BC373" s="418"/>
      <c r="BD373" s="419"/>
      <c r="BE373" s="419"/>
      <c r="BF373" s="420"/>
      <c r="BG373" s="421"/>
      <c r="BH373" s="422"/>
      <c r="BI373" s="195"/>
      <c r="BJ373" s="423"/>
      <c r="BK373" s="424"/>
      <c r="BL373" s="424"/>
      <c r="BM373" s="424"/>
      <c r="BN373" s="424"/>
      <c r="BO373" s="425"/>
      <c r="BP373" s="423"/>
      <c r="BQ373" s="424"/>
      <c r="BR373" s="424"/>
      <c r="BS373" s="424"/>
      <c r="BT373" s="424"/>
      <c r="BU373" s="425"/>
      <c r="BV373" s="423"/>
      <c r="BW373" s="424"/>
      <c r="BX373" s="424"/>
      <c r="BY373" s="424"/>
      <c r="BZ373" s="424"/>
      <c r="CA373" s="425"/>
      <c r="CB373" s="418"/>
      <c r="CC373" s="419"/>
      <c r="CD373" s="419"/>
      <c r="CE373" s="420"/>
      <c r="CF373" s="412"/>
      <c r="CG373" s="413"/>
      <c r="CH373" s="413"/>
      <c r="CI373" s="413"/>
      <c r="CJ373" s="414"/>
      <c r="CK373" s="412"/>
      <c r="CL373" s="413"/>
      <c r="CM373" s="413"/>
      <c r="CN373" s="413"/>
      <c r="CO373" s="414"/>
      <c r="CP373" s="412"/>
      <c r="CQ373" s="413"/>
      <c r="CR373" s="413"/>
      <c r="CS373" s="413"/>
      <c r="CT373" s="414"/>
      <c r="CU373" s="415"/>
      <c r="CV373" s="416"/>
      <c r="CW373" s="416"/>
      <c r="CX373" s="416"/>
      <c r="CY373" s="417"/>
    </row>
    <row r="374" spans="1:103" ht="16.5">
      <c r="A374" s="435"/>
      <c r="B374" s="36"/>
      <c r="C374" s="199" t="str">
        <f t="shared" ca="1" si="7"/>
        <v/>
      </c>
      <c r="D374" s="479"/>
      <c r="E374" s="480"/>
      <c r="F374" s="480"/>
      <c r="G374" s="480"/>
      <c r="H374" s="480"/>
      <c r="I374" s="480"/>
      <c r="J374" s="480"/>
      <c r="K374" s="440"/>
      <c r="L374" s="441"/>
      <c r="M374" s="441"/>
      <c r="N374" s="441"/>
      <c r="O374" s="441"/>
      <c r="P374" s="441"/>
      <c r="Q374" s="441"/>
      <c r="R374" s="444"/>
      <c r="S374" s="445"/>
      <c r="T374" s="444"/>
      <c r="U374" s="445"/>
      <c r="V374" s="440"/>
      <c r="W374" s="441"/>
      <c r="X374" s="441"/>
      <c r="Y374" s="441"/>
      <c r="Z374" s="441"/>
      <c r="AA374" s="441"/>
      <c r="AB374" s="441"/>
      <c r="AC374" s="441"/>
      <c r="AD374" s="440"/>
      <c r="AE374" s="441"/>
      <c r="AF374" s="441"/>
      <c r="AG374" s="441"/>
      <c r="AH374" s="441"/>
      <c r="AI374" s="441"/>
      <c r="AJ374" s="441"/>
      <c r="AK374" s="450"/>
      <c r="AL374" s="440"/>
      <c r="AM374" s="441"/>
      <c r="AN374" s="441"/>
      <c r="AO374" s="441"/>
      <c r="AP374" s="441"/>
      <c r="AQ374" s="441"/>
      <c r="AR374" s="450"/>
      <c r="AS374" s="485"/>
      <c r="AT374" s="486"/>
      <c r="AU374" s="486"/>
      <c r="AV374" s="486"/>
      <c r="AW374" s="486"/>
      <c r="AX374" s="486"/>
      <c r="AY374" s="487"/>
      <c r="AZ374" s="462"/>
      <c r="BA374" s="463"/>
      <c r="BB374" s="61">
        <v>4</v>
      </c>
      <c r="BC374" s="418"/>
      <c r="BD374" s="419"/>
      <c r="BE374" s="419"/>
      <c r="BF374" s="420"/>
      <c r="BG374" s="421"/>
      <c r="BH374" s="422"/>
      <c r="BI374" s="195"/>
      <c r="BJ374" s="423"/>
      <c r="BK374" s="424"/>
      <c r="BL374" s="424"/>
      <c r="BM374" s="424"/>
      <c r="BN374" s="424"/>
      <c r="BO374" s="425"/>
      <c r="BP374" s="423"/>
      <c r="BQ374" s="424"/>
      <c r="BR374" s="424"/>
      <c r="BS374" s="424"/>
      <c r="BT374" s="424"/>
      <c r="BU374" s="425"/>
      <c r="BV374" s="423"/>
      <c r="BW374" s="424"/>
      <c r="BX374" s="424"/>
      <c r="BY374" s="424"/>
      <c r="BZ374" s="424"/>
      <c r="CA374" s="425"/>
      <c r="CB374" s="418"/>
      <c r="CC374" s="419"/>
      <c r="CD374" s="419"/>
      <c r="CE374" s="420"/>
      <c r="CF374" s="412"/>
      <c r="CG374" s="413"/>
      <c r="CH374" s="413"/>
      <c r="CI374" s="413"/>
      <c r="CJ374" s="414"/>
      <c r="CK374" s="412"/>
      <c r="CL374" s="413"/>
      <c r="CM374" s="413"/>
      <c r="CN374" s="413"/>
      <c r="CO374" s="414"/>
      <c r="CP374" s="412"/>
      <c r="CQ374" s="413"/>
      <c r="CR374" s="413"/>
      <c r="CS374" s="413"/>
      <c r="CT374" s="414"/>
      <c r="CU374" s="415"/>
      <c r="CV374" s="416"/>
      <c r="CW374" s="416"/>
      <c r="CX374" s="416"/>
      <c r="CY374" s="417"/>
    </row>
    <row r="375" spans="1:103" ht="16.5">
      <c r="A375" s="435"/>
      <c r="B375" s="36"/>
      <c r="C375" s="199" t="str">
        <f t="shared" ca="1" si="7"/>
        <v/>
      </c>
      <c r="D375" s="479"/>
      <c r="E375" s="480"/>
      <c r="F375" s="480"/>
      <c r="G375" s="480"/>
      <c r="H375" s="480"/>
      <c r="I375" s="480"/>
      <c r="J375" s="480"/>
      <c r="K375" s="440"/>
      <c r="L375" s="441"/>
      <c r="M375" s="441"/>
      <c r="N375" s="441"/>
      <c r="O375" s="441"/>
      <c r="P375" s="441"/>
      <c r="Q375" s="441"/>
      <c r="R375" s="444"/>
      <c r="S375" s="445"/>
      <c r="T375" s="444"/>
      <c r="U375" s="445"/>
      <c r="V375" s="440"/>
      <c r="W375" s="441"/>
      <c r="X375" s="441"/>
      <c r="Y375" s="441"/>
      <c r="Z375" s="441"/>
      <c r="AA375" s="441"/>
      <c r="AB375" s="441"/>
      <c r="AC375" s="441"/>
      <c r="AD375" s="440"/>
      <c r="AE375" s="441"/>
      <c r="AF375" s="441"/>
      <c r="AG375" s="441"/>
      <c r="AH375" s="441"/>
      <c r="AI375" s="441"/>
      <c r="AJ375" s="441"/>
      <c r="AK375" s="450"/>
      <c r="AL375" s="440"/>
      <c r="AM375" s="441"/>
      <c r="AN375" s="441"/>
      <c r="AO375" s="441"/>
      <c r="AP375" s="441"/>
      <c r="AQ375" s="441"/>
      <c r="AR375" s="450"/>
      <c r="AS375" s="485"/>
      <c r="AT375" s="486"/>
      <c r="AU375" s="486"/>
      <c r="AV375" s="486"/>
      <c r="AW375" s="486"/>
      <c r="AX375" s="486"/>
      <c r="AY375" s="487"/>
      <c r="AZ375" s="462"/>
      <c r="BA375" s="463"/>
      <c r="BB375" s="61">
        <v>5</v>
      </c>
      <c r="BC375" s="418"/>
      <c r="BD375" s="419"/>
      <c r="BE375" s="419"/>
      <c r="BF375" s="420"/>
      <c r="BG375" s="421"/>
      <c r="BH375" s="422"/>
      <c r="BI375" s="195"/>
      <c r="BJ375" s="423"/>
      <c r="BK375" s="424"/>
      <c r="BL375" s="424"/>
      <c r="BM375" s="424"/>
      <c r="BN375" s="424"/>
      <c r="BO375" s="425"/>
      <c r="BP375" s="423"/>
      <c r="BQ375" s="424"/>
      <c r="BR375" s="424"/>
      <c r="BS375" s="424"/>
      <c r="BT375" s="424"/>
      <c r="BU375" s="425"/>
      <c r="BV375" s="423"/>
      <c r="BW375" s="424"/>
      <c r="BX375" s="424"/>
      <c r="BY375" s="424"/>
      <c r="BZ375" s="424"/>
      <c r="CA375" s="425"/>
      <c r="CB375" s="418"/>
      <c r="CC375" s="419"/>
      <c r="CD375" s="419"/>
      <c r="CE375" s="420"/>
      <c r="CF375" s="412"/>
      <c r="CG375" s="413"/>
      <c r="CH375" s="413"/>
      <c r="CI375" s="413"/>
      <c r="CJ375" s="414"/>
      <c r="CK375" s="412"/>
      <c r="CL375" s="413"/>
      <c r="CM375" s="413"/>
      <c r="CN375" s="413"/>
      <c r="CO375" s="414"/>
      <c r="CP375" s="412"/>
      <c r="CQ375" s="413"/>
      <c r="CR375" s="413"/>
      <c r="CS375" s="413"/>
      <c r="CT375" s="414"/>
      <c r="CU375" s="415"/>
      <c r="CV375" s="416"/>
      <c r="CW375" s="416"/>
      <c r="CX375" s="416"/>
      <c r="CY375" s="417"/>
    </row>
    <row r="376" spans="1:103" ht="16.5">
      <c r="A376" s="436"/>
      <c r="B376" s="37"/>
      <c r="C376" s="200" t="str">
        <f t="shared" ca="1" si="7"/>
        <v/>
      </c>
      <c r="D376" s="481"/>
      <c r="E376" s="482"/>
      <c r="F376" s="482"/>
      <c r="G376" s="482"/>
      <c r="H376" s="482"/>
      <c r="I376" s="482"/>
      <c r="J376" s="482"/>
      <c r="K376" s="409"/>
      <c r="L376" s="410"/>
      <c r="M376" s="410"/>
      <c r="N376" s="410"/>
      <c r="O376" s="410"/>
      <c r="P376" s="410"/>
      <c r="Q376" s="410"/>
      <c r="R376" s="446"/>
      <c r="S376" s="447"/>
      <c r="T376" s="446"/>
      <c r="U376" s="447"/>
      <c r="V376" s="409"/>
      <c r="W376" s="410"/>
      <c r="X376" s="410"/>
      <c r="Y376" s="410"/>
      <c r="Z376" s="410"/>
      <c r="AA376" s="410"/>
      <c r="AB376" s="410"/>
      <c r="AC376" s="410"/>
      <c r="AD376" s="409"/>
      <c r="AE376" s="410"/>
      <c r="AF376" s="410"/>
      <c r="AG376" s="410"/>
      <c r="AH376" s="410"/>
      <c r="AI376" s="410"/>
      <c r="AJ376" s="410"/>
      <c r="AK376" s="411"/>
      <c r="AL376" s="409"/>
      <c r="AM376" s="410"/>
      <c r="AN376" s="410"/>
      <c r="AO376" s="410"/>
      <c r="AP376" s="410"/>
      <c r="AQ376" s="410"/>
      <c r="AR376" s="411"/>
      <c r="AS376" s="488"/>
      <c r="AT376" s="489"/>
      <c r="AU376" s="489"/>
      <c r="AV376" s="489"/>
      <c r="AW376" s="489"/>
      <c r="AX376" s="489"/>
      <c r="AY376" s="490"/>
      <c r="AZ376" s="464"/>
      <c r="BA376" s="465"/>
      <c r="BB376" s="62">
        <v>6</v>
      </c>
      <c r="BC376" s="426"/>
      <c r="BD376" s="427"/>
      <c r="BE376" s="427"/>
      <c r="BF376" s="428"/>
      <c r="BG376" s="429"/>
      <c r="BH376" s="430"/>
      <c r="BI376" s="196"/>
      <c r="BJ376" s="474"/>
      <c r="BK376" s="475"/>
      <c r="BL376" s="475"/>
      <c r="BM376" s="475"/>
      <c r="BN376" s="475"/>
      <c r="BO376" s="476"/>
      <c r="BP376" s="474"/>
      <c r="BQ376" s="475"/>
      <c r="BR376" s="475"/>
      <c r="BS376" s="475"/>
      <c r="BT376" s="475"/>
      <c r="BU376" s="476"/>
      <c r="BV376" s="474"/>
      <c r="BW376" s="475"/>
      <c r="BX376" s="475"/>
      <c r="BY376" s="475"/>
      <c r="BZ376" s="475"/>
      <c r="CA376" s="476"/>
      <c r="CB376" s="426"/>
      <c r="CC376" s="427"/>
      <c r="CD376" s="427"/>
      <c r="CE376" s="428"/>
      <c r="CF376" s="412"/>
      <c r="CG376" s="413"/>
      <c r="CH376" s="413"/>
      <c r="CI376" s="413"/>
      <c r="CJ376" s="414"/>
      <c r="CK376" s="412"/>
      <c r="CL376" s="413"/>
      <c r="CM376" s="413"/>
      <c r="CN376" s="413"/>
      <c r="CO376" s="414"/>
      <c r="CP376" s="412"/>
      <c r="CQ376" s="413"/>
      <c r="CR376" s="413"/>
      <c r="CS376" s="413"/>
      <c r="CT376" s="414"/>
      <c r="CU376" s="415"/>
      <c r="CV376" s="416"/>
      <c r="CW376" s="416"/>
      <c r="CX376" s="416"/>
      <c r="CY376" s="417"/>
    </row>
    <row r="377" spans="1:103" ht="16.5">
      <c r="A377" s="434">
        <v>62</v>
      </c>
      <c r="B377" s="36"/>
      <c r="C377" s="198" t="str">
        <f t="shared" ca="1" si="7"/>
        <v/>
      </c>
      <c r="D377" s="477"/>
      <c r="E377" s="478"/>
      <c r="F377" s="478"/>
      <c r="G377" s="478"/>
      <c r="H377" s="478"/>
      <c r="I377" s="478"/>
      <c r="J377" s="478"/>
      <c r="K377" s="438" t="s">
        <v>408</v>
      </c>
      <c r="L377" s="439"/>
      <c r="M377" s="439"/>
      <c r="N377" s="439"/>
      <c r="O377" s="439"/>
      <c r="P377" s="439"/>
      <c r="Q377" s="439"/>
      <c r="R377" s="442" t="s">
        <v>186</v>
      </c>
      <c r="S377" s="443"/>
      <c r="T377" s="442"/>
      <c r="U377" s="443"/>
      <c r="V377" s="438"/>
      <c r="W377" s="439"/>
      <c r="X377" s="439"/>
      <c r="Y377" s="439"/>
      <c r="Z377" s="439"/>
      <c r="AA377" s="439"/>
      <c r="AB377" s="439"/>
      <c r="AC377" s="439"/>
      <c r="AD377" s="438"/>
      <c r="AE377" s="439"/>
      <c r="AF377" s="439"/>
      <c r="AG377" s="439"/>
      <c r="AH377" s="439"/>
      <c r="AI377" s="439"/>
      <c r="AJ377" s="439"/>
      <c r="AK377" s="449"/>
      <c r="AL377" s="438"/>
      <c r="AM377" s="439"/>
      <c r="AN377" s="439"/>
      <c r="AO377" s="439"/>
      <c r="AP377" s="439"/>
      <c r="AQ377" s="439"/>
      <c r="AR377" s="449"/>
      <c r="AS377" s="500"/>
      <c r="AT377" s="483"/>
      <c r="AU377" s="483"/>
      <c r="AV377" s="483"/>
      <c r="AW377" s="483"/>
      <c r="AX377" s="483"/>
      <c r="AY377" s="484"/>
      <c r="AZ377" s="460"/>
      <c r="BA377" s="461"/>
      <c r="BB377" s="60">
        <v>1</v>
      </c>
      <c r="BC377" s="466"/>
      <c r="BD377" s="467"/>
      <c r="BE377" s="467"/>
      <c r="BF377" s="468"/>
      <c r="BG377" s="469"/>
      <c r="BH377" s="470"/>
      <c r="BI377" s="194"/>
      <c r="BJ377" s="471"/>
      <c r="BK377" s="472"/>
      <c r="BL377" s="472"/>
      <c r="BM377" s="472"/>
      <c r="BN377" s="472"/>
      <c r="BO377" s="473"/>
      <c r="BP377" s="471"/>
      <c r="BQ377" s="472"/>
      <c r="BR377" s="472"/>
      <c r="BS377" s="472"/>
      <c r="BT377" s="472"/>
      <c r="BU377" s="473"/>
      <c r="BV377" s="471"/>
      <c r="BW377" s="472"/>
      <c r="BX377" s="472"/>
      <c r="BY377" s="472"/>
      <c r="BZ377" s="472"/>
      <c r="CA377" s="473"/>
      <c r="CB377" s="466"/>
      <c r="CC377" s="467"/>
      <c r="CD377" s="467"/>
      <c r="CE377" s="468"/>
      <c r="CF377" s="409"/>
      <c r="CG377" s="410"/>
      <c r="CH377" s="410"/>
      <c r="CI377" s="410"/>
      <c r="CJ377" s="411"/>
      <c r="CK377" s="409"/>
      <c r="CL377" s="410"/>
      <c r="CM377" s="410"/>
      <c r="CN377" s="410"/>
      <c r="CO377" s="411"/>
      <c r="CP377" s="409"/>
      <c r="CQ377" s="410"/>
      <c r="CR377" s="410"/>
      <c r="CS377" s="410"/>
      <c r="CT377" s="411"/>
      <c r="CU377" s="415"/>
      <c r="CV377" s="416"/>
      <c r="CW377" s="416"/>
      <c r="CX377" s="416"/>
      <c r="CY377" s="417"/>
    </row>
    <row r="378" spans="1:103" ht="16.5">
      <c r="A378" s="435"/>
      <c r="B378" s="36"/>
      <c r="C378" s="199" t="str">
        <f t="shared" ca="1" si="7"/>
        <v/>
      </c>
      <c r="D378" s="479"/>
      <c r="E378" s="480"/>
      <c r="F378" s="480"/>
      <c r="G378" s="480"/>
      <c r="H378" s="480"/>
      <c r="I378" s="480"/>
      <c r="J378" s="480"/>
      <c r="K378" s="440"/>
      <c r="L378" s="441"/>
      <c r="M378" s="441"/>
      <c r="N378" s="441"/>
      <c r="O378" s="441"/>
      <c r="P378" s="441"/>
      <c r="Q378" s="441"/>
      <c r="R378" s="444"/>
      <c r="S378" s="445"/>
      <c r="T378" s="444"/>
      <c r="U378" s="445"/>
      <c r="V378" s="440"/>
      <c r="W378" s="441"/>
      <c r="X378" s="441"/>
      <c r="Y378" s="441"/>
      <c r="Z378" s="441"/>
      <c r="AA378" s="441"/>
      <c r="AB378" s="441"/>
      <c r="AC378" s="441"/>
      <c r="AD378" s="440"/>
      <c r="AE378" s="441"/>
      <c r="AF378" s="441"/>
      <c r="AG378" s="441"/>
      <c r="AH378" s="441"/>
      <c r="AI378" s="441"/>
      <c r="AJ378" s="441"/>
      <c r="AK378" s="450"/>
      <c r="AL378" s="440"/>
      <c r="AM378" s="441"/>
      <c r="AN378" s="441"/>
      <c r="AO378" s="441"/>
      <c r="AP378" s="441"/>
      <c r="AQ378" s="441"/>
      <c r="AR378" s="450"/>
      <c r="AS378" s="485"/>
      <c r="AT378" s="486"/>
      <c r="AU378" s="486"/>
      <c r="AV378" s="486"/>
      <c r="AW378" s="486"/>
      <c r="AX378" s="486"/>
      <c r="AY378" s="487"/>
      <c r="AZ378" s="462"/>
      <c r="BA378" s="463"/>
      <c r="BB378" s="61">
        <v>2</v>
      </c>
      <c r="BC378" s="418"/>
      <c r="BD378" s="419"/>
      <c r="BE378" s="419"/>
      <c r="BF378" s="420"/>
      <c r="BG378" s="421"/>
      <c r="BH378" s="422"/>
      <c r="BI378" s="195"/>
      <c r="BJ378" s="423"/>
      <c r="BK378" s="424"/>
      <c r="BL378" s="424"/>
      <c r="BM378" s="424"/>
      <c r="BN378" s="424"/>
      <c r="BO378" s="425"/>
      <c r="BP378" s="423"/>
      <c r="BQ378" s="424"/>
      <c r="BR378" s="424"/>
      <c r="BS378" s="424"/>
      <c r="BT378" s="424"/>
      <c r="BU378" s="425"/>
      <c r="BV378" s="423"/>
      <c r="BW378" s="424"/>
      <c r="BX378" s="424"/>
      <c r="BY378" s="424"/>
      <c r="BZ378" s="424"/>
      <c r="CA378" s="425"/>
      <c r="CB378" s="418"/>
      <c r="CC378" s="419"/>
      <c r="CD378" s="419"/>
      <c r="CE378" s="420"/>
      <c r="CF378" s="412"/>
      <c r="CG378" s="413"/>
      <c r="CH378" s="413"/>
      <c r="CI378" s="413"/>
      <c r="CJ378" s="414"/>
      <c r="CK378" s="412"/>
      <c r="CL378" s="413"/>
      <c r="CM378" s="413"/>
      <c r="CN378" s="413"/>
      <c r="CO378" s="414"/>
      <c r="CP378" s="412"/>
      <c r="CQ378" s="413"/>
      <c r="CR378" s="413"/>
      <c r="CS378" s="413"/>
      <c r="CT378" s="414"/>
      <c r="CU378" s="415"/>
      <c r="CV378" s="416"/>
      <c r="CW378" s="416"/>
      <c r="CX378" s="416"/>
      <c r="CY378" s="417"/>
    </row>
    <row r="379" spans="1:103" ht="16.5">
      <c r="A379" s="435"/>
      <c r="B379" s="36"/>
      <c r="C379" s="199" t="str">
        <f t="shared" ca="1" si="7"/>
        <v/>
      </c>
      <c r="D379" s="479"/>
      <c r="E379" s="480"/>
      <c r="F379" s="480"/>
      <c r="G379" s="480"/>
      <c r="H379" s="480"/>
      <c r="I379" s="480"/>
      <c r="J379" s="480"/>
      <c r="K379" s="440"/>
      <c r="L379" s="441"/>
      <c r="M379" s="441"/>
      <c r="N379" s="441"/>
      <c r="O379" s="441"/>
      <c r="P379" s="441"/>
      <c r="Q379" s="441"/>
      <c r="R379" s="444"/>
      <c r="S379" s="445"/>
      <c r="T379" s="444"/>
      <c r="U379" s="445"/>
      <c r="V379" s="440"/>
      <c r="W379" s="441"/>
      <c r="X379" s="441"/>
      <c r="Y379" s="441"/>
      <c r="Z379" s="441"/>
      <c r="AA379" s="441"/>
      <c r="AB379" s="441"/>
      <c r="AC379" s="441"/>
      <c r="AD379" s="440"/>
      <c r="AE379" s="441"/>
      <c r="AF379" s="441"/>
      <c r="AG379" s="441"/>
      <c r="AH379" s="441"/>
      <c r="AI379" s="441"/>
      <c r="AJ379" s="441"/>
      <c r="AK379" s="450"/>
      <c r="AL379" s="440"/>
      <c r="AM379" s="441"/>
      <c r="AN379" s="441"/>
      <c r="AO379" s="441"/>
      <c r="AP379" s="441"/>
      <c r="AQ379" s="441"/>
      <c r="AR379" s="450"/>
      <c r="AS379" s="485"/>
      <c r="AT379" s="486"/>
      <c r="AU379" s="486"/>
      <c r="AV379" s="486"/>
      <c r="AW379" s="486"/>
      <c r="AX379" s="486"/>
      <c r="AY379" s="487"/>
      <c r="AZ379" s="462"/>
      <c r="BA379" s="463"/>
      <c r="BB379" s="61">
        <v>3</v>
      </c>
      <c r="BC379" s="418"/>
      <c r="BD379" s="419"/>
      <c r="BE379" s="419"/>
      <c r="BF379" s="420"/>
      <c r="BG379" s="421"/>
      <c r="BH379" s="422"/>
      <c r="BI379" s="195"/>
      <c r="BJ379" s="423"/>
      <c r="BK379" s="424"/>
      <c r="BL379" s="424"/>
      <c r="BM379" s="424"/>
      <c r="BN379" s="424"/>
      <c r="BO379" s="425"/>
      <c r="BP379" s="423"/>
      <c r="BQ379" s="424"/>
      <c r="BR379" s="424"/>
      <c r="BS379" s="424"/>
      <c r="BT379" s="424"/>
      <c r="BU379" s="425"/>
      <c r="BV379" s="423"/>
      <c r="BW379" s="424"/>
      <c r="BX379" s="424"/>
      <c r="BY379" s="424"/>
      <c r="BZ379" s="424"/>
      <c r="CA379" s="425"/>
      <c r="CB379" s="418"/>
      <c r="CC379" s="419"/>
      <c r="CD379" s="419"/>
      <c r="CE379" s="420"/>
      <c r="CF379" s="412"/>
      <c r="CG379" s="413"/>
      <c r="CH379" s="413"/>
      <c r="CI379" s="413"/>
      <c r="CJ379" s="414"/>
      <c r="CK379" s="412"/>
      <c r="CL379" s="413"/>
      <c r="CM379" s="413"/>
      <c r="CN379" s="413"/>
      <c r="CO379" s="414"/>
      <c r="CP379" s="412"/>
      <c r="CQ379" s="413"/>
      <c r="CR379" s="413"/>
      <c r="CS379" s="413"/>
      <c r="CT379" s="414"/>
      <c r="CU379" s="415"/>
      <c r="CV379" s="416"/>
      <c r="CW379" s="416"/>
      <c r="CX379" s="416"/>
      <c r="CY379" s="417"/>
    </row>
    <row r="380" spans="1:103" ht="16.5">
      <c r="A380" s="435"/>
      <c r="B380" s="36"/>
      <c r="C380" s="199" t="str">
        <f t="shared" ca="1" si="7"/>
        <v/>
      </c>
      <c r="D380" s="479"/>
      <c r="E380" s="480"/>
      <c r="F380" s="480"/>
      <c r="G380" s="480"/>
      <c r="H380" s="480"/>
      <c r="I380" s="480"/>
      <c r="J380" s="480"/>
      <c r="K380" s="440"/>
      <c r="L380" s="441"/>
      <c r="M380" s="441"/>
      <c r="N380" s="441"/>
      <c r="O380" s="441"/>
      <c r="P380" s="441"/>
      <c r="Q380" s="441"/>
      <c r="R380" s="444"/>
      <c r="S380" s="445"/>
      <c r="T380" s="444"/>
      <c r="U380" s="445"/>
      <c r="V380" s="440"/>
      <c r="W380" s="441"/>
      <c r="X380" s="441"/>
      <c r="Y380" s="441"/>
      <c r="Z380" s="441"/>
      <c r="AA380" s="441"/>
      <c r="AB380" s="441"/>
      <c r="AC380" s="441"/>
      <c r="AD380" s="440"/>
      <c r="AE380" s="441"/>
      <c r="AF380" s="441"/>
      <c r="AG380" s="441"/>
      <c r="AH380" s="441"/>
      <c r="AI380" s="441"/>
      <c r="AJ380" s="441"/>
      <c r="AK380" s="450"/>
      <c r="AL380" s="440"/>
      <c r="AM380" s="441"/>
      <c r="AN380" s="441"/>
      <c r="AO380" s="441"/>
      <c r="AP380" s="441"/>
      <c r="AQ380" s="441"/>
      <c r="AR380" s="450"/>
      <c r="AS380" s="485"/>
      <c r="AT380" s="486"/>
      <c r="AU380" s="486"/>
      <c r="AV380" s="486"/>
      <c r="AW380" s="486"/>
      <c r="AX380" s="486"/>
      <c r="AY380" s="487"/>
      <c r="AZ380" s="462"/>
      <c r="BA380" s="463"/>
      <c r="BB380" s="61">
        <v>4</v>
      </c>
      <c r="BC380" s="418"/>
      <c r="BD380" s="419"/>
      <c r="BE380" s="419"/>
      <c r="BF380" s="420"/>
      <c r="BG380" s="421"/>
      <c r="BH380" s="422"/>
      <c r="BI380" s="195"/>
      <c r="BJ380" s="423"/>
      <c r="BK380" s="424"/>
      <c r="BL380" s="424"/>
      <c r="BM380" s="424"/>
      <c r="BN380" s="424"/>
      <c r="BO380" s="425"/>
      <c r="BP380" s="423"/>
      <c r="BQ380" s="424"/>
      <c r="BR380" s="424"/>
      <c r="BS380" s="424"/>
      <c r="BT380" s="424"/>
      <c r="BU380" s="425"/>
      <c r="BV380" s="423"/>
      <c r="BW380" s="424"/>
      <c r="BX380" s="424"/>
      <c r="BY380" s="424"/>
      <c r="BZ380" s="424"/>
      <c r="CA380" s="425"/>
      <c r="CB380" s="418"/>
      <c r="CC380" s="419"/>
      <c r="CD380" s="419"/>
      <c r="CE380" s="420"/>
      <c r="CF380" s="412"/>
      <c r="CG380" s="413"/>
      <c r="CH380" s="413"/>
      <c r="CI380" s="413"/>
      <c r="CJ380" s="414"/>
      <c r="CK380" s="412"/>
      <c r="CL380" s="413"/>
      <c r="CM380" s="413"/>
      <c r="CN380" s="413"/>
      <c r="CO380" s="414"/>
      <c r="CP380" s="412"/>
      <c r="CQ380" s="413"/>
      <c r="CR380" s="413"/>
      <c r="CS380" s="413"/>
      <c r="CT380" s="414"/>
      <c r="CU380" s="415"/>
      <c r="CV380" s="416"/>
      <c r="CW380" s="416"/>
      <c r="CX380" s="416"/>
      <c r="CY380" s="417"/>
    </row>
    <row r="381" spans="1:103" ht="16.5">
      <c r="A381" s="435"/>
      <c r="B381" s="36"/>
      <c r="C381" s="199" t="str">
        <f t="shared" ca="1" si="7"/>
        <v/>
      </c>
      <c r="D381" s="479"/>
      <c r="E381" s="480"/>
      <c r="F381" s="480"/>
      <c r="G381" s="480"/>
      <c r="H381" s="480"/>
      <c r="I381" s="480"/>
      <c r="J381" s="480"/>
      <c r="K381" s="440"/>
      <c r="L381" s="441"/>
      <c r="M381" s="441"/>
      <c r="N381" s="441"/>
      <c r="O381" s="441"/>
      <c r="P381" s="441"/>
      <c r="Q381" s="441"/>
      <c r="R381" s="444"/>
      <c r="S381" s="445"/>
      <c r="T381" s="444"/>
      <c r="U381" s="445"/>
      <c r="V381" s="440"/>
      <c r="W381" s="441"/>
      <c r="X381" s="441"/>
      <c r="Y381" s="441"/>
      <c r="Z381" s="441"/>
      <c r="AA381" s="441"/>
      <c r="AB381" s="441"/>
      <c r="AC381" s="441"/>
      <c r="AD381" s="440"/>
      <c r="AE381" s="441"/>
      <c r="AF381" s="441"/>
      <c r="AG381" s="441"/>
      <c r="AH381" s="441"/>
      <c r="AI381" s="441"/>
      <c r="AJ381" s="441"/>
      <c r="AK381" s="450"/>
      <c r="AL381" s="440"/>
      <c r="AM381" s="441"/>
      <c r="AN381" s="441"/>
      <c r="AO381" s="441"/>
      <c r="AP381" s="441"/>
      <c r="AQ381" s="441"/>
      <c r="AR381" s="450"/>
      <c r="AS381" s="485"/>
      <c r="AT381" s="486"/>
      <c r="AU381" s="486"/>
      <c r="AV381" s="486"/>
      <c r="AW381" s="486"/>
      <c r="AX381" s="486"/>
      <c r="AY381" s="487"/>
      <c r="AZ381" s="462"/>
      <c r="BA381" s="463"/>
      <c r="BB381" s="61">
        <v>5</v>
      </c>
      <c r="BC381" s="418"/>
      <c r="BD381" s="419"/>
      <c r="BE381" s="419"/>
      <c r="BF381" s="420"/>
      <c r="BG381" s="421"/>
      <c r="BH381" s="422"/>
      <c r="BI381" s="195"/>
      <c r="BJ381" s="423"/>
      <c r="BK381" s="424"/>
      <c r="BL381" s="424"/>
      <c r="BM381" s="424"/>
      <c r="BN381" s="424"/>
      <c r="BO381" s="425"/>
      <c r="BP381" s="423"/>
      <c r="BQ381" s="424"/>
      <c r="BR381" s="424"/>
      <c r="BS381" s="424"/>
      <c r="BT381" s="424"/>
      <c r="BU381" s="425"/>
      <c r="BV381" s="423"/>
      <c r="BW381" s="424"/>
      <c r="BX381" s="424"/>
      <c r="BY381" s="424"/>
      <c r="BZ381" s="424"/>
      <c r="CA381" s="425"/>
      <c r="CB381" s="418"/>
      <c r="CC381" s="419"/>
      <c r="CD381" s="419"/>
      <c r="CE381" s="420"/>
      <c r="CF381" s="412"/>
      <c r="CG381" s="413"/>
      <c r="CH381" s="413"/>
      <c r="CI381" s="413"/>
      <c r="CJ381" s="414"/>
      <c r="CK381" s="412"/>
      <c r="CL381" s="413"/>
      <c r="CM381" s="413"/>
      <c r="CN381" s="413"/>
      <c r="CO381" s="414"/>
      <c r="CP381" s="412"/>
      <c r="CQ381" s="413"/>
      <c r="CR381" s="413"/>
      <c r="CS381" s="413"/>
      <c r="CT381" s="414"/>
      <c r="CU381" s="415"/>
      <c r="CV381" s="416"/>
      <c r="CW381" s="416"/>
      <c r="CX381" s="416"/>
      <c r="CY381" s="417"/>
    </row>
    <row r="382" spans="1:103" ht="16.5">
      <c r="A382" s="436"/>
      <c r="B382" s="37"/>
      <c r="C382" s="200" t="str">
        <f t="shared" ca="1" si="7"/>
        <v/>
      </c>
      <c r="D382" s="481"/>
      <c r="E382" s="482"/>
      <c r="F382" s="482"/>
      <c r="G382" s="482"/>
      <c r="H382" s="482"/>
      <c r="I382" s="482"/>
      <c r="J382" s="482"/>
      <c r="K382" s="409"/>
      <c r="L382" s="410"/>
      <c r="M382" s="410"/>
      <c r="N382" s="410"/>
      <c r="O382" s="410"/>
      <c r="P382" s="410"/>
      <c r="Q382" s="410"/>
      <c r="R382" s="446"/>
      <c r="S382" s="447"/>
      <c r="T382" s="446"/>
      <c r="U382" s="447"/>
      <c r="V382" s="409"/>
      <c r="W382" s="410"/>
      <c r="X382" s="410"/>
      <c r="Y382" s="410"/>
      <c r="Z382" s="410"/>
      <c r="AA382" s="410"/>
      <c r="AB382" s="410"/>
      <c r="AC382" s="410"/>
      <c r="AD382" s="409"/>
      <c r="AE382" s="410"/>
      <c r="AF382" s="410"/>
      <c r="AG382" s="410"/>
      <c r="AH382" s="410"/>
      <c r="AI382" s="410"/>
      <c r="AJ382" s="410"/>
      <c r="AK382" s="411"/>
      <c r="AL382" s="409"/>
      <c r="AM382" s="410"/>
      <c r="AN382" s="410"/>
      <c r="AO382" s="410"/>
      <c r="AP382" s="410"/>
      <c r="AQ382" s="410"/>
      <c r="AR382" s="411"/>
      <c r="AS382" s="488"/>
      <c r="AT382" s="489"/>
      <c r="AU382" s="489"/>
      <c r="AV382" s="489"/>
      <c r="AW382" s="489"/>
      <c r="AX382" s="489"/>
      <c r="AY382" s="490"/>
      <c r="AZ382" s="464"/>
      <c r="BA382" s="465"/>
      <c r="BB382" s="62">
        <v>6</v>
      </c>
      <c r="BC382" s="426"/>
      <c r="BD382" s="427"/>
      <c r="BE382" s="427"/>
      <c r="BF382" s="428"/>
      <c r="BG382" s="429"/>
      <c r="BH382" s="430"/>
      <c r="BI382" s="196"/>
      <c r="BJ382" s="474"/>
      <c r="BK382" s="475"/>
      <c r="BL382" s="475"/>
      <c r="BM382" s="475"/>
      <c r="BN382" s="475"/>
      <c r="BO382" s="476"/>
      <c r="BP382" s="474"/>
      <c r="BQ382" s="475"/>
      <c r="BR382" s="475"/>
      <c r="BS382" s="475"/>
      <c r="BT382" s="475"/>
      <c r="BU382" s="476"/>
      <c r="BV382" s="474"/>
      <c r="BW382" s="475"/>
      <c r="BX382" s="475"/>
      <c r="BY382" s="475"/>
      <c r="BZ382" s="475"/>
      <c r="CA382" s="476"/>
      <c r="CB382" s="426"/>
      <c r="CC382" s="427"/>
      <c r="CD382" s="427"/>
      <c r="CE382" s="428"/>
      <c r="CF382" s="412"/>
      <c r="CG382" s="413"/>
      <c r="CH382" s="413"/>
      <c r="CI382" s="413"/>
      <c r="CJ382" s="414"/>
      <c r="CK382" s="412"/>
      <c r="CL382" s="413"/>
      <c r="CM382" s="413"/>
      <c r="CN382" s="413"/>
      <c r="CO382" s="414"/>
      <c r="CP382" s="412"/>
      <c r="CQ382" s="413"/>
      <c r="CR382" s="413"/>
      <c r="CS382" s="413"/>
      <c r="CT382" s="414"/>
      <c r="CU382" s="415"/>
      <c r="CV382" s="416"/>
      <c r="CW382" s="416"/>
      <c r="CX382" s="416"/>
      <c r="CY382" s="417"/>
    </row>
    <row r="383" spans="1:103" ht="16.5">
      <c r="A383" s="434">
        <v>63</v>
      </c>
      <c r="B383" s="36"/>
      <c r="C383" s="198" t="str">
        <f t="shared" ca="1" si="7"/>
        <v/>
      </c>
      <c r="D383" s="477"/>
      <c r="E383" s="478"/>
      <c r="F383" s="478"/>
      <c r="G383" s="478"/>
      <c r="H383" s="478"/>
      <c r="I383" s="478"/>
      <c r="J383" s="478"/>
      <c r="K383" s="438" t="s">
        <v>409</v>
      </c>
      <c r="L383" s="439"/>
      <c r="M383" s="439"/>
      <c r="N383" s="439"/>
      <c r="O383" s="439"/>
      <c r="P383" s="439"/>
      <c r="Q383" s="439"/>
      <c r="R383" s="442" t="s">
        <v>186</v>
      </c>
      <c r="S383" s="443"/>
      <c r="T383" s="442"/>
      <c r="U383" s="443"/>
      <c r="V383" s="438"/>
      <c r="W383" s="439"/>
      <c r="X383" s="439"/>
      <c r="Y383" s="439"/>
      <c r="Z383" s="439"/>
      <c r="AA383" s="439"/>
      <c r="AB383" s="439"/>
      <c r="AC383" s="439"/>
      <c r="AD383" s="438"/>
      <c r="AE383" s="439"/>
      <c r="AF383" s="439"/>
      <c r="AG383" s="439"/>
      <c r="AH383" s="439"/>
      <c r="AI383" s="439"/>
      <c r="AJ383" s="439"/>
      <c r="AK383" s="449"/>
      <c r="AL383" s="438"/>
      <c r="AM383" s="439"/>
      <c r="AN383" s="439"/>
      <c r="AO383" s="439"/>
      <c r="AP383" s="439"/>
      <c r="AQ383" s="439"/>
      <c r="AR383" s="449"/>
      <c r="AS383" s="500"/>
      <c r="AT383" s="483"/>
      <c r="AU383" s="483"/>
      <c r="AV383" s="483"/>
      <c r="AW383" s="483"/>
      <c r="AX383" s="483"/>
      <c r="AY383" s="484"/>
      <c r="AZ383" s="460"/>
      <c r="BA383" s="461"/>
      <c r="BB383" s="60">
        <v>1</v>
      </c>
      <c r="BC383" s="466"/>
      <c r="BD383" s="467"/>
      <c r="BE383" s="467"/>
      <c r="BF383" s="468"/>
      <c r="BG383" s="469"/>
      <c r="BH383" s="470"/>
      <c r="BI383" s="194"/>
      <c r="BJ383" s="471"/>
      <c r="BK383" s="472"/>
      <c r="BL383" s="472"/>
      <c r="BM383" s="472"/>
      <c r="BN383" s="472"/>
      <c r="BO383" s="473"/>
      <c r="BP383" s="471"/>
      <c r="BQ383" s="472"/>
      <c r="BR383" s="472"/>
      <c r="BS383" s="472"/>
      <c r="BT383" s="472"/>
      <c r="BU383" s="473"/>
      <c r="BV383" s="471"/>
      <c r="BW383" s="472"/>
      <c r="BX383" s="472"/>
      <c r="BY383" s="472"/>
      <c r="BZ383" s="472"/>
      <c r="CA383" s="473"/>
      <c r="CB383" s="466"/>
      <c r="CC383" s="467"/>
      <c r="CD383" s="467"/>
      <c r="CE383" s="468"/>
      <c r="CF383" s="409"/>
      <c r="CG383" s="410"/>
      <c r="CH383" s="410"/>
      <c r="CI383" s="410"/>
      <c r="CJ383" s="411"/>
      <c r="CK383" s="409"/>
      <c r="CL383" s="410"/>
      <c r="CM383" s="410"/>
      <c r="CN383" s="410"/>
      <c r="CO383" s="411"/>
      <c r="CP383" s="409"/>
      <c r="CQ383" s="410"/>
      <c r="CR383" s="410"/>
      <c r="CS383" s="410"/>
      <c r="CT383" s="411"/>
      <c r="CU383" s="415"/>
      <c r="CV383" s="416"/>
      <c r="CW383" s="416"/>
      <c r="CX383" s="416"/>
      <c r="CY383" s="417"/>
    </row>
    <row r="384" spans="1:103" ht="16.5">
      <c r="A384" s="435"/>
      <c r="B384" s="36"/>
      <c r="C384" s="199" t="str">
        <f t="shared" ca="1" si="7"/>
        <v/>
      </c>
      <c r="D384" s="479"/>
      <c r="E384" s="480"/>
      <c r="F384" s="480"/>
      <c r="G384" s="480"/>
      <c r="H384" s="480"/>
      <c r="I384" s="480"/>
      <c r="J384" s="480"/>
      <c r="K384" s="440"/>
      <c r="L384" s="441"/>
      <c r="M384" s="441"/>
      <c r="N384" s="441"/>
      <c r="O384" s="441"/>
      <c r="P384" s="441"/>
      <c r="Q384" s="441"/>
      <c r="R384" s="444"/>
      <c r="S384" s="445"/>
      <c r="T384" s="444"/>
      <c r="U384" s="445"/>
      <c r="V384" s="440"/>
      <c r="W384" s="441"/>
      <c r="X384" s="441"/>
      <c r="Y384" s="441"/>
      <c r="Z384" s="441"/>
      <c r="AA384" s="441"/>
      <c r="AB384" s="441"/>
      <c r="AC384" s="441"/>
      <c r="AD384" s="440"/>
      <c r="AE384" s="441"/>
      <c r="AF384" s="441"/>
      <c r="AG384" s="441"/>
      <c r="AH384" s="441"/>
      <c r="AI384" s="441"/>
      <c r="AJ384" s="441"/>
      <c r="AK384" s="450"/>
      <c r="AL384" s="440"/>
      <c r="AM384" s="441"/>
      <c r="AN384" s="441"/>
      <c r="AO384" s="441"/>
      <c r="AP384" s="441"/>
      <c r="AQ384" s="441"/>
      <c r="AR384" s="450"/>
      <c r="AS384" s="485"/>
      <c r="AT384" s="486"/>
      <c r="AU384" s="486"/>
      <c r="AV384" s="486"/>
      <c r="AW384" s="486"/>
      <c r="AX384" s="486"/>
      <c r="AY384" s="487"/>
      <c r="AZ384" s="462"/>
      <c r="BA384" s="463"/>
      <c r="BB384" s="61">
        <v>2</v>
      </c>
      <c r="BC384" s="418"/>
      <c r="BD384" s="419"/>
      <c r="BE384" s="419"/>
      <c r="BF384" s="420"/>
      <c r="BG384" s="421"/>
      <c r="BH384" s="422"/>
      <c r="BI384" s="195"/>
      <c r="BJ384" s="423"/>
      <c r="BK384" s="424"/>
      <c r="BL384" s="424"/>
      <c r="BM384" s="424"/>
      <c r="BN384" s="424"/>
      <c r="BO384" s="425"/>
      <c r="BP384" s="423"/>
      <c r="BQ384" s="424"/>
      <c r="BR384" s="424"/>
      <c r="BS384" s="424"/>
      <c r="BT384" s="424"/>
      <c r="BU384" s="425"/>
      <c r="BV384" s="423"/>
      <c r="BW384" s="424"/>
      <c r="BX384" s="424"/>
      <c r="BY384" s="424"/>
      <c r="BZ384" s="424"/>
      <c r="CA384" s="425"/>
      <c r="CB384" s="418"/>
      <c r="CC384" s="419"/>
      <c r="CD384" s="419"/>
      <c r="CE384" s="420"/>
      <c r="CF384" s="412"/>
      <c r="CG384" s="413"/>
      <c r="CH384" s="413"/>
      <c r="CI384" s="413"/>
      <c r="CJ384" s="414"/>
      <c r="CK384" s="412"/>
      <c r="CL384" s="413"/>
      <c r="CM384" s="413"/>
      <c r="CN384" s="413"/>
      <c r="CO384" s="414"/>
      <c r="CP384" s="412"/>
      <c r="CQ384" s="413"/>
      <c r="CR384" s="413"/>
      <c r="CS384" s="413"/>
      <c r="CT384" s="414"/>
      <c r="CU384" s="415"/>
      <c r="CV384" s="416"/>
      <c r="CW384" s="416"/>
      <c r="CX384" s="416"/>
      <c r="CY384" s="417"/>
    </row>
    <row r="385" spans="1:103" ht="16.5">
      <c r="A385" s="435"/>
      <c r="B385" s="36"/>
      <c r="C385" s="199" t="str">
        <f t="shared" ca="1" si="7"/>
        <v/>
      </c>
      <c r="D385" s="479"/>
      <c r="E385" s="480"/>
      <c r="F385" s="480"/>
      <c r="G385" s="480"/>
      <c r="H385" s="480"/>
      <c r="I385" s="480"/>
      <c r="J385" s="480"/>
      <c r="K385" s="440"/>
      <c r="L385" s="441"/>
      <c r="M385" s="441"/>
      <c r="N385" s="441"/>
      <c r="O385" s="441"/>
      <c r="P385" s="441"/>
      <c r="Q385" s="441"/>
      <c r="R385" s="444"/>
      <c r="S385" s="445"/>
      <c r="T385" s="444"/>
      <c r="U385" s="445"/>
      <c r="V385" s="440"/>
      <c r="W385" s="441"/>
      <c r="X385" s="441"/>
      <c r="Y385" s="441"/>
      <c r="Z385" s="441"/>
      <c r="AA385" s="441"/>
      <c r="AB385" s="441"/>
      <c r="AC385" s="441"/>
      <c r="AD385" s="440"/>
      <c r="AE385" s="441"/>
      <c r="AF385" s="441"/>
      <c r="AG385" s="441"/>
      <c r="AH385" s="441"/>
      <c r="AI385" s="441"/>
      <c r="AJ385" s="441"/>
      <c r="AK385" s="450"/>
      <c r="AL385" s="440"/>
      <c r="AM385" s="441"/>
      <c r="AN385" s="441"/>
      <c r="AO385" s="441"/>
      <c r="AP385" s="441"/>
      <c r="AQ385" s="441"/>
      <c r="AR385" s="450"/>
      <c r="AS385" s="485"/>
      <c r="AT385" s="486"/>
      <c r="AU385" s="486"/>
      <c r="AV385" s="486"/>
      <c r="AW385" s="486"/>
      <c r="AX385" s="486"/>
      <c r="AY385" s="487"/>
      <c r="AZ385" s="462"/>
      <c r="BA385" s="463"/>
      <c r="BB385" s="61">
        <v>3</v>
      </c>
      <c r="BC385" s="418"/>
      <c r="BD385" s="419"/>
      <c r="BE385" s="419"/>
      <c r="BF385" s="420"/>
      <c r="BG385" s="421"/>
      <c r="BH385" s="422"/>
      <c r="BI385" s="195"/>
      <c r="BJ385" s="423"/>
      <c r="BK385" s="424"/>
      <c r="BL385" s="424"/>
      <c r="BM385" s="424"/>
      <c r="BN385" s="424"/>
      <c r="BO385" s="425"/>
      <c r="BP385" s="423"/>
      <c r="BQ385" s="424"/>
      <c r="BR385" s="424"/>
      <c r="BS385" s="424"/>
      <c r="BT385" s="424"/>
      <c r="BU385" s="425"/>
      <c r="BV385" s="423"/>
      <c r="BW385" s="424"/>
      <c r="BX385" s="424"/>
      <c r="BY385" s="424"/>
      <c r="BZ385" s="424"/>
      <c r="CA385" s="425"/>
      <c r="CB385" s="418"/>
      <c r="CC385" s="419"/>
      <c r="CD385" s="419"/>
      <c r="CE385" s="420"/>
      <c r="CF385" s="412"/>
      <c r="CG385" s="413"/>
      <c r="CH385" s="413"/>
      <c r="CI385" s="413"/>
      <c r="CJ385" s="414"/>
      <c r="CK385" s="412"/>
      <c r="CL385" s="413"/>
      <c r="CM385" s="413"/>
      <c r="CN385" s="413"/>
      <c r="CO385" s="414"/>
      <c r="CP385" s="412"/>
      <c r="CQ385" s="413"/>
      <c r="CR385" s="413"/>
      <c r="CS385" s="413"/>
      <c r="CT385" s="414"/>
      <c r="CU385" s="415"/>
      <c r="CV385" s="416"/>
      <c r="CW385" s="416"/>
      <c r="CX385" s="416"/>
      <c r="CY385" s="417"/>
    </row>
    <row r="386" spans="1:103" ht="16.5">
      <c r="A386" s="435"/>
      <c r="B386" s="36"/>
      <c r="C386" s="199" t="str">
        <f t="shared" ca="1" si="7"/>
        <v/>
      </c>
      <c r="D386" s="479"/>
      <c r="E386" s="480"/>
      <c r="F386" s="480"/>
      <c r="G386" s="480"/>
      <c r="H386" s="480"/>
      <c r="I386" s="480"/>
      <c r="J386" s="480"/>
      <c r="K386" s="440"/>
      <c r="L386" s="441"/>
      <c r="M386" s="441"/>
      <c r="N386" s="441"/>
      <c r="O386" s="441"/>
      <c r="P386" s="441"/>
      <c r="Q386" s="441"/>
      <c r="R386" s="444"/>
      <c r="S386" s="445"/>
      <c r="T386" s="444"/>
      <c r="U386" s="445"/>
      <c r="V386" s="440"/>
      <c r="W386" s="441"/>
      <c r="X386" s="441"/>
      <c r="Y386" s="441"/>
      <c r="Z386" s="441"/>
      <c r="AA386" s="441"/>
      <c r="AB386" s="441"/>
      <c r="AC386" s="441"/>
      <c r="AD386" s="440"/>
      <c r="AE386" s="441"/>
      <c r="AF386" s="441"/>
      <c r="AG386" s="441"/>
      <c r="AH386" s="441"/>
      <c r="AI386" s="441"/>
      <c r="AJ386" s="441"/>
      <c r="AK386" s="450"/>
      <c r="AL386" s="440"/>
      <c r="AM386" s="441"/>
      <c r="AN386" s="441"/>
      <c r="AO386" s="441"/>
      <c r="AP386" s="441"/>
      <c r="AQ386" s="441"/>
      <c r="AR386" s="450"/>
      <c r="AS386" s="485"/>
      <c r="AT386" s="486"/>
      <c r="AU386" s="486"/>
      <c r="AV386" s="486"/>
      <c r="AW386" s="486"/>
      <c r="AX386" s="486"/>
      <c r="AY386" s="487"/>
      <c r="AZ386" s="462"/>
      <c r="BA386" s="463"/>
      <c r="BB386" s="61">
        <v>4</v>
      </c>
      <c r="BC386" s="418"/>
      <c r="BD386" s="419"/>
      <c r="BE386" s="419"/>
      <c r="BF386" s="420"/>
      <c r="BG386" s="421"/>
      <c r="BH386" s="422"/>
      <c r="BI386" s="195"/>
      <c r="BJ386" s="423"/>
      <c r="BK386" s="424"/>
      <c r="BL386" s="424"/>
      <c r="BM386" s="424"/>
      <c r="BN386" s="424"/>
      <c r="BO386" s="425"/>
      <c r="BP386" s="423"/>
      <c r="BQ386" s="424"/>
      <c r="BR386" s="424"/>
      <c r="BS386" s="424"/>
      <c r="BT386" s="424"/>
      <c r="BU386" s="425"/>
      <c r="BV386" s="423"/>
      <c r="BW386" s="424"/>
      <c r="BX386" s="424"/>
      <c r="BY386" s="424"/>
      <c r="BZ386" s="424"/>
      <c r="CA386" s="425"/>
      <c r="CB386" s="418"/>
      <c r="CC386" s="419"/>
      <c r="CD386" s="419"/>
      <c r="CE386" s="420"/>
      <c r="CF386" s="412"/>
      <c r="CG386" s="413"/>
      <c r="CH386" s="413"/>
      <c r="CI386" s="413"/>
      <c r="CJ386" s="414"/>
      <c r="CK386" s="412"/>
      <c r="CL386" s="413"/>
      <c r="CM386" s="413"/>
      <c r="CN386" s="413"/>
      <c r="CO386" s="414"/>
      <c r="CP386" s="412"/>
      <c r="CQ386" s="413"/>
      <c r="CR386" s="413"/>
      <c r="CS386" s="413"/>
      <c r="CT386" s="414"/>
      <c r="CU386" s="415"/>
      <c r="CV386" s="416"/>
      <c r="CW386" s="416"/>
      <c r="CX386" s="416"/>
      <c r="CY386" s="417"/>
    </row>
    <row r="387" spans="1:103" ht="16.5">
      <c r="A387" s="435"/>
      <c r="B387" s="36"/>
      <c r="C387" s="199" t="str">
        <f t="shared" ca="1" si="7"/>
        <v/>
      </c>
      <c r="D387" s="479"/>
      <c r="E387" s="480"/>
      <c r="F387" s="480"/>
      <c r="G387" s="480"/>
      <c r="H387" s="480"/>
      <c r="I387" s="480"/>
      <c r="J387" s="480"/>
      <c r="K387" s="440"/>
      <c r="L387" s="441"/>
      <c r="M387" s="441"/>
      <c r="N387" s="441"/>
      <c r="O387" s="441"/>
      <c r="P387" s="441"/>
      <c r="Q387" s="441"/>
      <c r="R387" s="444"/>
      <c r="S387" s="445"/>
      <c r="T387" s="444"/>
      <c r="U387" s="445"/>
      <c r="V387" s="440"/>
      <c r="W387" s="441"/>
      <c r="X387" s="441"/>
      <c r="Y387" s="441"/>
      <c r="Z387" s="441"/>
      <c r="AA387" s="441"/>
      <c r="AB387" s="441"/>
      <c r="AC387" s="441"/>
      <c r="AD387" s="440"/>
      <c r="AE387" s="441"/>
      <c r="AF387" s="441"/>
      <c r="AG387" s="441"/>
      <c r="AH387" s="441"/>
      <c r="AI387" s="441"/>
      <c r="AJ387" s="441"/>
      <c r="AK387" s="450"/>
      <c r="AL387" s="440"/>
      <c r="AM387" s="441"/>
      <c r="AN387" s="441"/>
      <c r="AO387" s="441"/>
      <c r="AP387" s="441"/>
      <c r="AQ387" s="441"/>
      <c r="AR387" s="450"/>
      <c r="AS387" s="485"/>
      <c r="AT387" s="486"/>
      <c r="AU387" s="486"/>
      <c r="AV387" s="486"/>
      <c r="AW387" s="486"/>
      <c r="AX387" s="486"/>
      <c r="AY387" s="487"/>
      <c r="AZ387" s="462"/>
      <c r="BA387" s="463"/>
      <c r="BB387" s="61">
        <v>5</v>
      </c>
      <c r="BC387" s="418"/>
      <c r="BD387" s="419"/>
      <c r="BE387" s="419"/>
      <c r="BF387" s="420"/>
      <c r="BG387" s="421"/>
      <c r="BH387" s="422"/>
      <c r="BI387" s="195"/>
      <c r="BJ387" s="423"/>
      <c r="BK387" s="424"/>
      <c r="BL387" s="424"/>
      <c r="BM387" s="424"/>
      <c r="BN387" s="424"/>
      <c r="BO387" s="425"/>
      <c r="BP387" s="423"/>
      <c r="BQ387" s="424"/>
      <c r="BR387" s="424"/>
      <c r="BS387" s="424"/>
      <c r="BT387" s="424"/>
      <c r="BU387" s="425"/>
      <c r="BV387" s="423"/>
      <c r="BW387" s="424"/>
      <c r="BX387" s="424"/>
      <c r="BY387" s="424"/>
      <c r="BZ387" s="424"/>
      <c r="CA387" s="425"/>
      <c r="CB387" s="418"/>
      <c r="CC387" s="419"/>
      <c r="CD387" s="419"/>
      <c r="CE387" s="420"/>
      <c r="CF387" s="412"/>
      <c r="CG387" s="413"/>
      <c r="CH387" s="413"/>
      <c r="CI387" s="413"/>
      <c r="CJ387" s="414"/>
      <c r="CK387" s="412"/>
      <c r="CL387" s="413"/>
      <c r="CM387" s="413"/>
      <c r="CN387" s="413"/>
      <c r="CO387" s="414"/>
      <c r="CP387" s="412"/>
      <c r="CQ387" s="413"/>
      <c r="CR387" s="413"/>
      <c r="CS387" s="413"/>
      <c r="CT387" s="414"/>
      <c r="CU387" s="415"/>
      <c r="CV387" s="416"/>
      <c r="CW387" s="416"/>
      <c r="CX387" s="416"/>
      <c r="CY387" s="417"/>
    </row>
    <row r="388" spans="1:103" ht="16.5">
      <c r="A388" s="436"/>
      <c r="B388" s="37"/>
      <c r="C388" s="200" t="str">
        <f t="shared" ca="1" si="7"/>
        <v/>
      </c>
      <c r="D388" s="481"/>
      <c r="E388" s="482"/>
      <c r="F388" s="482"/>
      <c r="G388" s="482"/>
      <c r="H388" s="482"/>
      <c r="I388" s="482"/>
      <c r="J388" s="482"/>
      <c r="K388" s="409"/>
      <c r="L388" s="410"/>
      <c r="M388" s="410"/>
      <c r="N388" s="410"/>
      <c r="O388" s="410"/>
      <c r="P388" s="410"/>
      <c r="Q388" s="410"/>
      <c r="R388" s="446"/>
      <c r="S388" s="447"/>
      <c r="T388" s="446"/>
      <c r="U388" s="447"/>
      <c r="V388" s="409"/>
      <c r="W388" s="410"/>
      <c r="X388" s="410"/>
      <c r="Y388" s="410"/>
      <c r="Z388" s="410"/>
      <c r="AA388" s="410"/>
      <c r="AB388" s="410"/>
      <c r="AC388" s="410"/>
      <c r="AD388" s="409"/>
      <c r="AE388" s="410"/>
      <c r="AF388" s="410"/>
      <c r="AG388" s="410"/>
      <c r="AH388" s="410"/>
      <c r="AI388" s="410"/>
      <c r="AJ388" s="410"/>
      <c r="AK388" s="411"/>
      <c r="AL388" s="409"/>
      <c r="AM388" s="410"/>
      <c r="AN388" s="410"/>
      <c r="AO388" s="410"/>
      <c r="AP388" s="410"/>
      <c r="AQ388" s="410"/>
      <c r="AR388" s="411"/>
      <c r="AS388" s="488"/>
      <c r="AT388" s="489"/>
      <c r="AU388" s="489"/>
      <c r="AV388" s="489"/>
      <c r="AW388" s="489"/>
      <c r="AX388" s="489"/>
      <c r="AY388" s="490"/>
      <c r="AZ388" s="464"/>
      <c r="BA388" s="465"/>
      <c r="BB388" s="62">
        <v>6</v>
      </c>
      <c r="BC388" s="426"/>
      <c r="BD388" s="427"/>
      <c r="BE388" s="427"/>
      <c r="BF388" s="428"/>
      <c r="BG388" s="429"/>
      <c r="BH388" s="430"/>
      <c r="BI388" s="196"/>
      <c r="BJ388" s="474"/>
      <c r="BK388" s="475"/>
      <c r="BL388" s="475"/>
      <c r="BM388" s="475"/>
      <c r="BN388" s="475"/>
      <c r="BO388" s="476"/>
      <c r="BP388" s="474"/>
      <c r="BQ388" s="475"/>
      <c r="BR388" s="475"/>
      <c r="BS388" s="475"/>
      <c r="BT388" s="475"/>
      <c r="BU388" s="476"/>
      <c r="BV388" s="474"/>
      <c r="BW388" s="475"/>
      <c r="BX388" s="475"/>
      <c r="BY388" s="475"/>
      <c r="BZ388" s="475"/>
      <c r="CA388" s="476"/>
      <c r="CB388" s="426"/>
      <c r="CC388" s="427"/>
      <c r="CD388" s="427"/>
      <c r="CE388" s="428"/>
      <c r="CF388" s="412"/>
      <c r="CG388" s="413"/>
      <c r="CH388" s="413"/>
      <c r="CI388" s="413"/>
      <c r="CJ388" s="414"/>
      <c r="CK388" s="412"/>
      <c r="CL388" s="413"/>
      <c r="CM388" s="413"/>
      <c r="CN388" s="413"/>
      <c r="CO388" s="414"/>
      <c r="CP388" s="412"/>
      <c r="CQ388" s="413"/>
      <c r="CR388" s="413"/>
      <c r="CS388" s="413"/>
      <c r="CT388" s="414"/>
      <c r="CU388" s="415"/>
      <c r="CV388" s="416"/>
      <c r="CW388" s="416"/>
      <c r="CX388" s="416"/>
      <c r="CY388" s="417"/>
    </row>
    <row r="389" spans="1:103" ht="16.5">
      <c r="A389" s="434">
        <v>64</v>
      </c>
      <c r="B389" s="36"/>
      <c r="C389" s="198" t="str">
        <f t="shared" ca="1" si="7"/>
        <v/>
      </c>
      <c r="D389" s="477"/>
      <c r="E389" s="478"/>
      <c r="F389" s="478"/>
      <c r="G389" s="478"/>
      <c r="H389" s="478"/>
      <c r="I389" s="478"/>
      <c r="J389" s="478"/>
      <c r="K389" s="438" t="s">
        <v>410</v>
      </c>
      <c r="L389" s="439"/>
      <c r="M389" s="439"/>
      <c r="N389" s="439"/>
      <c r="O389" s="439"/>
      <c r="P389" s="439"/>
      <c r="Q389" s="439"/>
      <c r="R389" s="442" t="s">
        <v>186</v>
      </c>
      <c r="S389" s="443"/>
      <c r="T389" s="442"/>
      <c r="U389" s="443"/>
      <c r="V389" s="438"/>
      <c r="W389" s="439"/>
      <c r="X389" s="439"/>
      <c r="Y389" s="439"/>
      <c r="Z389" s="439"/>
      <c r="AA389" s="439"/>
      <c r="AB389" s="439"/>
      <c r="AC389" s="439"/>
      <c r="AD389" s="438"/>
      <c r="AE389" s="439"/>
      <c r="AF389" s="439"/>
      <c r="AG389" s="439"/>
      <c r="AH389" s="439"/>
      <c r="AI389" s="439"/>
      <c r="AJ389" s="439"/>
      <c r="AK389" s="449"/>
      <c r="AL389" s="438"/>
      <c r="AM389" s="439"/>
      <c r="AN389" s="439"/>
      <c r="AO389" s="439"/>
      <c r="AP389" s="439"/>
      <c r="AQ389" s="439"/>
      <c r="AR389" s="449"/>
      <c r="AS389" s="500"/>
      <c r="AT389" s="483"/>
      <c r="AU389" s="483"/>
      <c r="AV389" s="483"/>
      <c r="AW389" s="483"/>
      <c r="AX389" s="483"/>
      <c r="AY389" s="484"/>
      <c r="AZ389" s="460"/>
      <c r="BA389" s="461"/>
      <c r="BB389" s="60">
        <v>1</v>
      </c>
      <c r="BC389" s="466"/>
      <c r="BD389" s="467"/>
      <c r="BE389" s="467"/>
      <c r="BF389" s="468"/>
      <c r="BG389" s="469"/>
      <c r="BH389" s="470"/>
      <c r="BI389" s="194"/>
      <c r="BJ389" s="471"/>
      <c r="BK389" s="472"/>
      <c r="BL389" s="472"/>
      <c r="BM389" s="472"/>
      <c r="BN389" s="472"/>
      <c r="BO389" s="473"/>
      <c r="BP389" s="471"/>
      <c r="BQ389" s="472"/>
      <c r="BR389" s="472"/>
      <c r="BS389" s="472"/>
      <c r="BT389" s="472"/>
      <c r="BU389" s="473"/>
      <c r="BV389" s="471"/>
      <c r="BW389" s="472"/>
      <c r="BX389" s="472"/>
      <c r="BY389" s="472"/>
      <c r="BZ389" s="472"/>
      <c r="CA389" s="473"/>
      <c r="CB389" s="466"/>
      <c r="CC389" s="467"/>
      <c r="CD389" s="467"/>
      <c r="CE389" s="468"/>
      <c r="CF389" s="409"/>
      <c r="CG389" s="410"/>
      <c r="CH389" s="410"/>
      <c r="CI389" s="410"/>
      <c r="CJ389" s="411"/>
      <c r="CK389" s="409"/>
      <c r="CL389" s="410"/>
      <c r="CM389" s="410"/>
      <c r="CN389" s="410"/>
      <c r="CO389" s="411"/>
      <c r="CP389" s="409"/>
      <c r="CQ389" s="410"/>
      <c r="CR389" s="410"/>
      <c r="CS389" s="410"/>
      <c r="CT389" s="411"/>
      <c r="CU389" s="415"/>
      <c r="CV389" s="416"/>
      <c r="CW389" s="416"/>
      <c r="CX389" s="416"/>
      <c r="CY389" s="417"/>
    </row>
    <row r="390" spans="1:103" ht="16.5">
      <c r="A390" s="435"/>
      <c r="B390" s="36"/>
      <c r="C390" s="199" t="str">
        <f t="shared" ca="1" si="7"/>
        <v/>
      </c>
      <c r="D390" s="479"/>
      <c r="E390" s="480"/>
      <c r="F390" s="480"/>
      <c r="G390" s="480"/>
      <c r="H390" s="480"/>
      <c r="I390" s="480"/>
      <c r="J390" s="480"/>
      <c r="K390" s="440"/>
      <c r="L390" s="441"/>
      <c r="M390" s="441"/>
      <c r="N390" s="441"/>
      <c r="O390" s="441"/>
      <c r="P390" s="441"/>
      <c r="Q390" s="441"/>
      <c r="R390" s="444"/>
      <c r="S390" s="445"/>
      <c r="T390" s="444"/>
      <c r="U390" s="445"/>
      <c r="V390" s="440"/>
      <c r="W390" s="441"/>
      <c r="X390" s="441"/>
      <c r="Y390" s="441"/>
      <c r="Z390" s="441"/>
      <c r="AA390" s="441"/>
      <c r="AB390" s="441"/>
      <c r="AC390" s="441"/>
      <c r="AD390" s="440"/>
      <c r="AE390" s="441"/>
      <c r="AF390" s="441"/>
      <c r="AG390" s="441"/>
      <c r="AH390" s="441"/>
      <c r="AI390" s="441"/>
      <c r="AJ390" s="441"/>
      <c r="AK390" s="450"/>
      <c r="AL390" s="440"/>
      <c r="AM390" s="441"/>
      <c r="AN390" s="441"/>
      <c r="AO390" s="441"/>
      <c r="AP390" s="441"/>
      <c r="AQ390" s="441"/>
      <c r="AR390" s="450"/>
      <c r="AS390" s="485"/>
      <c r="AT390" s="486"/>
      <c r="AU390" s="486"/>
      <c r="AV390" s="486"/>
      <c r="AW390" s="486"/>
      <c r="AX390" s="486"/>
      <c r="AY390" s="487"/>
      <c r="AZ390" s="462"/>
      <c r="BA390" s="463"/>
      <c r="BB390" s="61">
        <v>2</v>
      </c>
      <c r="BC390" s="418"/>
      <c r="BD390" s="419"/>
      <c r="BE390" s="419"/>
      <c r="BF390" s="420"/>
      <c r="BG390" s="421"/>
      <c r="BH390" s="422"/>
      <c r="BI390" s="195"/>
      <c r="BJ390" s="423"/>
      <c r="BK390" s="424"/>
      <c r="BL390" s="424"/>
      <c r="BM390" s="424"/>
      <c r="BN390" s="424"/>
      <c r="BO390" s="425"/>
      <c r="BP390" s="423"/>
      <c r="BQ390" s="424"/>
      <c r="BR390" s="424"/>
      <c r="BS390" s="424"/>
      <c r="BT390" s="424"/>
      <c r="BU390" s="425"/>
      <c r="BV390" s="423"/>
      <c r="BW390" s="424"/>
      <c r="BX390" s="424"/>
      <c r="BY390" s="424"/>
      <c r="BZ390" s="424"/>
      <c r="CA390" s="425"/>
      <c r="CB390" s="418"/>
      <c r="CC390" s="419"/>
      <c r="CD390" s="419"/>
      <c r="CE390" s="420"/>
      <c r="CF390" s="412"/>
      <c r="CG390" s="413"/>
      <c r="CH390" s="413"/>
      <c r="CI390" s="413"/>
      <c r="CJ390" s="414"/>
      <c r="CK390" s="412"/>
      <c r="CL390" s="413"/>
      <c r="CM390" s="413"/>
      <c r="CN390" s="413"/>
      <c r="CO390" s="414"/>
      <c r="CP390" s="412"/>
      <c r="CQ390" s="413"/>
      <c r="CR390" s="413"/>
      <c r="CS390" s="413"/>
      <c r="CT390" s="414"/>
      <c r="CU390" s="415"/>
      <c r="CV390" s="416"/>
      <c r="CW390" s="416"/>
      <c r="CX390" s="416"/>
      <c r="CY390" s="417"/>
    </row>
    <row r="391" spans="1:103" ht="16.5">
      <c r="A391" s="435"/>
      <c r="B391" s="36"/>
      <c r="C391" s="199" t="str">
        <f t="shared" ca="1" si="7"/>
        <v/>
      </c>
      <c r="D391" s="479"/>
      <c r="E391" s="480"/>
      <c r="F391" s="480"/>
      <c r="G391" s="480"/>
      <c r="H391" s="480"/>
      <c r="I391" s="480"/>
      <c r="J391" s="480"/>
      <c r="K391" s="440"/>
      <c r="L391" s="441"/>
      <c r="M391" s="441"/>
      <c r="N391" s="441"/>
      <c r="O391" s="441"/>
      <c r="P391" s="441"/>
      <c r="Q391" s="441"/>
      <c r="R391" s="444"/>
      <c r="S391" s="445"/>
      <c r="T391" s="444"/>
      <c r="U391" s="445"/>
      <c r="V391" s="440"/>
      <c r="W391" s="441"/>
      <c r="X391" s="441"/>
      <c r="Y391" s="441"/>
      <c r="Z391" s="441"/>
      <c r="AA391" s="441"/>
      <c r="AB391" s="441"/>
      <c r="AC391" s="441"/>
      <c r="AD391" s="440"/>
      <c r="AE391" s="441"/>
      <c r="AF391" s="441"/>
      <c r="AG391" s="441"/>
      <c r="AH391" s="441"/>
      <c r="AI391" s="441"/>
      <c r="AJ391" s="441"/>
      <c r="AK391" s="450"/>
      <c r="AL391" s="440"/>
      <c r="AM391" s="441"/>
      <c r="AN391" s="441"/>
      <c r="AO391" s="441"/>
      <c r="AP391" s="441"/>
      <c r="AQ391" s="441"/>
      <c r="AR391" s="450"/>
      <c r="AS391" s="485"/>
      <c r="AT391" s="486"/>
      <c r="AU391" s="486"/>
      <c r="AV391" s="486"/>
      <c r="AW391" s="486"/>
      <c r="AX391" s="486"/>
      <c r="AY391" s="487"/>
      <c r="AZ391" s="462"/>
      <c r="BA391" s="463"/>
      <c r="BB391" s="61">
        <v>3</v>
      </c>
      <c r="BC391" s="418"/>
      <c r="BD391" s="419"/>
      <c r="BE391" s="419"/>
      <c r="BF391" s="420"/>
      <c r="BG391" s="421"/>
      <c r="BH391" s="422"/>
      <c r="BI391" s="195"/>
      <c r="BJ391" s="423"/>
      <c r="BK391" s="424"/>
      <c r="BL391" s="424"/>
      <c r="BM391" s="424"/>
      <c r="BN391" s="424"/>
      <c r="BO391" s="425"/>
      <c r="BP391" s="423"/>
      <c r="BQ391" s="424"/>
      <c r="BR391" s="424"/>
      <c r="BS391" s="424"/>
      <c r="BT391" s="424"/>
      <c r="BU391" s="425"/>
      <c r="BV391" s="423"/>
      <c r="BW391" s="424"/>
      <c r="BX391" s="424"/>
      <c r="BY391" s="424"/>
      <c r="BZ391" s="424"/>
      <c r="CA391" s="425"/>
      <c r="CB391" s="418"/>
      <c r="CC391" s="419"/>
      <c r="CD391" s="419"/>
      <c r="CE391" s="420"/>
      <c r="CF391" s="412"/>
      <c r="CG391" s="413"/>
      <c r="CH391" s="413"/>
      <c r="CI391" s="413"/>
      <c r="CJ391" s="414"/>
      <c r="CK391" s="412"/>
      <c r="CL391" s="413"/>
      <c r="CM391" s="413"/>
      <c r="CN391" s="413"/>
      <c r="CO391" s="414"/>
      <c r="CP391" s="412"/>
      <c r="CQ391" s="413"/>
      <c r="CR391" s="413"/>
      <c r="CS391" s="413"/>
      <c r="CT391" s="414"/>
      <c r="CU391" s="415"/>
      <c r="CV391" s="416"/>
      <c r="CW391" s="416"/>
      <c r="CX391" s="416"/>
      <c r="CY391" s="417"/>
    </row>
    <row r="392" spans="1:103" ht="16.5">
      <c r="A392" s="435"/>
      <c r="B392" s="36"/>
      <c r="C392" s="199" t="str">
        <f t="shared" ca="1" si="7"/>
        <v/>
      </c>
      <c r="D392" s="479"/>
      <c r="E392" s="480"/>
      <c r="F392" s="480"/>
      <c r="G392" s="480"/>
      <c r="H392" s="480"/>
      <c r="I392" s="480"/>
      <c r="J392" s="480"/>
      <c r="K392" s="440"/>
      <c r="L392" s="441"/>
      <c r="M392" s="441"/>
      <c r="N392" s="441"/>
      <c r="O392" s="441"/>
      <c r="P392" s="441"/>
      <c r="Q392" s="441"/>
      <c r="R392" s="444"/>
      <c r="S392" s="445"/>
      <c r="T392" s="444"/>
      <c r="U392" s="445"/>
      <c r="V392" s="440"/>
      <c r="W392" s="441"/>
      <c r="X392" s="441"/>
      <c r="Y392" s="441"/>
      <c r="Z392" s="441"/>
      <c r="AA392" s="441"/>
      <c r="AB392" s="441"/>
      <c r="AC392" s="441"/>
      <c r="AD392" s="440"/>
      <c r="AE392" s="441"/>
      <c r="AF392" s="441"/>
      <c r="AG392" s="441"/>
      <c r="AH392" s="441"/>
      <c r="AI392" s="441"/>
      <c r="AJ392" s="441"/>
      <c r="AK392" s="450"/>
      <c r="AL392" s="440"/>
      <c r="AM392" s="441"/>
      <c r="AN392" s="441"/>
      <c r="AO392" s="441"/>
      <c r="AP392" s="441"/>
      <c r="AQ392" s="441"/>
      <c r="AR392" s="450"/>
      <c r="AS392" s="485"/>
      <c r="AT392" s="486"/>
      <c r="AU392" s="486"/>
      <c r="AV392" s="486"/>
      <c r="AW392" s="486"/>
      <c r="AX392" s="486"/>
      <c r="AY392" s="487"/>
      <c r="AZ392" s="462"/>
      <c r="BA392" s="463"/>
      <c r="BB392" s="61">
        <v>4</v>
      </c>
      <c r="BC392" s="418"/>
      <c r="BD392" s="419"/>
      <c r="BE392" s="419"/>
      <c r="BF392" s="420"/>
      <c r="BG392" s="421"/>
      <c r="BH392" s="422"/>
      <c r="BI392" s="195"/>
      <c r="BJ392" s="423"/>
      <c r="BK392" s="424"/>
      <c r="BL392" s="424"/>
      <c r="BM392" s="424"/>
      <c r="BN392" s="424"/>
      <c r="BO392" s="425"/>
      <c r="BP392" s="423"/>
      <c r="BQ392" s="424"/>
      <c r="BR392" s="424"/>
      <c r="BS392" s="424"/>
      <c r="BT392" s="424"/>
      <c r="BU392" s="425"/>
      <c r="BV392" s="423"/>
      <c r="BW392" s="424"/>
      <c r="BX392" s="424"/>
      <c r="BY392" s="424"/>
      <c r="BZ392" s="424"/>
      <c r="CA392" s="425"/>
      <c r="CB392" s="418"/>
      <c r="CC392" s="419"/>
      <c r="CD392" s="419"/>
      <c r="CE392" s="420"/>
      <c r="CF392" s="412"/>
      <c r="CG392" s="413"/>
      <c r="CH392" s="413"/>
      <c r="CI392" s="413"/>
      <c r="CJ392" s="414"/>
      <c r="CK392" s="412"/>
      <c r="CL392" s="413"/>
      <c r="CM392" s="413"/>
      <c r="CN392" s="413"/>
      <c r="CO392" s="414"/>
      <c r="CP392" s="412"/>
      <c r="CQ392" s="413"/>
      <c r="CR392" s="413"/>
      <c r="CS392" s="413"/>
      <c r="CT392" s="414"/>
      <c r="CU392" s="415"/>
      <c r="CV392" s="416"/>
      <c r="CW392" s="416"/>
      <c r="CX392" s="416"/>
      <c r="CY392" s="417"/>
    </row>
    <row r="393" spans="1:103" ht="16.5">
      <c r="A393" s="435"/>
      <c r="B393" s="36"/>
      <c r="C393" s="199" t="str">
        <f t="shared" ca="1" si="7"/>
        <v/>
      </c>
      <c r="D393" s="479"/>
      <c r="E393" s="480"/>
      <c r="F393" s="480"/>
      <c r="G393" s="480"/>
      <c r="H393" s="480"/>
      <c r="I393" s="480"/>
      <c r="J393" s="480"/>
      <c r="K393" s="440"/>
      <c r="L393" s="441"/>
      <c r="M393" s="441"/>
      <c r="N393" s="441"/>
      <c r="O393" s="441"/>
      <c r="P393" s="441"/>
      <c r="Q393" s="441"/>
      <c r="R393" s="444"/>
      <c r="S393" s="445"/>
      <c r="T393" s="444"/>
      <c r="U393" s="445"/>
      <c r="V393" s="440"/>
      <c r="W393" s="441"/>
      <c r="X393" s="441"/>
      <c r="Y393" s="441"/>
      <c r="Z393" s="441"/>
      <c r="AA393" s="441"/>
      <c r="AB393" s="441"/>
      <c r="AC393" s="441"/>
      <c r="AD393" s="440"/>
      <c r="AE393" s="441"/>
      <c r="AF393" s="441"/>
      <c r="AG393" s="441"/>
      <c r="AH393" s="441"/>
      <c r="AI393" s="441"/>
      <c r="AJ393" s="441"/>
      <c r="AK393" s="450"/>
      <c r="AL393" s="440"/>
      <c r="AM393" s="441"/>
      <c r="AN393" s="441"/>
      <c r="AO393" s="441"/>
      <c r="AP393" s="441"/>
      <c r="AQ393" s="441"/>
      <c r="AR393" s="450"/>
      <c r="AS393" s="485"/>
      <c r="AT393" s="486"/>
      <c r="AU393" s="486"/>
      <c r="AV393" s="486"/>
      <c r="AW393" s="486"/>
      <c r="AX393" s="486"/>
      <c r="AY393" s="487"/>
      <c r="AZ393" s="462"/>
      <c r="BA393" s="463"/>
      <c r="BB393" s="61">
        <v>5</v>
      </c>
      <c r="BC393" s="418"/>
      <c r="BD393" s="419"/>
      <c r="BE393" s="419"/>
      <c r="BF393" s="420"/>
      <c r="BG393" s="421"/>
      <c r="BH393" s="422"/>
      <c r="BI393" s="195"/>
      <c r="BJ393" s="423"/>
      <c r="BK393" s="424"/>
      <c r="BL393" s="424"/>
      <c r="BM393" s="424"/>
      <c r="BN393" s="424"/>
      <c r="BO393" s="425"/>
      <c r="BP393" s="423"/>
      <c r="BQ393" s="424"/>
      <c r="BR393" s="424"/>
      <c r="BS393" s="424"/>
      <c r="BT393" s="424"/>
      <c r="BU393" s="425"/>
      <c r="BV393" s="423"/>
      <c r="BW393" s="424"/>
      <c r="BX393" s="424"/>
      <c r="BY393" s="424"/>
      <c r="BZ393" s="424"/>
      <c r="CA393" s="425"/>
      <c r="CB393" s="418"/>
      <c r="CC393" s="419"/>
      <c r="CD393" s="419"/>
      <c r="CE393" s="420"/>
      <c r="CF393" s="412"/>
      <c r="CG393" s="413"/>
      <c r="CH393" s="413"/>
      <c r="CI393" s="413"/>
      <c r="CJ393" s="414"/>
      <c r="CK393" s="412"/>
      <c r="CL393" s="413"/>
      <c r="CM393" s="413"/>
      <c r="CN393" s="413"/>
      <c r="CO393" s="414"/>
      <c r="CP393" s="412"/>
      <c r="CQ393" s="413"/>
      <c r="CR393" s="413"/>
      <c r="CS393" s="413"/>
      <c r="CT393" s="414"/>
      <c r="CU393" s="415"/>
      <c r="CV393" s="416"/>
      <c r="CW393" s="416"/>
      <c r="CX393" s="416"/>
      <c r="CY393" s="417"/>
    </row>
    <row r="394" spans="1:103" ht="16.5">
      <c r="A394" s="436"/>
      <c r="B394" s="37"/>
      <c r="C394" s="200" t="str">
        <f t="shared" ca="1" si="7"/>
        <v/>
      </c>
      <c r="D394" s="481"/>
      <c r="E394" s="482"/>
      <c r="F394" s="482"/>
      <c r="G394" s="482"/>
      <c r="H394" s="482"/>
      <c r="I394" s="482"/>
      <c r="J394" s="482"/>
      <c r="K394" s="409"/>
      <c r="L394" s="410"/>
      <c r="M394" s="410"/>
      <c r="N394" s="410"/>
      <c r="O394" s="410"/>
      <c r="P394" s="410"/>
      <c r="Q394" s="410"/>
      <c r="R394" s="446"/>
      <c r="S394" s="447"/>
      <c r="T394" s="446"/>
      <c r="U394" s="447"/>
      <c r="V394" s="409"/>
      <c r="W394" s="410"/>
      <c r="X394" s="410"/>
      <c r="Y394" s="410"/>
      <c r="Z394" s="410"/>
      <c r="AA394" s="410"/>
      <c r="AB394" s="410"/>
      <c r="AC394" s="410"/>
      <c r="AD394" s="409"/>
      <c r="AE394" s="410"/>
      <c r="AF394" s="410"/>
      <c r="AG394" s="410"/>
      <c r="AH394" s="410"/>
      <c r="AI394" s="410"/>
      <c r="AJ394" s="410"/>
      <c r="AK394" s="411"/>
      <c r="AL394" s="409"/>
      <c r="AM394" s="410"/>
      <c r="AN394" s="410"/>
      <c r="AO394" s="410"/>
      <c r="AP394" s="410"/>
      <c r="AQ394" s="410"/>
      <c r="AR394" s="411"/>
      <c r="AS394" s="488"/>
      <c r="AT394" s="489"/>
      <c r="AU394" s="489"/>
      <c r="AV394" s="489"/>
      <c r="AW394" s="489"/>
      <c r="AX394" s="489"/>
      <c r="AY394" s="490"/>
      <c r="AZ394" s="464"/>
      <c r="BA394" s="465"/>
      <c r="BB394" s="62">
        <v>6</v>
      </c>
      <c r="BC394" s="426"/>
      <c r="BD394" s="427"/>
      <c r="BE394" s="427"/>
      <c r="BF394" s="428"/>
      <c r="BG394" s="429"/>
      <c r="BH394" s="430"/>
      <c r="BI394" s="196"/>
      <c r="BJ394" s="474"/>
      <c r="BK394" s="475"/>
      <c r="BL394" s="475"/>
      <c r="BM394" s="475"/>
      <c r="BN394" s="475"/>
      <c r="BO394" s="476"/>
      <c r="BP394" s="474"/>
      <c r="BQ394" s="475"/>
      <c r="BR394" s="475"/>
      <c r="BS394" s="475"/>
      <c r="BT394" s="475"/>
      <c r="BU394" s="476"/>
      <c r="BV394" s="474"/>
      <c r="BW394" s="475"/>
      <c r="BX394" s="475"/>
      <c r="BY394" s="475"/>
      <c r="BZ394" s="475"/>
      <c r="CA394" s="476"/>
      <c r="CB394" s="426"/>
      <c r="CC394" s="427"/>
      <c r="CD394" s="427"/>
      <c r="CE394" s="428"/>
      <c r="CF394" s="412"/>
      <c r="CG394" s="413"/>
      <c r="CH394" s="413"/>
      <c r="CI394" s="413"/>
      <c r="CJ394" s="414"/>
      <c r="CK394" s="412"/>
      <c r="CL394" s="413"/>
      <c r="CM394" s="413"/>
      <c r="CN394" s="413"/>
      <c r="CO394" s="414"/>
      <c r="CP394" s="412"/>
      <c r="CQ394" s="413"/>
      <c r="CR394" s="413"/>
      <c r="CS394" s="413"/>
      <c r="CT394" s="414"/>
      <c r="CU394" s="415"/>
      <c r="CV394" s="416"/>
      <c r="CW394" s="416"/>
      <c r="CX394" s="416"/>
      <c r="CY394" s="417"/>
    </row>
    <row r="395" spans="1:103" ht="16.5">
      <c r="A395" s="434">
        <v>65</v>
      </c>
      <c r="B395" s="36"/>
      <c r="C395" s="198" t="str">
        <f t="shared" ca="1" si="7"/>
        <v/>
      </c>
      <c r="D395" s="477"/>
      <c r="E395" s="478"/>
      <c r="F395" s="478"/>
      <c r="G395" s="478"/>
      <c r="H395" s="478"/>
      <c r="I395" s="478"/>
      <c r="J395" s="478"/>
      <c r="K395" s="438" t="s">
        <v>411</v>
      </c>
      <c r="L395" s="439"/>
      <c r="M395" s="439"/>
      <c r="N395" s="439"/>
      <c r="O395" s="439"/>
      <c r="P395" s="439"/>
      <c r="Q395" s="439"/>
      <c r="R395" s="442" t="s">
        <v>186</v>
      </c>
      <c r="S395" s="443"/>
      <c r="T395" s="442"/>
      <c r="U395" s="443"/>
      <c r="V395" s="438"/>
      <c r="W395" s="439"/>
      <c r="X395" s="439"/>
      <c r="Y395" s="439"/>
      <c r="Z395" s="439"/>
      <c r="AA395" s="439"/>
      <c r="AB395" s="439"/>
      <c r="AC395" s="439"/>
      <c r="AD395" s="438"/>
      <c r="AE395" s="439"/>
      <c r="AF395" s="439"/>
      <c r="AG395" s="439"/>
      <c r="AH395" s="439"/>
      <c r="AI395" s="439"/>
      <c r="AJ395" s="439"/>
      <c r="AK395" s="449"/>
      <c r="AL395" s="438"/>
      <c r="AM395" s="439"/>
      <c r="AN395" s="439"/>
      <c r="AO395" s="439"/>
      <c r="AP395" s="439"/>
      <c r="AQ395" s="439"/>
      <c r="AR395" s="449"/>
      <c r="AS395" s="500"/>
      <c r="AT395" s="483"/>
      <c r="AU395" s="483"/>
      <c r="AV395" s="483"/>
      <c r="AW395" s="483"/>
      <c r="AX395" s="483"/>
      <c r="AY395" s="484"/>
      <c r="AZ395" s="460"/>
      <c r="BA395" s="461"/>
      <c r="BB395" s="60">
        <v>1</v>
      </c>
      <c r="BC395" s="466"/>
      <c r="BD395" s="467"/>
      <c r="BE395" s="467"/>
      <c r="BF395" s="468"/>
      <c r="BG395" s="469"/>
      <c r="BH395" s="470"/>
      <c r="BI395" s="194"/>
      <c r="BJ395" s="471"/>
      <c r="BK395" s="472"/>
      <c r="BL395" s="472"/>
      <c r="BM395" s="472"/>
      <c r="BN395" s="472"/>
      <c r="BO395" s="473"/>
      <c r="BP395" s="471"/>
      <c r="BQ395" s="472"/>
      <c r="BR395" s="472"/>
      <c r="BS395" s="472"/>
      <c r="BT395" s="472"/>
      <c r="BU395" s="473"/>
      <c r="BV395" s="471"/>
      <c r="BW395" s="472"/>
      <c r="BX395" s="472"/>
      <c r="BY395" s="472"/>
      <c r="BZ395" s="472"/>
      <c r="CA395" s="473"/>
      <c r="CB395" s="466"/>
      <c r="CC395" s="467"/>
      <c r="CD395" s="467"/>
      <c r="CE395" s="468"/>
      <c r="CF395" s="409"/>
      <c r="CG395" s="410"/>
      <c r="CH395" s="410"/>
      <c r="CI395" s="410"/>
      <c r="CJ395" s="411"/>
      <c r="CK395" s="409"/>
      <c r="CL395" s="410"/>
      <c r="CM395" s="410"/>
      <c r="CN395" s="410"/>
      <c r="CO395" s="411"/>
      <c r="CP395" s="409"/>
      <c r="CQ395" s="410"/>
      <c r="CR395" s="410"/>
      <c r="CS395" s="410"/>
      <c r="CT395" s="411"/>
      <c r="CU395" s="415"/>
      <c r="CV395" s="416"/>
      <c r="CW395" s="416"/>
      <c r="CX395" s="416"/>
      <c r="CY395" s="417"/>
    </row>
    <row r="396" spans="1:103" ht="16.5">
      <c r="A396" s="435"/>
      <c r="B396" s="36"/>
      <c r="C396" s="199" t="str">
        <f t="shared" ca="1" si="7"/>
        <v/>
      </c>
      <c r="D396" s="479"/>
      <c r="E396" s="480"/>
      <c r="F396" s="480"/>
      <c r="G396" s="480"/>
      <c r="H396" s="480"/>
      <c r="I396" s="480"/>
      <c r="J396" s="480"/>
      <c r="K396" s="440"/>
      <c r="L396" s="441"/>
      <c r="M396" s="441"/>
      <c r="N396" s="441"/>
      <c r="O396" s="441"/>
      <c r="P396" s="441"/>
      <c r="Q396" s="441"/>
      <c r="R396" s="444"/>
      <c r="S396" s="445"/>
      <c r="T396" s="444"/>
      <c r="U396" s="445"/>
      <c r="V396" s="440"/>
      <c r="W396" s="441"/>
      <c r="X396" s="441"/>
      <c r="Y396" s="441"/>
      <c r="Z396" s="441"/>
      <c r="AA396" s="441"/>
      <c r="AB396" s="441"/>
      <c r="AC396" s="441"/>
      <c r="AD396" s="440"/>
      <c r="AE396" s="441"/>
      <c r="AF396" s="441"/>
      <c r="AG396" s="441"/>
      <c r="AH396" s="441"/>
      <c r="AI396" s="441"/>
      <c r="AJ396" s="441"/>
      <c r="AK396" s="450"/>
      <c r="AL396" s="440"/>
      <c r="AM396" s="441"/>
      <c r="AN396" s="441"/>
      <c r="AO396" s="441"/>
      <c r="AP396" s="441"/>
      <c r="AQ396" s="441"/>
      <c r="AR396" s="450"/>
      <c r="AS396" s="485"/>
      <c r="AT396" s="486"/>
      <c r="AU396" s="486"/>
      <c r="AV396" s="486"/>
      <c r="AW396" s="486"/>
      <c r="AX396" s="486"/>
      <c r="AY396" s="487"/>
      <c r="AZ396" s="462"/>
      <c r="BA396" s="463"/>
      <c r="BB396" s="61">
        <v>2</v>
      </c>
      <c r="BC396" s="418"/>
      <c r="BD396" s="419"/>
      <c r="BE396" s="419"/>
      <c r="BF396" s="420"/>
      <c r="BG396" s="421"/>
      <c r="BH396" s="422"/>
      <c r="BI396" s="195"/>
      <c r="BJ396" s="423"/>
      <c r="BK396" s="424"/>
      <c r="BL396" s="424"/>
      <c r="BM396" s="424"/>
      <c r="BN396" s="424"/>
      <c r="BO396" s="425"/>
      <c r="BP396" s="423"/>
      <c r="BQ396" s="424"/>
      <c r="BR396" s="424"/>
      <c r="BS396" s="424"/>
      <c r="BT396" s="424"/>
      <c r="BU396" s="425"/>
      <c r="BV396" s="423"/>
      <c r="BW396" s="424"/>
      <c r="BX396" s="424"/>
      <c r="BY396" s="424"/>
      <c r="BZ396" s="424"/>
      <c r="CA396" s="425"/>
      <c r="CB396" s="418"/>
      <c r="CC396" s="419"/>
      <c r="CD396" s="419"/>
      <c r="CE396" s="420"/>
      <c r="CF396" s="412"/>
      <c r="CG396" s="413"/>
      <c r="CH396" s="413"/>
      <c r="CI396" s="413"/>
      <c r="CJ396" s="414"/>
      <c r="CK396" s="412"/>
      <c r="CL396" s="413"/>
      <c r="CM396" s="413"/>
      <c r="CN396" s="413"/>
      <c r="CO396" s="414"/>
      <c r="CP396" s="412"/>
      <c r="CQ396" s="413"/>
      <c r="CR396" s="413"/>
      <c r="CS396" s="413"/>
      <c r="CT396" s="414"/>
      <c r="CU396" s="415"/>
      <c r="CV396" s="416"/>
      <c r="CW396" s="416"/>
      <c r="CX396" s="416"/>
      <c r="CY396" s="417"/>
    </row>
    <row r="397" spans="1:103" ht="16.5">
      <c r="A397" s="435"/>
      <c r="B397" s="36"/>
      <c r="C397" s="199" t="str">
        <f t="shared" ca="1" si="7"/>
        <v/>
      </c>
      <c r="D397" s="479"/>
      <c r="E397" s="480"/>
      <c r="F397" s="480"/>
      <c r="G397" s="480"/>
      <c r="H397" s="480"/>
      <c r="I397" s="480"/>
      <c r="J397" s="480"/>
      <c r="K397" s="440"/>
      <c r="L397" s="441"/>
      <c r="M397" s="441"/>
      <c r="N397" s="441"/>
      <c r="O397" s="441"/>
      <c r="P397" s="441"/>
      <c r="Q397" s="441"/>
      <c r="R397" s="444"/>
      <c r="S397" s="445"/>
      <c r="T397" s="444"/>
      <c r="U397" s="445"/>
      <c r="V397" s="440"/>
      <c r="W397" s="441"/>
      <c r="X397" s="441"/>
      <c r="Y397" s="441"/>
      <c r="Z397" s="441"/>
      <c r="AA397" s="441"/>
      <c r="AB397" s="441"/>
      <c r="AC397" s="441"/>
      <c r="AD397" s="440"/>
      <c r="AE397" s="441"/>
      <c r="AF397" s="441"/>
      <c r="AG397" s="441"/>
      <c r="AH397" s="441"/>
      <c r="AI397" s="441"/>
      <c r="AJ397" s="441"/>
      <c r="AK397" s="450"/>
      <c r="AL397" s="440"/>
      <c r="AM397" s="441"/>
      <c r="AN397" s="441"/>
      <c r="AO397" s="441"/>
      <c r="AP397" s="441"/>
      <c r="AQ397" s="441"/>
      <c r="AR397" s="450"/>
      <c r="AS397" s="485"/>
      <c r="AT397" s="486"/>
      <c r="AU397" s="486"/>
      <c r="AV397" s="486"/>
      <c r="AW397" s="486"/>
      <c r="AX397" s="486"/>
      <c r="AY397" s="487"/>
      <c r="AZ397" s="462"/>
      <c r="BA397" s="463"/>
      <c r="BB397" s="61">
        <v>3</v>
      </c>
      <c r="BC397" s="418"/>
      <c r="BD397" s="419"/>
      <c r="BE397" s="419"/>
      <c r="BF397" s="420"/>
      <c r="BG397" s="421"/>
      <c r="BH397" s="422"/>
      <c r="BI397" s="195"/>
      <c r="BJ397" s="423"/>
      <c r="BK397" s="424"/>
      <c r="BL397" s="424"/>
      <c r="BM397" s="424"/>
      <c r="BN397" s="424"/>
      <c r="BO397" s="425"/>
      <c r="BP397" s="423"/>
      <c r="BQ397" s="424"/>
      <c r="BR397" s="424"/>
      <c r="BS397" s="424"/>
      <c r="BT397" s="424"/>
      <c r="BU397" s="425"/>
      <c r="BV397" s="423"/>
      <c r="BW397" s="424"/>
      <c r="BX397" s="424"/>
      <c r="BY397" s="424"/>
      <c r="BZ397" s="424"/>
      <c r="CA397" s="425"/>
      <c r="CB397" s="418"/>
      <c r="CC397" s="419"/>
      <c r="CD397" s="419"/>
      <c r="CE397" s="420"/>
      <c r="CF397" s="412"/>
      <c r="CG397" s="413"/>
      <c r="CH397" s="413"/>
      <c r="CI397" s="413"/>
      <c r="CJ397" s="414"/>
      <c r="CK397" s="412"/>
      <c r="CL397" s="413"/>
      <c r="CM397" s="413"/>
      <c r="CN397" s="413"/>
      <c r="CO397" s="414"/>
      <c r="CP397" s="412"/>
      <c r="CQ397" s="413"/>
      <c r="CR397" s="413"/>
      <c r="CS397" s="413"/>
      <c r="CT397" s="414"/>
      <c r="CU397" s="415"/>
      <c r="CV397" s="416"/>
      <c r="CW397" s="416"/>
      <c r="CX397" s="416"/>
      <c r="CY397" s="417"/>
    </row>
    <row r="398" spans="1:103" ht="16.5">
      <c r="A398" s="435"/>
      <c r="B398" s="36"/>
      <c r="C398" s="199" t="str">
        <f t="shared" ca="1" si="7"/>
        <v/>
      </c>
      <c r="D398" s="479"/>
      <c r="E398" s="480"/>
      <c r="F398" s="480"/>
      <c r="G398" s="480"/>
      <c r="H398" s="480"/>
      <c r="I398" s="480"/>
      <c r="J398" s="480"/>
      <c r="K398" s="440"/>
      <c r="L398" s="441"/>
      <c r="M398" s="441"/>
      <c r="N398" s="441"/>
      <c r="O398" s="441"/>
      <c r="P398" s="441"/>
      <c r="Q398" s="441"/>
      <c r="R398" s="444"/>
      <c r="S398" s="445"/>
      <c r="T398" s="444"/>
      <c r="U398" s="445"/>
      <c r="V398" s="440"/>
      <c r="W398" s="441"/>
      <c r="X398" s="441"/>
      <c r="Y398" s="441"/>
      <c r="Z398" s="441"/>
      <c r="AA398" s="441"/>
      <c r="AB398" s="441"/>
      <c r="AC398" s="441"/>
      <c r="AD398" s="440"/>
      <c r="AE398" s="441"/>
      <c r="AF398" s="441"/>
      <c r="AG398" s="441"/>
      <c r="AH398" s="441"/>
      <c r="AI398" s="441"/>
      <c r="AJ398" s="441"/>
      <c r="AK398" s="450"/>
      <c r="AL398" s="440"/>
      <c r="AM398" s="441"/>
      <c r="AN398" s="441"/>
      <c r="AO398" s="441"/>
      <c r="AP398" s="441"/>
      <c r="AQ398" s="441"/>
      <c r="AR398" s="450"/>
      <c r="AS398" s="485"/>
      <c r="AT398" s="486"/>
      <c r="AU398" s="486"/>
      <c r="AV398" s="486"/>
      <c r="AW398" s="486"/>
      <c r="AX398" s="486"/>
      <c r="AY398" s="487"/>
      <c r="AZ398" s="462"/>
      <c r="BA398" s="463"/>
      <c r="BB398" s="61">
        <v>4</v>
      </c>
      <c r="BC398" s="418"/>
      <c r="BD398" s="419"/>
      <c r="BE398" s="419"/>
      <c r="BF398" s="420"/>
      <c r="BG398" s="421"/>
      <c r="BH398" s="422"/>
      <c r="BI398" s="195"/>
      <c r="BJ398" s="423"/>
      <c r="BK398" s="424"/>
      <c r="BL398" s="424"/>
      <c r="BM398" s="424"/>
      <c r="BN398" s="424"/>
      <c r="BO398" s="425"/>
      <c r="BP398" s="423"/>
      <c r="BQ398" s="424"/>
      <c r="BR398" s="424"/>
      <c r="BS398" s="424"/>
      <c r="BT398" s="424"/>
      <c r="BU398" s="425"/>
      <c r="BV398" s="423"/>
      <c r="BW398" s="424"/>
      <c r="BX398" s="424"/>
      <c r="BY398" s="424"/>
      <c r="BZ398" s="424"/>
      <c r="CA398" s="425"/>
      <c r="CB398" s="418"/>
      <c r="CC398" s="419"/>
      <c r="CD398" s="419"/>
      <c r="CE398" s="420"/>
      <c r="CF398" s="412"/>
      <c r="CG398" s="413"/>
      <c r="CH398" s="413"/>
      <c r="CI398" s="413"/>
      <c r="CJ398" s="414"/>
      <c r="CK398" s="412"/>
      <c r="CL398" s="413"/>
      <c r="CM398" s="413"/>
      <c r="CN398" s="413"/>
      <c r="CO398" s="414"/>
      <c r="CP398" s="412"/>
      <c r="CQ398" s="413"/>
      <c r="CR398" s="413"/>
      <c r="CS398" s="413"/>
      <c r="CT398" s="414"/>
      <c r="CU398" s="415"/>
      <c r="CV398" s="416"/>
      <c r="CW398" s="416"/>
      <c r="CX398" s="416"/>
      <c r="CY398" s="417"/>
    </row>
    <row r="399" spans="1:103" ht="16.5">
      <c r="A399" s="435"/>
      <c r="B399" s="36"/>
      <c r="C399" s="199" t="str">
        <f t="shared" ca="1" si="7"/>
        <v/>
      </c>
      <c r="D399" s="479"/>
      <c r="E399" s="480"/>
      <c r="F399" s="480"/>
      <c r="G399" s="480"/>
      <c r="H399" s="480"/>
      <c r="I399" s="480"/>
      <c r="J399" s="480"/>
      <c r="K399" s="440"/>
      <c r="L399" s="441"/>
      <c r="M399" s="441"/>
      <c r="N399" s="441"/>
      <c r="O399" s="441"/>
      <c r="P399" s="441"/>
      <c r="Q399" s="441"/>
      <c r="R399" s="444"/>
      <c r="S399" s="445"/>
      <c r="T399" s="444"/>
      <c r="U399" s="445"/>
      <c r="V399" s="440"/>
      <c r="W399" s="441"/>
      <c r="X399" s="441"/>
      <c r="Y399" s="441"/>
      <c r="Z399" s="441"/>
      <c r="AA399" s="441"/>
      <c r="AB399" s="441"/>
      <c r="AC399" s="441"/>
      <c r="AD399" s="440"/>
      <c r="AE399" s="441"/>
      <c r="AF399" s="441"/>
      <c r="AG399" s="441"/>
      <c r="AH399" s="441"/>
      <c r="AI399" s="441"/>
      <c r="AJ399" s="441"/>
      <c r="AK399" s="450"/>
      <c r="AL399" s="440"/>
      <c r="AM399" s="441"/>
      <c r="AN399" s="441"/>
      <c r="AO399" s="441"/>
      <c r="AP399" s="441"/>
      <c r="AQ399" s="441"/>
      <c r="AR399" s="450"/>
      <c r="AS399" s="485"/>
      <c r="AT399" s="486"/>
      <c r="AU399" s="486"/>
      <c r="AV399" s="486"/>
      <c r="AW399" s="486"/>
      <c r="AX399" s="486"/>
      <c r="AY399" s="487"/>
      <c r="AZ399" s="462"/>
      <c r="BA399" s="463"/>
      <c r="BB399" s="61">
        <v>5</v>
      </c>
      <c r="BC399" s="418"/>
      <c r="BD399" s="419"/>
      <c r="BE399" s="419"/>
      <c r="BF399" s="420"/>
      <c r="BG399" s="421"/>
      <c r="BH399" s="422"/>
      <c r="BI399" s="195"/>
      <c r="BJ399" s="423"/>
      <c r="BK399" s="424"/>
      <c r="BL399" s="424"/>
      <c r="BM399" s="424"/>
      <c r="BN399" s="424"/>
      <c r="BO399" s="425"/>
      <c r="BP399" s="423"/>
      <c r="BQ399" s="424"/>
      <c r="BR399" s="424"/>
      <c r="BS399" s="424"/>
      <c r="BT399" s="424"/>
      <c r="BU399" s="425"/>
      <c r="BV399" s="423"/>
      <c r="BW399" s="424"/>
      <c r="BX399" s="424"/>
      <c r="BY399" s="424"/>
      <c r="BZ399" s="424"/>
      <c r="CA399" s="425"/>
      <c r="CB399" s="418"/>
      <c r="CC399" s="419"/>
      <c r="CD399" s="419"/>
      <c r="CE399" s="420"/>
      <c r="CF399" s="412"/>
      <c r="CG399" s="413"/>
      <c r="CH399" s="413"/>
      <c r="CI399" s="413"/>
      <c r="CJ399" s="414"/>
      <c r="CK399" s="412"/>
      <c r="CL399" s="413"/>
      <c r="CM399" s="413"/>
      <c r="CN399" s="413"/>
      <c r="CO399" s="414"/>
      <c r="CP399" s="412"/>
      <c r="CQ399" s="413"/>
      <c r="CR399" s="413"/>
      <c r="CS399" s="413"/>
      <c r="CT399" s="414"/>
      <c r="CU399" s="415"/>
      <c r="CV399" s="416"/>
      <c r="CW399" s="416"/>
      <c r="CX399" s="416"/>
      <c r="CY399" s="417"/>
    </row>
    <row r="400" spans="1:103" ht="16.5">
      <c r="A400" s="436"/>
      <c r="B400" s="37"/>
      <c r="C400" s="200" t="str">
        <f t="shared" ca="1" si="7"/>
        <v/>
      </c>
      <c r="D400" s="481"/>
      <c r="E400" s="482"/>
      <c r="F400" s="482"/>
      <c r="G400" s="482"/>
      <c r="H400" s="482"/>
      <c r="I400" s="482"/>
      <c r="J400" s="482"/>
      <c r="K400" s="409"/>
      <c r="L400" s="410"/>
      <c r="M400" s="410"/>
      <c r="N400" s="410"/>
      <c r="O400" s="410"/>
      <c r="P400" s="410"/>
      <c r="Q400" s="410"/>
      <c r="R400" s="446"/>
      <c r="S400" s="447"/>
      <c r="T400" s="446"/>
      <c r="U400" s="447"/>
      <c r="V400" s="409"/>
      <c r="W400" s="410"/>
      <c r="X400" s="410"/>
      <c r="Y400" s="410"/>
      <c r="Z400" s="410"/>
      <c r="AA400" s="410"/>
      <c r="AB400" s="410"/>
      <c r="AC400" s="410"/>
      <c r="AD400" s="409"/>
      <c r="AE400" s="410"/>
      <c r="AF400" s="410"/>
      <c r="AG400" s="410"/>
      <c r="AH400" s="410"/>
      <c r="AI400" s="410"/>
      <c r="AJ400" s="410"/>
      <c r="AK400" s="411"/>
      <c r="AL400" s="409"/>
      <c r="AM400" s="410"/>
      <c r="AN400" s="410"/>
      <c r="AO400" s="410"/>
      <c r="AP400" s="410"/>
      <c r="AQ400" s="410"/>
      <c r="AR400" s="411"/>
      <c r="AS400" s="488"/>
      <c r="AT400" s="489"/>
      <c r="AU400" s="489"/>
      <c r="AV400" s="489"/>
      <c r="AW400" s="489"/>
      <c r="AX400" s="489"/>
      <c r="AY400" s="490"/>
      <c r="AZ400" s="464"/>
      <c r="BA400" s="465"/>
      <c r="BB400" s="62">
        <v>6</v>
      </c>
      <c r="BC400" s="426"/>
      <c r="BD400" s="427"/>
      <c r="BE400" s="427"/>
      <c r="BF400" s="428"/>
      <c r="BG400" s="429"/>
      <c r="BH400" s="430"/>
      <c r="BI400" s="196"/>
      <c r="BJ400" s="474"/>
      <c r="BK400" s="475"/>
      <c r="BL400" s="475"/>
      <c r="BM400" s="475"/>
      <c r="BN400" s="475"/>
      <c r="BO400" s="476"/>
      <c r="BP400" s="474"/>
      <c r="BQ400" s="475"/>
      <c r="BR400" s="475"/>
      <c r="BS400" s="475"/>
      <c r="BT400" s="475"/>
      <c r="BU400" s="476"/>
      <c r="BV400" s="474"/>
      <c r="BW400" s="475"/>
      <c r="BX400" s="475"/>
      <c r="BY400" s="475"/>
      <c r="BZ400" s="475"/>
      <c r="CA400" s="476"/>
      <c r="CB400" s="426"/>
      <c r="CC400" s="427"/>
      <c r="CD400" s="427"/>
      <c r="CE400" s="428"/>
      <c r="CF400" s="412"/>
      <c r="CG400" s="413"/>
      <c r="CH400" s="413"/>
      <c r="CI400" s="413"/>
      <c r="CJ400" s="414"/>
      <c r="CK400" s="412"/>
      <c r="CL400" s="413"/>
      <c r="CM400" s="413"/>
      <c r="CN400" s="413"/>
      <c r="CO400" s="414"/>
      <c r="CP400" s="412"/>
      <c r="CQ400" s="413"/>
      <c r="CR400" s="413"/>
      <c r="CS400" s="413"/>
      <c r="CT400" s="414"/>
      <c r="CU400" s="415"/>
      <c r="CV400" s="416"/>
      <c r="CW400" s="416"/>
      <c r="CX400" s="416"/>
      <c r="CY400" s="417"/>
    </row>
    <row r="401" spans="1:103" ht="16.5">
      <c r="A401" s="434">
        <v>66</v>
      </c>
      <c r="B401" s="36"/>
      <c r="C401" s="198" t="str">
        <f t="shared" ca="1" si="7"/>
        <v/>
      </c>
      <c r="D401" s="477"/>
      <c r="E401" s="478"/>
      <c r="F401" s="478"/>
      <c r="G401" s="478"/>
      <c r="H401" s="478"/>
      <c r="I401" s="478"/>
      <c r="J401" s="478"/>
      <c r="K401" s="438" t="s">
        <v>412</v>
      </c>
      <c r="L401" s="439"/>
      <c r="M401" s="439"/>
      <c r="N401" s="439"/>
      <c r="O401" s="439"/>
      <c r="P401" s="439"/>
      <c r="Q401" s="439"/>
      <c r="R401" s="442" t="s">
        <v>186</v>
      </c>
      <c r="S401" s="443"/>
      <c r="T401" s="442"/>
      <c r="U401" s="443"/>
      <c r="V401" s="438"/>
      <c r="W401" s="439"/>
      <c r="X401" s="439"/>
      <c r="Y401" s="439"/>
      <c r="Z401" s="439"/>
      <c r="AA401" s="439"/>
      <c r="AB401" s="439"/>
      <c r="AC401" s="439"/>
      <c r="AD401" s="438"/>
      <c r="AE401" s="439"/>
      <c r="AF401" s="439"/>
      <c r="AG401" s="439"/>
      <c r="AH401" s="439"/>
      <c r="AI401" s="439"/>
      <c r="AJ401" s="439"/>
      <c r="AK401" s="449"/>
      <c r="AL401" s="438"/>
      <c r="AM401" s="439"/>
      <c r="AN401" s="439"/>
      <c r="AO401" s="439"/>
      <c r="AP401" s="439"/>
      <c r="AQ401" s="439"/>
      <c r="AR401" s="449"/>
      <c r="AS401" s="500"/>
      <c r="AT401" s="483"/>
      <c r="AU401" s="483"/>
      <c r="AV401" s="483"/>
      <c r="AW401" s="483"/>
      <c r="AX401" s="483"/>
      <c r="AY401" s="484"/>
      <c r="AZ401" s="460"/>
      <c r="BA401" s="461"/>
      <c r="BB401" s="60">
        <v>1</v>
      </c>
      <c r="BC401" s="466"/>
      <c r="BD401" s="467"/>
      <c r="BE401" s="467"/>
      <c r="BF401" s="468"/>
      <c r="BG401" s="469"/>
      <c r="BH401" s="470"/>
      <c r="BI401" s="194"/>
      <c r="BJ401" s="471"/>
      <c r="BK401" s="472"/>
      <c r="BL401" s="472"/>
      <c r="BM401" s="472"/>
      <c r="BN401" s="472"/>
      <c r="BO401" s="473"/>
      <c r="BP401" s="471"/>
      <c r="BQ401" s="472"/>
      <c r="BR401" s="472"/>
      <c r="BS401" s="472"/>
      <c r="BT401" s="472"/>
      <c r="BU401" s="473"/>
      <c r="BV401" s="471"/>
      <c r="BW401" s="472"/>
      <c r="BX401" s="472"/>
      <c r="BY401" s="472"/>
      <c r="BZ401" s="472"/>
      <c r="CA401" s="473"/>
      <c r="CB401" s="466"/>
      <c r="CC401" s="467"/>
      <c r="CD401" s="467"/>
      <c r="CE401" s="468"/>
      <c r="CF401" s="409"/>
      <c r="CG401" s="410"/>
      <c r="CH401" s="410"/>
      <c r="CI401" s="410"/>
      <c r="CJ401" s="411"/>
      <c r="CK401" s="409"/>
      <c r="CL401" s="410"/>
      <c r="CM401" s="410"/>
      <c r="CN401" s="410"/>
      <c r="CO401" s="411"/>
      <c r="CP401" s="409"/>
      <c r="CQ401" s="410"/>
      <c r="CR401" s="410"/>
      <c r="CS401" s="410"/>
      <c r="CT401" s="411"/>
      <c r="CU401" s="415"/>
      <c r="CV401" s="416"/>
      <c r="CW401" s="416"/>
      <c r="CX401" s="416"/>
      <c r="CY401" s="417"/>
    </row>
    <row r="402" spans="1:103" ht="16.5">
      <c r="A402" s="435"/>
      <c r="B402" s="36"/>
      <c r="C402" s="199" t="str">
        <f t="shared" ref="C402:C465" ca="1" si="8">IF(AND(OFFSET($K402,-($BB402-1),0)&lt;&gt;"",OFFSET($R402,-($BB402-1),0)&lt;&gt;"x"),"●","")</f>
        <v/>
      </c>
      <c r="D402" s="479"/>
      <c r="E402" s="480"/>
      <c r="F402" s="480"/>
      <c r="G402" s="480"/>
      <c r="H402" s="480"/>
      <c r="I402" s="480"/>
      <c r="J402" s="480"/>
      <c r="K402" s="440"/>
      <c r="L402" s="441"/>
      <c r="M402" s="441"/>
      <c r="N402" s="441"/>
      <c r="O402" s="441"/>
      <c r="P402" s="441"/>
      <c r="Q402" s="441"/>
      <c r="R402" s="444"/>
      <c r="S402" s="445"/>
      <c r="T402" s="444"/>
      <c r="U402" s="445"/>
      <c r="V402" s="440"/>
      <c r="W402" s="441"/>
      <c r="X402" s="441"/>
      <c r="Y402" s="441"/>
      <c r="Z402" s="441"/>
      <c r="AA402" s="441"/>
      <c r="AB402" s="441"/>
      <c r="AC402" s="441"/>
      <c r="AD402" s="440"/>
      <c r="AE402" s="441"/>
      <c r="AF402" s="441"/>
      <c r="AG402" s="441"/>
      <c r="AH402" s="441"/>
      <c r="AI402" s="441"/>
      <c r="AJ402" s="441"/>
      <c r="AK402" s="450"/>
      <c r="AL402" s="440"/>
      <c r="AM402" s="441"/>
      <c r="AN402" s="441"/>
      <c r="AO402" s="441"/>
      <c r="AP402" s="441"/>
      <c r="AQ402" s="441"/>
      <c r="AR402" s="450"/>
      <c r="AS402" s="485"/>
      <c r="AT402" s="486"/>
      <c r="AU402" s="486"/>
      <c r="AV402" s="486"/>
      <c r="AW402" s="486"/>
      <c r="AX402" s="486"/>
      <c r="AY402" s="487"/>
      <c r="AZ402" s="462"/>
      <c r="BA402" s="463"/>
      <c r="BB402" s="61">
        <v>2</v>
      </c>
      <c r="BC402" s="418"/>
      <c r="BD402" s="419"/>
      <c r="BE402" s="419"/>
      <c r="BF402" s="420"/>
      <c r="BG402" s="421"/>
      <c r="BH402" s="422"/>
      <c r="BI402" s="195"/>
      <c r="BJ402" s="423"/>
      <c r="BK402" s="424"/>
      <c r="BL402" s="424"/>
      <c r="BM402" s="424"/>
      <c r="BN402" s="424"/>
      <c r="BO402" s="425"/>
      <c r="BP402" s="423"/>
      <c r="BQ402" s="424"/>
      <c r="BR402" s="424"/>
      <c r="BS402" s="424"/>
      <c r="BT402" s="424"/>
      <c r="BU402" s="425"/>
      <c r="BV402" s="423"/>
      <c r="BW402" s="424"/>
      <c r="BX402" s="424"/>
      <c r="BY402" s="424"/>
      <c r="BZ402" s="424"/>
      <c r="CA402" s="425"/>
      <c r="CB402" s="418"/>
      <c r="CC402" s="419"/>
      <c r="CD402" s="419"/>
      <c r="CE402" s="420"/>
      <c r="CF402" s="412"/>
      <c r="CG402" s="413"/>
      <c r="CH402" s="413"/>
      <c r="CI402" s="413"/>
      <c r="CJ402" s="414"/>
      <c r="CK402" s="412"/>
      <c r="CL402" s="413"/>
      <c r="CM402" s="413"/>
      <c r="CN402" s="413"/>
      <c r="CO402" s="414"/>
      <c r="CP402" s="412"/>
      <c r="CQ402" s="413"/>
      <c r="CR402" s="413"/>
      <c r="CS402" s="413"/>
      <c r="CT402" s="414"/>
      <c r="CU402" s="415"/>
      <c r="CV402" s="416"/>
      <c r="CW402" s="416"/>
      <c r="CX402" s="416"/>
      <c r="CY402" s="417"/>
    </row>
    <row r="403" spans="1:103" ht="16.5">
      <c r="A403" s="435"/>
      <c r="B403" s="36"/>
      <c r="C403" s="199" t="str">
        <f t="shared" ca="1" si="8"/>
        <v/>
      </c>
      <c r="D403" s="479"/>
      <c r="E403" s="480"/>
      <c r="F403" s="480"/>
      <c r="G403" s="480"/>
      <c r="H403" s="480"/>
      <c r="I403" s="480"/>
      <c r="J403" s="480"/>
      <c r="K403" s="440"/>
      <c r="L403" s="441"/>
      <c r="M403" s="441"/>
      <c r="N403" s="441"/>
      <c r="O403" s="441"/>
      <c r="P403" s="441"/>
      <c r="Q403" s="441"/>
      <c r="R403" s="444"/>
      <c r="S403" s="445"/>
      <c r="T403" s="444"/>
      <c r="U403" s="445"/>
      <c r="V403" s="440"/>
      <c r="W403" s="441"/>
      <c r="X403" s="441"/>
      <c r="Y403" s="441"/>
      <c r="Z403" s="441"/>
      <c r="AA403" s="441"/>
      <c r="AB403" s="441"/>
      <c r="AC403" s="441"/>
      <c r="AD403" s="440"/>
      <c r="AE403" s="441"/>
      <c r="AF403" s="441"/>
      <c r="AG403" s="441"/>
      <c r="AH403" s="441"/>
      <c r="AI403" s="441"/>
      <c r="AJ403" s="441"/>
      <c r="AK403" s="450"/>
      <c r="AL403" s="440"/>
      <c r="AM403" s="441"/>
      <c r="AN403" s="441"/>
      <c r="AO403" s="441"/>
      <c r="AP403" s="441"/>
      <c r="AQ403" s="441"/>
      <c r="AR403" s="450"/>
      <c r="AS403" s="485"/>
      <c r="AT403" s="486"/>
      <c r="AU403" s="486"/>
      <c r="AV403" s="486"/>
      <c r="AW403" s="486"/>
      <c r="AX403" s="486"/>
      <c r="AY403" s="487"/>
      <c r="AZ403" s="462"/>
      <c r="BA403" s="463"/>
      <c r="BB403" s="61">
        <v>3</v>
      </c>
      <c r="BC403" s="418"/>
      <c r="BD403" s="419"/>
      <c r="BE403" s="419"/>
      <c r="BF403" s="420"/>
      <c r="BG403" s="421"/>
      <c r="BH403" s="422"/>
      <c r="BI403" s="195"/>
      <c r="BJ403" s="423"/>
      <c r="BK403" s="424"/>
      <c r="BL403" s="424"/>
      <c r="BM403" s="424"/>
      <c r="BN403" s="424"/>
      <c r="BO403" s="425"/>
      <c r="BP403" s="423"/>
      <c r="BQ403" s="424"/>
      <c r="BR403" s="424"/>
      <c r="BS403" s="424"/>
      <c r="BT403" s="424"/>
      <c r="BU403" s="425"/>
      <c r="BV403" s="423"/>
      <c r="BW403" s="424"/>
      <c r="BX403" s="424"/>
      <c r="BY403" s="424"/>
      <c r="BZ403" s="424"/>
      <c r="CA403" s="425"/>
      <c r="CB403" s="418"/>
      <c r="CC403" s="419"/>
      <c r="CD403" s="419"/>
      <c r="CE403" s="420"/>
      <c r="CF403" s="412"/>
      <c r="CG403" s="413"/>
      <c r="CH403" s="413"/>
      <c r="CI403" s="413"/>
      <c r="CJ403" s="414"/>
      <c r="CK403" s="412"/>
      <c r="CL403" s="413"/>
      <c r="CM403" s="413"/>
      <c r="CN403" s="413"/>
      <c r="CO403" s="414"/>
      <c r="CP403" s="412"/>
      <c r="CQ403" s="413"/>
      <c r="CR403" s="413"/>
      <c r="CS403" s="413"/>
      <c r="CT403" s="414"/>
      <c r="CU403" s="415"/>
      <c r="CV403" s="416"/>
      <c r="CW403" s="416"/>
      <c r="CX403" s="416"/>
      <c r="CY403" s="417"/>
    </row>
    <row r="404" spans="1:103" ht="16.5">
      <c r="A404" s="435"/>
      <c r="B404" s="36"/>
      <c r="C404" s="199" t="str">
        <f t="shared" ca="1" si="8"/>
        <v/>
      </c>
      <c r="D404" s="479"/>
      <c r="E404" s="480"/>
      <c r="F404" s="480"/>
      <c r="G404" s="480"/>
      <c r="H404" s="480"/>
      <c r="I404" s="480"/>
      <c r="J404" s="480"/>
      <c r="K404" s="440"/>
      <c r="L404" s="441"/>
      <c r="M404" s="441"/>
      <c r="N404" s="441"/>
      <c r="O404" s="441"/>
      <c r="P404" s="441"/>
      <c r="Q404" s="441"/>
      <c r="R404" s="444"/>
      <c r="S404" s="445"/>
      <c r="T404" s="444"/>
      <c r="U404" s="445"/>
      <c r="V404" s="440"/>
      <c r="W404" s="441"/>
      <c r="X404" s="441"/>
      <c r="Y404" s="441"/>
      <c r="Z404" s="441"/>
      <c r="AA404" s="441"/>
      <c r="AB404" s="441"/>
      <c r="AC404" s="441"/>
      <c r="AD404" s="440"/>
      <c r="AE404" s="441"/>
      <c r="AF404" s="441"/>
      <c r="AG404" s="441"/>
      <c r="AH404" s="441"/>
      <c r="AI404" s="441"/>
      <c r="AJ404" s="441"/>
      <c r="AK404" s="450"/>
      <c r="AL404" s="440"/>
      <c r="AM404" s="441"/>
      <c r="AN404" s="441"/>
      <c r="AO404" s="441"/>
      <c r="AP404" s="441"/>
      <c r="AQ404" s="441"/>
      <c r="AR404" s="450"/>
      <c r="AS404" s="485"/>
      <c r="AT404" s="486"/>
      <c r="AU404" s="486"/>
      <c r="AV404" s="486"/>
      <c r="AW404" s="486"/>
      <c r="AX404" s="486"/>
      <c r="AY404" s="487"/>
      <c r="AZ404" s="462"/>
      <c r="BA404" s="463"/>
      <c r="BB404" s="61">
        <v>4</v>
      </c>
      <c r="BC404" s="418"/>
      <c r="BD404" s="419"/>
      <c r="BE404" s="419"/>
      <c r="BF404" s="420"/>
      <c r="BG404" s="421"/>
      <c r="BH404" s="422"/>
      <c r="BI404" s="195"/>
      <c r="BJ404" s="423"/>
      <c r="BK404" s="424"/>
      <c r="BL404" s="424"/>
      <c r="BM404" s="424"/>
      <c r="BN404" s="424"/>
      <c r="BO404" s="425"/>
      <c r="BP404" s="423"/>
      <c r="BQ404" s="424"/>
      <c r="BR404" s="424"/>
      <c r="BS404" s="424"/>
      <c r="BT404" s="424"/>
      <c r="BU404" s="425"/>
      <c r="BV404" s="423"/>
      <c r="BW404" s="424"/>
      <c r="BX404" s="424"/>
      <c r="BY404" s="424"/>
      <c r="BZ404" s="424"/>
      <c r="CA404" s="425"/>
      <c r="CB404" s="418"/>
      <c r="CC404" s="419"/>
      <c r="CD404" s="419"/>
      <c r="CE404" s="420"/>
      <c r="CF404" s="412"/>
      <c r="CG404" s="413"/>
      <c r="CH404" s="413"/>
      <c r="CI404" s="413"/>
      <c r="CJ404" s="414"/>
      <c r="CK404" s="412"/>
      <c r="CL404" s="413"/>
      <c r="CM404" s="413"/>
      <c r="CN404" s="413"/>
      <c r="CO404" s="414"/>
      <c r="CP404" s="412"/>
      <c r="CQ404" s="413"/>
      <c r="CR404" s="413"/>
      <c r="CS404" s="413"/>
      <c r="CT404" s="414"/>
      <c r="CU404" s="415"/>
      <c r="CV404" s="416"/>
      <c r="CW404" s="416"/>
      <c r="CX404" s="416"/>
      <c r="CY404" s="417"/>
    </row>
    <row r="405" spans="1:103" ht="16.5">
      <c r="A405" s="435"/>
      <c r="B405" s="36"/>
      <c r="C405" s="199" t="str">
        <f t="shared" ca="1" si="8"/>
        <v/>
      </c>
      <c r="D405" s="479"/>
      <c r="E405" s="480"/>
      <c r="F405" s="480"/>
      <c r="G405" s="480"/>
      <c r="H405" s="480"/>
      <c r="I405" s="480"/>
      <c r="J405" s="480"/>
      <c r="K405" s="440"/>
      <c r="L405" s="441"/>
      <c r="M405" s="441"/>
      <c r="N405" s="441"/>
      <c r="O405" s="441"/>
      <c r="P405" s="441"/>
      <c r="Q405" s="441"/>
      <c r="R405" s="444"/>
      <c r="S405" s="445"/>
      <c r="T405" s="444"/>
      <c r="U405" s="445"/>
      <c r="V405" s="440"/>
      <c r="W405" s="441"/>
      <c r="X405" s="441"/>
      <c r="Y405" s="441"/>
      <c r="Z405" s="441"/>
      <c r="AA405" s="441"/>
      <c r="AB405" s="441"/>
      <c r="AC405" s="441"/>
      <c r="AD405" s="440"/>
      <c r="AE405" s="441"/>
      <c r="AF405" s="441"/>
      <c r="AG405" s="441"/>
      <c r="AH405" s="441"/>
      <c r="AI405" s="441"/>
      <c r="AJ405" s="441"/>
      <c r="AK405" s="450"/>
      <c r="AL405" s="440"/>
      <c r="AM405" s="441"/>
      <c r="AN405" s="441"/>
      <c r="AO405" s="441"/>
      <c r="AP405" s="441"/>
      <c r="AQ405" s="441"/>
      <c r="AR405" s="450"/>
      <c r="AS405" s="485"/>
      <c r="AT405" s="486"/>
      <c r="AU405" s="486"/>
      <c r="AV405" s="486"/>
      <c r="AW405" s="486"/>
      <c r="AX405" s="486"/>
      <c r="AY405" s="487"/>
      <c r="AZ405" s="462"/>
      <c r="BA405" s="463"/>
      <c r="BB405" s="61">
        <v>5</v>
      </c>
      <c r="BC405" s="418"/>
      <c r="BD405" s="419"/>
      <c r="BE405" s="419"/>
      <c r="BF405" s="420"/>
      <c r="BG405" s="421"/>
      <c r="BH405" s="422"/>
      <c r="BI405" s="195"/>
      <c r="BJ405" s="423"/>
      <c r="BK405" s="424"/>
      <c r="BL405" s="424"/>
      <c r="BM405" s="424"/>
      <c r="BN405" s="424"/>
      <c r="BO405" s="425"/>
      <c r="BP405" s="423"/>
      <c r="BQ405" s="424"/>
      <c r="BR405" s="424"/>
      <c r="BS405" s="424"/>
      <c r="BT405" s="424"/>
      <c r="BU405" s="425"/>
      <c r="BV405" s="423"/>
      <c r="BW405" s="424"/>
      <c r="BX405" s="424"/>
      <c r="BY405" s="424"/>
      <c r="BZ405" s="424"/>
      <c r="CA405" s="425"/>
      <c r="CB405" s="418"/>
      <c r="CC405" s="419"/>
      <c r="CD405" s="419"/>
      <c r="CE405" s="420"/>
      <c r="CF405" s="412"/>
      <c r="CG405" s="413"/>
      <c r="CH405" s="413"/>
      <c r="CI405" s="413"/>
      <c r="CJ405" s="414"/>
      <c r="CK405" s="412"/>
      <c r="CL405" s="413"/>
      <c r="CM405" s="413"/>
      <c r="CN405" s="413"/>
      <c r="CO405" s="414"/>
      <c r="CP405" s="412"/>
      <c r="CQ405" s="413"/>
      <c r="CR405" s="413"/>
      <c r="CS405" s="413"/>
      <c r="CT405" s="414"/>
      <c r="CU405" s="415"/>
      <c r="CV405" s="416"/>
      <c r="CW405" s="416"/>
      <c r="CX405" s="416"/>
      <c r="CY405" s="417"/>
    </row>
    <row r="406" spans="1:103" ht="16.5">
      <c r="A406" s="436"/>
      <c r="B406" s="37"/>
      <c r="C406" s="200" t="str">
        <f t="shared" ca="1" si="8"/>
        <v/>
      </c>
      <c r="D406" s="481"/>
      <c r="E406" s="482"/>
      <c r="F406" s="482"/>
      <c r="G406" s="482"/>
      <c r="H406" s="482"/>
      <c r="I406" s="482"/>
      <c r="J406" s="482"/>
      <c r="K406" s="409"/>
      <c r="L406" s="410"/>
      <c r="M406" s="410"/>
      <c r="N406" s="410"/>
      <c r="O406" s="410"/>
      <c r="P406" s="410"/>
      <c r="Q406" s="410"/>
      <c r="R406" s="446"/>
      <c r="S406" s="447"/>
      <c r="T406" s="446"/>
      <c r="U406" s="447"/>
      <c r="V406" s="409"/>
      <c r="W406" s="410"/>
      <c r="X406" s="410"/>
      <c r="Y406" s="410"/>
      <c r="Z406" s="410"/>
      <c r="AA406" s="410"/>
      <c r="AB406" s="410"/>
      <c r="AC406" s="410"/>
      <c r="AD406" s="409"/>
      <c r="AE406" s="410"/>
      <c r="AF406" s="410"/>
      <c r="AG406" s="410"/>
      <c r="AH406" s="410"/>
      <c r="AI406" s="410"/>
      <c r="AJ406" s="410"/>
      <c r="AK406" s="411"/>
      <c r="AL406" s="409"/>
      <c r="AM406" s="410"/>
      <c r="AN406" s="410"/>
      <c r="AO406" s="410"/>
      <c r="AP406" s="410"/>
      <c r="AQ406" s="410"/>
      <c r="AR406" s="411"/>
      <c r="AS406" s="488"/>
      <c r="AT406" s="489"/>
      <c r="AU406" s="489"/>
      <c r="AV406" s="489"/>
      <c r="AW406" s="489"/>
      <c r="AX406" s="489"/>
      <c r="AY406" s="490"/>
      <c r="AZ406" s="464"/>
      <c r="BA406" s="465"/>
      <c r="BB406" s="62">
        <v>6</v>
      </c>
      <c r="BC406" s="426"/>
      <c r="BD406" s="427"/>
      <c r="BE406" s="427"/>
      <c r="BF406" s="428"/>
      <c r="BG406" s="429"/>
      <c r="BH406" s="430"/>
      <c r="BI406" s="196"/>
      <c r="BJ406" s="474"/>
      <c r="BK406" s="475"/>
      <c r="BL406" s="475"/>
      <c r="BM406" s="475"/>
      <c r="BN406" s="475"/>
      <c r="BO406" s="476"/>
      <c r="BP406" s="474"/>
      <c r="BQ406" s="475"/>
      <c r="BR406" s="475"/>
      <c r="BS406" s="475"/>
      <c r="BT406" s="475"/>
      <c r="BU406" s="476"/>
      <c r="BV406" s="474"/>
      <c r="BW406" s="475"/>
      <c r="BX406" s="475"/>
      <c r="BY406" s="475"/>
      <c r="BZ406" s="475"/>
      <c r="CA406" s="476"/>
      <c r="CB406" s="426"/>
      <c r="CC406" s="427"/>
      <c r="CD406" s="427"/>
      <c r="CE406" s="428"/>
      <c r="CF406" s="412"/>
      <c r="CG406" s="413"/>
      <c r="CH406" s="413"/>
      <c r="CI406" s="413"/>
      <c r="CJ406" s="414"/>
      <c r="CK406" s="412"/>
      <c r="CL406" s="413"/>
      <c r="CM406" s="413"/>
      <c r="CN406" s="413"/>
      <c r="CO406" s="414"/>
      <c r="CP406" s="412"/>
      <c r="CQ406" s="413"/>
      <c r="CR406" s="413"/>
      <c r="CS406" s="413"/>
      <c r="CT406" s="414"/>
      <c r="CU406" s="415"/>
      <c r="CV406" s="416"/>
      <c r="CW406" s="416"/>
      <c r="CX406" s="416"/>
      <c r="CY406" s="417"/>
    </row>
    <row r="407" spans="1:103" ht="16.5">
      <c r="A407" s="434">
        <v>67</v>
      </c>
      <c r="B407" s="36"/>
      <c r="C407" s="198" t="str">
        <f t="shared" ca="1" si="8"/>
        <v/>
      </c>
      <c r="D407" s="477" t="s">
        <v>413</v>
      </c>
      <c r="E407" s="478"/>
      <c r="F407" s="478"/>
      <c r="G407" s="478"/>
      <c r="H407" s="478"/>
      <c r="I407" s="478"/>
      <c r="J407" s="478"/>
      <c r="K407" s="438" t="s">
        <v>414</v>
      </c>
      <c r="L407" s="439"/>
      <c r="M407" s="439"/>
      <c r="N407" s="439"/>
      <c r="O407" s="439"/>
      <c r="P407" s="439"/>
      <c r="Q407" s="439"/>
      <c r="R407" s="442" t="s">
        <v>186</v>
      </c>
      <c r="S407" s="443"/>
      <c r="T407" s="442"/>
      <c r="U407" s="443"/>
      <c r="V407" s="438"/>
      <c r="W407" s="439"/>
      <c r="X407" s="439"/>
      <c r="Y407" s="439"/>
      <c r="Z407" s="439"/>
      <c r="AA407" s="439"/>
      <c r="AB407" s="439"/>
      <c r="AC407" s="439"/>
      <c r="AD407" s="438"/>
      <c r="AE407" s="439"/>
      <c r="AF407" s="439"/>
      <c r="AG407" s="439"/>
      <c r="AH407" s="439"/>
      <c r="AI407" s="439"/>
      <c r="AJ407" s="439"/>
      <c r="AK407" s="449"/>
      <c r="AL407" s="438"/>
      <c r="AM407" s="439"/>
      <c r="AN407" s="439"/>
      <c r="AO407" s="439"/>
      <c r="AP407" s="439"/>
      <c r="AQ407" s="439"/>
      <c r="AR407" s="449"/>
      <c r="AS407" s="500"/>
      <c r="AT407" s="483"/>
      <c r="AU407" s="483"/>
      <c r="AV407" s="483"/>
      <c r="AW407" s="483"/>
      <c r="AX407" s="483"/>
      <c r="AY407" s="484"/>
      <c r="AZ407" s="460"/>
      <c r="BA407" s="461"/>
      <c r="BB407" s="60">
        <v>1</v>
      </c>
      <c r="BC407" s="466"/>
      <c r="BD407" s="467"/>
      <c r="BE407" s="467"/>
      <c r="BF407" s="468"/>
      <c r="BG407" s="469"/>
      <c r="BH407" s="470"/>
      <c r="BI407" s="194"/>
      <c r="BJ407" s="471"/>
      <c r="BK407" s="472"/>
      <c r="BL407" s="472"/>
      <c r="BM407" s="472"/>
      <c r="BN407" s="472"/>
      <c r="BO407" s="473"/>
      <c r="BP407" s="471"/>
      <c r="BQ407" s="472"/>
      <c r="BR407" s="472"/>
      <c r="BS407" s="472"/>
      <c r="BT407" s="472"/>
      <c r="BU407" s="473"/>
      <c r="BV407" s="471"/>
      <c r="BW407" s="472"/>
      <c r="BX407" s="472"/>
      <c r="BY407" s="472"/>
      <c r="BZ407" s="472"/>
      <c r="CA407" s="473"/>
      <c r="CB407" s="466"/>
      <c r="CC407" s="467"/>
      <c r="CD407" s="467"/>
      <c r="CE407" s="468"/>
      <c r="CF407" s="409"/>
      <c r="CG407" s="410"/>
      <c r="CH407" s="410"/>
      <c r="CI407" s="410"/>
      <c r="CJ407" s="411"/>
      <c r="CK407" s="409"/>
      <c r="CL407" s="410"/>
      <c r="CM407" s="410"/>
      <c r="CN407" s="410"/>
      <c r="CO407" s="411"/>
      <c r="CP407" s="409"/>
      <c r="CQ407" s="410"/>
      <c r="CR407" s="410"/>
      <c r="CS407" s="410"/>
      <c r="CT407" s="411"/>
      <c r="CU407" s="415"/>
      <c r="CV407" s="416"/>
      <c r="CW407" s="416"/>
      <c r="CX407" s="416"/>
      <c r="CY407" s="417"/>
    </row>
    <row r="408" spans="1:103" ht="16.5">
      <c r="A408" s="435"/>
      <c r="B408" s="36"/>
      <c r="C408" s="199" t="str">
        <f t="shared" ca="1" si="8"/>
        <v/>
      </c>
      <c r="D408" s="479"/>
      <c r="E408" s="480"/>
      <c r="F408" s="480"/>
      <c r="G408" s="480"/>
      <c r="H408" s="480"/>
      <c r="I408" s="480"/>
      <c r="J408" s="480"/>
      <c r="K408" s="440"/>
      <c r="L408" s="441"/>
      <c r="M408" s="441"/>
      <c r="N408" s="441"/>
      <c r="O408" s="441"/>
      <c r="P408" s="441"/>
      <c r="Q408" s="441"/>
      <c r="R408" s="444"/>
      <c r="S408" s="445"/>
      <c r="T408" s="444"/>
      <c r="U408" s="445"/>
      <c r="V408" s="440"/>
      <c r="W408" s="441"/>
      <c r="X408" s="441"/>
      <c r="Y408" s="441"/>
      <c r="Z408" s="441"/>
      <c r="AA408" s="441"/>
      <c r="AB408" s="441"/>
      <c r="AC408" s="441"/>
      <c r="AD408" s="440"/>
      <c r="AE408" s="441"/>
      <c r="AF408" s="441"/>
      <c r="AG408" s="441"/>
      <c r="AH408" s="441"/>
      <c r="AI408" s="441"/>
      <c r="AJ408" s="441"/>
      <c r="AK408" s="450"/>
      <c r="AL408" s="440"/>
      <c r="AM408" s="441"/>
      <c r="AN408" s="441"/>
      <c r="AO408" s="441"/>
      <c r="AP408" s="441"/>
      <c r="AQ408" s="441"/>
      <c r="AR408" s="450"/>
      <c r="AS408" s="485"/>
      <c r="AT408" s="486"/>
      <c r="AU408" s="486"/>
      <c r="AV408" s="486"/>
      <c r="AW408" s="486"/>
      <c r="AX408" s="486"/>
      <c r="AY408" s="487"/>
      <c r="AZ408" s="462"/>
      <c r="BA408" s="463"/>
      <c r="BB408" s="61">
        <v>2</v>
      </c>
      <c r="BC408" s="418"/>
      <c r="BD408" s="419"/>
      <c r="BE408" s="419"/>
      <c r="BF408" s="420"/>
      <c r="BG408" s="421"/>
      <c r="BH408" s="422"/>
      <c r="BI408" s="195"/>
      <c r="BJ408" s="423"/>
      <c r="BK408" s="424"/>
      <c r="BL408" s="424"/>
      <c r="BM408" s="424"/>
      <c r="BN408" s="424"/>
      <c r="BO408" s="425"/>
      <c r="BP408" s="423"/>
      <c r="BQ408" s="424"/>
      <c r="BR408" s="424"/>
      <c r="BS408" s="424"/>
      <c r="BT408" s="424"/>
      <c r="BU408" s="425"/>
      <c r="BV408" s="423"/>
      <c r="BW408" s="424"/>
      <c r="BX408" s="424"/>
      <c r="BY408" s="424"/>
      <c r="BZ408" s="424"/>
      <c r="CA408" s="425"/>
      <c r="CB408" s="418"/>
      <c r="CC408" s="419"/>
      <c r="CD408" s="419"/>
      <c r="CE408" s="420"/>
      <c r="CF408" s="412"/>
      <c r="CG408" s="413"/>
      <c r="CH408" s="413"/>
      <c r="CI408" s="413"/>
      <c r="CJ408" s="414"/>
      <c r="CK408" s="412"/>
      <c r="CL408" s="413"/>
      <c r="CM408" s="413"/>
      <c r="CN408" s="413"/>
      <c r="CO408" s="414"/>
      <c r="CP408" s="412"/>
      <c r="CQ408" s="413"/>
      <c r="CR408" s="413"/>
      <c r="CS408" s="413"/>
      <c r="CT408" s="414"/>
      <c r="CU408" s="415"/>
      <c r="CV408" s="416"/>
      <c r="CW408" s="416"/>
      <c r="CX408" s="416"/>
      <c r="CY408" s="417"/>
    </row>
    <row r="409" spans="1:103" ht="16.5">
      <c r="A409" s="435"/>
      <c r="B409" s="36"/>
      <c r="C409" s="199" t="str">
        <f t="shared" ca="1" si="8"/>
        <v/>
      </c>
      <c r="D409" s="479"/>
      <c r="E409" s="480"/>
      <c r="F409" s="480"/>
      <c r="G409" s="480"/>
      <c r="H409" s="480"/>
      <c r="I409" s="480"/>
      <c r="J409" s="480"/>
      <c r="K409" s="440"/>
      <c r="L409" s="441"/>
      <c r="M409" s="441"/>
      <c r="N409" s="441"/>
      <c r="O409" s="441"/>
      <c r="P409" s="441"/>
      <c r="Q409" s="441"/>
      <c r="R409" s="444"/>
      <c r="S409" s="445"/>
      <c r="T409" s="444"/>
      <c r="U409" s="445"/>
      <c r="V409" s="440"/>
      <c r="W409" s="441"/>
      <c r="X409" s="441"/>
      <c r="Y409" s="441"/>
      <c r="Z409" s="441"/>
      <c r="AA409" s="441"/>
      <c r="AB409" s="441"/>
      <c r="AC409" s="441"/>
      <c r="AD409" s="440"/>
      <c r="AE409" s="441"/>
      <c r="AF409" s="441"/>
      <c r="AG409" s="441"/>
      <c r="AH409" s="441"/>
      <c r="AI409" s="441"/>
      <c r="AJ409" s="441"/>
      <c r="AK409" s="450"/>
      <c r="AL409" s="440"/>
      <c r="AM409" s="441"/>
      <c r="AN409" s="441"/>
      <c r="AO409" s="441"/>
      <c r="AP409" s="441"/>
      <c r="AQ409" s="441"/>
      <c r="AR409" s="450"/>
      <c r="AS409" s="485"/>
      <c r="AT409" s="486"/>
      <c r="AU409" s="486"/>
      <c r="AV409" s="486"/>
      <c r="AW409" s="486"/>
      <c r="AX409" s="486"/>
      <c r="AY409" s="487"/>
      <c r="AZ409" s="462"/>
      <c r="BA409" s="463"/>
      <c r="BB409" s="61">
        <v>3</v>
      </c>
      <c r="BC409" s="418"/>
      <c r="BD409" s="419"/>
      <c r="BE409" s="419"/>
      <c r="BF409" s="420"/>
      <c r="BG409" s="421"/>
      <c r="BH409" s="422"/>
      <c r="BI409" s="195"/>
      <c r="BJ409" s="423"/>
      <c r="BK409" s="424"/>
      <c r="BL409" s="424"/>
      <c r="BM409" s="424"/>
      <c r="BN409" s="424"/>
      <c r="BO409" s="425"/>
      <c r="BP409" s="423"/>
      <c r="BQ409" s="424"/>
      <c r="BR409" s="424"/>
      <c r="BS409" s="424"/>
      <c r="BT409" s="424"/>
      <c r="BU409" s="425"/>
      <c r="BV409" s="423"/>
      <c r="BW409" s="424"/>
      <c r="BX409" s="424"/>
      <c r="BY409" s="424"/>
      <c r="BZ409" s="424"/>
      <c r="CA409" s="425"/>
      <c r="CB409" s="418"/>
      <c r="CC409" s="419"/>
      <c r="CD409" s="419"/>
      <c r="CE409" s="420"/>
      <c r="CF409" s="412"/>
      <c r="CG409" s="413"/>
      <c r="CH409" s="413"/>
      <c r="CI409" s="413"/>
      <c r="CJ409" s="414"/>
      <c r="CK409" s="412"/>
      <c r="CL409" s="413"/>
      <c r="CM409" s="413"/>
      <c r="CN409" s="413"/>
      <c r="CO409" s="414"/>
      <c r="CP409" s="412"/>
      <c r="CQ409" s="413"/>
      <c r="CR409" s="413"/>
      <c r="CS409" s="413"/>
      <c r="CT409" s="414"/>
      <c r="CU409" s="415"/>
      <c r="CV409" s="416"/>
      <c r="CW409" s="416"/>
      <c r="CX409" s="416"/>
      <c r="CY409" s="417"/>
    </row>
    <row r="410" spans="1:103" ht="16.5">
      <c r="A410" s="435"/>
      <c r="B410" s="36"/>
      <c r="C410" s="199" t="str">
        <f t="shared" ca="1" si="8"/>
        <v/>
      </c>
      <c r="D410" s="479"/>
      <c r="E410" s="480"/>
      <c r="F410" s="480"/>
      <c r="G410" s="480"/>
      <c r="H410" s="480"/>
      <c r="I410" s="480"/>
      <c r="J410" s="480"/>
      <c r="K410" s="440"/>
      <c r="L410" s="441"/>
      <c r="M410" s="441"/>
      <c r="N410" s="441"/>
      <c r="O410" s="441"/>
      <c r="P410" s="441"/>
      <c r="Q410" s="441"/>
      <c r="R410" s="444"/>
      <c r="S410" s="445"/>
      <c r="T410" s="444"/>
      <c r="U410" s="445"/>
      <c r="V410" s="440"/>
      <c r="W410" s="441"/>
      <c r="X410" s="441"/>
      <c r="Y410" s="441"/>
      <c r="Z410" s="441"/>
      <c r="AA410" s="441"/>
      <c r="AB410" s="441"/>
      <c r="AC410" s="441"/>
      <c r="AD410" s="440"/>
      <c r="AE410" s="441"/>
      <c r="AF410" s="441"/>
      <c r="AG410" s="441"/>
      <c r="AH410" s="441"/>
      <c r="AI410" s="441"/>
      <c r="AJ410" s="441"/>
      <c r="AK410" s="450"/>
      <c r="AL410" s="440"/>
      <c r="AM410" s="441"/>
      <c r="AN410" s="441"/>
      <c r="AO410" s="441"/>
      <c r="AP410" s="441"/>
      <c r="AQ410" s="441"/>
      <c r="AR410" s="450"/>
      <c r="AS410" s="485"/>
      <c r="AT410" s="486"/>
      <c r="AU410" s="486"/>
      <c r="AV410" s="486"/>
      <c r="AW410" s="486"/>
      <c r="AX410" s="486"/>
      <c r="AY410" s="487"/>
      <c r="AZ410" s="462"/>
      <c r="BA410" s="463"/>
      <c r="BB410" s="61">
        <v>4</v>
      </c>
      <c r="BC410" s="418"/>
      <c r="BD410" s="419"/>
      <c r="BE410" s="419"/>
      <c r="BF410" s="420"/>
      <c r="BG410" s="421"/>
      <c r="BH410" s="422"/>
      <c r="BI410" s="195"/>
      <c r="BJ410" s="423"/>
      <c r="BK410" s="424"/>
      <c r="BL410" s="424"/>
      <c r="BM410" s="424"/>
      <c r="BN410" s="424"/>
      <c r="BO410" s="425"/>
      <c r="BP410" s="423"/>
      <c r="BQ410" s="424"/>
      <c r="BR410" s="424"/>
      <c r="BS410" s="424"/>
      <c r="BT410" s="424"/>
      <c r="BU410" s="425"/>
      <c r="BV410" s="423"/>
      <c r="BW410" s="424"/>
      <c r="BX410" s="424"/>
      <c r="BY410" s="424"/>
      <c r="BZ410" s="424"/>
      <c r="CA410" s="425"/>
      <c r="CB410" s="418"/>
      <c r="CC410" s="419"/>
      <c r="CD410" s="419"/>
      <c r="CE410" s="420"/>
      <c r="CF410" s="412"/>
      <c r="CG410" s="413"/>
      <c r="CH410" s="413"/>
      <c r="CI410" s="413"/>
      <c r="CJ410" s="414"/>
      <c r="CK410" s="412"/>
      <c r="CL410" s="413"/>
      <c r="CM410" s="413"/>
      <c r="CN410" s="413"/>
      <c r="CO410" s="414"/>
      <c r="CP410" s="412"/>
      <c r="CQ410" s="413"/>
      <c r="CR410" s="413"/>
      <c r="CS410" s="413"/>
      <c r="CT410" s="414"/>
      <c r="CU410" s="415"/>
      <c r="CV410" s="416"/>
      <c r="CW410" s="416"/>
      <c r="CX410" s="416"/>
      <c r="CY410" s="417"/>
    </row>
    <row r="411" spans="1:103" ht="16.5">
      <c r="A411" s="435"/>
      <c r="B411" s="36"/>
      <c r="C411" s="199" t="str">
        <f t="shared" ca="1" si="8"/>
        <v/>
      </c>
      <c r="D411" s="479"/>
      <c r="E411" s="480"/>
      <c r="F411" s="480"/>
      <c r="G411" s="480"/>
      <c r="H411" s="480"/>
      <c r="I411" s="480"/>
      <c r="J411" s="480"/>
      <c r="K411" s="440"/>
      <c r="L411" s="441"/>
      <c r="M411" s="441"/>
      <c r="N411" s="441"/>
      <c r="O411" s="441"/>
      <c r="P411" s="441"/>
      <c r="Q411" s="441"/>
      <c r="R411" s="444"/>
      <c r="S411" s="445"/>
      <c r="T411" s="444"/>
      <c r="U411" s="445"/>
      <c r="V411" s="440"/>
      <c r="W411" s="441"/>
      <c r="X411" s="441"/>
      <c r="Y411" s="441"/>
      <c r="Z411" s="441"/>
      <c r="AA411" s="441"/>
      <c r="AB411" s="441"/>
      <c r="AC411" s="441"/>
      <c r="AD411" s="440"/>
      <c r="AE411" s="441"/>
      <c r="AF411" s="441"/>
      <c r="AG411" s="441"/>
      <c r="AH411" s="441"/>
      <c r="AI411" s="441"/>
      <c r="AJ411" s="441"/>
      <c r="AK411" s="450"/>
      <c r="AL411" s="440"/>
      <c r="AM411" s="441"/>
      <c r="AN411" s="441"/>
      <c r="AO411" s="441"/>
      <c r="AP411" s="441"/>
      <c r="AQ411" s="441"/>
      <c r="AR411" s="450"/>
      <c r="AS411" s="485"/>
      <c r="AT411" s="486"/>
      <c r="AU411" s="486"/>
      <c r="AV411" s="486"/>
      <c r="AW411" s="486"/>
      <c r="AX411" s="486"/>
      <c r="AY411" s="487"/>
      <c r="AZ411" s="462"/>
      <c r="BA411" s="463"/>
      <c r="BB411" s="61">
        <v>5</v>
      </c>
      <c r="BC411" s="418"/>
      <c r="BD411" s="419"/>
      <c r="BE411" s="419"/>
      <c r="BF411" s="420"/>
      <c r="BG411" s="421"/>
      <c r="BH411" s="422"/>
      <c r="BI411" s="195"/>
      <c r="BJ411" s="423"/>
      <c r="BK411" s="424"/>
      <c r="BL411" s="424"/>
      <c r="BM411" s="424"/>
      <c r="BN411" s="424"/>
      <c r="BO411" s="425"/>
      <c r="BP411" s="423"/>
      <c r="BQ411" s="424"/>
      <c r="BR411" s="424"/>
      <c r="BS411" s="424"/>
      <c r="BT411" s="424"/>
      <c r="BU411" s="425"/>
      <c r="BV411" s="423"/>
      <c r="BW411" s="424"/>
      <c r="BX411" s="424"/>
      <c r="BY411" s="424"/>
      <c r="BZ411" s="424"/>
      <c r="CA411" s="425"/>
      <c r="CB411" s="418"/>
      <c r="CC411" s="419"/>
      <c r="CD411" s="419"/>
      <c r="CE411" s="420"/>
      <c r="CF411" s="412"/>
      <c r="CG411" s="413"/>
      <c r="CH411" s="413"/>
      <c r="CI411" s="413"/>
      <c r="CJ411" s="414"/>
      <c r="CK411" s="412"/>
      <c r="CL411" s="413"/>
      <c r="CM411" s="413"/>
      <c r="CN411" s="413"/>
      <c r="CO411" s="414"/>
      <c r="CP411" s="412"/>
      <c r="CQ411" s="413"/>
      <c r="CR411" s="413"/>
      <c r="CS411" s="413"/>
      <c r="CT411" s="414"/>
      <c r="CU411" s="415"/>
      <c r="CV411" s="416"/>
      <c r="CW411" s="416"/>
      <c r="CX411" s="416"/>
      <c r="CY411" s="417"/>
    </row>
    <row r="412" spans="1:103" ht="16.5">
      <c r="A412" s="436"/>
      <c r="B412" s="37"/>
      <c r="C412" s="200" t="str">
        <f t="shared" ca="1" si="8"/>
        <v/>
      </c>
      <c r="D412" s="481"/>
      <c r="E412" s="482"/>
      <c r="F412" s="482"/>
      <c r="G412" s="482"/>
      <c r="H412" s="482"/>
      <c r="I412" s="482"/>
      <c r="J412" s="482"/>
      <c r="K412" s="409"/>
      <c r="L412" s="410"/>
      <c r="M412" s="410"/>
      <c r="N412" s="410"/>
      <c r="O412" s="410"/>
      <c r="P412" s="410"/>
      <c r="Q412" s="410"/>
      <c r="R412" s="446"/>
      <c r="S412" s="447"/>
      <c r="T412" s="446"/>
      <c r="U412" s="447"/>
      <c r="V412" s="409"/>
      <c r="W412" s="410"/>
      <c r="X412" s="410"/>
      <c r="Y412" s="410"/>
      <c r="Z412" s="410"/>
      <c r="AA412" s="410"/>
      <c r="AB412" s="410"/>
      <c r="AC412" s="410"/>
      <c r="AD412" s="409"/>
      <c r="AE412" s="410"/>
      <c r="AF412" s="410"/>
      <c r="AG412" s="410"/>
      <c r="AH412" s="410"/>
      <c r="AI412" s="410"/>
      <c r="AJ412" s="410"/>
      <c r="AK412" s="411"/>
      <c r="AL412" s="409"/>
      <c r="AM412" s="410"/>
      <c r="AN412" s="410"/>
      <c r="AO412" s="410"/>
      <c r="AP412" s="410"/>
      <c r="AQ412" s="410"/>
      <c r="AR412" s="411"/>
      <c r="AS412" s="488"/>
      <c r="AT412" s="489"/>
      <c r="AU412" s="489"/>
      <c r="AV412" s="489"/>
      <c r="AW412" s="489"/>
      <c r="AX412" s="489"/>
      <c r="AY412" s="490"/>
      <c r="AZ412" s="464"/>
      <c r="BA412" s="465"/>
      <c r="BB412" s="62">
        <v>6</v>
      </c>
      <c r="BC412" s="426"/>
      <c r="BD412" s="427"/>
      <c r="BE412" s="427"/>
      <c r="BF412" s="428"/>
      <c r="BG412" s="429"/>
      <c r="BH412" s="430"/>
      <c r="BI412" s="196"/>
      <c r="BJ412" s="474"/>
      <c r="BK412" s="475"/>
      <c r="BL412" s="475"/>
      <c r="BM412" s="475"/>
      <c r="BN412" s="475"/>
      <c r="BO412" s="476"/>
      <c r="BP412" s="474"/>
      <c r="BQ412" s="475"/>
      <c r="BR412" s="475"/>
      <c r="BS412" s="475"/>
      <c r="BT412" s="475"/>
      <c r="BU412" s="476"/>
      <c r="BV412" s="474"/>
      <c r="BW412" s="475"/>
      <c r="BX412" s="475"/>
      <c r="BY412" s="475"/>
      <c r="BZ412" s="475"/>
      <c r="CA412" s="476"/>
      <c r="CB412" s="426"/>
      <c r="CC412" s="427"/>
      <c r="CD412" s="427"/>
      <c r="CE412" s="428"/>
      <c r="CF412" s="412"/>
      <c r="CG412" s="413"/>
      <c r="CH412" s="413"/>
      <c r="CI412" s="413"/>
      <c r="CJ412" s="414"/>
      <c r="CK412" s="412"/>
      <c r="CL412" s="413"/>
      <c r="CM412" s="413"/>
      <c r="CN412" s="413"/>
      <c r="CO412" s="414"/>
      <c r="CP412" s="412"/>
      <c r="CQ412" s="413"/>
      <c r="CR412" s="413"/>
      <c r="CS412" s="413"/>
      <c r="CT412" s="414"/>
      <c r="CU412" s="415"/>
      <c r="CV412" s="416"/>
      <c r="CW412" s="416"/>
      <c r="CX412" s="416"/>
      <c r="CY412" s="417"/>
    </row>
    <row r="413" spans="1:103" ht="16.5">
      <c r="A413" s="434">
        <v>68</v>
      </c>
      <c r="B413" s="36"/>
      <c r="C413" s="198" t="str">
        <f t="shared" ca="1" si="8"/>
        <v/>
      </c>
      <c r="D413" s="477"/>
      <c r="E413" s="478"/>
      <c r="F413" s="478"/>
      <c r="G413" s="478"/>
      <c r="H413" s="478"/>
      <c r="I413" s="478"/>
      <c r="J413" s="478"/>
      <c r="K413" s="438" t="s">
        <v>415</v>
      </c>
      <c r="L413" s="439"/>
      <c r="M413" s="439"/>
      <c r="N413" s="439"/>
      <c r="O413" s="439"/>
      <c r="P413" s="439"/>
      <c r="Q413" s="439"/>
      <c r="R413" s="442" t="s">
        <v>186</v>
      </c>
      <c r="S413" s="443"/>
      <c r="T413" s="442"/>
      <c r="U413" s="443"/>
      <c r="V413" s="438"/>
      <c r="W413" s="439"/>
      <c r="X413" s="439"/>
      <c r="Y413" s="439"/>
      <c r="Z413" s="439"/>
      <c r="AA413" s="439"/>
      <c r="AB413" s="439"/>
      <c r="AC413" s="439"/>
      <c r="AD413" s="438"/>
      <c r="AE413" s="439"/>
      <c r="AF413" s="439"/>
      <c r="AG413" s="439"/>
      <c r="AH413" s="439"/>
      <c r="AI413" s="439"/>
      <c r="AJ413" s="439"/>
      <c r="AK413" s="449"/>
      <c r="AL413" s="438"/>
      <c r="AM413" s="439"/>
      <c r="AN413" s="439"/>
      <c r="AO413" s="439"/>
      <c r="AP413" s="439"/>
      <c r="AQ413" s="439"/>
      <c r="AR413" s="449"/>
      <c r="AS413" s="500"/>
      <c r="AT413" s="483"/>
      <c r="AU413" s="483"/>
      <c r="AV413" s="483"/>
      <c r="AW413" s="483"/>
      <c r="AX413" s="483"/>
      <c r="AY413" s="484"/>
      <c r="AZ413" s="460"/>
      <c r="BA413" s="461"/>
      <c r="BB413" s="60">
        <v>1</v>
      </c>
      <c r="BC413" s="466"/>
      <c r="BD413" s="467"/>
      <c r="BE413" s="467"/>
      <c r="BF413" s="468"/>
      <c r="BG413" s="469"/>
      <c r="BH413" s="470"/>
      <c r="BI413" s="194"/>
      <c r="BJ413" s="471"/>
      <c r="BK413" s="472"/>
      <c r="BL413" s="472"/>
      <c r="BM413" s="472"/>
      <c r="BN413" s="472"/>
      <c r="BO413" s="473"/>
      <c r="BP413" s="471"/>
      <c r="BQ413" s="472"/>
      <c r="BR413" s="472"/>
      <c r="BS413" s="472"/>
      <c r="BT413" s="472"/>
      <c r="BU413" s="473"/>
      <c r="BV413" s="471"/>
      <c r="BW413" s="472"/>
      <c r="BX413" s="472"/>
      <c r="BY413" s="472"/>
      <c r="BZ413" s="472"/>
      <c r="CA413" s="473"/>
      <c r="CB413" s="466"/>
      <c r="CC413" s="467"/>
      <c r="CD413" s="467"/>
      <c r="CE413" s="468"/>
      <c r="CF413" s="409"/>
      <c r="CG413" s="410"/>
      <c r="CH413" s="410"/>
      <c r="CI413" s="410"/>
      <c r="CJ413" s="411"/>
      <c r="CK413" s="409"/>
      <c r="CL413" s="410"/>
      <c r="CM413" s="410"/>
      <c r="CN413" s="410"/>
      <c r="CO413" s="411"/>
      <c r="CP413" s="409"/>
      <c r="CQ413" s="410"/>
      <c r="CR413" s="410"/>
      <c r="CS413" s="410"/>
      <c r="CT413" s="411"/>
      <c r="CU413" s="415"/>
      <c r="CV413" s="416"/>
      <c r="CW413" s="416"/>
      <c r="CX413" s="416"/>
      <c r="CY413" s="417"/>
    </row>
    <row r="414" spans="1:103" ht="16.5">
      <c r="A414" s="435"/>
      <c r="B414" s="36"/>
      <c r="C414" s="199" t="str">
        <f t="shared" ca="1" si="8"/>
        <v/>
      </c>
      <c r="D414" s="479"/>
      <c r="E414" s="480"/>
      <c r="F414" s="480"/>
      <c r="G414" s="480"/>
      <c r="H414" s="480"/>
      <c r="I414" s="480"/>
      <c r="J414" s="480"/>
      <c r="K414" s="440"/>
      <c r="L414" s="441"/>
      <c r="M414" s="441"/>
      <c r="N414" s="441"/>
      <c r="O414" s="441"/>
      <c r="P414" s="441"/>
      <c r="Q414" s="441"/>
      <c r="R414" s="444"/>
      <c r="S414" s="445"/>
      <c r="T414" s="444"/>
      <c r="U414" s="445"/>
      <c r="V414" s="440"/>
      <c r="W414" s="441"/>
      <c r="X414" s="441"/>
      <c r="Y414" s="441"/>
      <c r="Z414" s="441"/>
      <c r="AA414" s="441"/>
      <c r="AB414" s="441"/>
      <c r="AC414" s="441"/>
      <c r="AD414" s="440"/>
      <c r="AE414" s="441"/>
      <c r="AF414" s="441"/>
      <c r="AG414" s="441"/>
      <c r="AH414" s="441"/>
      <c r="AI414" s="441"/>
      <c r="AJ414" s="441"/>
      <c r="AK414" s="450"/>
      <c r="AL414" s="440"/>
      <c r="AM414" s="441"/>
      <c r="AN414" s="441"/>
      <c r="AO414" s="441"/>
      <c r="AP414" s="441"/>
      <c r="AQ414" s="441"/>
      <c r="AR414" s="450"/>
      <c r="AS414" s="485"/>
      <c r="AT414" s="486"/>
      <c r="AU414" s="486"/>
      <c r="AV414" s="486"/>
      <c r="AW414" s="486"/>
      <c r="AX414" s="486"/>
      <c r="AY414" s="487"/>
      <c r="AZ414" s="462"/>
      <c r="BA414" s="463"/>
      <c r="BB414" s="61">
        <v>2</v>
      </c>
      <c r="BC414" s="418"/>
      <c r="BD414" s="419"/>
      <c r="BE414" s="419"/>
      <c r="BF414" s="420"/>
      <c r="BG414" s="421"/>
      <c r="BH414" s="422"/>
      <c r="BI414" s="195"/>
      <c r="BJ414" s="423"/>
      <c r="BK414" s="424"/>
      <c r="BL414" s="424"/>
      <c r="BM414" s="424"/>
      <c r="BN414" s="424"/>
      <c r="BO414" s="425"/>
      <c r="BP414" s="423"/>
      <c r="BQ414" s="424"/>
      <c r="BR414" s="424"/>
      <c r="BS414" s="424"/>
      <c r="BT414" s="424"/>
      <c r="BU414" s="425"/>
      <c r="BV414" s="423"/>
      <c r="BW414" s="424"/>
      <c r="BX414" s="424"/>
      <c r="BY414" s="424"/>
      <c r="BZ414" s="424"/>
      <c r="CA414" s="425"/>
      <c r="CB414" s="418"/>
      <c r="CC414" s="419"/>
      <c r="CD414" s="419"/>
      <c r="CE414" s="420"/>
      <c r="CF414" s="412"/>
      <c r="CG414" s="413"/>
      <c r="CH414" s="413"/>
      <c r="CI414" s="413"/>
      <c r="CJ414" s="414"/>
      <c r="CK414" s="412"/>
      <c r="CL414" s="413"/>
      <c r="CM414" s="413"/>
      <c r="CN414" s="413"/>
      <c r="CO414" s="414"/>
      <c r="CP414" s="412"/>
      <c r="CQ414" s="413"/>
      <c r="CR414" s="413"/>
      <c r="CS414" s="413"/>
      <c r="CT414" s="414"/>
      <c r="CU414" s="415"/>
      <c r="CV414" s="416"/>
      <c r="CW414" s="416"/>
      <c r="CX414" s="416"/>
      <c r="CY414" s="417"/>
    </row>
    <row r="415" spans="1:103" ht="16.5">
      <c r="A415" s="435"/>
      <c r="B415" s="36"/>
      <c r="C415" s="199" t="str">
        <f t="shared" ca="1" si="8"/>
        <v/>
      </c>
      <c r="D415" s="479"/>
      <c r="E415" s="480"/>
      <c r="F415" s="480"/>
      <c r="G415" s="480"/>
      <c r="H415" s="480"/>
      <c r="I415" s="480"/>
      <c r="J415" s="480"/>
      <c r="K415" s="440"/>
      <c r="L415" s="441"/>
      <c r="M415" s="441"/>
      <c r="N415" s="441"/>
      <c r="O415" s="441"/>
      <c r="P415" s="441"/>
      <c r="Q415" s="441"/>
      <c r="R415" s="444"/>
      <c r="S415" s="445"/>
      <c r="T415" s="444"/>
      <c r="U415" s="445"/>
      <c r="V415" s="440"/>
      <c r="W415" s="441"/>
      <c r="X415" s="441"/>
      <c r="Y415" s="441"/>
      <c r="Z415" s="441"/>
      <c r="AA415" s="441"/>
      <c r="AB415" s="441"/>
      <c r="AC415" s="441"/>
      <c r="AD415" s="440"/>
      <c r="AE415" s="441"/>
      <c r="AF415" s="441"/>
      <c r="AG415" s="441"/>
      <c r="AH415" s="441"/>
      <c r="AI415" s="441"/>
      <c r="AJ415" s="441"/>
      <c r="AK415" s="450"/>
      <c r="AL415" s="440"/>
      <c r="AM415" s="441"/>
      <c r="AN415" s="441"/>
      <c r="AO415" s="441"/>
      <c r="AP415" s="441"/>
      <c r="AQ415" s="441"/>
      <c r="AR415" s="450"/>
      <c r="AS415" s="485"/>
      <c r="AT415" s="486"/>
      <c r="AU415" s="486"/>
      <c r="AV415" s="486"/>
      <c r="AW415" s="486"/>
      <c r="AX415" s="486"/>
      <c r="AY415" s="487"/>
      <c r="AZ415" s="462"/>
      <c r="BA415" s="463"/>
      <c r="BB415" s="61">
        <v>3</v>
      </c>
      <c r="BC415" s="418"/>
      <c r="BD415" s="419"/>
      <c r="BE415" s="419"/>
      <c r="BF415" s="420"/>
      <c r="BG415" s="421"/>
      <c r="BH415" s="422"/>
      <c r="BI415" s="195"/>
      <c r="BJ415" s="423"/>
      <c r="BK415" s="424"/>
      <c r="BL415" s="424"/>
      <c r="BM415" s="424"/>
      <c r="BN415" s="424"/>
      <c r="BO415" s="425"/>
      <c r="BP415" s="423"/>
      <c r="BQ415" s="424"/>
      <c r="BR415" s="424"/>
      <c r="BS415" s="424"/>
      <c r="BT415" s="424"/>
      <c r="BU415" s="425"/>
      <c r="BV415" s="423"/>
      <c r="BW415" s="424"/>
      <c r="BX415" s="424"/>
      <c r="BY415" s="424"/>
      <c r="BZ415" s="424"/>
      <c r="CA415" s="425"/>
      <c r="CB415" s="418"/>
      <c r="CC415" s="419"/>
      <c r="CD415" s="419"/>
      <c r="CE415" s="420"/>
      <c r="CF415" s="412"/>
      <c r="CG415" s="413"/>
      <c r="CH415" s="413"/>
      <c r="CI415" s="413"/>
      <c r="CJ415" s="414"/>
      <c r="CK415" s="412"/>
      <c r="CL415" s="413"/>
      <c r="CM415" s="413"/>
      <c r="CN415" s="413"/>
      <c r="CO415" s="414"/>
      <c r="CP415" s="412"/>
      <c r="CQ415" s="413"/>
      <c r="CR415" s="413"/>
      <c r="CS415" s="413"/>
      <c r="CT415" s="414"/>
      <c r="CU415" s="415"/>
      <c r="CV415" s="416"/>
      <c r="CW415" s="416"/>
      <c r="CX415" s="416"/>
      <c r="CY415" s="417"/>
    </row>
    <row r="416" spans="1:103" ht="16.5">
      <c r="A416" s="435"/>
      <c r="B416" s="36"/>
      <c r="C416" s="199" t="str">
        <f t="shared" ca="1" si="8"/>
        <v/>
      </c>
      <c r="D416" s="479"/>
      <c r="E416" s="480"/>
      <c r="F416" s="480"/>
      <c r="G416" s="480"/>
      <c r="H416" s="480"/>
      <c r="I416" s="480"/>
      <c r="J416" s="480"/>
      <c r="K416" s="440"/>
      <c r="L416" s="441"/>
      <c r="M416" s="441"/>
      <c r="N416" s="441"/>
      <c r="O416" s="441"/>
      <c r="P416" s="441"/>
      <c r="Q416" s="441"/>
      <c r="R416" s="444"/>
      <c r="S416" s="445"/>
      <c r="T416" s="444"/>
      <c r="U416" s="445"/>
      <c r="V416" s="440"/>
      <c r="W416" s="441"/>
      <c r="X416" s="441"/>
      <c r="Y416" s="441"/>
      <c r="Z416" s="441"/>
      <c r="AA416" s="441"/>
      <c r="AB416" s="441"/>
      <c r="AC416" s="441"/>
      <c r="AD416" s="440"/>
      <c r="AE416" s="441"/>
      <c r="AF416" s="441"/>
      <c r="AG416" s="441"/>
      <c r="AH416" s="441"/>
      <c r="AI416" s="441"/>
      <c r="AJ416" s="441"/>
      <c r="AK416" s="450"/>
      <c r="AL416" s="440"/>
      <c r="AM416" s="441"/>
      <c r="AN416" s="441"/>
      <c r="AO416" s="441"/>
      <c r="AP416" s="441"/>
      <c r="AQ416" s="441"/>
      <c r="AR416" s="450"/>
      <c r="AS416" s="485"/>
      <c r="AT416" s="486"/>
      <c r="AU416" s="486"/>
      <c r="AV416" s="486"/>
      <c r="AW416" s="486"/>
      <c r="AX416" s="486"/>
      <c r="AY416" s="487"/>
      <c r="AZ416" s="462"/>
      <c r="BA416" s="463"/>
      <c r="BB416" s="61">
        <v>4</v>
      </c>
      <c r="BC416" s="418"/>
      <c r="BD416" s="419"/>
      <c r="BE416" s="419"/>
      <c r="BF416" s="420"/>
      <c r="BG416" s="421"/>
      <c r="BH416" s="422"/>
      <c r="BI416" s="195"/>
      <c r="BJ416" s="423"/>
      <c r="BK416" s="424"/>
      <c r="BL416" s="424"/>
      <c r="BM416" s="424"/>
      <c r="BN416" s="424"/>
      <c r="BO416" s="425"/>
      <c r="BP416" s="423"/>
      <c r="BQ416" s="424"/>
      <c r="BR416" s="424"/>
      <c r="BS416" s="424"/>
      <c r="BT416" s="424"/>
      <c r="BU416" s="425"/>
      <c r="BV416" s="423"/>
      <c r="BW416" s="424"/>
      <c r="BX416" s="424"/>
      <c r="BY416" s="424"/>
      <c r="BZ416" s="424"/>
      <c r="CA416" s="425"/>
      <c r="CB416" s="418"/>
      <c r="CC416" s="419"/>
      <c r="CD416" s="419"/>
      <c r="CE416" s="420"/>
      <c r="CF416" s="412"/>
      <c r="CG416" s="413"/>
      <c r="CH416" s="413"/>
      <c r="CI416" s="413"/>
      <c r="CJ416" s="414"/>
      <c r="CK416" s="412"/>
      <c r="CL416" s="413"/>
      <c r="CM416" s="413"/>
      <c r="CN416" s="413"/>
      <c r="CO416" s="414"/>
      <c r="CP416" s="412"/>
      <c r="CQ416" s="413"/>
      <c r="CR416" s="413"/>
      <c r="CS416" s="413"/>
      <c r="CT416" s="414"/>
      <c r="CU416" s="415"/>
      <c r="CV416" s="416"/>
      <c r="CW416" s="416"/>
      <c r="CX416" s="416"/>
      <c r="CY416" s="417"/>
    </row>
    <row r="417" spans="1:103" ht="16.5">
      <c r="A417" s="435"/>
      <c r="B417" s="36"/>
      <c r="C417" s="199" t="str">
        <f t="shared" ca="1" si="8"/>
        <v/>
      </c>
      <c r="D417" s="479"/>
      <c r="E417" s="480"/>
      <c r="F417" s="480"/>
      <c r="G417" s="480"/>
      <c r="H417" s="480"/>
      <c r="I417" s="480"/>
      <c r="J417" s="480"/>
      <c r="K417" s="440"/>
      <c r="L417" s="441"/>
      <c r="M417" s="441"/>
      <c r="N417" s="441"/>
      <c r="O417" s="441"/>
      <c r="P417" s="441"/>
      <c r="Q417" s="441"/>
      <c r="R417" s="444"/>
      <c r="S417" s="445"/>
      <c r="T417" s="444"/>
      <c r="U417" s="445"/>
      <c r="V417" s="440"/>
      <c r="W417" s="441"/>
      <c r="X417" s="441"/>
      <c r="Y417" s="441"/>
      <c r="Z417" s="441"/>
      <c r="AA417" s="441"/>
      <c r="AB417" s="441"/>
      <c r="AC417" s="441"/>
      <c r="AD417" s="440"/>
      <c r="AE417" s="441"/>
      <c r="AF417" s="441"/>
      <c r="AG417" s="441"/>
      <c r="AH417" s="441"/>
      <c r="AI417" s="441"/>
      <c r="AJ417" s="441"/>
      <c r="AK417" s="450"/>
      <c r="AL417" s="440"/>
      <c r="AM417" s="441"/>
      <c r="AN417" s="441"/>
      <c r="AO417" s="441"/>
      <c r="AP417" s="441"/>
      <c r="AQ417" s="441"/>
      <c r="AR417" s="450"/>
      <c r="AS417" s="485"/>
      <c r="AT417" s="486"/>
      <c r="AU417" s="486"/>
      <c r="AV417" s="486"/>
      <c r="AW417" s="486"/>
      <c r="AX417" s="486"/>
      <c r="AY417" s="487"/>
      <c r="AZ417" s="462"/>
      <c r="BA417" s="463"/>
      <c r="BB417" s="61">
        <v>5</v>
      </c>
      <c r="BC417" s="418"/>
      <c r="BD417" s="419"/>
      <c r="BE417" s="419"/>
      <c r="BF417" s="420"/>
      <c r="BG417" s="421"/>
      <c r="BH417" s="422"/>
      <c r="BI417" s="195"/>
      <c r="BJ417" s="423"/>
      <c r="BK417" s="424"/>
      <c r="BL417" s="424"/>
      <c r="BM417" s="424"/>
      <c r="BN417" s="424"/>
      <c r="BO417" s="425"/>
      <c r="BP417" s="423"/>
      <c r="BQ417" s="424"/>
      <c r="BR417" s="424"/>
      <c r="BS417" s="424"/>
      <c r="BT417" s="424"/>
      <c r="BU417" s="425"/>
      <c r="BV417" s="423"/>
      <c r="BW417" s="424"/>
      <c r="BX417" s="424"/>
      <c r="BY417" s="424"/>
      <c r="BZ417" s="424"/>
      <c r="CA417" s="425"/>
      <c r="CB417" s="418"/>
      <c r="CC417" s="419"/>
      <c r="CD417" s="419"/>
      <c r="CE417" s="420"/>
      <c r="CF417" s="412"/>
      <c r="CG417" s="413"/>
      <c r="CH417" s="413"/>
      <c r="CI417" s="413"/>
      <c r="CJ417" s="414"/>
      <c r="CK417" s="412"/>
      <c r="CL417" s="413"/>
      <c r="CM417" s="413"/>
      <c r="CN417" s="413"/>
      <c r="CO417" s="414"/>
      <c r="CP417" s="412"/>
      <c r="CQ417" s="413"/>
      <c r="CR417" s="413"/>
      <c r="CS417" s="413"/>
      <c r="CT417" s="414"/>
      <c r="CU417" s="415"/>
      <c r="CV417" s="416"/>
      <c r="CW417" s="416"/>
      <c r="CX417" s="416"/>
      <c r="CY417" s="417"/>
    </row>
    <row r="418" spans="1:103" ht="16.5">
      <c r="A418" s="436"/>
      <c r="B418" s="37"/>
      <c r="C418" s="200" t="str">
        <f t="shared" ca="1" si="8"/>
        <v/>
      </c>
      <c r="D418" s="481"/>
      <c r="E418" s="482"/>
      <c r="F418" s="482"/>
      <c r="G418" s="482"/>
      <c r="H418" s="482"/>
      <c r="I418" s="482"/>
      <c r="J418" s="482"/>
      <c r="K418" s="409"/>
      <c r="L418" s="410"/>
      <c r="M418" s="410"/>
      <c r="N418" s="410"/>
      <c r="O418" s="410"/>
      <c r="P418" s="410"/>
      <c r="Q418" s="410"/>
      <c r="R418" s="446"/>
      <c r="S418" s="447"/>
      <c r="T418" s="446"/>
      <c r="U418" s="447"/>
      <c r="V418" s="409"/>
      <c r="W418" s="410"/>
      <c r="X418" s="410"/>
      <c r="Y418" s="410"/>
      <c r="Z418" s="410"/>
      <c r="AA418" s="410"/>
      <c r="AB418" s="410"/>
      <c r="AC418" s="410"/>
      <c r="AD418" s="409"/>
      <c r="AE418" s="410"/>
      <c r="AF418" s="410"/>
      <c r="AG418" s="410"/>
      <c r="AH418" s="410"/>
      <c r="AI418" s="410"/>
      <c r="AJ418" s="410"/>
      <c r="AK418" s="411"/>
      <c r="AL418" s="409"/>
      <c r="AM418" s="410"/>
      <c r="AN418" s="410"/>
      <c r="AO418" s="410"/>
      <c r="AP418" s="410"/>
      <c r="AQ418" s="410"/>
      <c r="AR418" s="411"/>
      <c r="AS418" s="488"/>
      <c r="AT418" s="489"/>
      <c r="AU418" s="489"/>
      <c r="AV418" s="489"/>
      <c r="AW418" s="489"/>
      <c r="AX418" s="489"/>
      <c r="AY418" s="490"/>
      <c r="AZ418" s="464"/>
      <c r="BA418" s="465"/>
      <c r="BB418" s="62">
        <v>6</v>
      </c>
      <c r="BC418" s="426"/>
      <c r="BD418" s="427"/>
      <c r="BE418" s="427"/>
      <c r="BF418" s="428"/>
      <c r="BG418" s="429"/>
      <c r="BH418" s="430"/>
      <c r="BI418" s="196"/>
      <c r="BJ418" s="474"/>
      <c r="BK418" s="475"/>
      <c r="BL418" s="475"/>
      <c r="BM418" s="475"/>
      <c r="BN418" s="475"/>
      <c r="BO418" s="476"/>
      <c r="BP418" s="474"/>
      <c r="BQ418" s="475"/>
      <c r="BR418" s="475"/>
      <c r="BS418" s="475"/>
      <c r="BT418" s="475"/>
      <c r="BU418" s="476"/>
      <c r="BV418" s="474"/>
      <c r="BW418" s="475"/>
      <c r="BX418" s="475"/>
      <c r="BY418" s="475"/>
      <c r="BZ418" s="475"/>
      <c r="CA418" s="476"/>
      <c r="CB418" s="426"/>
      <c r="CC418" s="427"/>
      <c r="CD418" s="427"/>
      <c r="CE418" s="428"/>
      <c r="CF418" s="412"/>
      <c r="CG418" s="413"/>
      <c r="CH418" s="413"/>
      <c r="CI418" s="413"/>
      <c r="CJ418" s="414"/>
      <c r="CK418" s="412"/>
      <c r="CL418" s="413"/>
      <c r="CM418" s="413"/>
      <c r="CN418" s="413"/>
      <c r="CO418" s="414"/>
      <c r="CP418" s="412"/>
      <c r="CQ418" s="413"/>
      <c r="CR418" s="413"/>
      <c r="CS418" s="413"/>
      <c r="CT418" s="414"/>
      <c r="CU418" s="415"/>
      <c r="CV418" s="416"/>
      <c r="CW418" s="416"/>
      <c r="CX418" s="416"/>
      <c r="CY418" s="417"/>
    </row>
    <row r="419" spans="1:103" ht="16.5">
      <c r="A419" s="434">
        <v>69</v>
      </c>
      <c r="B419" s="36"/>
      <c r="C419" s="198" t="str">
        <f t="shared" ca="1" si="8"/>
        <v/>
      </c>
      <c r="D419" s="477"/>
      <c r="E419" s="478"/>
      <c r="F419" s="478"/>
      <c r="G419" s="478"/>
      <c r="H419" s="478"/>
      <c r="I419" s="478"/>
      <c r="J419" s="478"/>
      <c r="K419" s="438" t="s">
        <v>416</v>
      </c>
      <c r="L419" s="439"/>
      <c r="M419" s="439"/>
      <c r="N419" s="439"/>
      <c r="O419" s="439"/>
      <c r="P419" s="439"/>
      <c r="Q419" s="439"/>
      <c r="R419" s="442" t="s">
        <v>186</v>
      </c>
      <c r="S419" s="443"/>
      <c r="T419" s="442"/>
      <c r="U419" s="443"/>
      <c r="V419" s="438"/>
      <c r="W419" s="439"/>
      <c r="X419" s="439"/>
      <c r="Y419" s="439"/>
      <c r="Z419" s="439"/>
      <c r="AA419" s="439"/>
      <c r="AB419" s="439"/>
      <c r="AC419" s="439"/>
      <c r="AD419" s="438"/>
      <c r="AE419" s="439"/>
      <c r="AF419" s="439"/>
      <c r="AG419" s="439"/>
      <c r="AH419" s="439"/>
      <c r="AI419" s="439"/>
      <c r="AJ419" s="439"/>
      <c r="AK419" s="449"/>
      <c r="AL419" s="438"/>
      <c r="AM419" s="439"/>
      <c r="AN419" s="439"/>
      <c r="AO419" s="439"/>
      <c r="AP419" s="439"/>
      <c r="AQ419" s="439"/>
      <c r="AR419" s="449"/>
      <c r="AS419" s="500"/>
      <c r="AT419" s="483"/>
      <c r="AU419" s="483"/>
      <c r="AV419" s="483"/>
      <c r="AW419" s="483"/>
      <c r="AX419" s="483"/>
      <c r="AY419" s="484"/>
      <c r="AZ419" s="460"/>
      <c r="BA419" s="461"/>
      <c r="BB419" s="60">
        <v>1</v>
      </c>
      <c r="BC419" s="466"/>
      <c r="BD419" s="467"/>
      <c r="BE419" s="467"/>
      <c r="BF419" s="468"/>
      <c r="BG419" s="469"/>
      <c r="BH419" s="470"/>
      <c r="BI419" s="194"/>
      <c r="BJ419" s="471"/>
      <c r="BK419" s="472"/>
      <c r="BL419" s="472"/>
      <c r="BM419" s="472"/>
      <c r="BN419" s="472"/>
      <c r="BO419" s="473"/>
      <c r="BP419" s="471"/>
      <c r="BQ419" s="472"/>
      <c r="BR419" s="472"/>
      <c r="BS419" s="472"/>
      <c r="BT419" s="472"/>
      <c r="BU419" s="473"/>
      <c r="BV419" s="471"/>
      <c r="BW419" s="472"/>
      <c r="BX419" s="472"/>
      <c r="BY419" s="472"/>
      <c r="BZ419" s="472"/>
      <c r="CA419" s="473"/>
      <c r="CB419" s="466"/>
      <c r="CC419" s="467"/>
      <c r="CD419" s="467"/>
      <c r="CE419" s="468"/>
      <c r="CF419" s="409"/>
      <c r="CG419" s="410"/>
      <c r="CH419" s="410"/>
      <c r="CI419" s="410"/>
      <c r="CJ419" s="411"/>
      <c r="CK419" s="409"/>
      <c r="CL419" s="410"/>
      <c r="CM419" s="410"/>
      <c r="CN419" s="410"/>
      <c r="CO419" s="411"/>
      <c r="CP419" s="409"/>
      <c r="CQ419" s="410"/>
      <c r="CR419" s="410"/>
      <c r="CS419" s="410"/>
      <c r="CT419" s="411"/>
      <c r="CU419" s="415"/>
      <c r="CV419" s="416"/>
      <c r="CW419" s="416"/>
      <c r="CX419" s="416"/>
      <c r="CY419" s="417"/>
    </row>
    <row r="420" spans="1:103" ht="16.5">
      <c r="A420" s="435"/>
      <c r="B420" s="36"/>
      <c r="C420" s="199" t="str">
        <f t="shared" ca="1" si="8"/>
        <v/>
      </c>
      <c r="D420" s="479"/>
      <c r="E420" s="480"/>
      <c r="F420" s="480"/>
      <c r="G420" s="480"/>
      <c r="H420" s="480"/>
      <c r="I420" s="480"/>
      <c r="J420" s="480"/>
      <c r="K420" s="440"/>
      <c r="L420" s="441"/>
      <c r="M420" s="441"/>
      <c r="N420" s="441"/>
      <c r="O420" s="441"/>
      <c r="P420" s="441"/>
      <c r="Q420" s="441"/>
      <c r="R420" s="444"/>
      <c r="S420" s="445"/>
      <c r="T420" s="444"/>
      <c r="U420" s="445"/>
      <c r="V420" s="440"/>
      <c r="W420" s="441"/>
      <c r="X420" s="441"/>
      <c r="Y420" s="441"/>
      <c r="Z420" s="441"/>
      <c r="AA420" s="441"/>
      <c r="AB420" s="441"/>
      <c r="AC420" s="441"/>
      <c r="AD420" s="440"/>
      <c r="AE420" s="441"/>
      <c r="AF420" s="441"/>
      <c r="AG420" s="441"/>
      <c r="AH420" s="441"/>
      <c r="AI420" s="441"/>
      <c r="AJ420" s="441"/>
      <c r="AK420" s="450"/>
      <c r="AL420" s="440"/>
      <c r="AM420" s="441"/>
      <c r="AN420" s="441"/>
      <c r="AO420" s="441"/>
      <c r="AP420" s="441"/>
      <c r="AQ420" s="441"/>
      <c r="AR420" s="450"/>
      <c r="AS420" s="485"/>
      <c r="AT420" s="486"/>
      <c r="AU420" s="486"/>
      <c r="AV420" s="486"/>
      <c r="AW420" s="486"/>
      <c r="AX420" s="486"/>
      <c r="AY420" s="487"/>
      <c r="AZ420" s="462"/>
      <c r="BA420" s="463"/>
      <c r="BB420" s="61">
        <v>2</v>
      </c>
      <c r="BC420" s="418"/>
      <c r="BD420" s="419"/>
      <c r="BE420" s="419"/>
      <c r="BF420" s="420"/>
      <c r="BG420" s="421"/>
      <c r="BH420" s="422"/>
      <c r="BI420" s="195"/>
      <c r="BJ420" s="423"/>
      <c r="BK420" s="424"/>
      <c r="BL420" s="424"/>
      <c r="BM420" s="424"/>
      <c r="BN420" s="424"/>
      <c r="BO420" s="425"/>
      <c r="BP420" s="423"/>
      <c r="BQ420" s="424"/>
      <c r="BR420" s="424"/>
      <c r="BS420" s="424"/>
      <c r="BT420" s="424"/>
      <c r="BU420" s="425"/>
      <c r="BV420" s="423"/>
      <c r="BW420" s="424"/>
      <c r="BX420" s="424"/>
      <c r="BY420" s="424"/>
      <c r="BZ420" s="424"/>
      <c r="CA420" s="425"/>
      <c r="CB420" s="418"/>
      <c r="CC420" s="419"/>
      <c r="CD420" s="419"/>
      <c r="CE420" s="420"/>
      <c r="CF420" s="412"/>
      <c r="CG420" s="413"/>
      <c r="CH420" s="413"/>
      <c r="CI420" s="413"/>
      <c r="CJ420" s="414"/>
      <c r="CK420" s="412"/>
      <c r="CL420" s="413"/>
      <c r="CM420" s="413"/>
      <c r="CN420" s="413"/>
      <c r="CO420" s="414"/>
      <c r="CP420" s="412"/>
      <c r="CQ420" s="413"/>
      <c r="CR420" s="413"/>
      <c r="CS420" s="413"/>
      <c r="CT420" s="414"/>
      <c r="CU420" s="415"/>
      <c r="CV420" s="416"/>
      <c r="CW420" s="416"/>
      <c r="CX420" s="416"/>
      <c r="CY420" s="417"/>
    </row>
    <row r="421" spans="1:103" ht="16.5">
      <c r="A421" s="435"/>
      <c r="B421" s="36"/>
      <c r="C421" s="199" t="str">
        <f t="shared" ca="1" si="8"/>
        <v/>
      </c>
      <c r="D421" s="479"/>
      <c r="E421" s="480"/>
      <c r="F421" s="480"/>
      <c r="G421" s="480"/>
      <c r="H421" s="480"/>
      <c r="I421" s="480"/>
      <c r="J421" s="480"/>
      <c r="K421" s="440"/>
      <c r="L421" s="441"/>
      <c r="M421" s="441"/>
      <c r="N421" s="441"/>
      <c r="O421" s="441"/>
      <c r="P421" s="441"/>
      <c r="Q421" s="441"/>
      <c r="R421" s="444"/>
      <c r="S421" s="445"/>
      <c r="T421" s="444"/>
      <c r="U421" s="445"/>
      <c r="V421" s="440"/>
      <c r="W421" s="441"/>
      <c r="X421" s="441"/>
      <c r="Y421" s="441"/>
      <c r="Z421" s="441"/>
      <c r="AA421" s="441"/>
      <c r="AB421" s="441"/>
      <c r="AC421" s="441"/>
      <c r="AD421" s="440"/>
      <c r="AE421" s="441"/>
      <c r="AF421" s="441"/>
      <c r="AG421" s="441"/>
      <c r="AH421" s="441"/>
      <c r="AI421" s="441"/>
      <c r="AJ421" s="441"/>
      <c r="AK421" s="450"/>
      <c r="AL421" s="440"/>
      <c r="AM421" s="441"/>
      <c r="AN421" s="441"/>
      <c r="AO421" s="441"/>
      <c r="AP421" s="441"/>
      <c r="AQ421" s="441"/>
      <c r="AR421" s="450"/>
      <c r="AS421" s="485"/>
      <c r="AT421" s="486"/>
      <c r="AU421" s="486"/>
      <c r="AV421" s="486"/>
      <c r="AW421" s="486"/>
      <c r="AX421" s="486"/>
      <c r="AY421" s="487"/>
      <c r="AZ421" s="462"/>
      <c r="BA421" s="463"/>
      <c r="BB421" s="61">
        <v>3</v>
      </c>
      <c r="BC421" s="418"/>
      <c r="BD421" s="419"/>
      <c r="BE421" s="419"/>
      <c r="BF421" s="420"/>
      <c r="BG421" s="421"/>
      <c r="BH421" s="422"/>
      <c r="BI421" s="195"/>
      <c r="BJ421" s="423"/>
      <c r="BK421" s="424"/>
      <c r="BL421" s="424"/>
      <c r="BM421" s="424"/>
      <c r="BN421" s="424"/>
      <c r="BO421" s="425"/>
      <c r="BP421" s="423"/>
      <c r="BQ421" s="424"/>
      <c r="BR421" s="424"/>
      <c r="BS421" s="424"/>
      <c r="BT421" s="424"/>
      <c r="BU421" s="425"/>
      <c r="BV421" s="423"/>
      <c r="BW421" s="424"/>
      <c r="BX421" s="424"/>
      <c r="BY421" s="424"/>
      <c r="BZ421" s="424"/>
      <c r="CA421" s="425"/>
      <c r="CB421" s="418"/>
      <c r="CC421" s="419"/>
      <c r="CD421" s="419"/>
      <c r="CE421" s="420"/>
      <c r="CF421" s="412"/>
      <c r="CG421" s="413"/>
      <c r="CH421" s="413"/>
      <c r="CI421" s="413"/>
      <c r="CJ421" s="414"/>
      <c r="CK421" s="412"/>
      <c r="CL421" s="413"/>
      <c r="CM421" s="413"/>
      <c r="CN421" s="413"/>
      <c r="CO421" s="414"/>
      <c r="CP421" s="412"/>
      <c r="CQ421" s="413"/>
      <c r="CR421" s="413"/>
      <c r="CS421" s="413"/>
      <c r="CT421" s="414"/>
      <c r="CU421" s="415"/>
      <c r="CV421" s="416"/>
      <c r="CW421" s="416"/>
      <c r="CX421" s="416"/>
      <c r="CY421" s="417"/>
    </row>
    <row r="422" spans="1:103" ht="16.5">
      <c r="A422" s="435"/>
      <c r="B422" s="36"/>
      <c r="C422" s="199" t="str">
        <f t="shared" ca="1" si="8"/>
        <v/>
      </c>
      <c r="D422" s="479"/>
      <c r="E422" s="480"/>
      <c r="F422" s="480"/>
      <c r="G422" s="480"/>
      <c r="H422" s="480"/>
      <c r="I422" s="480"/>
      <c r="J422" s="480"/>
      <c r="K422" s="440"/>
      <c r="L422" s="441"/>
      <c r="M422" s="441"/>
      <c r="N422" s="441"/>
      <c r="O422" s="441"/>
      <c r="P422" s="441"/>
      <c r="Q422" s="441"/>
      <c r="R422" s="444"/>
      <c r="S422" s="445"/>
      <c r="T422" s="444"/>
      <c r="U422" s="445"/>
      <c r="V422" s="440"/>
      <c r="W422" s="441"/>
      <c r="X422" s="441"/>
      <c r="Y422" s="441"/>
      <c r="Z422" s="441"/>
      <c r="AA422" s="441"/>
      <c r="AB422" s="441"/>
      <c r="AC422" s="441"/>
      <c r="AD422" s="440"/>
      <c r="AE422" s="441"/>
      <c r="AF422" s="441"/>
      <c r="AG422" s="441"/>
      <c r="AH422" s="441"/>
      <c r="AI422" s="441"/>
      <c r="AJ422" s="441"/>
      <c r="AK422" s="450"/>
      <c r="AL422" s="440"/>
      <c r="AM422" s="441"/>
      <c r="AN422" s="441"/>
      <c r="AO422" s="441"/>
      <c r="AP422" s="441"/>
      <c r="AQ422" s="441"/>
      <c r="AR422" s="450"/>
      <c r="AS422" s="485"/>
      <c r="AT422" s="486"/>
      <c r="AU422" s="486"/>
      <c r="AV422" s="486"/>
      <c r="AW422" s="486"/>
      <c r="AX422" s="486"/>
      <c r="AY422" s="487"/>
      <c r="AZ422" s="462"/>
      <c r="BA422" s="463"/>
      <c r="BB422" s="61">
        <v>4</v>
      </c>
      <c r="BC422" s="418"/>
      <c r="BD422" s="419"/>
      <c r="BE422" s="419"/>
      <c r="BF422" s="420"/>
      <c r="BG422" s="421"/>
      <c r="BH422" s="422"/>
      <c r="BI422" s="195"/>
      <c r="BJ422" s="423"/>
      <c r="BK422" s="424"/>
      <c r="BL422" s="424"/>
      <c r="BM422" s="424"/>
      <c r="BN422" s="424"/>
      <c r="BO422" s="425"/>
      <c r="BP422" s="423"/>
      <c r="BQ422" s="424"/>
      <c r="BR422" s="424"/>
      <c r="BS422" s="424"/>
      <c r="BT422" s="424"/>
      <c r="BU422" s="425"/>
      <c r="BV422" s="423"/>
      <c r="BW422" s="424"/>
      <c r="BX422" s="424"/>
      <c r="BY422" s="424"/>
      <c r="BZ422" s="424"/>
      <c r="CA422" s="425"/>
      <c r="CB422" s="418"/>
      <c r="CC422" s="419"/>
      <c r="CD422" s="419"/>
      <c r="CE422" s="420"/>
      <c r="CF422" s="412"/>
      <c r="CG422" s="413"/>
      <c r="CH422" s="413"/>
      <c r="CI422" s="413"/>
      <c r="CJ422" s="414"/>
      <c r="CK422" s="412"/>
      <c r="CL422" s="413"/>
      <c r="CM422" s="413"/>
      <c r="CN422" s="413"/>
      <c r="CO422" s="414"/>
      <c r="CP422" s="412"/>
      <c r="CQ422" s="413"/>
      <c r="CR422" s="413"/>
      <c r="CS422" s="413"/>
      <c r="CT422" s="414"/>
      <c r="CU422" s="415"/>
      <c r="CV422" s="416"/>
      <c r="CW422" s="416"/>
      <c r="CX422" s="416"/>
      <c r="CY422" s="417"/>
    </row>
    <row r="423" spans="1:103" ht="16.5">
      <c r="A423" s="435"/>
      <c r="B423" s="36"/>
      <c r="C423" s="199" t="str">
        <f t="shared" ca="1" si="8"/>
        <v/>
      </c>
      <c r="D423" s="479"/>
      <c r="E423" s="480"/>
      <c r="F423" s="480"/>
      <c r="G423" s="480"/>
      <c r="H423" s="480"/>
      <c r="I423" s="480"/>
      <c r="J423" s="480"/>
      <c r="K423" s="440"/>
      <c r="L423" s="441"/>
      <c r="M423" s="441"/>
      <c r="N423" s="441"/>
      <c r="O423" s="441"/>
      <c r="P423" s="441"/>
      <c r="Q423" s="441"/>
      <c r="R423" s="444"/>
      <c r="S423" s="445"/>
      <c r="T423" s="444"/>
      <c r="U423" s="445"/>
      <c r="V423" s="440"/>
      <c r="W423" s="441"/>
      <c r="X423" s="441"/>
      <c r="Y423" s="441"/>
      <c r="Z423" s="441"/>
      <c r="AA423" s="441"/>
      <c r="AB423" s="441"/>
      <c r="AC423" s="441"/>
      <c r="AD423" s="440"/>
      <c r="AE423" s="441"/>
      <c r="AF423" s="441"/>
      <c r="AG423" s="441"/>
      <c r="AH423" s="441"/>
      <c r="AI423" s="441"/>
      <c r="AJ423" s="441"/>
      <c r="AK423" s="450"/>
      <c r="AL423" s="440"/>
      <c r="AM423" s="441"/>
      <c r="AN423" s="441"/>
      <c r="AO423" s="441"/>
      <c r="AP423" s="441"/>
      <c r="AQ423" s="441"/>
      <c r="AR423" s="450"/>
      <c r="AS423" s="485"/>
      <c r="AT423" s="486"/>
      <c r="AU423" s="486"/>
      <c r="AV423" s="486"/>
      <c r="AW423" s="486"/>
      <c r="AX423" s="486"/>
      <c r="AY423" s="487"/>
      <c r="AZ423" s="462"/>
      <c r="BA423" s="463"/>
      <c r="BB423" s="61">
        <v>5</v>
      </c>
      <c r="BC423" s="418"/>
      <c r="BD423" s="419"/>
      <c r="BE423" s="419"/>
      <c r="BF423" s="420"/>
      <c r="BG423" s="421"/>
      <c r="BH423" s="422"/>
      <c r="BI423" s="195"/>
      <c r="BJ423" s="423"/>
      <c r="BK423" s="424"/>
      <c r="BL423" s="424"/>
      <c r="BM423" s="424"/>
      <c r="BN423" s="424"/>
      <c r="BO423" s="425"/>
      <c r="BP423" s="423"/>
      <c r="BQ423" s="424"/>
      <c r="BR423" s="424"/>
      <c r="BS423" s="424"/>
      <c r="BT423" s="424"/>
      <c r="BU423" s="425"/>
      <c r="BV423" s="423"/>
      <c r="BW423" s="424"/>
      <c r="BX423" s="424"/>
      <c r="BY423" s="424"/>
      <c r="BZ423" s="424"/>
      <c r="CA423" s="425"/>
      <c r="CB423" s="418"/>
      <c r="CC423" s="419"/>
      <c r="CD423" s="419"/>
      <c r="CE423" s="420"/>
      <c r="CF423" s="412"/>
      <c r="CG423" s="413"/>
      <c r="CH423" s="413"/>
      <c r="CI423" s="413"/>
      <c r="CJ423" s="414"/>
      <c r="CK423" s="412"/>
      <c r="CL423" s="413"/>
      <c r="CM423" s="413"/>
      <c r="CN423" s="413"/>
      <c r="CO423" s="414"/>
      <c r="CP423" s="412"/>
      <c r="CQ423" s="413"/>
      <c r="CR423" s="413"/>
      <c r="CS423" s="413"/>
      <c r="CT423" s="414"/>
      <c r="CU423" s="415"/>
      <c r="CV423" s="416"/>
      <c r="CW423" s="416"/>
      <c r="CX423" s="416"/>
      <c r="CY423" s="417"/>
    </row>
    <row r="424" spans="1:103" ht="16.5">
      <c r="A424" s="436"/>
      <c r="B424" s="37"/>
      <c r="C424" s="200" t="str">
        <f t="shared" ca="1" si="8"/>
        <v/>
      </c>
      <c r="D424" s="481"/>
      <c r="E424" s="482"/>
      <c r="F424" s="482"/>
      <c r="G424" s="482"/>
      <c r="H424" s="482"/>
      <c r="I424" s="482"/>
      <c r="J424" s="482"/>
      <c r="K424" s="409"/>
      <c r="L424" s="410"/>
      <c r="M424" s="410"/>
      <c r="N424" s="410"/>
      <c r="O424" s="410"/>
      <c r="P424" s="410"/>
      <c r="Q424" s="410"/>
      <c r="R424" s="446"/>
      <c r="S424" s="447"/>
      <c r="T424" s="446"/>
      <c r="U424" s="447"/>
      <c r="V424" s="409"/>
      <c r="W424" s="410"/>
      <c r="X424" s="410"/>
      <c r="Y424" s="410"/>
      <c r="Z424" s="410"/>
      <c r="AA424" s="410"/>
      <c r="AB424" s="410"/>
      <c r="AC424" s="410"/>
      <c r="AD424" s="409"/>
      <c r="AE424" s="410"/>
      <c r="AF424" s="410"/>
      <c r="AG424" s="410"/>
      <c r="AH424" s="410"/>
      <c r="AI424" s="410"/>
      <c r="AJ424" s="410"/>
      <c r="AK424" s="411"/>
      <c r="AL424" s="409"/>
      <c r="AM424" s="410"/>
      <c r="AN424" s="410"/>
      <c r="AO424" s="410"/>
      <c r="AP424" s="410"/>
      <c r="AQ424" s="410"/>
      <c r="AR424" s="411"/>
      <c r="AS424" s="488"/>
      <c r="AT424" s="489"/>
      <c r="AU424" s="489"/>
      <c r="AV424" s="489"/>
      <c r="AW424" s="489"/>
      <c r="AX424" s="489"/>
      <c r="AY424" s="490"/>
      <c r="AZ424" s="464"/>
      <c r="BA424" s="465"/>
      <c r="BB424" s="62">
        <v>6</v>
      </c>
      <c r="BC424" s="426"/>
      <c r="BD424" s="427"/>
      <c r="BE424" s="427"/>
      <c r="BF424" s="428"/>
      <c r="BG424" s="429"/>
      <c r="BH424" s="430"/>
      <c r="BI424" s="196"/>
      <c r="BJ424" s="474"/>
      <c r="BK424" s="475"/>
      <c r="BL424" s="475"/>
      <c r="BM424" s="475"/>
      <c r="BN424" s="475"/>
      <c r="BO424" s="476"/>
      <c r="BP424" s="474"/>
      <c r="BQ424" s="475"/>
      <c r="BR424" s="475"/>
      <c r="BS424" s="475"/>
      <c r="BT424" s="475"/>
      <c r="BU424" s="476"/>
      <c r="BV424" s="474"/>
      <c r="BW424" s="475"/>
      <c r="BX424" s="475"/>
      <c r="BY424" s="475"/>
      <c r="BZ424" s="475"/>
      <c r="CA424" s="476"/>
      <c r="CB424" s="426"/>
      <c r="CC424" s="427"/>
      <c r="CD424" s="427"/>
      <c r="CE424" s="428"/>
      <c r="CF424" s="412"/>
      <c r="CG424" s="413"/>
      <c r="CH424" s="413"/>
      <c r="CI424" s="413"/>
      <c r="CJ424" s="414"/>
      <c r="CK424" s="412"/>
      <c r="CL424" s="413"/>
      <c r="CM424" s="413"/>
      <c r="CN424" s="413"/>
      <c r="CO424" s="414"/>
      <c r="CP424" s="412"/>
      <c r="CQ424" s="413"/>
      <c r="CR424" s="413"/>
      <c r="CS424" s="413"/>
      <c r="CT424" s="414"/>
      <c r="CU424" s="415"/>
      <c r="CV424" s="416"/>
      <c r="CW424" s="416"/>
      <c r="CX424" s="416"/>
      <c r="CY424" s="417"/>
    </row>
    <row r="425" spans="1:103" ht="16.5">
      <c r="A425" s="434">
        <v>70</v>
      </c>
      <c r="B425" s="36"/>
      <c r="C425" s="198" t="str">
        <f t="shared" ca="1" si="8"/>
        <v/>
      </c>
      <c r="D425" s="477" t="s">
        <v>417</v>
      </c>
      <c r="E425" s="478"/>
      <c r="F425" s="478"/>
      <c r="G425" s="478"/>
      <c r="H425" s="478"/>
      <c r="I425" s="478"/>
      <c r="J425" s="478"/>
      <c r="K425" s="438" t="s">
        <v>418</v>
      </c>
      <c r="L425" s="439"/>
      <c r="M425" s="439"/>
      <c r="N425" s="439"/>
      <c r="O425" s="439"/>
      <c r="P425" s="439"/>
      <c r="Q425" s="439"/>
      <c r="R425" s="442" t="s">
        <v>186</v>
      </c>
      <c r="S425" s="443"/>
      <c r="T425" s="442"/>
      <c r="U425" s="443"/>
      <c r="V425" s="438"/>
      <c r="W425" s="439"/>
      <c r="X425" s="439"/>
      <c r="Y425" s="439"/>
      <c r="Z425" s="439"/>
      <c r="AA425" s="439"/>
      <c r="AB425" s="439"/>
      <c r="AC425" s="439"/>
      <c r="AD425" s="438"/>
      <c r="AE425" s="439"/>
      <c r="AF425" s="439"/>
      <c r="AG425" s="439"/>
      <c r="AH425" s="439"/>
      <c r="AI425" s="439"/>
      <c r="AJ425" s="439"/>
      <c r="AK425" s="449"/>
      <c r="AL425" s="438"/>
      <c r="AM425" s="439"/>
      <c r="AN425" s="439"/>
      <c r="AO425" s="439"/>
      <c r="AP425" s="439"/>
      <c r="AQ425" s="439"/>
      <c r="AR425" s="449"/>
      <c r="AS425" s="500"/>
      <c r="AT425" s="483"/>
      <c r="AU425" s="483"/>
      <c r="AV425" s="483"/>
      <c r="AW425" s="483"/>
      <c r="AX425" s="483"/>
      <c r="AY425" s="484"/>
      <c r="AZ425" s="460"/>
      <c r="BA425" s="461"/>
      <c r="BB425" s="60">
        <v>1</v>
      </c>
      <c r="BC425" s="466"/>
      <c r="BD425" s="467"/>
      <c r="BE425" s="467"/>
      <c r="BF425" s="468"/>
      <c r="BG425" s="469"/>
      <c r="BH425" s="470"/>
      <c r="BI425" s="194"/>
      <c r="BJ425" s="471"/>
      <c r="BK425" s="472"/>
      <c r="BL425" s="472"/>
      <c r="BM425" s="472"/>
      <c r="BN425" s="472"/>
      <c r="BO425" s="473"/>
      <c r="BP425" s="471"/>
      <c r="BQ425" s="472"/>
      <c r="BR425" s="472"/>
      <c r="BS425" s="472"/>
      <c r="BT425" s="472"/>
      <c r="BU425" s="473"/>
      <c r="BV425" s="471"/>
      <c r="BW425" s="472"/>
      <c r="BX425" s="472"/>
      <c r="BY425" s="472"/>
      <c r="BZ425" s="472"/>
      <c r="CA425" s="473"/>
      <c r="CB425" s="466"/>
      <c r="CC425" s="467"/>
      <c r="CD425" s="467"/>
      <c r="CE425" s="468"/>
      <c r="CF425" s="409"/>
      <c r="CG425" s="410"/>
      <c r="CH425" s="410"/>
      <c r="CI425" s="410"/>
      <c r="CJ425" s="411"/>
      <c r="CK425" s="409"/>
      <c r="CL425" s="410"/>
      <c r="CM425" s="410"/>
      <c r="CN425" s="410"/>
      <c r="CO425" s="411"/>
      <c r="CP425" s="409"/>
      <c r="CQ425" s="410"/>
      <c r="CR425" s="410"/>
      <c r="CS425" s="410"/>
      <c r="CT425" s="411"/>
      <c r="CU425" s="415"/>
      <c r="CV425" s="416"/>
      <c r="CW425" s="416"/>
      <c r="CX425" s="416"/>
      <c r="CY425" s="417"/>
    </row>
    <row r="426" spans="1:103" ht="16.5">
      <c r="A426" s="435"/>
      <c r="B426" s="36"/>
      <c r="C426" s="199" t="str">
        <f t="shared" ca="1" si="8"/>
        <v/>
      </c>
      <c r="D426" s="479"/>
      <c r="E426" s="480"/>
      <c r="F426" s="480"/>
      <c r="G426" s="480"/>
      <c r="H426" s="480"/>
      <c r="I426" s="480"/>
      <c r="J426" s="480"/>
      <c r="K426" s="440"/>
      <c r="L426" s="441"/>
      <c r="M426" s="441"/>
      <c r="N426" s="441"/>
      <c r="O426" s="441"/>
      <c r="P426" s="441"/>
      <c r="Q426" s="441"/>
      <c r="R426" s="444"/>
      <c r="S426" s="445"/>
      <c r="T426" s="444"/>
      <c r="U426" s="445"/>
      <c r="V426" s="440"/>
      <c r="W426" s="441"/>
      <c r="X426" s="441"/>
      <c r="Y426" s="441"/>
      <c r="Z426" s="441"/>
      <c r="AA426" s="441"/>
      <c r="AB426" s="441"/>
      <c r="AC426" s="441"/>
      <c r="AD426" s="440"/>
      <c r="AE426" s="441"/>
      <c r="AF426" s="441"/>
      <c r="AG426" s="441"/>
      <c r="AH426" s="441"/>
      <c r="AI426" s="441"/>
      <c r="AJ426" s="441"/>
      <c r="AK426" s="450"/>
      <c r="AL426" s="440"/>
      <c r="AM426" s="441"/>
      <c r="AN426" s="441"/>
      <c r="AO426" s="441"/>
      <c r="AP426" s="441"/>
      <c r="AQ426" s="441"/>
      <c r="AR426" s="450"/>
      <c r="AS426" s="485"/>
      <c r="AT426" s="486"/>
      <c r="AU426" s="486"/>
      <c r="AV426" s="486"/>
      <c r="AW426" s="486"/>
      <c r="AX426" s="486"/>
      <c r="AY426" s="487"/>
      <c r="AZ426" s="462"/>
      <c r="BA426" s="463"/>
      <c r="BB426" s="61">
        <v>2</v>
      </c>
      <c r="BC426" s="418"/>
      <c r="BD426" s="419"/>
      <c r="BE426" s="419"/>
      <c r="BF426" s="420"/>
      <c r="BG426" s="421"/>
      <c r="BH426" s="422"/>
      <c r="BI426" s="195"/>
      <c r="BJ426" s="423"/>
      <c r="BK426" s="424"/>
      <c r="BL426" s="424"/>
      <c r="BM426" s="424"/>
      <c r="BN426" s="424"/>
      <c r="BO426" s="425"/>
      <c r="BP426" s="423"/>
      <c r="BQ426" s="424"/>
      <c r="BR426" s="424"/>
      <c r="BS426" s="424"/>
      <c r="BT426" s="424"/>
      <c r="BU426" s="425"/>
      <c r="BV426" s="423"/>
      <c r="BW426" s="424"/>
      <c r="BX426" s="424"/>
      <c r="BY426" s="424"/>
      <c r="BZ426" s="424"/>
      <c r="CA426" s="425"/>
      <c r="CB426" s="418"/>
      <c r="CC426" s="419"/>
      <c r="CD426" s="419"/>
      <c r="CE426" s="420"/>
      <c r="CF426" s="412"/>
      <c r="CG426" s="413"/>
      <c r="CH426" s="413"/>
      <c r="CI426" s="413"/>
      <c r="CJ426" s="414"/>
      <c r="CK426" s="412"/>
      <c r="CL426" s="413"/>
      <c r="CM426" s="413"/>
      <c r="CN426" s="413"/>
      <c r="CO426" s="414"/>
      <c r="CP426" s="412"/>
      <c r="CQ426" s="413"/>
      <c r="CR426" s="413"/>
      <c r="CS426" s="413"/>
      <c r="CT426" s="414"/>
      <c r="CU426" s="415"/>
      <c r="CV426" s="416"/>
      <c r="CW426" s="416"/>
      <c r="CX426" s="416"/>
      <c r="CY426" s="417"/>
    </row>
    <row r="427" spans="1:103" ht="16.5">
      <c r="A427" s="435"/>
      <c r="B427" s="36"/>
      <c r="C427" s="199" t="str">
        <f t="shared" ca="1" si="8"/>
        <v/>
      </c>
      <c r="D427" s="479"/>
      <c r="E427" s="480"/>
      <c r="F427" s="480"/>
      <c r="G427" s="480"/>
      <c r="H427" s="480"/>
      <c r="I427" s="480"/>
      <c r="J427" s="480"/>
      <c r="K427" s="440"/>
      <c r="L427" s="441"/>
      <c r="M427" s="441"/>
      <c r="N427" s="441"/>
      <c r="O427" s="441"/>
      <c r="P427" s="441"/>
      <c r="Q427" s="441"/>
      <c r="R427" s="444"/>
      <c r="S427" s="445"/>
      <c r="T427" s="444"/>
      <c r="U427" s="445"/>
      <c r="V427" s="440"/>
      <c r="W427" s="441"/>
      <c r="X427" s="441"/>
      <c r="Y427" s="441"/>
      <c r="Z427" s="441"/>
      <c r="AA427" s="441"/>
      <c r="AB427" s="441"/>
      <c r="AC427" s="441"/>
      <c r="AD427" s="440"/>
      <c r="AE427" s="441"/>
      <c r="AF427" s="441"/>
      <c r="AG427" s="441"/>
      <c r="AH427" s="441"/>
      <c r="AI427" s="441"/>
      <c r="AJ427" s="441"/>
      <c r="AK427" s="450"/>
      <c r="AL427" s="440"/>
      <c r="AM427" s="441"/>
      <c r="AN427" s="441"/>
      <c r="AO427" s="441"/>
      <c r="AP427" s="441"/>
      <c r="AQ427" s="441"/>
      <c r="AR427" s="450"/>
      <c r="AS427" s="485"/>
      <c r="AT427" s="486"/>
      <c r="AU427" s="486"/>
      <c r="AV427" s="486"/>
      <c r="AW427" s="486"/>
      <c r="AX427" s="486"/>
      <c r="AY427" s="487"/>
      <c r="AZ427" s="462"/>
      <c r="BA427" s="463"/>
      <c r="BB427" s="61">
        <v>3</v>
      </c>
      <c r="BC427" s="418"/>
      <c r="BD427" s="419"/>
      <c r="BE427" s="419"/>
      <c r="BF427" s="420"/>
      <c r="BG427" s="421"/>
      <c r="BH427" s="422"/>
      <c r="BI427" s="195"/>
      <c r="BJ427" s="423"/>
      <c r="BK427" s="424"/>
      <c r="BL427" s="424"/>
      <c r="BM427" s="424"/>
      <c r="BN427" s="424"/>
      <c r="BO427" s="425"/>
      <c r="BP427" s="423"/>
      <c r="BQ427" s="424"/>
      <c r="BR427" s="424"/>
      <c r="BS427" s="424"/>
      <c r="BT427" s="424"/>
      <c r="BU427" s="425"/>
      <c r="BV427" s="423"/>
      <c r="BW427" s="424"/>
      <c r="BX427" s="424"/>
      <c r="BY427" s="424"/>
      <c r="BZ427" s="424"/>
      <c r="CA427" s="425"/>
      <c r="CB427" s="418"/>
      <c r="CC427" s="419"/>
      <c r="CD427" s="419"/>
      <c r="CE427" s="420"/>
      <c r="CF427" s="412"/>
      <c r="CG427" s="413"/>
      <c r="CH427" s="413"/>
      <c r="CI427" s="413"/>
      <c r="CJ427" s="414"/>
      <c r="CK427" s="412"/>
      <c r="CL427" s="413"/>
      <c r="CM427" s="413"/>
      <c r="CN427" s="413"/>
      <c r="CO427" s="414"/>
      <c r="CP427" s="412"/>
      <c r="CQ427" s="413"/>
      <c r="CR427" s="413"/>
      <c r="CS427" s="413"/>
      <c r="CT427" s="414"/>
      <c r="CU427" s="415"/>
      <c r="CV427" s="416"/>
      <c r="CW427" s="416"/>
      <c r="CX427" s="416"/>
      <c r="CY427" s="417"/>
    </row>
    <row r="428" spans="1:103" ht="16.5">
      <c r="A428" s="435"/>
      <c r="B428" s="36"/>
      <c r="C428" s="199" t="str">
        <f t="shared" ca="1" si="8"/>
        <v/>
      </c>
      <c r="D428" s="479"/>
      <c r="E428" s="480"/>
      <c r="F428" s="480"/>
      <c r="G428" s="480"/>
      <c r="H428" s="480"/>
      <c r="I428" s="480"/>
      <c r="J428" s="480"/>
      <c r="K428" s="440"/>
      <c r="L428" s="441"/>
      <c r="M428" s="441"/>
      <c r="N428" s="441"/>
      <c r="O428" s="441"/>
      <c r="P428" s="441"/>
      <c r="Q428" s="441"/>
      <c r="R428" s="444"/>
      <c r="S428" s="445"/>
      <c r="T428" s="444"/>
      <c r="U428" s="445"/>
      <c r="V428" s="440"/>
      <c r="W428" s="441"/>
      <c r="X428" s="441"/>
      <c r="Y428" s="441"/>
      <c r="Z428" s="441"/>
      <c r="AA428" s="441"/>
      <c r="AB428" s="441"/>
      <c r="AC428" s="441"/>
      <c r="AD428" s="440"/>
      <c r="AE428" s="441"/>
      <c r="AF428" s="441"/>
      <c r="AG428" s="441"/>
      <c r="AH428" s="441"/>
      <c r="AI428" s="441"/>
      <c r="AJ428" s="441"/>
      <c r="AK428" s="450"/>
      <c r="AL428" s="440"/>
      <c r="AM428" s="441"/>
      <c r="AN428" s="441"/>
      <c r="AO428" s="441"/>
      <c r="AP428" s="441"/>
      <c r="AQ428" s="441"/>
      <c r="AR428" s="450"/>
      <c r="AS428" s="485"/>
      <c r="AT428" s="486"/>
      <c r="AU428" s="486"/>
      <c r="AV428" s="486"/>
      <c r="AW428" s="486"/>
      <c r="AX428" s="486"/>
      <c r="AY428" s="487"/>
      <c r="AZ428" s="462"/>
      <c r="BA428" s="463"/>
      <c r="BB428" s="61">
        <v>4</v>
      </c>
      <c r="BC428" s="418"/>
      <c r="BD428" s="419"/>
      <c r="BE428" s="419"/>
      <c r="BF428" s="420"/>
      <c r="BG428" s="421"/>
      <c r="BH428" s="422"/>
      <c r="BI428" s="195"/>
      <c r="BJ428" s="423"/>
      <c r="BK428" s="424"/>
      <c r="BL428" s="424"/>
      <c r="BM428" s="424"/>
      <c r="BN428" s="424"/>
      <c r="BO428" s="425"/>
      <c r="BP428" s="423"/>
      <c r="BQ428" s="424"/>
      <c r="BR428" s="424"/>
      <c r="BS428" s="424"/>
      <c r="BT428" s="424"/>
      <c r="BU428" s="425"/>
      <c r="BV428" s="423"/>
      <c r="BW428" s="424"/>
      <c r="BX428" s="424"/>
      <c r="BY428" s="424"/>
      <c r="BZ428" s="424"/>
      <c r="CA428" s="425"/>
      <c r="CB428" s="418"/>
      <c r="CC428" s="419"/>
      <c r="CD428" s="419"/>
      <c r="CE428" s="420"/>
      <c r="CF428" s="412"/>
      <c r="CG428" s="413"/>
      <c r="CH428" s="413"/>
      <c r="CI428" s="413"/>
      <c r="CJ428" s="414"/>
      <c r="CK428" s="412"/>
      <c r="CL428" s="413"/>
      <c r="CM428" s="413"/>
      <c r="CN428" s="413"/>
      <c r="CO428" s="414"/>
      <c r="CP428" s="412"/>
      <c r="CQ428" s="413"/>
      <c r="CR428" s="413"/>
      <c r="CS428" s="413"/>
      <c r="CT428" s="414"/>
      <c r="CU428" s="415"/>
      <c r="CV428" s="416"/>
      <c r="CW428" s="416"/>
      <c r="CX428" s="416"/>
      <c r="CY428" s="417"/>
    </row>
    <row r="429" spans="1:103" ht="16.5">
      <c r="A429" s="435"/>
      <c r="B429" s="36"/>
      <c r="C429" s="199" t="str">
        <f t="shared" ca="1" si="8"/>
        <v/>
      </c>
      <c r="D429" s="479"/>
      <c r="E429" s="480"/>
      <c r="F429" s="480"/>
      <c r="G429" s="480"/>
      <c r="H429" s="480"/>
      <c r="I429" s="480"/>
      <c r="J429" s="480"/>
      <c r="K429" s="440"/>
      <c r="L429" s="441"/>
      <c r="M429" s="441"/>
      <c r="N429" s="441"/>
      <c r="O429" s="441"/>
      <c r="P429" s="441"/>
      <c r="Q429" s="441"/>
      <c r="R429" s="444"/>
      <c r="S429" s="445"/>
      <c r="T429" s="444"/>
      <c r="U429" s="445"/>
      <c r="V429" s="440"/>
      <c r="W429" s="441"/>
      <c r="X429" s="441"/>
      <c r="Y429" s="441"/>
      <c r="Z429" s="441"/>
      <c r="AA429" s="441"/>
      <c r="AB429" s="441"/>
      <c r="AC429" s="441"/>
      <c r="AD429" s="440"/>
      <c r="AE429" s="441"/>
      <c r="AF429" s="441"/>
      <c r="AG429" s="441"/>
      <c r="AH429" s="441"/>
      <c r="AI429" s="441"/>
      <c r="AJ429" s="441"/>
      <c r="AK429" s="450"/>
      <c r="AL429" s="440"/>
      <c r="AM429" s="441"/>
      <c r="AN429" s="441"/>
      <c r="AO429" s="441"/>
      <c r="AP429" s="441"/>
      <c r="AQ429" s="441"/>
      <c r="AR429" s="450"/>
      <c r="AS429" s="485"/>
      <c r="AT429" s="486"/>
      <c r="AU429" s="486"/>
      <c r="AV429" s="486"/>
      <c r="AW429" s="486"/>
      <c r="AX429" s="486"/>
      <c r="AY429" s="487"/>
      <c r="AZ429" s="462"/>
      <c r="BA429" s="463"/>
      <c r="BB429" s="61">
        <v>5</v>
      </c>
      <c r="BC429" s="418"/>
      <c r="BD429" s="419"/>
      <c r="BE429" s="419"/>
      <c r="BF429" s="420"/>
      <c r="BG429" s="421"/>
      <c r="BH429" s="422"/>
      <c r="BI429" s="195"/>
      <c r="BJ429" s="423"/>
      <c r="BK429" s="424"/>
      <c r="BL429" s="424"/>
      <c r="BM429" s="424"/>
      <c r="BN429" s="424"/>
      <c r="BO429" s="425"/>
      <c r="BP429" s="423"/>
      <c r="BQ429" s="424"/>
      <c r="BR429" s="424"/>
      <c r="BS429" s="424"/>
      <c r="BT429" s="424"/>
      <c r="BU429" s="425"/>
      <c r="BV429" s="423"/>
      <c r="BW429" s="424"/>
      <c r="BX429" s="424"/>
      <c r="BY429" s="424"/>
      <c r="BZ429" s="424"/>
      <c r="CA429" s="425"/>
      <c r="CB429" s="418"/>
      <c r="CC429" s="419"/>
      <c r="CD429" s="419"/>
      <c r="CE429" s="420"/>
      <c r="CF429" s="412"/>
      <c r="CG429" s="413"/>
      <c r="CH429" s="413"/>
      <c r="CI429" s="413"/>
      <c r="CJ429" s="414"/>
      <c r="CK429" s="412"/>
      <c r="CL429" s="413"/>
      <c r="CM429" s="413"/>
      <c r="CN429" s="413"/>
      <c r="CO429" s="414"/>
      <c r="CP429" s="412"/>
      <c r="CQ429" s="413"/>
      <c r="CR429" s="413"/>
      <c r="CS429" s="413"/>
      <c r="CT429" s="414"/>
      <c r="CU429" s="415"/>
      <c r="CV429" s="416"/>
      <c r="CW429" s="416"/>
      <c r="CX429" s="416"/>
      <c r="CY429" s="417"/>
    </row>
    <row r="430" spans="1:103" ht="16.5">
      <c r="A430" s="436"/>
      <c r="B430" s="37"/>
      <c r="C430" s="200" t="str">
        <f t="shared" ca="1" si="8"/>
        <v/>
      </c>
      <c r="D430" s="481"/>
      <c r="E430" s="482"/>
      <c r="F430" s="482"/>
      <c r="G430" s="482"/>
      <c r="H430" s="482"/>
      <c r="I430" s="482"/>
      <c r="J430" s="482"/>
      <c r="K430" s="409"/>
      <c r="L430" s="410"/>
      <c r="M430" s="410"/>
      <c r="N430" s="410"/>
      <c r="O430" s="410"/>
      <c r="P430" s="410"/>
      <c r="Q430" s="410"/>
      <c r="R430" s="446"/>
      <c r="S430" s="447"/>
      <c r="T430" s="446"/>
      <c r="U430" s="447"/>
      <c r="V430" s="409"/>
      <c r="W430" s="410"/>
      <c r="X430" s="410"/>
      <c r="Y430" s="410"/>
      <c r="Z430" s="410"/>
      <c r="AA430" s="410"/>
      <c r="AB430" s="410"/>
      <c r="AC430" s="410"/>
      <c r="AD430" s="409"/>
      <c r="AE430" s="410"/>
      <c r="AF430" s="410"/>
      <c r="AG430" s="410"/>
      <c r="AH430" s="410"/>
      <c r="AI430" s="410"/>
      <c r="AJ430" s="410"/>
      <c r="AK430" s="411"/>
      <c r="AL430" s="409"/>
      <c r="AM430" s="410"/>
      <c r="AN430" s="410"/>
      <c r="AO430" s="410"/>
      <c r="AP430" s="410"/>
      <c r="AQ430" s="410"/>
      <c r="AR430" s="411"/>
      <c r="AS430" s="488"/>
      <c r="AT430" s="489"/>
      <c r="AU430" s="489"/>
      <c r="AV430" s="489"/>
      <c r="AW430" s="489"/>
      <c r="AX430" s="489"/>
      <c r="AY430" s="490"/>
      <c r="AZ430" s="464"/>
      <c r="BA430" s="465"/>
      <c r="BB430" s="62">
        <v>6</v>
      </c>
      <c r="BC430" s="426"/>
      <c r="BD430" s="427"/>
      <c r="BE430" s="427"/>
      <c r="BF430" s="428"/>
      <c r="BG430" s="429"/>
      <c r="BH430" s="430"/>
      <c r="BI430" s="196"/>
      <c r="BJ430" s="474"/>
      <c r="BK430" s="475"/>
      <c r="BL430" s="475"/>
      <c r="BM430" s="475"/>
      <c r="BN430" s="475"/>
      <c r="BO430" s="476"/>
      <c r="BP430" s="474"/>
      <c r="BQ430" s="475"/>
      <c r="BR430" s="475"/>
      <c r="BS430" s="475"/>
      <c r="BT430" s="475"/>
      <c r="BU430" s="476"/>
      <c r="BV430" s="474"/>
      <c r="BW430" s="475"/>
      <c r="BX430" s="475"/>
      <c r="BY430" s="475"/>
      <c r="BZ430" s="475"/>
      <c r="CA430" s="476"/>
      <c r="CB430" s="426"/>
      <c r="CC430" s="427"/>
      <c r="CD430" s="427"/>
      <c r="CE430" s="428"/>
      <c r="CF430" s="412"/>
      <c r="CG430" s="413"/>
      <c r="CH430" s="413"/>
      <c r="CI430" s="413"/>
      <c r="CJ430" s="414"/>
      <c r="CK430" s="412"/>
      <c r="CL430" s="413"/>
      <c r="CM430" s="413"/>
      <c r="CN430" s="413"/>
      <c r="CO430" s="414"/>
      <c r="CP430" s="412"/>
      <c r="CQ430" s="413"/>
      <c r="CR430" s="413"/>
      <c r="CS430" s="413"/>
      <c r="CT430" s="414"/>
      <c r="CU430" s="415"/>
      <c r="CV430" s="416"/>
      <c r="CW430" s="416"/>
      <c r="CX430" s="416"/>
      <c r="CY430" s="417"/>
    </row>
    <row r="431" spans="1:103" ht="16.5">
      <c r="A431" s="434">
        <v>71</v>
      </c>
      <c r="B431" s="36"/>
      <c r="C431" s="198" t="str">
        <f t="shared" ca="1" si="8"/>
        <v/>
      </c>
      <c r="D431" s="477"/>
      <c r="E431" s="478"/>
      <c r="F431" s="478"/>
      <c r="G431" s="478"/>
      <c r="H431" s="478"/>
      <c r="I431" s="478"/>
      <c r="J431" s="478"/>
      <c r="K431" s="438" t="s">
        <v>419</v>
      </c>
      <c r="L431" s="439"/>
      <c r="M431" s="439"/>
      <c r="N431" s="439"/>
      <c r="O431" s="439"/>
      <c r="P431" s="439"/>
      <c r="Q431" s="439"/>
      <c r="R431" s="442" t="s">
        <v>186</v>
      </c>
      <c r="S431" s="443"/>
      <c r="T431" s="442"/>
      <c r="U431" s="443"/>
      <c r="V431" s="438"/>
      <c r="W431" s="439"/>
      <c r="X431" s="439"/>
      <c r="Y431" s="439"/>
      <c r="Z431" s="439"/>
      <c r="AA431" s="439"/>
      <c r="AB431" s="439"/>
      <c r="AC431" s="439"/>
      <c r="AD431" s="438"/>
      <c r="AE431" s="439"/>
      <c r="AF431" s="439"/>
      <c r="AG431" s="439"/>
      <c r="AH431" s="439"/>
      <c r="AI431" s="439"/>
      <c r="AJ431" s="439"/>
      <c r="AK431" s="449"/>
      <c r="AL431" s="438"/>
      <c r="AM431" s="439"/>
      <c r="AN431" s="439"/>
      <c r="AO431" s="439"/>
      <c r="AP431" s="439"/>
      <c r="AQ431" s="439"/>
      <c r="AR431" s="449"/>
      <c r="AS431" s="500"/>
      <c r="AT431" s="483"/>
      <c r="AU431" s="483"/>
      <c r="AV431" s="483"/>
      <c r="AW431" s="483"/>
      <c r="AX431" s="483"/>
      <c r="AY431" s="484"/>
      <c r="AZ431" s="460"/>
      <c r="BA431" s="461"/>
      <c r="BB431" s="60">
        <v>1</v>
      </c>
      <c r="BC431" s="466"/>
      <c r="BD431" s="467"/>
      <c r="BE431" s="467"/>
      <c r="BF431" s="468"/>
      <c r="BG431" s="469"/>
      <c r="BH431" s="470"/>
      <c r="BI431" s="194"/>
      <c r="BJ431" s="471"/>
      <c r="BK431" s="472"/>
      <c r="BL431" s="472"/>
      <c r="BM431" s="472"/>
      <c r="BN431" s="472"/>
      <c r="BO431" s="473"/>
      <c r="BP431" s="471"/>
      <c r="BQ431" s="472"/>
      <c r="BR431" s="472"/>
      <c r="BS431" s="472"/>
      <c r="BT431" s="472"/>
      <c r="BU431" s="473"/>
      <c r="BV431" s="471"/>
      <c r="BW431" s="472"/>
      <c r="BX431" s="472"/>
      <c r="BY431" s="472"/>
      <c r="BZ431" s="472"/>
      <c r="CA431" s="473"/>
      <c r="CB431" s="466"/>
      <c r="CC431" s="467"/>
      <c r="CD431" s="467"/>
      <c r="CE431" s="468"/>
      <c r="CF431" s="409"/>
      <c r="CG431" s="410"/>
      <c r="CH431" s="410"/>
      <c r="CI431" s="410"/>
      <c r="CJ431" s="411"/>
      <c r="CK431" s="409"/>
      <c r="CL431" s="410"/>
      <c r="CM431" s="410"/>
      <c r="CN431" s="410"/>
      <c r="CO431" s="411"/>
      <c r="CP431" s="409"/>
      <c r="CQ431" s="410"/>
      <c r="CR431" s="410"/>
      <c r="CS431" s="410"/>
      <c r="CT431" s="411"/>
      <c r="CU431" s="415"/>
      <c r="CV431" s="416"/>
      <c r="CW431" s="416"/>
      <c r="CX431" s="416"/>
      <c r="CY431" s="417"/>
    </row>
    <row r="432" spans="1:103" ht="16.5">
      <c r="A432" s="435"/>
      <c r="B432" s="36"/>
      <c r="C432" s="199" t="str">
        <f t="shared" ca="1" si="8"/>
        <v/>
      </c>
      <c r="D432" s="479"/>
      <c r="E432" s="480"/>
      <c r="F432" s="480"/>
      <c r="G432" s="480"/>
      <c r="H432" s="480"/>
      <c r="I432" s="480"/>
      <c r="J432" s="480"/>
      <c r="K432" s="440"/>
      <c r="L432" s="441"/>
      <c r="M432" s="441"/>
      <c r="N432" s="441"/>
      <c r="O432" s="441"/>
      <c r="P432" s="441"/>
      <c r="Q432" s="441"/>
      <c r="R432" s="444"/>
      <c r="S432" s="445"/>
      <c r="T432" s="444"/>
      <c r="U432" s="445"/>
      <c r="V432" s="440"/>
      <c r="W432" s="441"/>
      <c r="X432" s="441"/>
      <c r="Y432" s="441"/>
      <c r="Z432" s="441"/>
      <c r="AA432" s="441"/>
      <c r="AB432" s="441"/>
      <c r="AC432" s="441"/>
      <c r="AD432" s="440"/>
      <c r="AE432" s="441"/>
      <c r="AF432" s="441"/>
      <c r="AG432" s="441"/>
      <c r="AH432" s="441"/>
      <c r="AI432" s="441"/>
      <c r="AJ432" s="441"/>
      <c r="AK432" s="450"/>
      <c r="AL432" s="440"/>
      <c r="AM432" s="441"/>
      <c r="AN432" s="441"/>
      <c r="AO432" s="441"/>
      <c r="AP432" s="441"/>
      <c r="AQ432" s="441"/>
      <c r="AR432" s="450"/>
      <c r="AS432" s="485"/>
      <c r="AT432" s="486"/>
      <c r="AU432" s="486"/>
      <c r="AV432" s="486"/>
      <c r="AW432" s="486"/>
      <c r="AX432" s="486"/>
      <c r="AY432" s="487"/>
      <c r="AZ432" s="462"/>
      <c r="BA432" s="463"/>
      <c r="BB432" s="61">
        <v>2</v>
      </c>
      <c r="BC432" s="418"/>
      <c r="BD432" s="419"/>
      <c r="BE432" s="419"/>
      <c r="BF432" s="420"/>
      <c r="BG432" s="421"/>
      <c r="BH432" s="422"/>
      <c r="BI432" s="195"/>
      <c r="BJ432" s="423"/>
      <c r="BK432" s="424"/>
      <c r="BL432" s="424"/>
      <c r="BM432" s="424"/>
      <c r="BN432" s="424"/>
      <c r="BO432" s="425"/>
      <c r="BP432" s="423"/>
      <c r="BQ432" s="424"/>
      <c r="BR432" s="424"/>
      <c r="BS432" s="424"/>
      <c r="BT432" s="424"/>
      <c r="BU432" s="425"/>
      <c r="BV432" s="423"/>
      <c r="BW432" s="424"/>
      <c r="BX432" s="424"/>
      <c r="BY432" s="424"/>
      <c r="BZ432" s="424"/>
      <c r="CA432" s="425"/>
      <c r="CB432" s="418"/>
      <c r="CC432" s="419"/>
      <c r="CD432" s="419"/>
      <c r="CE432" s="420"/>
      <c r="CF432" s="412"/>
      <c r="CG432" s="413"/>
      <c r="CH432" s="413"/>
      <c r="CI432" s="413"/>
      <c r="CJ432" s="414"/>
      <c r="CK432" s="412"/>
      <c r="CL432" s="413"/>
      <c r="CM432" s="413"/>
      <c r="CN432" s="413"/>
      <c r="CO432" s="414"/>
      <c r="CP432" s="412"/>
      <c r="CQ432" s="413"/>
      <c r="CR432" s="413"/>
      <c r="CS432" s="413"/>
      <c r="CT432" s="414"/>
      <c r="CU432" s="415"/>
      <c r="CV432" s="416"/>
      <c r="CW432" s="416"/>
      <c r="CX432" s="416"/>
      <c r="CY432" s="417"/>
    </row>
    <row r="433" spans="1:103" ht="16.5">
      <c r="A433" s="435"/>
      <c r="B433" s="36"/>
      <c r="C433" s="199" t="str">
        <f t="shared" ca="1" si="8"/>
        <v/>
      </c>
      <c r="D433" s="479"/>
      <c r="E433" s="480"/>
      <c r="F433" s="480"/>
      <c r="G433" s="480"/>
      <c r="H433" s="480"/>
      <c r="I433" s="480"/>
      <c r="J433" s="480"/>
      <c r="K433" s="440"/>
      <c r="L433" s="441"/>
      <c r="M433" s="441"/>
      <c r="N433" s="441"/>
      <c r="O433" s="441"/>
      <c r="P433" s="441"/>
      <c r="Q433" s="441"/>
      <c r="R433" s="444"/>
      <c r="S433" s="445"/>
      <c r="T433" s="444"/>
      <c r="U433" s="445"/>
      <c r="V433" s="440"/>
      <c r="W433" s="441"/>
      <c r="X433" s="441"/>
      <c r="Y433" s="441"/>
      <c r="Z433" s="441"/>
      <c r="AA433" s="441"/>
      <c r="AB433" s="441"/>
      <c r="AC433" s="441"/>
      <c r="AD433" s="440"/>
      <c r="AE433" s="441"/>
      <c r="AF433" s="441"/>
      <c r="AG433" s="441"/>
      <c r="AH433" s="441"/>
      <c r="AI433" s="441"/>
      <c r="AJ433" s="441"/>
      <c r="AK433" s="450"/>
      <c r="AL433" s="440"/>
      <c r="AM433" s="441"/>
      <c r="AN433" s="441"/>
      <c r="AO433" s="441"/>
      <c r="AP433" s="441"/>
      <c r="AQ433" s="441"/>
      <c r="AR433" s="450"/>
      <c r="AS433" s="485"/>
      <c r="AT433" s="486"/>
      <c r="AU433" s="486"/>
      <c r="AV433" s="486"/>
      <c r="AW433" s="486"/>
      <c r="AX433" s="486"/>
      <c r="AY433" s="487"/>
      <c r="AZ433" s="462"/>
      <c r="BA433" s="463"/>
      <c r="BB433" s="61">
        <v>3</v>
      </c>
      <c r="BC433" s="418"/>
      <c r="BD433" s="419"/>
      <c r="BE433" s="419"/>
      <c r="BF433" s="420"/>
      <c r="BG433" s="421"/>
      <c r="BH433" s="422"/>
      <c r="BI433" s="195"/>
      <c r="BJ433" s="423"/>
      <c r="BK433" s="424"/>
      <c r="BL433" s="424"/>
      <c r="BM433" s="424"/>
      <c r="BN433" s="424"/>
      <c r="BO433" s="425"/>
      <c r="BP433" s="423"/>
      <c r="BQ433" s="424"/>
      <c r="BR433" s="424"/>
      <c r="BS433" s="424"/>
      <c r="BT433" s="424"/>
      <c r="BU433" s="425"/>
      <c r="BV433" s="423"/>
      <c r="BW433" s="424"/>
      <c r="BX433" s="424"/>
      <c r="BY433" s="424"/>
      <c r="BZ433" s="424"/>
      <c r="CA433" s="425"/>
      <c r="CB433" s="418"/>
      <c r="CC433" s="419"/>
      <c r="CD433" s="419"/>
      <c r="CE433" s="420"/>
      <c r="CF433" s="412"/>
      <c r="CG433" s="413"/>
      <c r="CH433" s="413"/>
      <c r="CI433" s="413"/>
      <c r="CJ433" s="414"/>
      <c r="CK433" s="412"/>
      <c r="CL433" s="413"/>
      <c r="CM433" s="413"/>
      <c r="CN433" s="413"/>
      <c r="CO433" s="414"/>
      <c r="CP433" s="412"/>
      <c r="CQ433" s="413"/>
      <c r="CR433" s="413"/>
      <c r="CS433" s="413"/>
      <c r="CT433" s="414"/>
      <c r="CU433" s="415"/>
      <c r="CV433" s="416"/>
      <c r="CW433" s="416"/>
      <c r="CX433" s="416"/>
      <c r="CY433" s="417"/>
    </row>
    <row r="434" spans="1:103" ht="16.5">
      <c r="A434" s="435"/>
      <c r="B434" s="36"/>
      <c r="C434" s="199" t="str">
        <f t="shared" ca="1" si="8"/>
        <v/>
      </c>
      <c r="D434" s="479"/>
      <c r="E434" s="480"/>
      <c r="F434" s="480"/>
      <c r="G434" s="480"/>
      <c r="H434" s="480"/>
      <c r="I434" s="480"/>
      <c r="J434" s="480"/>
      <c r="K434" s="440"/>
      <c r="L434" s="441"/>
      <c r="M434" s="441"/>
      <c r="N434" s="441"/>
      <c r="O434" s="441"/>
      <c r="P434" s="441"/>
      <c r="Q434" s="441"/>
      <c r="R434" s="444"/>
      <c r="S434" s="445"/>
      <c r="T434" s="444"/>
      <c r="U434" s="445"/>
      <c r="V434" s="440"/>
      <c r="W434" s="441"/>
      <c r="X434" s="441"/>
      <c r="Y434" s="441"/>
      <c r="Z434" s="441"/>
      <c r="AA434" s="441"/>
      <c r="AB434" s="441"/>
      <c r="AC434" s="441"/>
      <c r="AD434" s="440"/>
      <c r="AE434" s="441"/>
      <c r="AF434" s="441"/>
      <c r="AG434" s="441"/>
      <c r="AH434" s="441"/>
      <c r="AI434" s="441"/>
      <c r="AJ434" s="441"/>
      <c r="AK434" s="450"/>
      <c r="AL434" s="440"/>
      <c r="AM434" s="441"/>
      <c r="AN434" s="441"/>
      <c r="AO434" s="441"/>
      <c r="AP434" s="441"/>
      <c r="AQ434" s="441"/>
      <c r="AR434" s="450"/>
      <c r="AS434" s="485"/>
      <c r="AT434" s="486"/>
      <c r="AU434" s="486"/>
      <c r="AV434" s="486"/>
      <c r="AW434" s="486"/>
      <c r="AX434" s="486"/>
      <c r="AY434" s="487"/>
      <c r="AZ434" s="462"/>
      <c r="BA434" s="463"/>
      <c r="BB434" s="61">
        <v>4</v>
      </c>
      <c r="BC434" s="418"/>
      <c r="BD434" s="419"/>
      <c r="BE434" s="419"/>
      <c r="BF434" s="420"/>
      <c r="BG434" s="421"/>
      <c r="BH434" s="422"/>
      <c r="BI434" s="195"/>
      <c r="BJ434" s="423"/>
      <c r="BK434" s="424"/>
      <c r="BL434" s="424"/>
      <c r="BM434" s="424"/>
      <c r="BN434" s="424"/>
      <c r="BO434" s="425"/>
      <c r="BP434" s="423"/>
      <c r="BQ434" s="424"/>
      <c r="BR434" s="424"/>
      <c r="BS434" s="424"/>
      <c r="BT434" s="424"/>
      <c r="BU434" s="425"/>
      <c r="BV434" s="423"/>
      <c r="BW434" s="424"/>
      <c r="BX434" s="424"/>
      <c r="BY434" s="424"/>
      <c r="BZ434" s="424"/>
      <c r="CA434" s="425"/>
      <c r="CB434" s="418"/>
      <c r="CC434" s="419"/>
      <c r="CD434" s="419"/>
      <c r="CE434" s="420"/>
      <c r="CF434" s="412"/>
      <c r="CG434" s="413"/>
      <c r="CH434" s="413"/>
      <c r="CI434" s="413"/>
      <c r="CJ434" s="414"/>
      <c r="CK434" s="412"/>
      <c r="CL434" s="413"/>
      <c r="CM434" s="413"/>
      <c r="CN434" s="413"/>
      <c r="CO434" s="414"/>
      <c r="CP434" s="412"/>
      <c r="CQ434" s="413"/>
      <c r="CR434" s="413"/>
      <c r="CS434" s="413"/>
      <c r="CT434" s="414"/>
      <c r="CU434" s="415"/>
      <c r="CV434" s="416"/>
      <c r="CW434" s="416"/>
      <c r="CX434" s="416"/>
      <c r="CY434" s="417"/>
    </row>
    <row r="435" spans="1:103" ht="16.5">
      <c r="A435" s="435"/>
      <c r="B435" s="36"/>
      <c r="C435" s="199" t="str">
        <f t="shared" ca="1" si="8"/>
        <v/>
      </c>
      <c r="D435" s="479"/>
      <c r="E435" s="480"/>
      <c r="F435" s="480"/>
      <c r="G435" s="480"/>
      <c r="H435" s="480"/>
      <c r="I435" s="480"/>
      <c r="J435" s="480"/>
      <c r="K435" s="440"/>
      <c r="L435" s="441"/>
      <c r="M435" s="441"/>
      <c r="N435" s="441"/>
      <c r="O435" s="441"/>
      <c r="P435" s="441"/>
      <c r="Q435" s="441"/>
      <c r="R435" s="444"/>
      <c r="S435" s="445"/>
      <c r="T435" s="444"/>
      <c r="U435" s="445"/>
      <c r="V435" s="440"/>
      <c r="W435" s="441"/>
      <c r="X435" s="441"/>
      <c r="Y435" s="441"/>
      <c r="Z435" s="441"/>
      <c r="AA435" s="441"/>
      <c r="AB435" s="441"/>
      <c r="AC435" s="441"/>
      <c r="AD435" s="440"/>
      <c r="AE435" s="441"/>
      <c r="AF435" s="441"/>
      <c r="AG435" s="441"/>
      <c r="AH435" s="441"/>
      <c r="AI435" s="441"/>
      <c r="AJ435" s="441"/>
      <c r="AK435" s="450"/>
      <c r="AL435" s="440"/>
      <c r="AM435" s="441"/>
      <c r="AN435" s="441"/>
      <c r="AO435" s="441"/>
      <c r="AP435" s="441"/>
      <c r="AQ435" s="441"/>
      <c r="AR435" s="450"/>
      <c r="AS435" s="485"/>
      <c r="AT435" s="486"/>
      <c r="AU435" s="486"/>
      <c r="AV435" s="486"/>
      <c r="AW435" s="486"/>
      <c r="AX435" s="486"/>
      <c r="AY435" s="487"/>
      <c r="AZ435" s="462"/>
      <c r="BA435" s="463"/>
      <c r="BB435" s="61">
        <v>5</v>
      </c>
      <c r="BC435" s="418"/>
      <c r="BD435" s="419"/>
      <c r="BE435" s="419"/>
      <c r="BF435" s="420"/>
      <c r="BG435" s="421"/>
      <c r="BH435" s="422"/>
      <c r="BI435" s="195"/>
      <c r="BJ435" s="423"/>
      <c r="BK435" s="424"/>
      <c r="BL435" s="424"/>
      <c r="BM435" s="424"/>
      <c r="BN435" s="424"/>
      <c r="BO435" s="425"/>
      <c r="BP435" s="423"/>
      <c r="BQ435" s="424"/>
      <c r="BR435" s="424"/>
      <c r="BS435" s="424"/>
      <c r="BT435" s="424"/>
      <c r="BU435" s="425"/>
      <c r="BV435" s="423"/>
      <c r="BW435" s="424"/>
      <c r="BX435" s="424"/>
      <c r="BY435" s="424"/>
      <c r="BZ435" s="424"/>
      <c r="CA435" s="425"/>
      <c r="CB435" s="418"/>
      <c r="CC435" s="419"/>
      <c r="CD435" s="419"/>
      <c r="CE435" s="420"/>
      <c r="CF435" s="412"/>
      <c r="CG435" s="413"/>
      <c r="CH435" s="413"/>
      <c r="CI435" s="413"/>
      <c r="CJ435" s="414"/>
      <c r="CK435" s="412"/>
      <c r="CL435" s="413"/>
      <c r="CM435" s="413"/>
      <c r="CN435" s="413"/>
      <c r="CO435" s="414"/>
      <c r="CP435" s="412"/>
      <c r="CQ435" s="413"/>
      <c r="CR435" s="413"/>
      <c r="CS435" s="413"/>
      <c r="CT435" s="414"/>
      <c r="CU435" s="415"/>
      <c r="CV435" s="416"/>
      <c r="CW435" s="416"/>
      <c r="CX435" s="416"/>
      <c r="CY435" s="417"/>
    </row>
    <row r="436" spans="1:103" ht="16.5">
      <c r="A436" s="436"/>
      <c r="B436" s="37"/>
      <c r="C436" s="200" t="str">
        <f t="shared" ca="1" si="8"/>
        <v/>
      </c>
      <c r="D436" s="481"/>
      <c r="E436" s="482"/>
      <c r="F436" s="482"/>
      <c r="G436" s="482"/>
      <c r="H436" s="482"/>
      <c r="I436" s="482"/>
      <c r="J436" s="482"/>
      <c r="K436" s="409"/>
      <c r="L436" s="410"/>
      <c r="M436" s="410"/>
      <c r="N436" s="410"/>
      <c r="O436" s="410"/>
      <c r="P436" s="410"/>
      <c r="Q436" s="410"/>
      <c r="R436" s="446"/>
      <c r="S436" s="447"/>
      <c r="T436" s="446"/>
      <c r="U436" s="447"/>
      <c r="V436" s="409"/>
      <c r="W436" s="410"/>
      <c r="X436" s="410"/>
      <c r="Y436" s="410"/>
      <c r="Z436" s="410"/>
      <c r="AA436" s="410"/>
      <c r="AB436" s="410"/>
      <c r="AC436" s="410"/>
      <c r="AD436" s="409"/>
      <c r="AE436" s="410"/>
      <c r="AF436" s="410"/>
      <c r="AG436" s="410"/>
      <c r="AH436" s="410"/>
      <c r="AI436" s="410"/>
      <c r="AJ436" s="410"/>
      <c r="AK436" s="411"/>
      <c r="AL436" s="409"/>
      <c r="AM436" s="410"/>
      <c r="AN436" s="410"/>
      <c r="AO436" s="410"/>
      <c r="AP436" s="410"/>
      <c r="AQ436" s="410"/>
      <c r="AR436" s="411"/>
      <c r="AS436" s="488"/>
      <c r="AT436" s="489"/>
      <c r="AU436" s="489"/>
      <c r="AV436" s="489"/>
      <c r="AW436" s="489"/>
      <c r="AX436" s="489"/>
      <c r="AY436" s="490"/>
      <c r="AZ436" s="464"/>
      <c r="BA436" s="465"/>
      <c r="BB436" s="62">
        <v>6</v>
      </c>
      <c r="BC436" s="426"/>
      <c r="BD436" s="427"/>
      <c r="BE436" s="427"/>
      <c r="BF436" s="428"/>
      <c r="BG436" s="429"/>
      <c r="BH436" s="430"/>
      <c r="BI436" s="196"/>
      <c r="BJ436" s="474"/>
      <c r="BK436" s="475"/>
      <c r="BL436" s="475"/>
      <c r="BM436" s="475"/>
      <c r="BN436" s="475"/>
      <c r="BO436" s="476"/>
      <c r="BP436" s="474"/>
      <c r="BQ436" s="475"/>
      <c r="BR436" s="475"/>
      <c r="BS436" s="475"/>
      <c r="BT436" s="475"/>
      <c r="BU436" s="476"/>
      <c r="BV436" s="474"/>
      <c r="BW436" s="475"/>
      <c r="BX436" s="475"/>
      <c r="BY436" s="475"/>
      <c r="BZ436" s="475"/>
      <c r="CA436" s="476"/>
      <c r="CB436" s="426"/>
      <c r="CC436" s="427"/>
      <c r="CD436" s="427"/>
      <c r="CE436" s="428"/>
      <c r="CF436" s="412"/>
      <c r="CG436" s="413"/>
      <c r="CH436" s="413"/>
      <c r="CI436" s="413"/>
      <c r="CJ436" s="414"/>
      <c r="CK436" s="412"/>
      <c r="CL436" s="413"/>
      <c r="CM436" s="413"/>
      <c r="CN436" s="413"/>
      <c r="CO436" s="414"/>
      <c r="CP436" s="412"/>
      <c r="CQ436" s="413"/>
      <c r="CR436" s="413"/>
      <c r="CS436" s="413"/>
      <c r="CT436" s="414"/>
      <c r="CU436" s="415"/>
      <c r="CV436" s="416"/>
      <c r="CW436" s="416"/>
      <c r="CX436" s="416"/>
      <c r="CY436" s="417"/>
    </row>
    <row r="437" spans="1:103" ht="16.5">
      <c r="A437" s="434">
        <v>72</v>
      </c>
      <c r="B437" s="36"/>
      <c r="C437" s="198" t="str">
        <f t="shared" ca="1" si="8"/>
        <v/>
      </c>
      <c r="D437" s="477" t="s">
        <v>420</v>
      </c>
      <c r="E437" s="478"/>
      <c r="F437" s="478"/>
      <c r="G437" s="478"/>
      <c r="H437" s="478"/>
      <c r="I437" s="478"/>
      <c r="J437" s="478"/>
      <c r="K437" s="438" t="s">
        <v>421</v>
      </c>
      <c r="L437" s="439"/>
      <c r="M437" s="439"/>
      <c r="N437" s="439"/>
      <c r="O437" s="439"/>
      <c r="P437" s="439"/>
      <c r="Q437" s="439"/>
      <c r="R437" s="442" t="s">
        <v>186</v>
      </c>
      <c r="S437" s="443"/>
      <c r="T437" s="442"/>
      <c r="U437" s="443"/>
      <c r="V437" s="438"/>
      <c r="W437" s="439"/>
      <c r="X437" s="439"/>
      <c r="Y437" s="439"/>
      <c r="Z437" s="439"/>
      <c r="AA437" s="439"/>
      <c r="AB437" s="439"/>
      <c r="AC437" s="439"/>
      <c r="AD437" s="438"/>
      <c r="AE437" s="439"/>
      <c r="AF437" s="439"/>
      <c r="AG437" s="439"/>
      <c r="AH437" s="439"/>
      <c r="AI437" s="439"/>
      <c r="AJ437" s="439"/>
      <c r="AK437" s="449"/>
      <c r="AL437" s="438"/>
      <c r="AM437" s="439"/>
      <c r="AN437" s="439"/>
      <c r="AO437" s="439"/>
      <c r="AP437" s="439"/>
      <c r="AQ437" s="439"/>
      <c r="AR437" s="449"/>
      <c r="AS437" s="500"/>
      <c r="AT437" s="483"/>
      <c r="AU437" s="483"/>
      <c r="AV437" s="483"/>
      <c r="AW437" s="483"/>
      <c r="AX437" s="483"/>
      <c r="AY437" s="484"/>
      <c r="AZ437" s="460"/>
      <c r="BA437" s="461"/>
      <c r="BB437" s="60">
        <v>1</v>
      </c>
      <c r="BC437" s="466"/>
      <c r="BD437" s="467"/>
      <c r="BE437" s="467"/>
      <c r="BF437" s="468"/>
      <c r="BG437" s="469"/>
      <c r="BH437" s="470"/>
      <c r="BI437" s="194"/>
      <c r="BJ437" s="471"/>
      <c r="BK437" s="472"/>
      <c r="BL437" s="472"/>
      <c r="BM437" s="472"/>
      <c r="BN437" s="472"/>
      <c r="BO437" s="473"/>
      <c r="BP437" s="471"/>
      <c r="BQ437" s="472"/>
      <c r="BR437" s="472"/>
      <c r="BS437" s="472"/>
      <c r="BT437" s="472"/>
      <c r="BU437" s="473"/>
      <c r="BV437" s="471"/>
      <c r="BW437" s="472"/>
      <c r="BX437" s="472"/>
      <c r="BY437" s="472"/>
      <c r="BZ437" s="472"/>
      <c r="CA437" s="473"/>
      <c r="CB437" s="466"/>
      <c r="CC437" s="467"/>
      <c r="CD437" s="467"/>
      <c r="CE437" s="468"/>
      <c r="CF437" s="409"/>
      <c r="CG437" s="410"/>
      <c r="CH437" s="410"/>
      <c r="CI437" s="410"/>
      <c r="CJ437" s="411"/>
      <c r="CK437" s="409"/>
      <c r="CL437" s="410"/>
      <c r="CM437" s="410"/>
      <c r="CN437" s="410"/>
      <c r="CO437" s="411"/>
      <c r="CP437" s="409"/>
      <c r="CQ437" s="410"/>
      <c r="CR437" s="410"/>
      <c r="CS437" s="410"/>
      <c r="CT437" s="411"/>
      <c r="CU437" s="415"/>
      <c r="CV437" s="416"/>
      <c r="CW437" s="416"/>
      <c r="CX437" s="416"/>
      <c r="CY437" s="417"/>
    </row>
    <row r="438" spans="1:103" ht="16.5">
      <c r="A438" s="435"/>
      <c r="B438" s="36"/>
      <c r="C438" s="199" t="str">
        <f t="shared" ca="1" si="8"/>
        <v/>
      </c>
      <c r="D438" s="479"/>
      <c r="E438" s="480"/>
      <c r="F438" s="480"/>
      <c r="G438" s="480"/>
      <c r="H438" s="480"/>
      <c r="I438" s="480"/>
      <c r="J438" s="480"/>
      <c r="K438" s="440"/>
      <c r="L438" s="441"/>
      <c r="M438" s="441"/>
      <c r="N438" s="441"/>
      <c r="O438" s="441"/>
      <c r="P438" s="441"/>
      <c r="Q438" s="441"/>
      <c r="R438" s="444"/>
      <c r="S438" s="445"/>
      <c r="T438" s="444"/>
      <c r="U438" s="445"/>
      <c r="V438" s="440"/>
      <c r="W438" s="441"/>
      <c r="X438" s="441"/>
      <c r="Y438" s="441"/>
      <c r="Z438" s="441"/>
      <c r="AA438" s="441"/>
      <c r="AB438" s="441"/>
      <c r="AC438" s="441"/>
      <c r="AD438" s="440"/>
      <c r="AE438" s="441"/>
      <c r="AF438" s="441"/>
      <c r="AG438" s="441"/>
      <c r="AH438" s="441"/>
      <c r="AI438" s="441"/>
      <c r="AJ438" s="441"/>
      <c r="AK438" s="450"/>
      <c r="AL438" s="440"/>
      <c r="AM438" s="441"/>
      <c r="AN438" s="441"/>
      <c r="AO438" s="441"/>
      <c r="AP438" s="441"/>
      <c r="AQ438" s="441"/>
      <c r="AR438" s="450"/>
      <c r="AS438" s="485"/>
      <c r="AT438" s="486"/>
      <c r="AU438" s="486"/>
      <c r="AV438" s="486"/>
      <c r="AW438" s="486"/>
      <c r="AX438" s="486"/>
      <c r="AY438" s="487"/>
      <c r="AZ438" s="462"/>
      <c r="BA438" s="463"/>
      <c r="BB438" s="61">
        <v>2</v>
      </c>
      <c r="BC438" s="418"/>
      <c r="BD438" s="419"/>
      <c r="BE438" s="419"/>
      <c r="BF438" s="420"/>
      <c r="BG438" s="421"/>
      <c r="BH438" s="422"/>
      <c r="BI438" s="195"/>
      <c r="BJ438" s="423"/>
      <c r="BK438" s="424"/>
      <c r="BL438" s="424"/>
      <c r="BM438" s="424"/>
      <c r="BN438" s="424"/>
      <c r="BO438" s="425"/>
      <c r="BP438" s="423"/>
      <c r="BQ438" s="424"/>
      <c r="BR438" s="424"/>
      <c r="BS438" s="424"/>
      <c r="BT438" s="424"/>
      <c r="BU438" s="425"/>
      <c r="BV438" s="423"/>
      <c r="BW438" s="424"/>
      <c r="BX438" s="424"/>
      <c r="BY438" s="424"/>
      <c r="BZ438" s="424"/>
      <c r="CA438" s="425"/>
      <c r="CB438" s="418"/>
      <c r="CC438" s="419"/>
      <c r="CD438" s="419"/>
      <c r="CE438" s="420"/>
      <c r="CF438" s="412"/>
      <c r="CG438" s="413"/>
      <c r="CH438" s="413"/>
      <c r="CI438" s="413"/>
      <c r="CJ438" s="414"/>
      <c r="CK438" s="412"/>
      <c r="CL438" s="413"/>
      <c r="CM438" s="413"/>
      <c r="CN438" s="413"/>
      <c r="CO438" s="414"/>
      <c r="CP438" s="412"/>
      <c r="CQ438" s="413"/>
      <c r="CR438" s="413"/>
      <c r="CS438" s="413"/>
      <c r="CT438" s="414"/>
      <c r="CU438" s="415"/>
      <c r="CV438" s="416"/>
      <c r="CW438" s="416"/>
      <c r="CX438" s="416"/>
      <c r="CY438" s="417"/>
    </row>
    <row r="439" spans="1:103" ht="16.5">
      <c r="A439" s="435"/>
      <c r="B439" s="36"/>
      <c r="C439" s="199" t="str">
        <f t="shared" ca="1" si="8"/>
        <v/>
      </c>
      <c r="D439" s="479"/>
      <c r="E439" s="480"/>
      <c r="F439" s="480"/>
      <c r="G439" s="480"/>
      <c r="H439" s="480"/>
      <c r="I439" s="480"/>
      <c r="J439" s="480"/>
      <c r="K439" s="440"/>
      <c r="L439" s="441"/>
      <c r="M439" s="441"/>
      <c r="N439" s="441"/>
      <c r="O439" s="441"/>
      <c r="P439" s="441"/>
      <c r="Q439" s="441"/>
      <c r="R439" s="444"/>
      <c r="S439" s="445"/>
      <c r="T439" s="444"/>
      <c r="U439" s="445"/>
      <c r="V439" s="440"/>
      <c r="W439" s="441"/>
      <c r="X439" s="441"/>
      <c r="Y439" s="441"/>
      <c r="Z439" s="441"/>
      <c r="AA439" s="441"/>
      <c r="AB439" s="441"/>
      <c r="AC439" s="441"/>
      <c r="AD439" s="440"/>
      <c r="AE439" s="441"/>
      <c r="AF439" s="441"/>
      <c r="AG439" s="441"/>
      <c r="AH439" s="441"/>
      <c r="AI439" s="441"/>
      <c r="AJ439" s="441"/>
      <c r="AK439" s="450"/>
      <c r="AL439" s="440"/>
      <c r="AM439" s="441"/>
      <c r="AN439" s="441"/>
      <c r="AO439" s="441"/>
      <c r="AP439" s="441"/>
      <c r="AQ439" s="441"/>
      <c r="AR439" s="450"/>
      <c r="AS439" s="485"/>
      <c r="AT439" s="486"/>
      <c r="AU439" s="486"/>
      <c r="AV439" s="486"/>
      <c r="AW439" s="486"/>
      <c r="AX439" s="486"/>
      <c r="AY439" s="487"/>
      <c r="AZ439" s="462"/>
      <c r="BA439" s="463"/>
      <c r="BB439" s="61">
        <v>3</v>
      </c>
      <c r="BC439" s="418"/>
      <c r="BD439" s="419"/>
      <c r="BE439" s="419"/>
      <c r="BF439" s="420"/>
      <c r="BG439" s="421"/>
      <c r="BH439" s="422"/>
      <c r="BI439" s="195"/>
      <c r="BJ439" s="423"/>
      <c r="BK439" s="424"/>
      <c r="BL439" s="424"/>
      <c r="BM439" s="424"/>
      <c r="BN439" s="424"/>
      <c r="BO439" s="425"/>
      <c r="BP439" s="423"/>
      <c r="BQ439" s="424"/>
      <c r="BR439" s="424"/>
      <c r="BS439" s="424"/>
      <c r="BT439" s="424"/>
      <c r="BU439" s="425"/>
      <c r="BV439" s="423"/>
      <c r="BW439" s="424"/>
      <c r="BX439" s="424"/>
      <c r="BY439" s="424"/>
      <c r="BZ439" s="424"/>
      <c r="CA439" s="425"/>
      <c r="CB439" s="418"/>
      <c r="CC439" s="419"/>
      <c r="CD439" s="419"/>
      <c r="CE439" s="420"/>
      <c r="CF439" s="412"/>
      <c r="CG439" s="413"/>
      <c r="CH439" s="413"/>
      <c r="CI439" s="413"/>
      <c r="CJ439" s="414"/>
      <c r="CK439" s="412"/>
      <c r="CL439" s="413"/>
      <c r="CM439" s="413"/>
      <c r="CN439" s="413"/>
      <c r="CO439" s="414"/>
      <c r="CP439" s="412"/>
      <c r="CQ439" s="413"/>
      <c r="CR439" s="413"/>
      <c r="CS439" s="413"/>
      <c r="CT439" s="414"/>
      <c r="CU439" s="415"/>
      <c r="CV439" s="416"/>
      <c r="CW439" s="416"/>
      <c r="CX439" s="416"/>
      <c r="CY439" s="417"/>
    </row>
    <row r="440" spans="1:103" ht="16.5">
      <c r="A440" s="435"/>
      <c r="B440" s="36"/>
      <c r="C440" s="199" t="str">
        <f t="shared" ca="1" si="8"/>
        <v/>
      </c>
      <c r="D440" s="479"/>
      <c r="E440" s="480"/>
      <c r="F440" s="480"/>
      <c r="G440" s="480"/>
      <c r="H440" s="480"/>
      <c r="I440" s="480"/>
      <c r="J440" s="480"/>
      <c r="K440" s="440"/>
      <c r="L440" s="441"/>
      <c r="M440" s="441"/>
      <c r="N440" s="441"/>
      <c r="O440" s="441"/>
      <c r="P440" s="441"/>
      <c r="Q440" s="441"/>
      <c r="R440" s="444"/>
      <c r="S440" s="445"/>
      <c r="T440" s="444"/>
      <c r="U440" s="445"/>
      <c r="V440" s="440"/>
      <c r="W440" s="441"/>
      <c r="X440" s="441"/>
      <c r="Y440" s="441"/>
      <c r="Z440" s="441"/>
      <c r="AA440" s="441"/>
      <c r="AB440" s="441"/>
      <c r="AC440" s="441"/>
      <c r="AD440" s="440"/>
      <c r="AE440" s="441"/>
      <c r="AF440" s="441"/>
      <c r="AG440" s="441"/>
      <c r="AH440" s="441"/>
      <c r="AI440" s="441"/>
      <c r="AJ440" s="441"/>
      <c r="AK440" s="450"/>
      <c r="AL440" s="440"/>
      <c r="AM440" s="441"/>
      <c r="AN440" s="441"/>
      <c r="AO440" s="441"/>
      <c r="AP440" s="441"/>
      <c r="AQ440" s="441"/>
      <c r="AR440" s="450"/>
      <c r="AS440" s="485"/>
      <c r="AT440" s="486"/>
      <c r="AU440" s="486"/>
      <c r="AV440" s="486"/>
      <c r="AW440" s="486"/>
      <c r="AX440" s="486"/>
      <c r="AY440" s="487"/>
      <c r="AZ440" s="462"/>
      <c r="BA440" s="463"/>
      <c r="BB440" s="61">
        <v>4</v>
      </c>
      <c r="BC440" s="418"/>
      <c r="BD440" s="419"/>
      <c r="BE440" s="419"/>
      <c r="BF440" s="420"/>
      <c r="BG440" s="421"/>
      <c r="BH440" s="422"/>
      <c r="BI440" s="195"/>
      <c r="BJ440" s="423"/>
      <c r="BK440" s="424"/>
      <c r="BL440" s="424"/>
      <c r="BM440" s="424"/>
      <c r="BN440" s="424"/>
      <c r="BO440" s="425"/>
      <c r="BP440" s="423"/>
      <c r="BQ440" s="424"/>
      <c r="BR440" s="424"/>
      <c r="BS440" s="424"/>
      <c r="BT440" s="424"/>
      <c r="BU440" s="425"/>
      <c r="BV440" s="423"/>
      <c r="BW440" s="424"/>
      <c r="BX440" s="424"/>
      <c r="BY440" s="424"/>
      <c r="BZ440" s="424"/>
      <c r="CA440" s="425"/>
      <c r="CB440" s="418"/>
      <c r="CC440" s="419"/>
      <c r="CD440" s="419"/>
      <c r="CE440" s="420"/>
      <c r="CF440" s="412"/>
      <c r="CG440" s="413"/>
      <c r="CH440" s="413"/>
      <c r="CI440" s="413"/>
      <c r="CJ440" s="414"/>
      <c r="CK440" s="412"/>
      <c r="CL440" s="413"/>
      <c r="CM440" s="413"/>
      <c r="CN440" s="413"/>
      <c r="CO440" s="414"/>
      <c r="CP440" s="412"/>
      <c r="CQ440" s="413"/>
      <c r="CR440" s="413"/>
      <c r="CS440" s="413"/>
      <c r="CT440" s="414"/>
      <c r="CU440" s="415"/>
      <c r="CV440" s="416"/>
      <c r="CW440" s="416"/>
      <c r="CX440" s="416"/>
      <c r="CY440" s="417"/>
    </row>
    <row r="441" spans="1:103" ht="16.5">
      <c r="A441" s="435"/>
      <c r="B441" s="36"/>
      <c r="C441" s="199" t="str">
        <f t="shared" ca="1" si="8"/>
        <v/>
      </c>
      <c r="D441" s="479"/>
      <c r="E441" s="480"/>
      <c r="F441" s="480"/>
      <c r="G441" s="480"/>
      <c r="H441" s="480"/>
      <c r="I441" s="480"/>
      <c r="J441" s="480"/>
      <c r="K441" s="440"/>
      <c r="L441" s="441"/>
      <c r="M441" s="441"/>
      <c r="N441" s="441"/>
      <c r="O441" s="441"/>
      <c r="P441" s="441"/>
      <c r="Q441" s="441"/>
      <c r="R441" s="444"/>
      <c r="S441" s="445"/>
      <c r="T441" s="444"/>
      <c r="U441" s="445"/>
      <c r="V441" s="440"/>
      <c r="W441" s="441"/>
      <c r="X441" s="441"/>
      <c r="Y441" s="441"/>
      <c r="Z441" s="441"/>
      <c r="AA441" s="441"/>
      <c r="AB441" s="441"/>
      <c r="AC441" s="441"/>
      <c r="AD441" s="440"/>
      <c r="AE441" s="441"/>
      <c r="AF441" s="441"/>
      <c r="AG441" s="441"/>
      <c r="AH441" s="441"/>
      <c r="AI441" s="441"/>
      <c r="AJ441" s="441"/>
      <c r="AK441" s="450"/>
      <c r="AL441" s="440"/>
      <c r="AM441" s="441"/>
      <c r="AN441" s="441"/>
      <c r="AO441" s="441"/>
      <c r="AP441" s="441"/>
      <c r="AQ441" s="441"/>
      <c r="AR441" s="450"/>
      <c r="AS441" s="485"/>
      <c r="AT441" s="486"/>
      <c r="AU441" s="486"/>
      <c r="AV441" s="486"/>
      <c r="AW441" s="486"/>
      <c r="AX441" s="486"/>
      <c r="AY441" s="487"/>
      <c r="AZ441" s="462"/>
      <c r="BA441" s="463"/>
      <c r="BB441" s="61">
        <v>5</v>
      </c>
      <c r="BC441" s="418"/>
      <c r="BD441" s="419"/>
      <c r="BE441" s="419"/>
      <c r="BF441" s="420"/>
      <c r="BG441" s="421"/>
      <c r="BH441" s="422"/>
      <c r="BI441" s="195"/>
      <c r="BJ441" s="423"/>
      <c r="BK441" s="424"/>
      <c r="BL441" s="424"/>
      <c r="BM441" s="424"/>
      <c r="BN441" s="424"/>
      <c r="BO441" s="425"/>
      <c r="BP441" s="423"/>
      <c r="BQ441" s="424"/>
      <c r="BR441" s="424"/>
      <c r="BS441" s="424"/>
      <c r="BT441" s="424"/>
      <c r="BU441" s="425"/>
      <c r="BV441" s="423"/>
      <c r="BW441" s="424"/>
      <c r="BX441" s="424"/>
      <c r="BY441" s="424"/>
      <c r="BZ441" s="424"/>
      <c r="CA441" s="425"/>
      <c r="CB441" s="418"/>
      <c r="CC441" s="419"/>
      <c r="CD441" s="419"/>
      <c r="CE441" s="420"/>
      <c r="CF441" s="412"/>
      <c r="CG441" s="413"/>
      <c r="CH441" s="413"/>
      <c r="CI441" s="413"/>
      <c r="CJ441" s="414"/>
      <c r="CK441" s="412"/>
      <c r="CL441" s="413"/>
      <c r="CM441" s="413"/>
      <c r="CN441" s="413"/>
      <c r="CO441" s="414"/>
      <c r="CP441" s="412"/>
      <c r="CQ441" s="413"/>
      <c r="CR441" s="413"/>
      <c r="CS441" s="413"/>
      <c r="CT441" s="414"/>
      <c r="CU441" s="415"/>
      <c r="CV441" s="416"/>
      <c r="CW441" s="416"/>
      <c r="CX441" s="416"/>
      <c r="CY441" s="417"/>
    </row>
    <row r="442" spans="1:103" ht="16.5">
      <c r="A442" s="436"/>
      <c r="B442" s="37"/>
      <c r="C442" s="200" t="str">
        <f t="shared" ca="1" si="8"/>
        <v/>
      </c>
      <c r="D442" s="481"/>
      <c r="E442" s="482"/>
      <c r="F442" s="482"/>
      <c r="G442" s="482"/>
      <c r="H442" s="482"/>
      <c r="I442" s="482"/>
      <c r="J442" s="482"/>
      <c r="K442" s="409"/>
      <c r="L442" s="410"/>
      <c r="M442" s="410"/>
      <c r="N442" s="410"/>
      <c r="O442" s="410"/>
      <c r="P442" s="410"/>
      <c r="Q442" s="410"/>
      <c r="R442" s="446"/>
      <c r="S442" s="447"/>
      <c r="T442" s="446"/>
      <c r="U442" s="447"/>
      <c r="V442" s="409"/>
      <c r="W442" s="410"/>
      <c r="X442" s="410"/>
      <c r="Y442" s="410"/>
      <c r="Z442" s="410"/>
      <c r="AA442" s="410"/>
      <c r="AB442" s="410"/>
      <c r="AC442" s="410"/>
      <c r="AD442" s="409"/>
      <c r="AE442" s="410"/>
      <c r="AF442" s="410"/>
      <c r="AG442" s="410"/>
      <c r="AH442" s="410"/>
      <c r="AI442" s="410"/>
      <c r="AJ442" s="410"/>
      <c r="AK442" s="411"/>
      <c r="AL442" s="409"/>
      <c r="AM442" s="410"/>
      <c r="AN442" s="410"/>
      <c r="AO442" s="410"/>
      <c r="AP442" s="410"/>
      <c r="AQ442" s="410"/>
      <c r="AR442" s="411"/>
      <c r="AS442" s="488"/>
      <c r="AT442" s="489"/>
      <c r="AU442" s="489"/>
      <c r="AV442" s="489"/>
      <c r="AW442" s="489"/>
      <c r="AX442" s="489"/>
      <c r="AY442" s="490"/>
      <c r="AZ442" s="464"/>
      <c r="BA442" s="465"/>
      <c r="BB442" s="62">
        <v>6</v>
      </c>
      <c r="BC442" s="426"/>
      <c r="BD442" s="427"/>
      <c r="BE442" s="427"/>
      <c r="BF442" s="428"/>
      <c r="BG442" s="429"/>
      <c r="BH442" s="430"/>
      <c r="BI442" s="196"/>
      <c r="BJ442" s="474"/>
      <c r="BK442" s="475"/>
      <c r="BL442" s="475"/>
      <c r="BM442" s="475"/>
      <c r="BN442" s="475"/>
      <c r="BO442" s="476"/>
      <c r="BP442" s="474"/>
      <c r="BQ442" s="475"/>
      <c r="BR442" s="475"/>
      <c r="BS442" s="475"/>
      <c r="BT442" s="475"/>
      <c r="BU442" s="476"/>
      <c r="BV442" s="474"/>
      <c r="BW442" s="475"/>
      <c r="BX442" s="475"/>
      <c r="BY442" s="475"/>
      <c r="BZ442" s="475"/>
      <c r="CA442" s="476"/>
      <c r="CB442" s="426"/>
      <c r="CC442" s="427"/>
      <c r="CD442" s="427"/>
      <c r="CE442" s="428"/>
      <c r="CF442" s="412"/>
      <c r="CG442" s="413"/>
      <c r="CH442" s="413"/>
      <c r="CI442" s="413"/>
      <c r="CJ442" s="414"/>
      <c r="CK442" s="412"/>
      <c r="CL442" s="413"/>
      <c r="CM442" s="413"/>
      <c r="CN442" s="413"/>
      <c r="CO442" s="414"/>
      <c r="CP442" s="412"/>
      <c r="CQ442" s="413"/>
      <c r="CR442" s="413"/>
      <c r="CS442" s="413"/>
      <c r="CT442" s="414"/>
      <c r="CU442" s="415"/>
      <c r="CV442" s="416"/>
      <c r="CW442" s="416"/>
      <c r="CX442" s="416"/>
      <c r="CY442" s="417"/>
    </row>
    <row r="443" spans="1:103" ht="16.5">
      <c r="A443" s="434">
        <v>73</v>
      </c>
      <c r="B443" s="36"/>
      <c r="C443" s="198" t="str">
        <f t="shared" ca="1" si="8"/>
        <v/>
      </c>
      <c r="D443" s="477"/>
      <c r="E443" s="478"/>
      <c r="F443" s="478"/>
      <c r="G443" s="478"/>
      <c r="H443" s="478"/>
      <c r="I443" s="478"/>
      <c r="J443" s="478"/>
      <c r="K443" s="438" t="s">
        <v>422</v>
      </c>
      <c r="L443" s="439"/>
      <c r="M443" s="439"/>
      <c r="N443" s="439"/>
      <c r="O443" s="439"/>
      <c r="P443" s="439"/>
      <c r="Q443" s="439"/>
      <c r="R443" s="442" t="s">
        <v>186</v>
      </c>
      <c r="S443" s="443"/>
      <c r="T443" s="442"/>
      <c r="U443" s="443"/>
      <c r="V443" s="438"/>
      <c r="W443" s="439"/>
      <c r="X443" s="439"/>
      <c r="Y443" s="439"/>
      <c r="Z443" s="439"/>
      <c r="AA443" s="439"/>
      <c r="AB443" s="439"/>
      <c r="AC443" s="439"/>
      <c r="AD443" s="438"/>
      <c r="AE443" s="439"/>
      <c r="AF443" s="439"/>
      <c r="AG443" s="439"/>
      <c r="AH443" s="439"/>
      <c r="AI443" s="439"/>
      <c r="AJ443" s="439"/>
      <c r="AK443" s="449"/>
      <c r="AL443" s="438"/>
      <c r="AM443" s="439"/>
      <c r="AN443" s="439"/>
      <c r="AO443" s="439"/>
      <c r="AP443" s="439"/>
      <c r="AQ443" s="439"/>
      <c r="AR443" s="449"/>
      <c r="AS443" s="500"/>
      <c r="AT443" s="483"/>
      <c r="AU443" s="483"/>
      <c r="AV443" s="483"/>
      <c r="AW443" s="483"/>
      <c r="AX443" s="483"/>
      <c r="AY443" s="484"/>
      <c r="AZ443" s="460"/>
      <c r="BA443" s="461"/>
      <c r="BB443" s="60">
        <v>1</v>
      </c>
      <c r="BC443" s="466"/>
      <c r="BD443" s="467"/>
      <c r="BE443" s="467"/>
      <c r="BF443" s="468"/>
      <c r="BG443" s="469"/>
      <c r="BH443" s="470"/>
      <c r="BI443" s="194"/>
      <c r="BJ443" s="471"/>
      <c r="BK443" s="472"/>
      <c r="BL443" s="472"/>
      <c r="BM443" s="472"/>
      <c r="BN443" s="472"/>
      <c r="BO443" s="473"/>
      <c r="BP443" s="471"/>
      <c r="BQ443" s="472"/>
      <c r="BR443" s="472"/>
      <c r="BS443" s="472"/>
      <c r="BT443" s="472"/>
      <c r="BU443" s="473"/>
      <c r="BV443" s="471"/>
      <c r="BW443" s="472"/>
      <c r="BX443" s="472"/>
      <c r="BY443" s="472"/>
      <c r="BZ443" s="472"/>
      <c r="CA443" s="473"/>
      <c r="CB443" s="466"/>
      <c r="CC443" s="467"/>
      <c r="CD443" s="467"/>
      <c r="CE443" s="468"/>
      <c r="CF443" s="409"/>
      <c r="CG443" s="410"/>
      <c r="CH443" s="410"/>
      <c r="CI443" s="410"/>
      <c r="CJ443" s="411"/>
      <c r="CK443" s="409"/>
      <c r="CL443" s="410"/>
      <c r="CM443" s="410"/>
      <c r="CN443" s="410"/>
      <c r="CO443" s="411"/>
      <c r="CP443" s="409"/>
      <c r="CQ443" s="410"/>
      <c r="CR443" s="410"/>
      <c r="CS443" s="410"/>
      <c r="CT443" s="411"/>
      <c r="CU443" s="415"/>
      <c r="CV443" s="416"/>
      <c r="CW443" s="416"/>
      <c r="CX443" s="416"/>
      <c r="CY443" s="417"/>
    </row>
    <row r="444" spans="1:103" ht="16.5">
      <c r="A444" s="435"/>
      <c r="B444" s="36"/>
      <c r="C444" s="199" t="str">
        <f t="shared" ca="1" si="8"/>
        <v/>
      </c>
      <c r="D444" s="479"/>
      <c r="E444" s="480"/>
      <c r="F444" s="480"/>
      <c r="G444" s="480"/>
      <c r="H444" s="480"/>
      <c r="I444" s="480"/>
      <c r="J444" s="480"/>
      <c r="K444" s="440"/>
      <c r="L444" s="441"/>
      <c r="M444" s="441"/>
      <c r="N444" s="441"/>
      <c r="O444" s="441"/>
      <c r="P444" s="441"/>
      <c r="Q444" s="441"/>
      <c r="R444" s="444"/>
      <c r="S444" s="445"/>
      <c r="T444" s="444"/>
      <c r="U444" s="445"/>
      <c r="V444" s="440"/>
      <c r="W444" s="441"/>
      <c r="X444" s="441"/>
      <c r="Y444" s="441"/>
      <c r="Z444" s="441"/>
      <c r="AA444" s="441"/>
      <c r="AB444" s="441"/>
      <c r="AC444" s="441"/>
      <c r="AD444" s="440"/>
      <c r="AE444" s="441"/>
      <c r="AF444" s="441"/>
      <c r="AG444" s="441"/>
      <c r="AH444" s="441"/>
      <c r="AI444" s="441"/>
      <c r="AJ444" s="441"/>
      <c r="AK444" s="450"/>
      <c r="AL444" s="440"/>
      <c r="AM444" s="441"/>
      <c r="AN444" s="441"/>
      <c r="AO444" s="441"/>
      <c r="AP444" s="441"/>
      <c r="AQ444" s="441"/>
      <c r="AR444" s="450"/>
      <c r="AS444" s="485"/>
      <c r="AT444" s="486"/>
      <c r="AU444" s="486"/>
      <c r="AV444" s="486"/>
      <c r="AW444" s="486"/>
      <c r="AX444" s="486"/>
      <c r="AY444" s="487"/>
      <c r="AZ444" s="462"/>
      <c r="BA444" s="463"/>
      <c r="BB444" s="61">
        <v>2</v>
      </c>
      <c r="BC444" s="418"/>
      <c r="BD444" s="419"/>
      <c r="BE444" s="419"/>
      <c r="BF444" s="420"/>
      <c r="BG444" s="421"/>
      <c r="BH444" s="422"/>
      <c r="BI444" s="195"/>
      <c r="BJ444" s="423"/>
      <c r="BK444" s="424"/>
      <c r="BL444" s="424"/>
      <c r="BM444" s="424"/>
      <c r="BN444" s="424"/>
      <c r="BO444" s="425"/>
      <c r="BP444" s="423"/>
      <c r="BQ444" s="424"/>
      <c r="BR444" s="424"/>
      <c r="BS444" s="424"/>
      <c r="BT444" s="424"/>
      <c r="BU444" s="425"/>
      <c r="BV444" s="423"/>
      <c r="BW444" s="424"/>
      <c r="BX444" s="424"/>
      <c r="BY444" s="424"/>
      <c r="BZ444" s="424"/>
      <c r="CA444" s="425"/>
      <c r="CB444" s="418"/>
      <c r="CC444" s="419"/>
      <c r="CD444" s="419"/>
      <c r="CE444" s="420"/>
      <c r="CF444" s="412"/>
      <c r="CG444" s="413"/>
      <c r="CH444" s="413"/>
      <c r="CI444" s="413"/>
      <c r="CJ444" s="414"/>
      <c r="CK444" s="412"/>
      <c r="CL444" s="413"/>
      <c r="CM444" s="413"/>
      <c r="CN444" s="413"/>
      <c r="CO444" s="414"/>
      <c r="CP444" s="412"/>
      <c r="CQ444" s="413"/>
      <c r="CR444" s="413"/>
      <c r="CS444" s="413"/>
      <c r="CT444" s="414"/>
      <c r="CU444" s="415"/>
      <c r="CV444" s="416"/>
      <c r="CW444" s="416"/>
      <c r="CX444" s="416"/>
      <c r="CY444" s="417"/>
    </row>
    <row r="445" spans="1:103" ht="16.5">
      <c r="A445" s="435"/>
      <c r="B445" s="36"/>
      <c r="C445" s="199" t="str">
        <f t="shared" ca="1" si="8"/>
        <v/>
      </c>
      <c r="D445" s="479"/>
      <c r="E445" s="480"/>
      <c r="F445" s="480"/>
      <c r="G445" s="480"/>
      <c r="H445" s="480"/>
      <c r="I445" s="480"/>
      <c r="J445" s="480"/>
      <c r="K445" s="440"/>
      <c r="L445" s="441"/>
      <c r="M445" s="441"/>
      <c r="N445" s="441"/>
      <c r="O445" s="441"/>
      <c r="P445" s="441"/>
      <c r="Q445" s="441"/>
      <c r="R445" s="444"/>
      <c r="S445" s="445"/>
      <c r="T445" s="444"/>
      <c r="U445" s="445"/>
      <c r="V445" s="440"/>
      <c r="W445" s="441"/>
      <c r="X445" s="441"/>
      <c r="Y445" s="441"/>
      <c r="Z445" s="441"/>
      <c r="AA445" s="441"/>
      <c r="AB445" s="441"/>
      <c r="AC445" s="441"/>
      <c r="AD445" s="440"/>
      <c r="AE445" s="441"/>
      <c r="AF445" s="441"/>
      <c r="AG445" s="441"/>
      <c r="AH445" s="441"/>
      <c r="AI445" s="441"/>
      <c r="AJ445" s="441"/>
      <c r="AK445" s="450"/>
      <c r="AL445" s="440"/>
      <c r="AM445" s="441"/>
      <c r="AN445" s="441"/>
      <c r="AO445" s="441"/>
      <c r="AP445" s="441"/>
      <c r="AQ445" s="441"/>
      <c r="AR445" s="450"/>
      <c r="AS445" s="485"/>
      <c r="AT445" s="486"/>
      <c r="AU445" s="486"/>
      <c r="AV445" s="486"/>
      <c r="AW445" s="486"/>
      <c r="AX445" s="486"/>
      <c r="AY445" s="487"/>
      <c r="AZ445" s="462"/>
      <c r="BA445" s="463"/>
      <c r="BB445" s="61">
        <v>3</v>
      </c>
      <c r="BC445" s="418"/>
      <c r="BD445" s="419"/>
      <c r="BE445" s="419"/>
      <c r="BF445" s="420"/>
      <c r="BG445" s="421"/>
      <c r="BH445" s="422"/>
      <c r="BI445" s="195"/>
      <c r="BJ445" s="423"/>
      <c r="BK445" s="424"/>
      <c r="BL445" s="424"/>
      <c r="BM445" s="424"/>
      <c r="BN445" s="424"/>
      <c r="BO445" s="425"/>
      <c r="BP445" s="423"/>
      <c r="BQ445" s="424"/>
      <c r="BR445" s="424"/>
      <c r="BS445" s="424"/>
      <c r="BT445" s="424"/>
      <c r="BU445" s="425"/>
      <c r="BV445" s="423"/>
      <c r="BW445" s="424"/>
      <c r="BX445" s="424"/>
      <c r="BY445" s="424"/>
      <c r="BZ445" s="424"/>
      <c r="CA445" s="425"/>
      <c r="CB445" s="418"/>
      <c r="CC445" s="419"/>
      <c r="CD445" s="419"/>
      <c r="CE445" s="420"/>
      <c r="CF445" s="412"/>
      <c r="CG445" s="413"/>
      <c r="CH445" s="413"/>
      <c r="CI445" s="413"/>
      <c r="CJ445" s="414"/>
      <c r="CK445" s="412"/>
      <c r="CL445" s="413"/>
      <c r="CM445" s="413"/>
      <c r="CN445" s="413"/>
      <c r="CO445" s="414"/>
      <c r="CP445" s="412"/>
      <c r="CQ445" s="413"/>
      <c r="CR445" s="413"/>
      <c r="CS445" s="413"/>
      <c r="CT445" s="414"/>
      <c r="CU445" s="415"/>
      <c r="CV445" s="416"/>
      <c r="CW445" s="416"/>
      <c r="CX445" s="416"/>
      <c r="CY445" s="417"/>
    </row>
    <row r="446" spans="1:103" ht="16.5">
      <c r="A446" s="435"/>
      <c r="B446" s="36"/>
      <c r="C446" s="199" t="str">
        <f t="shared" ca="1" si="8"/>
        <v/>
      </c>
      <c r="D446" s="479"/>
      <c r="E446" s="480"/>
      <c r="F446" s="480"/>
      <c r="G446" s="480"/>
      <c r="H446" s="480"/>
      <c r="I446" s="480"/>
      <c r="J446" s="480"/>
      <c r="K446" s="440"/>
      <c r="L446" s="441"/>
      <c r="M446" s="441"/>
      <c r="N446" s="441"/>
      <c r="O446" s="441"/>
      <c r="P446" s="441"/>
      <c r="Q446" s="441"/>
      <c r="R446" s="444"/>
      <c r="S446" s="445"/>
      <c r="T446" s="444"/>
      <c r="U446" s="445"/>
      <c r="V446" s="440"/>
      <c r="W446" s="441"/>
      <c r="X446" s="441"/>
      <c r="Y446" s="441"/>
      <c r="Z446" s="441"/>
      <c r="AA446" s="441"/>
      <c r="AB446" s="441"/>
      <c r="AC446" s="441"/>
      <c r="AD446" s="440"/>
      <c r="AE446" s="441"/>
      <c r="AF446" s="441"/>
      <c r="AG446" s="441"/>
      <c r="AH446" s="441"/>
      <c r="AI446" s="441"/>
      <c r="AJ446" s="441"/>
      <c r="AK446" s="450"/>
      <c r="AL446" s="440"/>
      <c r="AM446" s="441"/>
      <c r="AN446" s="441"/>
      <c r="AO446" s="441"/>
      <c r="AP446" s="441"/>
      <c r="AQ446" s="441"/>
      <c r="AR446" s="450"/>
      <c r="AS446" s="485"/>
      <c r="AT446" s="486"/>
      <c r="AU446" s="486"/>
      <c r="AV446" s="486"/>
      <c r="AW446" s="486"/>
      <c r="AX446" s="486"/>
      <c r="AY446" s="487"/>
      <c r="AZ446" s="462"/>
      <c r="BA446" s="463"/>
      <c r="BB446" s="61">
        <v>4</v>
      </c>
      <c r="BC446" s="418"/>
      <c r="BD446" s="419"/>
      <c r="BE446" s="419"/>
      <c r="BF446" s="420"/>
      <c r="BG446" s="421"/>
      <c r="BH446" s="422"/>
      <c r="BI446" s="195"/>
      <c r="BJ446" s="423"/>
      <c r="BK446" s="424"/>
      <c r="BL446" s="424"/>
      <c r="BM446" s="424"/>
      <c r="BN446" s="424"/>
      <c r="BO446" s="425"/>
      <c r="BP446" s="423"/>
      <c r="BQ446" s="424"/>
      <c r="BR446" s="424"/>
      <c r="BS446" s="424"/>
      <c r="BT446" s="424"/>
      <c r="BU446" s="425"/>
      <c r="BV446" s="423"/>
      <c r="BW446" s="424"/>
      <c r="BX446" s="424"/>
      <c r="BY446" s="424"/>
      <c r="BZ446" s="424"/>
      <c r="CA446" s="425"/>
      <c r="CB446" s="418"/>
      <c r="CC446" s="419"/>
      <c r="CD446" s="419"/>
      <c r="CE446" s="420"/>
      <c r="CF446" s="412"/>
      <c r="CG446" s="413"/>
      <c r="CH446" s="413"/>
      <c r="CI446" s="413"/>
      <c r="CJ446" s="414"/>
      <c r="CK446" s="412"/>
      <c r="CL446" s="413"/>
      <c r="CM446" s="413"/>
      <c r="CN446" s="413"/>
      <c r="CO446" s="414"/>
      <c r="CP446" s="412"/>
      <c r="CQ446" s="413"/>
      <c r="CR446" s="413"/>
      <c r="CS446" s="413"/>
      <c r="CT446" s="414"/>
      <c r="CU446" s="415"/>
      <c r="CV446" s="416"/>
      <c r="CW446" s="416"/>
      <c r="CX446" s="416"/>
      <c r="CY446" s="417"/>
    </row>
    <row r="447" spans="1:103" ht="16.5">
      <c r="A447" s="435"/>
      <c r="B447" s="36"/>
      <c r="C447" s="199" t="str">
        <f t="shared" ca="1" si="8"/>
        <v/>
      </c>
      <c r="D447" s="479"/>
      <c r="E447" s="480"/>
      <c r="F447" s="480"/>
      <c r="G447" s="480"/>
      <c r="H447" s="480"/>
      <c r="I447" s="480"/>
      <c r="J447" s="480"/>
      <c r="K447" s="440"/>
      <c r="L447" s="441"/>
      <c r="M447" s="441"/>
      <c r="N447" s="441"/>
      <c r="O447" s="441"/>
      <c r="P447" s="441"/>
      <c r="Q447" s="441"/>
      <c r="R447" s="444"/>
      <c r="S447" s="445"/>
      <c r="T447" s="444"/>
      <c r="U447" s="445"/>
      <c r="V447" s="440"/>
      <c r="W447" s="441"/>
      <c r="X447" s="441"/>
      <c r="Y447" s="441"/>
      <c r="Z447" s="441"/>
      <c r="AA447" s="441"/>
      <c r="AB447" s="441"/>
      <c r="AC447" s="441"/>
      <c r="AD447" s="440"/>
      <c r="AE447" s="441"/>
      <c r="AF447" s="441"/>
      <c r="AG447" s="441"/>
      <c r="AH447" s="441"/>
      <c r="AI447" s="441"/>
      <c r="AJ447" s="441"/>
      <c r="AK447" s="450"/>
      <c r="AL447" s="440"/>
      <c r="AM447" s="441"/>
      <c r="AN447" s="441"/>
      <c r="AO447" s="441"/>
      <c r="AP447" s="441"/>
      <c r="AQ447" s="441"/>
      <c r="AR447" s="450"/>
      <c r="AS447" s="485"/>
      <c r="AT447" s="486"/>
      <c r="AU447" s="486"/>
      <c r="AV447" s="486"/>
      <c r="AW447" s="486"/>
      <c r="AX447" s="486"/>
      <c r="AY447" s="487"/>
      <c r="AZ447" s="462"/>
      <c r="BA447" s="463"/>
      <c r="BB447" s="61">
        <v>5</v>
      </c>
      <c r="BC447" s="418"/>
      <c r="BD447" s="419"/>
      <c r="BE447" s="419"/>
      <c r="BF447" s="420"/>
      <c r="BG447" s="421"/>
      <c r="BH447" s="422"/>
      <c r="BI447" s="195"/>
      <c r="BJ447" s="423"/>
      <c r="BK447" s="424"/>
      <c r="BL447" s="424"/>
      <c r="BM447" s="424"/>
      <c r="BN447" s="424"/>
      <c r="BO447" s="425"/>
      <c r="BP447" s="423"/>
      <c r="BQ447" s="424"/>
      <c r="BR447" s="424"/>
      <c r="BS447" s="424"/>
      <c r="BT447" s="424"/>
      <c r="BU447" s="425"/>
      <c r="BV447" s="423"/>
      <c r="BW447" s="424"/>
      <c r="BX447" s="424"/>
      <c r="BY447" s="424"/>
      <c r="BZ447" s="424"/>
      <c r="CA447" s="425"/>
      <c r="CB447" s="418"/>
      <c r="CC447" s="419"/>
      <c r="CD447" s="419"/>
      <c r="CE447" s="420"/>
      <c r="CF447" s="412"/>
      <c r="CG447" s="413"/>
      <c r="CH447" s="413"/>
      <c r="CI447" s="413"/>
      <c r="CJ447" s="414"/>
      <c r="CK447" s="412"/>
      <c r="CL447" s="413"/>
      <c r="CM447" s="413"/>
      <c r="CN447" s="413"/>
      <c r="CO447" s="414"/>
      <c r="CP447" s="412"/>
      <c r="CQ447" s="413"/>
      <c r="CR447" s="413"/>
      <c r="CS447" s="413"/>
      <c r="CT447" s="414"/>
      <c r="CU447" s="415"/>
      <c r="CV447" s="416"/>
      <c r="CW447" s="416"/>
      <c r="CX447" s="416"/>
      <c r="CY447" s="417"/>
    </row>
    <row r="448" spans="1:103" ht="16.5">
      <c r="A448" s="436"/>
      <c r="B448" s="37"/>
      <c r="C448" s="200" t="str">
        <f t="shared" ca="1" si="8"/>
        <v/>
      </c>
      <c r="D448" s="481"/>
      <c r="E448" s="482"/>
      <c r="F448" s="482"/>
      <c r="G448" s="482"/>
      <c r="H448" s="482"/>
      <c r="I448" s="482"/>
      <c r="J448" s="482"/>
      <c r="K448" s="409"/>
      <c r="L448" s="410"/>
      <c r="M448" s="410"/>
      <c r="N448" s="410"/>
      <c r="O448" s="410"/>
      <c r="P448" s="410"/>
      <c r="Q448" s="410"/>
      <c r="R448" s="446"/>
      <c r="S448" s="447"/>
      <c r="T448" s="446"/>
      <c r="U448" s="447"/>
      <c r="V448" s="409"/>
      <c r="W448" s="410"/>
      <c r="X448" s="410"/>
      <c r="Y448" s="410"/>
      <c r="Z448" s="410"/>
      <c r="AA448" s="410"/>
      <c r="AB448" s="410"/>
      <c r="AC448" s="410"/>
      <c r="AD448" s="409"/>
      <c r="AE448" s="410"/>
      <c r="AF448" s="410"/>
      <c r="AG448" s="410"/>
      <c r="AH448" s="410"/>
      <c r="AI448" s="410"/>
      <c r="AJ448" s="410"/>
      <c r="AK448" s="411"/>
      <c r="AL448" s="409"/>
      <c r="AM448" s="410"/>
      <c r="AN448" s="410"/>
      <c r="AO448" s="410"/>
      <c r="AP448" s="410"/>
      <c r="AQ448" s="410"/>
      <c r="AR448" s="411"/>
      <c r="AS448" s="488"/>
      <c r="AT448" s="489"/>
      <c r="AU448" s="489"/>
      <c r="AV448" s="489"/>
      <c r="AW448" s="489"/>
      <c r="AX448" s="489"/>
      <c r="AY448" s="490"/>
      <c r="AZ448" s="464"/>
      <c r="BA448" s="465"/>
      <c r="BB448" s="62">
        <v>6</v>
      </c>
      <c r="BC448" s="426"/>
      <c r="BD448" s="427"/>
      <c r="BE448" s="427"/>
      <c r="BF448" s="428"/>
      <c r="BG448" s="429"/>
      <c r="BH448" s="430"/>
      <c r="BI448" s="196"/>
      <c r="BJ448" s="474"/>
      <c r="BK448" s="475"/>
      <c r="BL448" s="475"/>
      <c r="BM448" s="475"/>
      <c r="BN448" s="475"/>
      <c r="BO448" s="476"/>
      <c r="BP448" s="474"/>
      <c r="BQ448" s="475"/>
      <c r="BR448" s="475"/>
      <c r="BS448" s="475"/>
      <c r="BT448" s="475"/>
      <c r="BU448" s="476"/>
      <c r="BV448" s="474"/>
      <c r="BW448" s="475"/>
      <c r="BX448" s="475"/>
      <c r="BY448" s="475"/>
      <c r="BZ448" s="475"/>
      <c r="CA448" s="476"/>
      <c r="CB448" s="426"/>
      <c r="CC448" s="427"/>
      <c r="CD448" s="427"/>
      <c r="CE448" s="428"/>
      <c r="CF448" s="412"/>
      <c r="CG448" s="413"/>
      <c r="CH448" s="413"/>
      <c r="CI448" s="413"/>
      <c r="CJ448" s="414"/>
      <c r="CK448" s="412"/>
      <c r="CL448" s="413"/>
      <c r="CM448" s="413"/>
      <c r="CN448" s="413"/>
      <c r="CO448" s="414"/>
      <c r="CP448" s="412"/>
      <c r="CQ448" s="413"/>
      <c r="CR448" s="413"/>
      <c r="CS448" s="413"/>
      <c r="CT448" s="414"/>
      <c r="CU448" s="415"/>
      <c r="CV448" s="416"/>
      <c r="CW448" s="416"/>
      <c r="CX448" s="416"/>
      <c r="CY448" s="417"/>
    </row>
    <row r="449" spans="1:103" ht="16.5">
      <c r="A449" s="434">
        <v>74</v>
      </c>
      <c r="B449" s="36"/>
      <c r="C449" s="198" t="str">
        <f t="shared" ca="1" si="8"/>
        <v/>
      </c>
      <c r="D449" s="477" t="s">
        <v>423</v>
      </c>
      <c r="E449" s="478"/>
      <c r="F449" s="478"/>
      <c r="G449" s="478"/>
      <c r="H449" s="478"/>
      <c r="I449" s="478"/>
      <c r="J449" s="478"/>
      <c r="K449" s="438" t="s">
        <v>424</v>
      </c>
      <c r="L449" s="439"/>
      <c r="M449" s="439"/>
      <c r="N449" s="439"/>
      <c r="O449" s="439"/>
      <c r="P449" s="439"/>
      <c r="Q449" s="439"/>
      <c r="R449" s="442" t="s">
        <v>186</v>
      </c>
      <c r="S449" s="443"/>
      <c r="T449" s="442"/>
      <c r="U449" s="443"/>
      <c r="V449" s="438"/>
      <c r="W449" s="439"/>
      <c r="X449" s="439"/>
      <c r="Y449" s="439"/>
      <c r="Z449" s="439"/>
      <c r="AA449" s="439"/>
      <c r="AB449" s="439"/>
      <c r="AC449" s="439"/>
      <c r="AD449" s="438"/>
      <c r="AE449" s="439"/>
      <c r="AF449" s="439"/>
      <c r="AG449" s="439"/>
      <c r="AH449" s="439"/>
      <c r="AI449" s="439"/>
      <c r="AJ449" s="439"/>
      <c r="AK449" s="449"/>
      <c r="AL449" s="438"/>
      <c r="AM449" s="439"/>
      <c r="AN449" s="439"/>
      <c r="AO449" s="439"/>
      <c r="AP449" s="439"/>
      <c r="AQ449" s="439"/>
      <c r="AR449" s="449"/>
      <c r="AS449" s="500"/>
      <c r="AT449" s="483"/>
      <c r="AU449" s="483"/>
      <c r="AV449" s="483"/>
      <c r="AW449" s="483"/>
      <c r="AX449" s="483"/>
      <c r="AY449" s="484"/>
      <c r="AZ449" s="460"/>
      <c r="BA449" s="461"/>
      <c r="BB449" s="60">
        <v>1</v>
      </c>
      <c r="BC449" s="466"/>
      <c r="BD449" s="467"/>
      <c r="BE449" s="467"/>
      <c r="BF449" s="468"/>
      <c r="BG449" s="469"/>
      <c r="BH449" s="470"/>
      <c r="BI449" s="194"/>
      <c r="BJ449" s="471"/>
      <c r="BK449" s="472"/>
      <c r="BL449" s="472"/>
      <c r="BM449" s="472"/>
      <c r="BN449" s="472"/>
      <c r="BO449" s="473"/>
      <c r="BP449" s="471"/>
      <c r="BQ449" s="472"/>
      <c r="BR449" s="472"/>
      <c r="BS449" s="472"/>
      <c r="BT449" s="472"/>
      <c r="BU449" s="473"/>
      <c r="BV449" s="471"/>
      <c r="BW449" s="472"/>
      <c r="BX449" s="472"/>
      <c r="BY449" s="472"/>
      <c r="BZ449" s="472"/>
      <c r="CA449" s="473"/>
      <c r="CB449" s="466"/>
      <c r="CC449" s="467"/>
      <c r="CD449" s="467"/>
      <c r="CE449" s="468"/>
      <c r="CF449" s="409"/>
      <c r="CG449" s="410"/>
      <c r="CH449" s="410"/>
      <c r="CI449" s="410"/>
      <c r="CJ449" s="411"/>
      <c r="CK449" s="409"/>
      <c r="CL449" s="410"/>
      <c r="CM449" s="410"/>
      <c r="CN449" s="410"/>
      <c r="CO449" s="411"/>
      <c r="CP449" s="409"/>
      <c r="CQ449" s="410"/>
      <c r="CR449" s="410"/>
      <c r="CS449" s="410"/>
      <c r="CT449" s="411"/>
      <c r="CU449" s="415"/>
      <c r="CV449" s="416"/>
      <c r="CW449" s="416"/>
      <c r="CX449" s="416"/>
      <c r="CY449" s="417"/>
    </row>
    <row r="450" spans="1:103" ht="16.5">
      <c r="A450" s="435"/>
      <c r="B450" s="36"/>
      <c r="C450" s="199" t="str">
        <f t="shared" ca="1" si="8"/>
        <v/>
      </c>
      <c r="D450" s="479"/>
      <c r="E450" s="480"/>
      <c r="F450" s="480"/>
      <c r="G450" s="480"/>
      <c r="H450" s="480"/>
      <c r="I450" s="480"/>
      <c r="J450" s="480"/>
      <c r="K450" s="440"/>
      <c r="L450" s="441"/>
      <c r="M450" s="441"/>
      <c r="N450" s="441"/>
      <c r="O450" s="441"/>
      <c r="P450" s="441"/>
      <c r="Q450" s="441"/>
      <c r="R450" s="444"/>
      <c r="S450" s="445"/>
      <c r="T450" s="444"/>
      <c r="U450" s="445"/>
      <c r="V450" s="440"/>
      <c r="W450" s="441"/>
      <c r="X450" s="441"/>
      <c r="Y450" s="441"/>
      <c r="Z450" s="441"/>
      <c r="AA450" s="441"/>
      <c r="AB450" s="441"/>
      <c r="AC450" s="441"/>
      <c r="AD450" s="440"/>
      <c r="AE450" s="441"/>
      <c r="AF450" s="441"/>
      <c r="AG450" s="441"/>
      <c r="AH450" s="441"/>
      <c r="AI450" s="441"/>
      <c r="AJ450" s="441"/>
      <c r="AK450" s="450"/>
      <c r="AL450" s="440"/>
      <c r="AM450" s="441"/>
      <c r="AN450" s="441"/>
      <c r="AO450" s="441"/>
      <c r="AP450" s="441"/>
      <c r="AQ450" s="441"/>
      <c r="AR450" s="450"/>
      <c r="AS450" s="485"/>
      <c r="AT450" s="486"/>
      <c r="AU450" s="486"/>
      <c r="AV450" s="486"/>
      <c r="AW450" s="486"/>
      <c r="AX450" s="486"/>
      <c r="AY450" s="487"/>
      <c r="AZ450" s="462"/>
      <c r="BA450" s="463"/>
      <c r="BB450" s="61">
        <v>2</v>
      </c>
      <c r="BC450" s="418"/>
      <c r="BD450" s="419"/>
      <c r="BE450" s="419"/>
      <c r="BF450" s="420"/>
      <c r="BG450" s="421"/>
      <c r="BH450" s="422"/>
      <c r="BI450" s="195"/>
      <c r="BJ450" s="423"/>
      <c r="BK450" s="424"/>
      <c r="BL450" s="424"/>
      <c r="BM450" s="424"/>
      <c r="BN450" s="424"/>
      <c r="BO450" s="425"/>
      <c r="BP450" s="423"/>
      <c r="BQ450" s="424"/>
      <c r="BR450" s="424"/>
      <c r="BS450" s="424"/>
      <c r="BT450" s="424"/>
      <c r="BU450" s="425"/>
      <c r="BV450" s="423"/>
      <c r="BW450" s="424"/>
      <c r="BX450" s="424"/>
      <c r="BY450" s="424"/>
      <c r="BZ450" s="424"/>
      <c r="CA450" s="425"/>
      <c r="CB450" s="418"/>
      <c r="CC450" s="419"/>
      <c r="CD450" s="419"/>
      <c r="CE450" s="420"/>
      <c r="CF450" s="412"/>
      <c r="CG450" s="413"/>
      <c r="CH450" s="413"/>
      <c r="CI450" s="413"/>
      <c r="CJ450" s="414"/>
      <c r="CK450" s="412"/>
      <c r="CL450" s="413"/>
      <c r="CM450" s="413"/>
      <c r="CN450" s="413"/>
      <c r="CO450" s="414"/>
      <c r="CP450" s="412"/>
      <c r="CQ450" s="413"/>
      <c r="CR450" s="413"/>
      <c r="CS450" s="413"/>
      <c r="CT450" s="414"/>
      <c r="CU450" s="415"/>
      <c r="CV450" s="416"/>
      <c r="CW450" s="416"/>
      <c r="CX450" s="416"/>
      <c r="CY450" s="417"/>
    </row>
    <row r="451" spans="1:103" ht="16.5">
      <c r="A451" s="435"/>
      <c r="B451" s="36"/>
      <c r="C451" s="199" t="str">
        <f t="shared" ca="1" si="8"/>
        <v/>
      </c>
      <c r="D451" s="479"/>
      <c r="E451" s="480"/>
      <c r="F451" s="480"/>
      <c r="G451" s="480"/>
      <c r="H451" s="480"/>
      <c r="I451" s="480"/>
      <c r="J451" s="480"/>
      <c r="K451" s="440"/>
      <c r="L451" s="441"/>
      <c r="M451" s="441"/>
      <c r="N451" s="441"/>
      <c r="O451" s="441"/>
      <c r="P451" s="441"/>
      <c r="Q451" s="441"/>
      <c r="R451" s="444"/>
      <c r="S451" s="445"/>
      <c r="T451" s="444"/>
      <c r="U451" s="445"/>
      <c r="V451" s="440"/>
      <c r="W451" s="441"/>
      <c r="X451" s="441"/>
      <c r="Y451" s="441"/>
      <c r="Z451" s="441"/>
      <c r="AA451" s="441"/>
      <c r="AB451" s="441"/>
      <c r="AC451" s="441"/>
      <c r="AD451" s="440"/>
      <c r="AE451" s="441"/>
      <c r="AF451" s="441"/>
      <c r="AG451" s="441"/>
      <c r="AH451" s="441"/>
      <c r="AI451" s="441"/>
      <c r="AJ451" s="441"/>
      <c r="AK451" s="450"/>
      <c r="AL451" s="440"/>
      <c r="AM451" s="441"/>
      <c r="AN451" s="441"/>
      <c r="AO451" s="441"/>
      <c r="AP451" s="441"/>
      <c r="AQ451" s="441"/>
      <c r="AR451" s="450"/>
      <c r="AS451" s="485"/>
      <c r="AT451" s="486"/>
      <c r="AU451" s="486"/>
      <c r="AV451" s="486"/>
      <c r="AW451" s="486"/>
      <c r="AX451" s="486"/>
      <c r="AY451" s="487"/>
      <c r="AZ451" s="462"/>
      <c r="BA451" s="463"/>
      <c r="BB451" s="61">
        <v>3</v>
      </c>
      <c r="BC451" s="418"/>
      <c r="BD451" s="419"/>
      <c r="BE451" s="419"/>
      <c r="BF451" s="420"/>
      <c r="BG451" s="421"/>
      <c r="BH451" s="422"/>
      <c r="BI451" s="195"/>
      <c r="BJ451" s="423"/>
      <c r="BK451" s="424"/>
      <c r="BL451" s="424"/>
      <c r="BM451" s="424"/>
      <c r="BN451" s="424"/>
      <c r="BO451" s="425"/>
      <c r="BP451" s="423"/>
      <c r="BQ451" s="424"/>
      <c r="BR451" s="424"/>
      <c r="BS451" s="424"/>
      <c r="BT451" s="424"/>
      <c r="BU451" s="425"/>
      <c r="BV451" s="423"/>
      <c r="BW451" s="424"/>
      <c r="BX451" s="424"/>
      <c r="BY451" s="424"/>
      <c r="BZ451" s="424"/>
      <c r="CA451" s="425"/>
      <c r="CB451" s="418"/>
      <c r="CC451" s="419"/>
      <c r="CD451" s="419"/>
      <c r="CE451" s="420"/>
      <c r="CF451" s="412"/>
      <c r="CG451" s="413"/>
      <c r="CH451" s="413"/>
      <c r="CI451" s="413"/>
      <c r="CJ451" s="414"/>
      <c r="CK451" s="412"/>
      <c r="CL451" s="413"/>
      <c r="CM451" s="413"/>
      <c r="CN451" s="413"/>
      <c r="CO451" s="414"/>
      <c r="CP451" s="412"/>
      <c r="CQ451" s="413"/>
      <c r="CR451" s="413"/>
      <c r="CS451" s="413"/>
      <c r="CT451" s="414"/>
      <c r="CU451" s="415"/>
      <c r="CV451" s="416"/>
      <c r="CW451" s="416"/>
      <c r="CX451" s="416"/>
      <c r="CY451" s="417"/>
    </row>
    <row r="452" spans="1:103" ht="16.5">
      <c r="A452" s="435"/>
      <c r="B452" s="36"/>
      <c r="C452" s="199" t="str">
        <f t="shared" ca="1" si="8"/>
        <v/>
      </c>
      <c r="D452" s="479"/>
      <c r="E452" s="480"/>
      <c r="F452" s="480"/>
      <c r="G452" s="480"/>
      <c r="H452" s="480"/>
      <c r="I452" s="480"/>
      <c r="J452" s="480"/>
      <c r="K452" s="440"/>
      <c r="L452" s="441"/>
      <c r="M452" s="441"/>
      <c r="N452" s="441"/>
      <c r="O452" s="441"/>
      <c r="P452" s="441"/>
      <c r="Q452" s="441"/>
      <c r="R452" s="444"/>
      <c r="S452" s="445"/>
      <c r="T452" s="444"/>
      <c r="U452" s="445"/>
      <c r="V452" s="440"/>
      <c r="W452" s="441"/>
      <c r="X452" s="441"/>
      <c r="Y452" s="441"/>
      <c r="Z452" s="441"/>
      <c r="AA452" s="441"/>
      <c r="AB452" s="441"/>
      <c r="AC452" s="441"/>
      <c r="AD452" s="440"/>
      <c r="AE452" s="441"/>
      <c r="AF452" s="441"/>
      <c r="AG452" s="441"/>
      <c r="AH452" s="441"/>
      <c r="AI452" s="441"/>
      <c r="AJ452" s="441"/>
      <c r="AK452" s="450"/>
      <c r="AL452" s="440"/>
      <c r="AM452" s="441"/>
      <c r="AN452" s="441"/>
      <c r="AO452" s="441"/>
      <c r="AP452" s="441"/>
      <c r="AQ452" s="441"/>
      <c r="AR452" s="450"/>
      <c r="AS452" s="485"/>
      <c r="AT452" s="486"/>
      <c r="AU452" s="486"/>
      <c r="AV452" s="486"/>
      <c r="AW452" s="486"/>
      <c r="AX452" s="486"/>
      <c r="AY452" s="487"/>
      <c r="AZ452" s="462"/>
      <c r="BA452" s="463"/>
      <c r="BB452" s="61">
        <v>4</v>
      </c>
      <c r="BC452" s="418"/>
      <c r="BD452" s="419"/>
      <c r="BE452" s="419"/>
      <c r="BF452" s="420"/>
      <c r="BG452" s="421"/>
      <c r="BH452" s="422"/>
      <c r="BI452" s="195"/>
      <c r="BJ452" s="423"/>
      <c r="BK452" s="424"/>
      <c r="BL452" s="424"/>
      <c r="BM452" s="424"/>
      <c r="BN452" s="424"/>
      <c r="BO452" s="425"/>
      <c r="BP452" s="423"/>
      <c r="BQ452" s="424"/>
      <c r="BR452" s="424"/>
      <c r="BS452" s="424"/>
      <c r="BT452" s="424"/>
      <c r="BU452" s="425"/>
      <c r="BV452" s="423"/>
      <c r="BW452" s="424"/>
      <c r="BX452" s="424"/>
      <c r="BY452" s="424"/>
      <c r="BZ452" s="424"/>
      <c r="CA452" s="425"/>
      <c r="CB452" s="418"/>
      <c r="CC452" s="419"/>
      <c r="CD452" s="419"/>
      <c r="CE452" s="420"/>
      <c r="CF452" s="412"/>
      <c r="CG452" s="413"/>
      <c r="CH452" s="413"/>
      <c r="CI452" s="413"/>
      <c r="CJ452" s="414"/>
      <c r="CK452" s="412"/>
      <c r="CL452" s="413"/>
      <c r="CM452" s="413"/>
      <c r="CN452" s="413"/>
      <c r="CO452" s="414"/>
      <c r="CP452" s="412"/>
      <c r="CQ452" s="413"/>
      <c r="CR452" s="413"/>
      <c r="CS452" s="413"/>
      <c r="CT452" s="414"/>
      <c r="CU452" s="415"/>
      <c r="CV452" s="416"/>
      <c r="CW452" s="416"/>
      <c r="CX452" s="416"/>
      <c r="CY452" s="417"/>
    </row>
    <row r="453" spans="1:103" ht="16.5">
      <c r="A453" s="435"/>
      <c r="B453" s="36"/>
      <c r="C453" s="199" t="str">
        <f t="shared" ca="1" si="8"/>
        <v/>
      </c>
      <c r="D453" s="479"/>
      <c r="E453" s="480"/>
      <c r="F453" s="480"/>
      <c r="G453" s="480"/>
      <c r="H453" s="480"/>
      <c r="I453" s="480"/>
      <c r="J453" s="480"/>
      <c r="K453" s="440"/>
      <c r="L453" s="441"/>
      <c r="M453" s="441"/>
      <c r="N453" s="441"/>
      <c r="O453" s="441"/>
      <c r="P453" s="441"/>
      <c r="Q453" s="441"/>
      <c r="R453" s="444"/>
      <c r="S453" s="445"/>
      <c r="T453" s="444"/>
      <c r="U453" s="445"/>
      <c r="V453" s="440"/>
      <c r="W453" s="441"/>
      <c r="X453" s="441"/>
      <c r="Y453" s="441"/>
      <c r="Z453" s="441"/>
      <c r="AA453" s="441"/>
      <c r="AB453" s="441"/>
      <c r="AC453" s="441"/>
      <c r="AD453" s="440"/>
      <c r="AE453" s="441"/>
      <c r="AF453" s="441"/>
      <c r="AG453" s="441"/>
      <c r="AH453" s="441"/>
      <c r="AI453" s="441"/>
      <c r="AJ453" s="441"/>
      <c r="AK453" s="450"/>
      <c r="AL453" s="440"/>
      <c r="AM453" s="441"/>
      <c r="AN453" s="441"/>
      <c r="AO453" s="441"/>
      <c r="AP453" s="441"/>
      <c r="AQ453" s="441"/>
      <c r="AR453" s="450"/>
      <c r="AS453" s="485"/>
      <c r="AT453" s="486"/>
      <c r="AU453" s="486"/>
      <c r="AV453" s="486"/>
      <c r="AW453" s="486"/>
      <c r="AX453" s="486"/>
      <c r="AY453" s="487"/>
      <c r="AZ453" s="462"/>
      <c r="BA453" s="463"/>
      <c r="BB453" s="61">
        <v>5</v>
      </c>
      <c r="BC453" s="418"/>
      <c r="BD453" s="419"/>
      <c r="BE453" s="419"/>
      <c r="BF453" s="420"/>
      <c r="BG453" s="421"/>
      <c r="BH453" s="422"/>
      <c r="BI453" s="195"/>
      <c r="BJ453" s="423"/>
      <c r="BK453" s="424"/>
      <c r="BL453" s="424"/>
      <c r="BM453" s="424"/>
      <c r="BN453" s="424"/>
      <c r="BO453" s="425"/>
      <c r="BP453" s="423"/>
      <c r="BQ453" s="424"/>
      <c r="BR453" s="424"/>
      <c r="BS453" s="424"/>
      <c r="BT453" s="424"/>
      <c r="BU453" s="425"/>
      <c r="BV453" s="423"/>
      <c r="BW453" s="424"/>
      <c r="BX453" s="424"/>
      <c r="BY453" s="424"/>
      <c r="BZ453" s="424"/>
      <c r="CA453" s="425"/>
      <c r="CB453" s="418"/>
      <c r="CC453" s="419"/>
      <c r="CD453" s="419"/>
      <c r="CE453" s="420"/>
      <c r="CF453" s="412"/>
      <c r="CG453" s="413"/>
      <c r="CH453" s="413"/>
      <c r="CI453" s="413"/>
      <c r="CJ453" s="414"/>
      <c r="CK453" s="412"/>
      <c r="CL453" s="413"/>
      <c r="CM453" s="413"/>
      <c r="CN453" s="413"/>
      <c r="CO453" s="414"/>
      <c r="CP453" s="412"/>
      <c r="CQ453" s="413"/>
      <c r="CR453" s="413"/>
      <c r="CS453" s="413"/>
      <c r="CT453" s="414"/>
      <c r="CU453" s="415"/>
      <c r="CV453" s="416"/>
      <c r="CW453" s="416"/>
      <c r="CX453" s="416"/>
      <c r="CY453" s="417"/>
    </row>
    <row r="454" spans="1:103" ht="16.5">
      <c r="A454" s="436"/>
      <c r="B454" s="37"/>
      <c r="C454" s="200" t="str">
        <f t="shared" ca="1" si="8"/>
        <v/>
      </c>
      <c r="D454" s="481"/>
      <c r="E454" s="482"/>
      <c r="F454" s="482"/>
      <c r="G454" s="482"/>
      <c r="H454" s="482"/>
      <c r="I454" s="482"/>
      <c r="J454" s="482"/>
      <c r="K454" s="409"/>
      <c r="L454" s="410"/>
      <c r="M454" s="410"/>
      <c r="N454" s="410"/>
      <c r="O454" s="410"/>
      <c r="P454" s="410"/>
      <c r="Q454" s="410"/>
      <c r="R454" s="446"/>
      <c r="S454" s="447"/>
      <c r="T454" s="446"/>
      <c r="U454" s="447"/>
      <c r="V454" s="409"/>
      <c r="W454" s="410"/>
      <c r="X454" s="410"/>
      <c r="Y454" s="410"/>
      <c r="Z454" s="410"/>
      <c r="AA454" s="410"/>
      <c r="AB454" s="410"/>
      <c r="AC454" s="410"/>
      <c r="AD454" s="409"/>
      <c r="AE454" s="410"/>
      <c r="AF454" s="410"/>
      <c r="AG454" s="410"/>
      <c r="AH454" s="410"/>
      <c r="AI454" s="410"/>
      <c r="AJ454" s="410"/>
      <c r="AK454" s="411"/>
      <c r="AL454" s="409"/>
      <c r="AM454" s="410"/>
      <c r="AN454" s="410"/>
      <c r="AO454" s="410"/>
      <c r="AP454" s="410"/>
      <c r="AQ454" s="410"/>
      <c r="AR454" s="411"/>
      <c r="AS454" s="488"/>
      <c r="AT454" s="489"/>
      <c r="AU454" s="489"/>
      <c r="AV454" s="489"/>
      <c r="AW454" s="489"/>
      <c r="AX454" s="489"/>
      <c r="AY454" s="490"/>
      <c r="AZ454" s="464"/>
      <c r="BA454" s="465"/>
      <c r="BB454" s="62">
        <v>6</v>
      </c>
      <c r="BC454" s="426"/>
      <c r="BD454" s="427"/>
      <c r="BE454" s="427"/>
      <c r="BF454" s="428"/>
      <c r="BG454" s="429"/>
      <c r="BH454" s="430"/>
      <c r="BI454" s="196"/>
      <c r="BJ454" s="474"/>
      <c r="BK454" s="475"/>
      <c r="BL454" s="475"/>
      <c r="BM454" s="475"/>
      <c r="BN454" s="475"/>
      <c r="BO454" s="476"/>
      <c r="BP454" s="474"/>
      <c r="BQ454" s="475"/>
      <c r="BR454" s="475"/>
      <c r="BS454" s="475"/>
      <c r="BT454" s="475"/>
      <c r="BU454" s="476"/>
      <c r="BV454" s="474"/>
      <c r="BW454" s="475"/>
      <c r="BX454" s="475"/>
      <c r="BY454" s="475"/>
      <c r="BZ454" s="475"/>
      <c r="CA454" s="476"/>
      <c r="CB454" s="426"/>
      <c r="CC454" s="427"/>
      <c r="CD454" s="427"/>
      <c r="CE454" s="428"/>
      <c r="CF454" s="412"/>
      <c r="CG454" s="413"/>
      <c r="CH454" s="413"/>
      <c r="CI454" s="413"/>
      <c r="CJ454" s="414"/>
      <c r="CK454" s="412"/>
      <c r="CL454" s="413"/>
      <c r="CM454" s="413"/>
      <c r="CN454" s="413"/>
      <c r="CO454" s="414"/>
      <c r="CP454" s="412"/>
      <c r="CQ454" s="413"/>
      <c r="CR454" s="413"/>
      <c r="CS454" s="413"/>
      <c r="CT454" s="414"/>
      <c r="CU454" s="415"/>
      <c r="CV454" s="416"/>
      <c r="CW454" s="416"/>
      <c r="CX454" s="416"/>
      <c r="CY454" s="417"/>
    </row>
    <row r="455" spans="1:103" ht="16.5">
      <c r="A455" s="434">
        <v>75</v>
      </c>
      <c r="B455" s="36"/>
      <c r="C455" s="198" t="str">
        <f t="shared" ca="1" si="8"/>
        <v/>
      </c>
      <c r="D455" s="477"/>
      <c r="E455" s="478"/>
      <c r="F455" s="478"/>
      <c r="G455" s="478"/>
      <c r="H455" s="478"/>
      <c r="I455" s="478"/>
      <c r="J455" s="478"/>
      <c r="K455" s="438" t="s">
        <v>425</v>
      </c>
      <c r="L455" s="439"/>
      <c r="M455" s="439"/>
      <c r="N455" s="439"/>
      <c r="O455" s="439"/>
      <c r="P455" s="439"/>
      <c r="Q455" s="439"/>
      <c r="R455" s="442" t="s">
        <v>186</v>
      </c>
      <c r="S455" s="443"/>
      <c r="T455" s="442"/>
      <c r="U455" s="443"/>
      <c r="V455" s="438"/>
      <c r="W455" s="439"/>
      <c r="X455" s="439"/>
      <c r="Y455" s="439"/>
      <c r="Z455" s="439"/>
      <c r="AA455" s="439"/>
      <c r="AB455" s="439"/>
      <c r="AC455" s="439"/>
      <c r="AD455" s="438"/>
      <c r="AE455" s="439"/>
      <c r="AF455" s="439"/>
      <c r="AG455" s="439"/>
      <c r="AH455" s="439"/>
      <c r="AI455" s="439"/>
      <c r="AJ455" s="439"/>
      <c r="AK455" s="449"/>
      <c r="AL455" s="438"/>
      <c r="AM455" s="439"/>
      <c r="AN455" s="439"/>
      <c r="AO455" s="439"/>
      <c r="AP455" s="439"/>
      <c r="AQ455" s="439"/>
      <c r="AR455" s="449"/>
      <c r="AS455" s="500"/>
      <c r="AT455" s="483"/>
      <c r="AU455" s="483"/>
      <c r="AV455" s="483"/>
      <c r="AW455" s="483"/>
      <c r="AX455" s="483"/>
      <c r="AY455" s="484"/>
      <c r="AZ455" s="460"/>
      <c r="BA455" s="461"/>
      <c r="BB455" s="60">
        <v>1</v>
      </c>
      <c r="BC455" s="466"/>
      <c r="BD455" s="467"/>
      <c r="BE455" s="467"/>
      <c r="BF455" s="468"/>
      <c r="BG455" s="469"/>
      <c r="BH455" s="470"/>
      <c r="BI455" s="194"/>
      <c r="BJ455" s="471"/>
      <c r="BK455" s="472"/>
      <c r="BL455" s="472"/>
      <c r="BM455" s="472"/>
      <c r="BN455" s="472"/>
      <c r="BO455" s="473"/>
      <c r="BP455" s="471"/>
      <c r="BQ455" s="472"/>
      <c r="BR455" s="472"/>
      <c r="BS455" s="472"/>
      <c r="BT455" s="472"/>
      <c r="BU455" s="473"/>
      <c r="BV455" s="471"/>
      <c r="BW455" s="472"/>
      <c r="BX455" s="472"/>
      <c r="BY455" s="472"/>
      <c r="BZ455" s="472"/>
      <c r="CA455" s="473"/>
      <c r="CB455" s="466"/>
      <c r="CC455" s="467"/>
      <c r="CD455" s="467"/>
      <c r="CE455" s="468"/>
      <c r="CF455" s="409"/>
      <c r="CG455" s="410"/>
      <c r="CH455" s="410"/>
      <c r="CI455" s="410"/>
      <c r="CJ455" s="411"/>
      <c r="CK455" s="409"/>
      <c r="CL455" s="410"/>
      <c r="CM455" s="410"/>
      <c r="CN455" s="410"/>
      <c r="CO455" s="411"/>
      <c r="CP455" s="409"/>
      <c r="CQ455" s="410"/>
      <c r="CR455" s="410"/>
      <c r="CS455" s="410"/>
      <c r="CT455" s="411"/>
      <c r="CU455" s="415"/>
      <c r="CV455" s="416"/>
      <c r="CW455" s="416"/>
      <c r="CX455" s="416"/>
      <c r="CY455" s="417"/>
    </row>
    <row r="456" spans="1:103" ht="16.5">
      <c r="A456" s="435"/>
      <c r="B456" s="36"/>
      <c r="C456" s="199" t="str">
        <f t="shared" ca="1" si="8"/>
        <v/>
      </c>
      <c r="D456" s="479"/>
      <c r="E456" s="480"/>
      <c r="F456" s="480"/>
      <c r="G456" s="480"/>
      <c r="H456" s="480"/>
      <c r="I456" s="480"/>
      <c r="J456" s="480"/>
      <c r="K456" s="440"/>
      <c r="L456" s="441"/>
      <c r="M456" s="441"/>
      <c r="N456" s="441"/>
      <c r="O456" s="441"/>
      <c r="P456" s="441"/>
      <c r="Q456" s="441"/>
      <c r="R456" s="444"/>
      <c r="S456" s="445"/>
      <c r="T456" s="444"/>
      <c r="U456" s="445"/>
      <c r="V456" s="440"/>
      <c r="W456" s="441"/>
      <c r="X456" s="441"/>
      <c r="Y456" s="441"/>
      <c r="Z456" s="441"/>
      <c r="AA456" s="441"/>
      <c r="AB456" s="441"/>
      <c r="AC456" s="441"/>
      <c r="AD456" s="440"/>
      <c r="AE456" s="441"/>
      <c r="AF456" s="441"/>
      <c r="AG456" s="441"/>
      <c r="AH456" s="441"/>
      <c r="AI456" s="441"/>
      <c r="AJ456" s="441"/>
      <c r="AK456" s="450"/>
      <c r="AL456" s="440"/>
      <c r="AM456" s="441"/>
      <c r="AN456" s="441"/>
      <c r="AO456" s="441"/>
      <c r="AP456" s="441"/>
      <c r="AQ456" s="441"/>
      <c r="AR456" s="450"/>
      <c r="AS456" s="485"/>
      <c r="AT456" s="486"/>
      <c r="AU456" s="486"/>
      <c r="AV456" s="486"/>
      <c r="AW456" s="486"/>
      <c r="AX456" s="486"/>
      <c r="AY456" s="487"/>
      <c r="AZ456" s="462"/>
      <c r="BA456" s="463"/>
      <c r="BB456" s="61">
        <v>2</v>
      </c>
      <c r="BC456" s="418"/>
      <c r="BD456" s="419"/>
      <c r="BE456" s="419"/>
      <c r="BF456" s="420"/>
      <c r="BG456" s="421"/>
      <c r="BH456" s="422"/>
      <c r="BI456" s="195"/>
      <c r="BJ456" s="423"/>
      <c r="BK456" s="424"/>
      <c r="BL456" s="424"/>
      <c r="BM456" s="424"/>
      <c r="BN456" s="424"/>
      <c r="BO456" s="425"/>
      <c r="BP456" s="423"/>
      <c r="BQ456" s="424"/>
      <c r="BR456" s="424"/>
      <c r="BS456" s="424"/>
      <c r="BT456" s="424"/>
      <c r="BU456" s="425"/>
      <c r="BV456" s="423"/>
      <c r="BW456" s="424"/>
      <c r="BX456" s="424"/>
      <c r="BY456" s="424"/>
      <c r="BZ456" s="424"/>
      <c r="CA456" s="425"/>
      <c r="CB456" s="418"/>
      <c r="CC456" s="419"/>
      <c r="CD456" s="419"/>
      <c r="CE456" s="420"/>
      <c r="CF456" s="412"/>
      <c r="CG456" s="413"/>
      <c r="CH456" s="413"/>
      <c r="CI456" s="413"/>
      <c r="CJ456" s="414"/>
      <c r="CK456" s="412"/>
      <c r="CL456" s="413"/>
      <c r="CM456" s="413"/>
      <c r="CN456" s="413"/>
      <c r="CO456" s="414"/>
      <c r="CP456" s="412"/>
      <c r="CQ456" s="413"/>
      <c r="CR456" s="413"/>
      <c r="CS456" s="413"/>
      <c r="CT456" s="414"/>
      <c r="CU456" s="415"/>
      <c r="CV456" s="416"/>
      <c r="CW456" s="416"/>
      <c r="CX456" s="416"/>
      <c r="CY456" s="417"/>
    </row>
    <row r="457" spans="1:103" ht="16.5">
      <c r="A457" s="435"/>
      <c r="B457" s="36"/>
      <c r="C457" s="199" t="str">
        <f t="shared" ca="1" si="8"/>
        <v/>
      </c>
      <c r="D457" s="479"/>
      <c r="E457" s="480"/>
      <c r="F457" s="480"/>
      <c r="G457" s="480"/>
      <c r="H457" s="480"/>
      <c r="I457" s="480"/>
      <c r="J457" s="480"/>
      <c r="K457" s="440"/>
      <c r="L457" s="441"/>
      <c r="M457" s="441"/>
      <c r="N457" s="441"/>
      <c r="O457" s="441"/>
      <c r="P457" s="441"/>
      <c r="Q457" s="441"/>
      <c r="R457" s="444"/>
      <c r="S457" s="445"/>
      <c r="T457" s="444"/>
      <c r="U457" s="445"/>
      <c r="V457" s="440"/>
      <c r="W457" s="441"/>
      <c r="X457" s="441"/>
      <c r="Y457" s="441"/>
      <c r="Z457" s="441"/>
      <c r="AA457" s="441"/>
      <c r="AB457" s="441"/>
      <c r="AC457" s="441"/>
      <c r="AD457" s="440"/>
      <c r="AE457" s="441"/>
      <c r="AF457" s="441"/>
      <c r="AG457" s="441"/>
      <c r="AH457" s="441"/>
      <c r="AI457" s="441"/>
      <c r="AJ457" s="441"/>
      <c r="AK457" s="450"/>
      <c r="AL457" s="440"/>
      <c r="AM457" s="441"/>
      <c r="AN457" s="441"/>
      <c r="AO457" s="441"/>
      <c r="AP457" s="441"/>
      <c r="AQ457" s="441"/>
      <c r="AR457" s="450"/>
      <c r="AS457" s="485"/>
      <c r="AT457" s="486"/>
      <c r="AU457" s="486"/>
      <c r="AV457" s="486"/>
      <c r="AW457" s="486"/>
      <c r="AX457" s="486"/>
      <c r="AY457" s="487"/>
      <c r="AZ457" s="462"/>
      <c r="BA457" s="463"/>
      <c r="BB457" s="61">
        <v>3</v>
      </c>
      <c r="BC457" s="418"/>
      <c r="BD457" s="419"/>
      <c r="BE457" s="419"/>
      <c r="BF457" s="420"/>
      <c r="BG457" s="421"/>
      <c r="BH457" s="422"/>
      <c r="BI457" s="195"/>
      <c r="BJ457" s="423"/>
      <c r="BK457" s="424"/>
      <c r="BL457" s="424"/>
      <c r="BM457" s="424"/>
      <c r="BN457" s="424"/>
      <c r="BO457" s="425"/>
      <c r="BP457" s="423"/>
      <c r="BQ457" s="424"/>
      <c r="BR457" s="424"/>
      <c r="BS457" s="424"/>
      <c r="BT457" s="424"/>
      <c r="BU457" s="425"/>
      <c r="BV457" s="423"/>
      <c r="BW457" s="424"/>
      <c r="BX457" s="424"/>
      <c r="BY457" s="424"/>
      <c r="BZ457" s="424"/>
      <c r="CA457" s="425"/>
      <c r="CB457" s="418"/>
      <c r="CC457" s="419"/>
      <c r="CD457" s="419"/>
      <c r="CE457" s="420"/>
      <c r="CF457" s="412"/>
      <c r="CG457" s="413"/>
      <c r="CH457" s="413"/>
      <c r="CI457" s="413"/>
      <c r="CJ457" s="414"/>
      <c r="CK457" s="412"/>
      <c r="CL457" s="413"/>
      <c r="CM457" s="413"/>
      <c r="CN457" s="413"/>
      <c r="CO457" s="414"/>
      <c r="CP457" s="412"/>
      <c r="CQ457" s="413"/>
      <c r="CR457" s="413"/>
      <c r="CS457" s="413"/>
      <c r="CT457" s="414"/>
      <c r="CU457" s="415"/>
      <c r="CV457" s="416"/>
      <c r="CW457" s="416"/>
      <c r="CX457" s="416"/>
      <c r="CY457" s="417"/>
    </row>
    <row r="458" spans="1:103" ht="16.5">
      <c r="A458" s="435"/>
      <c r="B458" s="36"/>
      <c r="C458" s="199" t="str">
        <f t="shared" ca="1" si="8"/>
        <v/>
      </c>
      <c r="D458" s="479"/>
      <c r="E458" s="480"/>
      <c r="F458" s="480"/>
      <c r="G458" s="480"/>
      <c r="H458" s="480"/>
      <c r="I458" s="480"/>
      <c r="J458" s="480"/>
      <c r="K458" s="440"/>
      <c r="L458" s="441"/>
      <c r="M458" s="441"/>
      <c r="N458" s="441"/>
      <c r="O458" s="441"/>
      <c r="P458" s="441"/>
      <c r="Q458" s="441"/>
      <c r="R458" s="444"/>
      <c r="S458" s="445"/>
      <c r="T458" s="444"/>
      <c r="U458" s="445"/>
      <c r="V458" s="440"/>
      <c r="W458" s="441"/>
      <c r="X458" s="441"/>
      <c r="Y458" s="441"/>
      <c r="Z458" s="441"/>
      <c r="AA458" s="441"/>
      <c r="AB458" s="441"/>
      <c r="AC458" s="441"/>
      <c r="AD458" s="440"/>
      <c r="AE458" s="441"/>
      <c r="AF458" s="441"/>
      <c r="AG458" s="441"/>
      <c r="AH458" s="441"/>
      <c r="AI458" s="441"/>
      <c r="AJ458" s="441"/>
      <c r="AK458" s="450"/>
      <c r="AL458" s="440"/>
      <c r="AM458" s="441"/>
      <c r="AN458" s="441"/>
      <c r="AO458" s="441"/>
      <c r="AP458" s="441"/>
      <c r="AQ458" s="441"/>
      <c r="AR458" s="450"/>
      <c r="AS458" s="485"/>
      <c r="AT458" s="486"/>
      <c r="AU458" s="486"/>
      <c r="AV458" s="486"/>
      <c r="AW458" s="486"/>
      <c r="AX458" s="486"/>
      <c r="AY458" s="487"/>
      <c r="AZ458" s="462"/>
      <c r="BA458" s="463"/>
      <c r="BB458" s="61">
        <v>4</v>
      </c>
      <c r="BC458" s="418"/>
      <c r="BD458" s="419"/>
      <c r="BE458" s="419"/>
      <c r="BF458" s="420"/>
      <c r="BG458" s="421"/>
      <c r="BH458" s="422"/>
      <c r="BI458" s="195"/>
      <c r="BJ458" s="423"/>
      <c r="BK458" s="424"/>
      <c r="BL458" s="424"/>
      <c r="BM458" s="424"/>
      <c r="BN458" s="424"/>
      <c r="BO458" s="425"/>
      <c r="BP458" s="423"/>
      <c r="BQ458" s="424"/>
      <c r="BR458" s="424"/>
      <c r="BS458" s="424"/>
      <c r="BT458" s="424"/>
      <c r="BU458" s="425"/>
      <c r="BV458" s="423"/>
      <c r="BW458" s="424"/>
      <c r="BX458" s="424"/>
      <c r="BY458" s="424"/>
      <c r="BZ458" s="424"/>
      <c r="CA458" s="425"/>
      <c r="CB458" s="418"/>
      <c r="CC458" s="419"/>
      <c r="CD458" s="419"/>
      <c r="CE458" s="420"/>
      <c r="CF458" s="412"/>
      <c r="CG458" s="413"/>
      <c r="CH458" s="413"/>
      <c r="CI458" s="413"/>
      <c r="CJ458" s="414"/>
      <c r="CK458" s="412"/>
      <c r="CL458" s="413"/>
      <c r="CM458" s="413"/>
      <c r="CN458" s="413"/>
      <c r="CO458" s="414"/>
      <c r="CP458" s="412"/>
      <c r="CQ458" s="413"/>
      <c r="CR458" s="413"/>
      <c r="CS458" s="413"/>
      <c r="CT458" s="414"/>
      <c r="CU458" s="415"/>
      <c r="CV458" s="416"/>
      <c r="CW458" s="416"/>
      <c r="CX458" s="416"/>
      <c r="CY458" s="417"/>
    </row>
    <row r="459" spans="1:103" ht="16.5">
      <c r="A459" s="435"/>
      <c r="B459" s="36"/>
      <c r="C459" s="199" t="str">
        <f t="shared" ca="1" si="8"/>
        <v/>
      </c>
      <c r="D459" s="479"/>
      <c r="E459" s="480"/>
      <c r="F459" s="480"/>
      <c r="G459" s="480"/>
      <c r="H459" s="480"/>
      <c r="I459" s="480"/>
      <c r="J459" s="480"/>
      <c r="K459" s="440"/>
      <c r="L459" s="441"/>
      <c r="M459" s="441"/>
      <c r="N459" s="441"/>
      <c r="O459" s="441"/>
      <c r="P459" s="441"/>
      <c r="Q459" s="441"/>
      <c r="R459" s="444"/>
      <c r="S459" s="445"/>
      <c r="T459" s="444"/>
      <c r="U459" s="445"/>
      <c r="V459" s="440"/>
      <c r="W459" s="441"/>
      <c r="X459" s="441"/>
      <c r="Y459" s="441"/>
      <c r="Z459" s="441"/>
      <c r="AA459" s="441"/>
      <c r="AB459" s="441"/>
      <c r="AC459" s="441"/>
      <c r="AD459" s="440"/>
      <c r="AE459" s="441"/>
      <c r="AF459" s="441"/>
      <c r="AG459" s="441"/>
      <c r="AH459" s="441"/>
      <c r="AI459" s="441"/>
      <c r="AJ459" s="441"/>
      <c r="AK459" s="450"/>
      <c r="AL459" s="440"/>
      <c r="AM459" s="441"/>
      <c r="AN459" s="441"/>
      <c r="AO459" s="441"/>
      <c r="AP459" s="441"/>
      <c r="AQ459" s="441"/>
      <c r="AR459" s="450"/>
      <c r="AS459" s="485"/>
      <c r="AT459" s="486"/>
      <c r="AU459" s="486"/>
      <c r="AV459" s="486"/>
      <c r="AW459" s="486"/>
      <c r="AX459" s="486"/>
      <c r="AY459" s="487"/>
      <c r="AZ459" s="462"/>
      <c r="BA459" s="463"/>
      <c r="BB459" s="61">
        <v>5</v>
      </c>
      <c r="BC459" s="418"/>
      <c r="BD459" s="419"/>
      <c r="BE459" s="419"/>
      <c r="BF459" s="420"/>
      <c r="BG459" s="421"/>
      <c r="BH459" s="422"/>
      <c r="BI459" s="195"/>
      <c r="BJ459" s="423"/>
      <c r="BK459" s="424"/>
      <c r="BL459" s="424"/>
      <c r="BM459" s="424"/>
      <c r="BN459" s="424"/>
      <c r="BO459" s="425"/>
      <c r="BP459" s="423"/>
      <c r="BQ459" s="424"/>
      <c r="BR459" s="424"/>
      <c r="BS459" s="424"/>
      <c r="BT459" s="424"/>
      <c r="BU459" s="425"/>
      <c r="BV459" s="423"/>
      <c r="BW459" s="424"/>
      <c r="BX459" s="424"/>
      <c r="BY459" s="424"/>
      <c r="BZ459" s="424"/>
      <c r="CA459" s="425"/>
      <c r="CB459" s="418"/>
      <c r="CC459" s="419"/>
      <c r="CD459" s="419"/>
      <c r="CE459" s="420"/>
      <c r="CF459" s="412"/>
      <c r="CG459" s="413"/>
      <c r="CH459" s="413"/>
      <c r="CI459" s="413"/>
      <c r="CJ459" s="414"/>
      <c r="CK459" s="412"/>
      <c r="CL459" s="413"/>
      <c r="CM459" s="413"/>
      <c r="CN459" s="413"/>
      <c r="CO459" s="414"/>
      <c r="CP459" s="412"/>
      <c r="CQ459" s="413"/>
      <c r="CR459" s="413"/>
      <c r="CS459" s="413"/>
      <c r="CT459" s="414"/>
      <c r="CU459" s="415"/>
      <c r="CV459" s="416"/>
      <c r="CW459" s="416"/>
      <c r="CX459" s="416"/>
      <c r="CY459" s="417"/>
    </row>
    <row r="460" spans="1:103" ht="16.5">
      <c r="A460" s="436"/>
      <c r="B460" s="37"/>
      <c r="C460" s="200" t="str">
        <f t="shared" ca="1" si="8"/>
        <v/>
      </c>
      <c r="D460" s="481"/>
      <c r="E460" s="482"/>
      <c r="F460" s="482"/>
      <c r="G460" s="482"/>
      <c r="H460" s="482"/>
      <c r="I460" s="482"/>
      <c r="J460" s="482"/>
      <c r="K460" s="409"/>
      <c r="L460" s="410"/>
      <c r="M460" s="410"/>
      <c r="N460" s="410"/>
      <c r="O460" s="410"/>
      <c r="P460" s="410"/>
      <c r="Q460" s="410"/>
      <c r="R460" s="446"/>
      <c r="S460" s="447"/>
      <c r="T460" s="446"/>
      <c r="U460" s="447"/>
      <c r="V460" s="409"/>
      <c r="W460" s="410"/>
      <c r="X460" s="410"/>
      <c r="Y460" s="410"/>
      <c r="Z460" s="410"/>
      <c r="AA460" s="410"/>
      <c r="AB460" s="410"/>
      <c r="AC460" s="410"/>
      <c r="AD460" s="409"/>
      <c r="AE460" s="410"/>
      <c r="AF460" s="410"/>
      <c r="AG460" s="410"/>
      <c r="AH460" s="410"/>
      <c r="AI460" s="410"/>
      <c r="AJ460" s="410"/>
      <c r="AK460" s="411"/>
      <c r="AL460" s="409"/>
      <c r="AM460" s="410"/>
      <c r="AN460" s="410"/>
      <c r="AO460" s="410"/>
      <c r="AP460" s="410"/>
      <c r="AQ460" s="410"/>
      <c r="AR460" s="411"/>
      <c r="AS460" s="488"/>
      <c r="AT460" s="489"/>
      <c r="AU460" s="489"/>
      <c r="AV460" s="489"/>
      <c r="AW460" s="489"/>
      <c r="AX460" s="489"/>
      <c r="AY460" s="490"/>
      <c r="AZ460" s="464"/>
      <c r="BA460" s="465"/>
      <c r="BB460" s="62">
        <v>6</v>
      </c>
      <c r="BC460" s="426"/>
      <c r="BD460" s="427"/>
      <c r="BE460" s="427"/>
      <c r="BF460" s="428"/>
      <c r="BG460" s="429"/>
      <c r="BH460" s="430"/>
      <c r="BI460" s="196"/>
      <c r="BJ460" s="474"/>
      <c r="BK460" s="475"/>
      <c r="BL460" s="475"/>
      <c r="BM460" s="475"/>
      <c r="BN460" s="475"/>
      <c r="BO460" s="476"/>
      <c r="BP460" s="474"/>
      <c r="BQ460" s="475"/>
      <c r="BR460" s="475"/>
      <c r="BS460" s="475"/>
      <c r="BT460" s="475"/>
      <c r="BU460" s="476"/>
      <c r="BV460" s="474"/>
      <c r="BW460" s="475"/>
      <c r="BX460" s="475"/>
      <c r="BY460" s="475"/>
      <c r="BZ460" s="475"/>
      <c r="CA460" s="476"/>
      <c r="CB460" s="426"/>
      <c r="CC460" s="427"/>
      <c r="CD460" s="427"/>
      <c r="CE460" s="428"/>
      <c r="CF460" s="412"/>
      <c r="CG460" s="413"/>
      <c r="CH460" s="413"/>
      <c r="CI460" s="413"/>
      <c r="CJ460" s="414"/>
      <c r="CK460" s="412"/>
      <c r="CL460" s="413"/>
      <c r="CM460" s="413"/>
      <c r="CN460" s="413"/>
      <c r="CO460" s="414"/>
      <c r="CP460" s="412"/>
      <c r="CQ460" s="413"/>
      <c r="CR460" s="413"/>
      <c r="CS460" s="413"/>
      <c r="CT460" s="414"/>
      <c r="CU460" s="415"/>
      <c r="CV460" s="416"/>
      <c r="CW460" s="416"/>
      <c r="CX460" s="416"/>
      <c r="CY460" s="417"/>
    </row>
    <row r="461" spans="1:103" ht="16.5">
      <c r="A461" s="434">
        <v>76</v>
      </c>
      <c r="B461" s="36"/>
      <c r="C461" s="198" t="str">
        <f t="shared" ca="1" si="8"/>
        <v/>
      </c>
      <c r="D461" s="477"/>
      <c r="E461" s="478"/>
      <c r="F461" s="478"/>
      <c r="G461" s="478"/>
      <c r="H461" s="478"/>
      <c r="I461" s="478"/>
      <c r="J461" s="478"/>
      <c r="K461" s="438" t="s">
        <v>426</v>
      </c>
      <c r="L461" s="439"/>
      <c r="M461" s="439"/>
      <c r="N461" s="439"/>
      <c r="O461" s="439"/>
      <c r="P461" s="439"/>
      <c r="Q461" s="439"/>
      <c r="R461" s="442" t="s">
        <v>186</v>
      </c>
      <c r="S461" s="443"/>
      <c r="T461" s="442"/>
      <c r="U461" s="443"/>
      <c r="V461" s="438"/>
      <c r="W461" s="439"/>
      <c r="X461" s="439"/>
      <c r="Y461" s="439"/>
      <c r="Z461" s="439"/>
      <c r="AA461" s="439"/>
      <c r="AB461" s="439"/>
      <c r="AC461" s="439"/>
      <c r="AD461" s="438"/>
      <c r="AE461" s="439"/>
      <c r="AF461" s="439"/>
      <c r="AG461" s="439"/>
      <c r="AH461" s="439"/>
      <c r="AI461" s="439"/>
      <c r="AJ461" s="439"/>
      <c r="AK461" s="449"/>
      <c r="AL461" s="438"/>
      <c r="AM461" s="439"/>
      <c r="AN461" s="439"/>
      <c r="AO461" s="439"/>
      <c r="AP461" s="439"/>
      <c r="AQ461" s="439"/>
      <c r="AR461" s="449"/>
      <c r="AS461" s="500"/>
      <c r="AT461" s="483"/>
      <c r="AU461" s="483"/>
      <c r="AV461" s="483"/>
      <c r="AW461" s="483"/>
      <c r="AX461" s="483"/>
      <c r="AY461" s="484"/>
      <c r="AZ461" s="460"/>
      <c r="BA461" s="461"/>
      <c r="BB461" s="60">
        <v>1</v>
      </c>
      <c r="BC461" s="466"/>
      <c r="BD461" s="467"/>
      <c r="BE461" s="467"/>
      <c r="BF461" s="468"/>
      <c r="BG461" s="469"/>
      <c r="BH461" s="470"/>
      <c r="BI461" s="194"/>
      <c r="BJ461" s="471"/>
      <c r="BK461" s="472"/>
      <c r="BL461" s="472"/>
      <c r="BM461" s="472"/>
      <c r="BN461" s="472"/>
      <c r="BO461" s="473"/>
      <c r="BP461" s="471"/>
      <c r="BQ461" s="472"/>
      <c r="BR461" s="472"/>
      <c r="BS461" s="472"/>
      <c r="BT461" s="472"/>
      <c r="BU461" s="473"/>
      <c r="BV461" s="471"/>
      <c r="BW461" s="472"/>
      <c r="BX461" s="472"/>
      <c r="BY461" s="472"/>
      <c r="BZ461" s="472"/>
      <c r="CA461" s="473"/>
      <c r="CB461" s="466"/>
      <c r="CC461" s="467"/>
      <c r="CD461" s="467"/>
      <c r="CE461" s="468"/>
      <c r="CF461" s="409"/>
      <c r="CG461" s="410"/>
      <c r="CH461" s="410"/>
      <c r="CI461" s="410"/>
      <c r="CJ461" s="411"/>
      <c r="CK461" s="409"/>
      <c r="CL461" s="410"/>
      <c r="CM461" s="410"/>
      <c r="CN461" s="410"/>
      <c r="CO461" s="411"/>
      <c r="CP461" s="409"/>
      <c r="CQ461" s="410"/>
      <c r="CR461" s="410"/>
      <c r="CS461" s="410"/>
      <c r="CT461" s="411"/>
      <c r="CU461" s="415"/>
      <c r="CV461" s="416"/>
      <c r="CW461" s="416"/>
      <c r="CX461" s="416"/>
      <c r="CY461" s="417"/>
    </row>
    <row r="462" spans="1:103" ht="16.5">
      <c r="A462" s="435"/>
      <c r="B462" s="36"/>
      <c r="C462" s="199" t="str">
        <f t="shared" ca="1" si="8"/>
        <v/>
      </c>
      <c r="D462" s="479"/>
      <c r="E462" s="480"/>
      <c r="F462" s="480"/>
      <c r="G462" s="480"/>
      <c r="H462" s="480"/>
      <c r="I462" s="480"/>
      <c r="J462" s="480"/>
      <c r="K462" s="440"/>
      <c r="L462" s="441"/>
      <c r="M462" s="441"/>
      <c r="N462" s="441"/>
      <c r="O462" s="441"/>
      <c r="P462" s="441"/>
      <c r="Q462" s="441"/>
      <c r="R462" s="444"/>
      <c r="S462" s="445"/>
      <c r="T462" s="444"/>
      <c r="U462" s="445"/>
      <c r="V462" s="440"/>
      <c r="W462" s="441"/>
      <c r="X462" s="441"/>
      <c r="Y462" s="441"/>
      <c r="Z462" s="441"/>
      <c r="AA462" s="441"/>
      <c r="AB462" s="441"/>
      <c r="AC462" s="441"/>
      <c r="AD462" s="440"/>
      <c r="AE462" s="441"/>
      <c r="AF462" s="441"/>
      <c r="AG462" s="441"/>
      <c r="AH462" s="441"/>
      <c r="AI462" s="441"/>
      <c r="AJ462" s="441"/>
      <c r="AK462" s="450"/>
      <c r="AL462" s="440"/>
      <c r="AM462" s="441"/>
      <c r="AN462" s="441"/>
      <c r="AO462" s="441"/>
      <c r="AP462" s="441"/>
      <c r="AQ462" s="441"/>
      <c r="AR462" s="450"/>
      <c r="AS462" s="485"/>
      <c r="AT462" s="486"/>
      <c r="AU462" s="486"/>
      <c r="AV462" s="486"/>
      <c r="AW462" s="486"/>
      <c r="AX462" s="486"/>
      <c r="AY462" s="487"/>
      <c r="AZ462" s="462"/>
      <c r="BA462" s="463"/>
      <c r="BB462" s="61">
        <v>2</v>
      </c>
      <c r="BC462" s="418"/>
      <c r="BD462" s="419"/>
      <c r="BE462" s="419"/>
      <c r="BF462" s="420"/>
      <c r="BG462" s="421"/>
      <c r="BH462" s="422"/>
      <c r="BI462" s="195"/>
      <c r="BJ462" s="423"/>
      <c r="BK462" s="424"/>
      <c r="BL462" s="424"/>
      <c r="BM462" s="424"/>
      <c r="BN462" s="424"/>
      <c r="BO462" s="425"/>
      <c r="BP462" s="423"/>
      <c r="BQ462" s="424"/>
      <c r="BR462" s="424"/>
      <c r="BS462" s="424"/>
      <c r="BT462" s="424"/>
      <c r="BU462" s="425"/>
      <c r="BV462" s="423"/>
      <c r="BW462" s="424"/>
      <c r="BX462" s="424"/>
      <c r="BY462" s="424"/>
      <c r="BZ462" s="424"/>
      <c r="CA462" s="425"/>
      <c r="CB462" s="418"/>
      <c r="CC462" s="419"/>
      <c r="CD462" s="419"/>
      <c r="CE462" s="420"/>
      <c r="CF462" s="412"/>
      <c r="CG462" s="413"/>
      <c r="CH462" s="413"/>
      <c r="CI462" s="413"/>
      <c r="CJ462" s="414"/>
      <c r="CK462" s="412"/>
      <c r="CL462" s="413"/>
      <c r="CM462" s="413"/>
      <c r="CN462" s="413"/>
      <c r="CO462" s="414"/>
      <c r="CP462" s="412"/>
      <c r="CQ462" s="413"/>
      <c r="CR462" s="413"/>
      <c r="CS462" s="413"/>
      <c r="CT462" s="414"/>
      <c r="CU462" s="415"/>
      <c r="CV462" s="416"/>
      <c r="CW462" s="416"/>
      <c r="CX462" s="416"/>
      <c r="CY462" s="417"/>
    </row>
    <row r="463" spans="1:103" ht="16.5">
      <c r="A463" s="435"/>
      <c r="B463" s="36"/>
      <c r="C463" s="199" t="str">
        <f t="shared" ca="1" si="8"/>
        <v/>
      </c>
      <c r="D463" s="479"/>
      <c r="E463" s="480"/>
      <c r="F463" s="480"/>
      <c r="G463" s="480"/>
      <c r="H463" s="480"/>
      <c r="I463" s="480"/>
      <c r="J463" s="480"/>
      <c r="K463" s="440"/>
      <c r="L463" s="441"/>
      <c r="M463" s="441"/>
      <c r="N463" s="441"/>
      <c r="O463" s="441"/>
      <c r="P463" s="441"/>
      <c r="Q463" s="441"/>
      <c r="R463" s="444"/>
      <c r="S463" s="445"/>
      <c r="T463" s="444"/>
      <c r="U463" s="445"/>
      <c r="V463" s="440"/>
      <c r="W463" s="441"/>
      <c r="X463" s="441"/>
      <c r="Y463" s="441"/>
      <c r="Z463" s="441"/>
      <c r="AA463" s="441"/>
      <c r="AB463" s="441"/>
      <c r="AC463" s="441"/>
      <c r="AD463" s="440"/>
      <c r="AE463" s="441"/>
      <c r="AF463" s="441"/>
      <c r="AG463" s="441"/>
      <c r="AH463" s="441"/>
      <c r="AI463" s="441"/>
      <c r="AJ463" s="441"/>
      <c r="AK463" s="450"/>
      <c r="AL463" s="440"/>
      <c r="AM463" s="441"/>
      <c r="AN463" s="441"/>
      <c r="AO463" s="441"/>
      <c r="AP463" s="441"/>
      <c r="AQ463" s="441"/>
      <c r="AR463" s="450"/>
      <c r="AS463" s="485"/>
      <c r="AT463" s="486"/>
      <c r="AU463" s="486"/>
      <c r="AV463" s="486"/>
      <c r="AW463" s="486"/>
      <c r="AX463" s="486"/>
      <c r="AY463" s="487"/>
      <c r="AZ463" s="462"/>
      <c r="BA463" s="463"/>
      <c r="BB463" s="61">
        <v>3</v>
      </c>
      <c r="BC463" s="418"/>
      <c r="BD463" s="419"/>
      <c r="BE463" s="419"/>
      <c r="BF463" s="420"/>
      <c r="BG463" s="421"/>
      <c r="BH463" s="422"/>
      <c r="BI463" s="195"/>
      <c r="BJ463" s="423"/>
      <c r="BK463" s="424"/>
      <c r="BL463" s="424"/>
      <c r="BM463" s="424"/>
      <c r="BN463" s="424"/>
      <c r="BO463" s="425"/>
      <c r="BP463" s="423"/>
      <c r="BQ463" s="424"/>
      <c r="BR463" s="424"/>
      <c r="BS463" s="424"/>
      <c r="BT463" s="424"/>
      <c r="BU463" s="425"/>
      <c r="BV463" s="423"/>
      <c r="BW463" s="424"/>
      <c r="BX463" s="424"/>
      <c r="BY463" s="424"/>
      <c r="BZ463" s="424"/>
      <c r="CA463" s="425"/>
      <c r="CB463" s="418"/>
      <c r="CC463" s="419"/>
      <c r="CD463" s="419"/>
      <c r="CE463" s="420"/>
      <c r="CF463" s="412"/>
      <c r="CG463" s="413"/>
      <c r="CH463" s="413"/>
      <c r="CI463" s="413"/>
      <c r="CJ463" s="414"/>
      <c r="CK463" s="412"/>
      <c r="CL463" s="413"/>
      <c r="CM463" s="413"/>
      <c r="CN463" s="413"/>
      <c r="CO463" s="414"/>
      <c r="CP463" s="412"/>
      <c r="CQ463" s="413"/>
      <c r="CR463" s="413"/>
      <c r="CS463" s="413"/>
      <c r="CT463" s="414"/>
      <c r="CU463" s="415"/>
      <c r="CV463" s="416"/>
      <c r="CW463" s="416"/>
      <c r="CX463" s="416"/>
      <c r="CY463" s="417"/>
    </row>
    <row r="464" spans="1:103" ht="16.5">
      <c r="A464" s="435"/>
      <c r="B464" s="36"/>
      <c r="C464" s="199" t="str">
        <f t="shared" ca="1" si="8"/>
        <v/>
      </c>
      <c r="D464" s="479"/>
      <c r="E464" s="480"/>
      <c r="F464" s="480"/>
      <c r="G464" s="480"/>
      <c r="H464" s="480"/>
      <c r="I464" s="480"/>
      <c r="J464" s="480"/>
      <c r="K464" s="440"/>
      <c r="L464" s="441"/>
      <c r="M464" s="441"/>
      <c r="N464" s="441"/>
      <c r="O464" s="441"/>
      <c r="P464" s="441"/>
      <c r="Q464" s="441"/>
      <c r="R464" s="444"/>
      <c r="S464" s="445"/>
      <c r="T464" s="444"/>
      <c r="U464" s="445"/>
      <c r="V464" s="440"/>
      <c r="W464" s="441"/>
      <c r="X464" s="441"/>
      <c r="Y464" s="441"/>
      <c r="Z464" s="441"/>
      <c r="AA464" s="441"/>
      <c r="AB464" s="441"/>
      <c r="AC464" s="441"/>
      <c r="AD464" s="440"/>
      <c r="AE464" s="441"/>
      <c r="AF464" s="441"/>
      <c r="AG464" s="441"/>
      <c r="AH464" s="441"/>
      <c r="AI464" s="441"/>
      <c r="AJ464" s="441"/>
      <c r="AK464" s="450"/>
      <c r="AL464" s="440"/>
      <c r="AM464" s="441"/>
      <c r="AN464" s="441"/>
      <c r="AO464" s="441"/>
      <c r="AP464" s="441"/>
      <c r="AQ464" s="441"/>
      <c r="AR464" s="450"/>
      <c r="AS464" s="485"/>
      <c r="AT464" s="486"/>
      <c r="AU464" s="486"/>
      <c r="AV464" s="486"/>
      <c r="AW464" s="486"/>
      <c r="AX464" s="486"/>
      <c r="AY464" s="487"/>
      <c r="AZ464" s="462"/>
      <c r="BA464" s="463"/>
      <c r="BB464" s="61">
        <v>4</v>
      </c>
      <c r="BC464" s="418"/>
      <c r="BD464" s="419"/>
      <c r="BE464" s="419"/>
      <c r="BF464" s="420"/>
      <c r="BG464" s="421"/>
      <c r="BH464" s="422"/>
      <c r="BI464" s="195"/>
      <c r="BJ464" s="423"/>
      <c r="BK464" s="424"/>
      <c r="BL464" s="424"/>
      <c r="BM464" s="424"/>
      <c r="BN464" s="424"/>
      <c r="BO464" s="425"/>
      <c r="BP464" s="423"/>
      <c r="BQ464" s="424"/>
      <c r="BR464" s="424"/>
      <c r="BS464" s="424"/>
      <c r="BT464" s="424"/>
      <c r="BU464" s="425"/>
      <c r="BV464" s="423"/>
      <c r="BW464" s="424"/>
      <c r="BX464" s="424"/>
      <c r="BY464" s="424"/>
      <c r="BZ464" s="424"/>
      <c r="CA464" s="425"/>
      <c r="CB464" s="418"/>
      <c r="CC464" s="419"/>
      <c r="CD464" s="419"/>
      <c r="CE464" s="420"/>
      <c r="CF464" s="412"/>
      <c r="CG464" s="413"/>
      <c r="CH464" s="413"/>
      <c r="CI464" s="413"/>
      <c r="CJ464" s="414"/>
      <c r="CK464" s="412"/>
      <c r="CL464" s="413"/>
      <c r="CM464" s="413"/>
      <c r="CN464" s="413"/>
      <c r="CO464" s="414"/>
      <c r="CP464" s="412"/>
      <c r="CQ464" s="413"/>
      <c r="CR464" s="413"/>
      <c r="CS464" s="413"/>
      <c r="CT464" s="414"/>
      <c r="CU464" s="415"/>
      <c r="CV464" s="416"/>
      <c r="CW464" s="416"/>
      <c r="CX464" s="416"/>
      <c r="CY464" s="417"/>
    </row>
    <row r="465" spans="1:103" ht="16.5">
      <c r="A465" s="435"/>
      <c r="B465" s="36"/>
      <c r="C465" s="199" t="str">
        <f t="shared" ca="1" si="8"/>
        <v/>
      </c>
      <c r="D465" s="479"/>
      <c r="E465" s="480"/>
      <c r="F465" s="480"/>
      <c r="G465" s="480"/>
      <c r="H465" s="480"/>
      <c r="I465" s="480"/>
      <c r="J465" s="480"/>
      <c r="K465" s="440"/>
      <c r="L465" s="441"/>
      <c r="M465" s="441"/>
      <c r="N465" s="441"/>
      <c r="O465" s="441"/>
      <c r="P465" s="441"/>
      <c r="Q465" s="441"/>
      <c r="R465" s="444"/>
      <c r="S465" s="445"/>
      <c r="T465" s="444"/>
      <c r="U465" s="445"/>
      <c r="V465" s="440"/>
      <c r="W465" s="441"/>
      <c r="X465" s="441"/>
      <c r="Y465" s="441"/>
      <c r="Z465" s="441"/>
      <c r="AA465" s="441"/>
      <c r="AB465" s="441"/>
      <c r="AC465" s="441"/>
      <c r="AD465" s="440"/>
      <c r="AE465" s="441"/>
      <c r="AF465" s="441"/>
      <c r="AG465" s="441"/>
      <c r="AH465" s="441"/>
      <c r="AI465" s="441"/>
      <c r="AJ465" s="441"/>
      <c r="AK465" s="450"/>
      <c r="AL465" s="440"/>
      <c r="AM465" s="441"/>
      <c r="AN465" s="441"/>
      <c r="AO465" s="441"/>
      <c r="AP465" s="441"/>
      <c r="AQ465" s="441"/>
      <c r="AR465" s="450"/>
      <c r="AS465" s="485"/>
      <c r="AT465" s="486"/>
      <c r="AU465" s="486"/>
      <c r="AV465" s="486"/>
      <c r="AW465" s="486"/>
      <c r="AX465" s="486"/>
      <c r="AY465" s="487"/>
      <c r="AZ465" s="462"/>
      <c r="BA465" s="463"/>
      <c r="BB465" s="61">
        <v>5</v>
      </c>
      <c r="BC465" s="418"/>
      <c r="BD465" s="419"/>
      <c r="BE465" s="419"/>
      <c r="BF465" s="420"/>
      <c r="BG465" s="421"/>
      <c r="BH465" s="422"/>
      <c r="BI465" s="195"/>
      <c r="BJ465" s="423"/>
      <c r="BK465" s="424"/>
      <c r="BL465" s="424"/>
      <c r="BM465" s="424"/>
      <c r="BN465" s="424"/>
      <c r="BO465" s="425"/>
      <c r="BP465" s="423"/>
      <c r="BQ465" s="424"/>
      <c r="BR465" s="424"/>
      <c r="BS465" s="424"/>
      <c r="BT465" s="424"/>
      <c r="BU465" s="425"/>
      <c r="BV465" s="423"/>
      <c r="BW465" s="424"/>
      <c r="BX465" s="424"/>
      <c r="BY465" s="424"/>
      <c r="BZ465" s="424"/>
      <c r="CA465" s="425"/>
      <c r="CB465" s="418"/>
      <c r="CC465" s="419"/>
      <c r="CD465" s="419"/>
      <c r="CE465" s="420"/>
      <c r="CF465" s="412"/>
      <c r="CG465" s="413"/>
      <c r="CH465" s="413"/>
      <c r="CI465" s="413"/>
      <c r="CJ465" s="414"/>
      <c r="CK465" s="412"/>
      <c r="CL465" s="413"/>
      <c r="CM465" s="413"/>
      <c r="CN465" s="413"/>
      <c r="CO465" s="414"/>
      <c r="CP465" s="412"/>
      <c r="CQ465" s="413"/>
      <c r="CR465" s="413"/>
      <c r="CS465" s="413"/>
      <c r="CT465" s="414"/>
      <c r="CU465" s="415"/>
      <c r="CV465" s="416"/>
      <c r="CW465" s="416"/>
      <c r="CX465" s="416"/>
      <c r="CY465" s="417"/>
    </row>
    <row r="466" spans="1:103" ht="16.5">
      <c r="A466" s="436"/>
      <c r="B466" s="37"/>
      <c r="C466" s="200" t="str">
        <f t="shared" ref="C466:C523" ca="1" si="9">IF(AND(OFFSET($K466,-($BB466-1),0)&lt;&gt;"",OFFSET($R466,-($BB466-1),0)&lt;&gt;"x"),"●","")</f>
        <v/>
      </c>
      <c r="D466" s="481"/>
      <c r="E466" s="482"/>
      <c r="F466" s="482"/>
      <c r="G466" s="482"/>
      <c r="H466" s="482"/>
      <c r="I466" s="482"/>
      <c r="J466" s="482"/>
      <c r="K466" s="409"/>
      <c r="L466" s="410"/>
      <c r="M466" s="410"/>
      <c r="N466" s="410"/>
      <c r="O466" s="410"/>
      <c r="P466" s="410"/>
      <c r="Q466" s="410"/>
      <c r="R466" s="446"/>
      <c r="S466" s="447"/>
      <c r="T466" s="446"/>
      <c r="U466" s="447"/>
      <c r="V466" s="409"/>
      <c r="W466" s="410"/>
      <c r="X466" s="410"/>
      <c r="Y466" s="410"/>
      <c r="Z466" s="410"/>
      <c r="AA466" s="410"/>
      <c r="AB466" s="410"/>
      <c r="AC466" s="410"/>
      <c r="AD466" s="409"/>
      <c r="AE466" s="410"/>
      <c r="AF466" s="410"/>
      <c r="AG466" s="410"/>
      <c r="AH466" s="410"/>
      <c r="AI466" s="410"/>
      <c r="AJ466" s="410"/>
      <c r="AK466" s="411"/>
      <c r="AL466" s="409"/>
      <c r="AM466" s="410"/>
      <c r="AN466" s="410"/>
      <c r="AO466" s="410"/>
      <c r="AP466" s="410"/>
      <c r="AQ466" s="410"/>
      <c r="AR466" s="411"/>
      <c r="AS466" s="488"/>
      <c r="AT466" s="489"/>
      <c r="AU466" s="489"/>
      <c r="AV466" s="489"/>
      <c r="AW466" s="489"/>
      <c r="AX466" s="489"/>
      <c r="AY466" s="490"/>
      <c r="AZ466" s="464"/>
      <c r="BA466" s="465"/>
      <c r="BB466" s="62">
        <v>6</v>
      </c>
      <c r="BC466" s="426"/>
      <c r="BD466" s="427"/>
      <c r="BE466" s="427"/>
      <c r="BF466" s="428"/>
      <c r="BG466" s="429"/>
      <c r="BH466" s="430"/>
      <c r="BI466" s="196"/>
      <c r="BJ466" s="474"/>
      <c r="BK466" s="475"/>
      <c r="BL466" s="475"/>
      <c r="BM466" s="475"/>
      <c r="BN466" s="475"/>
      <c r="BO466" s="476"/>
      <c r="BP466" s="474"/>
      <c r="BQ466" s="475"/>
      <c r="BR466" s="475"/>
      <c r="BS466" s="475"/>
      <c r="BT466" s="475"/>
      <c r="BU466" s="476"/>
      <c r="BV466" s="474"/>
      <c r="BW466" s="475"/>
      <c r="BX466" s="475"/>
      <c r="BY466" s="475"/>
      <c r="BZ466" s="475"/>
      <c r="CA466" s="476"/>
      <c r="CB466" s="426"/>
      <c r="CC466" s="427"/>
      <c r="CD466" s="427"/>
      <c r="CE466" s="428"/>
      <c r="CF466" s="412"/>
      <c r="CG466" s="413"/>
      <c r="CH466" s="413"/>
      <c r="CI466" s="413"/>
      <c r="CJ466" s="414"/>
      <c r="CK466" s="412"/>
      <c r="CL466" s="413"/>
      <c r="CM466" s="413"/>
      <c r="CN466" s="413"/>
      <c r="CO466" s="414"/>
      <c r="CP466" s="412"/>
      <c r="CQ466" s="413"/>
      <c r="CR466" s="413"/>
      <c r="CS466" s="413"/>
      <c r="CT466" s="414"/>
      <c r="CU466" s="415"/>
      <c r="CV466" s="416"/>
      <c r="CW466" s="416"/>
      <c r="CX466" s="416"/>
      <c r="CY466" s="417"/>
    </row>
    <row r="467" spans="1:103" ht="16.5">
      <c r="A467" s="434">
        <v>77</v>
      </c>
      <c r="B467" s="36"/>
      <c r="C467" s="198" t="str">
        <f t="shared" ca="1" si="9"/>
        <v/>
      </c>
      <c r="D467" s="477"/>
      <c r="E467" s="478"/>
      <c r="F467" s="478"/>
      <c r="G467" s="478"/>
      <c r="H467" s="478"/>
      <c r="I467" s="478"/>
      <c r="J467" s="478"/>
      <c r="K467" s="438" t="s">
        <v>427</v>
      </c>
      <c r="L467" s="439"/>
      <c r="M467" s="439"/>
      <c r="N467" s="439"/>
      <c r="O467" s="439"/>
      <c r="P467" s="439"/>
      <c r="Q467" s="439"/>
      <c r="R467" s="442" t="s">
        <v>186</v>
      </c>
      <c r="S467" s="443"/>
      <c r="T467" s="442"/>
      <c r="U467" s="443"/>
      <c r="V467" s="438"/>
      <c r="W467" s="439"/>
      <c r="X467" s="439"/>
      <c r="Y467" s="439"/>
      <c r="Z467" s="439"/>
      <c r="AA467" s="439"/>
      <c r="AB467" s="439"/>
      <c r="AC467" s="439"/>
      <c r="AD467" s="438"/>
      <c r="AE467" s="439"/>
      <c r="AF467" s="439"/>
      <c r="AG467" s="439"/>
      <c r="AH467" s="439"/>
      <c r="AI467" s="439"/>
      <c r="AJ467" s="439"/>
      <c r="AK467" s="449"/>
      <c r="AL467" s="438"/>
      <c r="AM467" s="439"/>
      <c r="AN467" s="439"/>
      <c r="AO467" s="439"/>
      <c r="AP467" s="439"/>
      <c r="AQ467" s="439"/>
      <c r="AR467" s="449"/>
      <c r="AS467" s="500"/>
      <c r="AT467" s="483"/>
      <c r="AU467" s="483"/>
      <c r="AV467" s="483"/>
      <c r="AW467" s="483"/>
      <c r="AX467" s="483"/>
      <c r="AY467" s="484"/>
      <c r="AZ467" s="460"/>
      <c r="BA467" s="461"/>
      <c r="BB467" s="60">
        <v>1</v>
      </c>
      <c r="BC467" s="466"/>
      <c r="BD467" s="467"/>
      <c r="BE467" s="467"/>
      <c r="BF467" s="468"/>
      <c r="BG467" s="469"/>
      <c r="BH467" s="470"/>
      <c r="BI467" s="194"/>
      <c r="BJ467" s="471"/>
      <c r="BK467" s="472"/>
      <c r="BL467" s="472"/>
      <c r="BM467" s="472"/>
      <c r="BN467" s="472"/>
      <c r="BO467" s="473"/>
      <c r="BP467" s="471"/>
      <c r="BQ467" s="472"/>
      <c r="BR467" s="472"/>
      <c r="BS467" s="472"/>
      <c r="BT467" s="472"/>
      <c r="BU467" s="473"/>
      <c r="BV467" s="471"/>
      <c r="BW467" s="472"/>
      <c r="BX467" s="472"/>
      <c r="BY467" s="472"/>
      <c r="BZ467" s="472"/>
      <c r="CA467" s="473"/>
      <c r="CB467" s="466"/>
      <c r="CC467" s="467"/>
      <c r="CD467" s="467"/>
      <c r="CE467" s="468"/>
      <c r="CF467" s="409"/>
      <c r="CG467" s="410"/>
      <c r="CH467" s="410"/>
      <c r="CI467" s="410"/>
      <c r="CJ467" s="411"/>
      <c r="CK467" s="409"/>
      <c r="CL467" s="410"/>
      <c r="CM467" s="410"/>
      <c r="CN467" s="410"/>
      <c r="CO467" s="411"/>
      <c r="CP467" s="409"/>
      <c r="CQ467" s="410"/>
      <c r="CR467" s="410"/>
      <c r="CS467" s="410"/>
      <c r="CT467" s="411"/>
      <c r="CU467" s="415"/>
      <c r="CV467" s="416"/>
      <c r="CW467" s="416"/>
      <c r="CX467" s="416"/>
      <c r="CY467" s="417"/>
    </row>
    <row r="468" spans="1:103" ht="16.5">
      <c r="A468" s="435"/>
      <c r="B468" s="36"/>
      <c r="C468" s="199" t="str">
        <f t="shared" ca="1" si="9"/>
        <v/>
      </c>
      <c r="D468" s="479"/>
      <c r="E468" s="480"/>
      <c r="F468" s="480"/>
      <c r="G468" s="480"/>
      <c r="H468" s="480"/>
      <c r="I468" s="480"/>
      <c r="J468" s="480"/>
      <c r="K468" s="440"/>
      <c r="L468" s="441"/>
      <c r="M468" s="441"/>
      <c r="N468" s="441"/>
      <c r="O468" s="441"/>
      <c r="P468" s="441"/>
      <c r="Q468" s="441"/>
      <c r="R468" s="444"/>
      <c r="S468" s="445"/>
      <c r="T468" s="444"/>
      <c r="U468" s="445"/>
      <c r="V468" s="440"/>
      <c r="W468" s="441"/>
      <c r="X468" s="441"/>
      <c r="Y468" s="441"/>
      <c r="Z468" s="441"/>
      <c r="AA468" s="441"/>
      <c r="AB468" s="441"/>
      <c r="AC468" s="441"/>
      <c r="AD468" s="440"/>
      <c r="AE468" s="441"/>
      <c r="AF468" s="441"/>
      <c r="AG468" s="441"/>
      <c r="AH468" s="441"/>
      <c r="AI468" s="441"/>
      <c r="AJ468" s="441"/>
      <c r="AK468" s="450"/>
      <c r="AL468" s="440"/>
      <c r="AM468" s="441"/>
      <c r="AN468" s="441"/>
      <c r="AO468" s="441"/>
      <c r="AP468" s="441"/>
      <c r="AQ468" s="441"/>
      <c r="AR468" s="450"/>
      <c r="AS468" s="485"/>
      <c r="AT468" s="486"/>
      <c r="AU468" s="486"/>
      <c r="AV468" s="486"/>
      <c r="AW468" s="486"/>
      <c r="AX468" s="486"/>
      <c r="AY468" s="487"/>
      <c r="AZ468" s="462"/>
      <c r="BA468" s="463"/>
      <c r="BB468" s="61">
        <v>2</v>
      </c>
      <c r="BC468" s="418"/>
      <c r="BD468" s="419"/>
      <c r="BE468" s="419"/>
      <c r="BF468" s="420"/>
      <c r="BG468" s="421"/>
      <c r="BH468" s="422"/>
      <c r="BI468" s="195"/>
      <c r="BJ468" s="423"/>
      <c r="BK468" s="424"/>
      <c r="BL468" s="424"/>
      <c r="BM468" s="424"/>
      <c r="BN468" s="424"/>
      <c r="BO468" s="425"/>
      <c r="BP468" s="423"/>
      <c r="BQ468" s="424"/>
      <c r="BR468" s="424"/>
      <c r="BS468" s="424"/>
      <c r="BT468" s="424"/>
      <c r="BU468" s="425"/>
      <c r="BV468" s="423"/>
      <c r="BW468" s="424"/>
      <c r="BX468" s="424"/>
      <c r="BY468" s="424"/>
      <c r="BZ468" s="424"/>
      <c r="CA468" s="425"/>
      <c r="CB468" s="418"/>
      <c r="CC468" s="419"/>
      <c r="CD468" s="419"/>
      <c r="CE468" s="420"/>
      <c r="CF468" s="412"/>
      <c r="CG468" s="413"/>
      <c r="CH468" s="413"/>
      <c r="CI468" s="413"/>
      <c r="CJ468" s="414"/>
      <c r="CK468" s="412"/>
      <c r="CL468" s="413"/>
      <c r="CM468" s="413"/>
      <c r="CN468" s="413"/>
      <c r="CO468" s="414"/>
      <c r="CP468" s="412"/>
      <c r="CQ468" s="413"/>
      <c r="CR468" s="413"/>
      <c r="CS468" s="413"/>
      <c r="CT468" s="414"/>
      <c r="CU468" s="415"/>
      <c r="CV468" s="416"/>
      <c r="CW468" s="416"/>
      <c r="CX468" s="416"/>
      <c r="CY468" s="417"/>
    </row>
    <row r="469" spans="1:103" ht="16.5">
      <c r="A469" s="435"/>
      <c r="B469" s="36"/>
      <c r="C469" s="199" t="str">
        <f t="shared" ca="1" si="9"/>
        <v/>
      </c>
      <c r="D469" s="479"/>
      <c r="E469" s="480"/>
      <c r="F469" s="480"/>
      <c r="G469" s="480"/>
      <c r="H469" s="480"/>
      <c r="I469" s="480"/>
      <c r="J469" s="480"/>
      <c r="K469" s="440"/>
      <c r="L469" s="441"/>
      <c r="M469" s="441"/>
      <c r="N469" s="441"/>
      <c r="O469" s="441"/>
      <c r="P469" s="441"/>
      <c r="Q469" s="441"/>
      <c r="R469" s="444"/>
      <c r="S469" s="445"/>
      <c r="T469" s="444"/>
      <c r="U469" s="445"/>
      <c r="V469" s="440"/>
      <c r="W469" s="441"/>
      <c r="X469" s="441"/>
      <c r="Y469" s="441"/>
      <c r="Z469" s="441"/>
      <c r="AA469" s="441"/>
      <c r="AB469" s="441"/>
      <c r="AC469" s="441"/>
      <c r="AD469" s="440"/>
      <c r="AE469" s="441"/>
      <c r="AF469" s="441"/>
      <c r="AG469" s="441"/>
      <c r="AH469" s="441"/>
      <c r="AI469" s="441"/>
      <c r="AJ469" s="441"/>
      <c r="AK469" s="450"/>
      <c r="AL469" s="440"/>
      <c r="AM469" s="441"/>
      <c r="AN469" s="441"/>
      <c r="AO469" s="441"/>
      <c r="AP469" s="441"/>
      <c r="AQ469" s="441"/>
      <c r="AR469" s="450"/>
      <c r="AS469" s="485"/>
      <c r="AT469" s="486"/>
      <c r="AU469" s="486"/>
      <c r="AV469" s="486"/>
      <c r="AW469" s="486"/>
      <c r="AX469" s="486"/>
      <c r="AY469" s="487"/>
      <c r="AZ469" s="462"/>
      <c r="BA469" s="463"/>
      <c r="BB469" s="61">
        <v>3</v>
      </c>
      <c r="BC469" s="418"/>
      <c r="BD469" s="419"/>
      <c r="BE469" s="419"/>
      <c r="BF469" s="420"/>
      <c r="BG469" s="421"/>
      <c r="BH469" s="422"/>
      <c r="BI469" s="195"/>
      <c r="BJ469" s="423"/>
      <c r="BK469" s="424"/>
      <c r="BL469" s="424"/>
      <c r="BM469" s="424"/>
      <c r="BN469" s="424"/>
      <c r="BO469" s="425"/>
      <c r="BP469" s="423"/>
      <c r="BQ469" s="424"/>
      <c r="BR469" s="424"/>
      <c r="BS469" s="424"/>
      <c r="BT469" s="424"/>
      <c r="BU469" s="425"/>
      <c r="BV469" s="423"/>
      <c r="BW469" s="424"/>
      <c r="BX469" s="424"/>
      <c r="BY469" s="424"/>
      <c r="BZ469" s="424"/>
      <c r="CA469" s="425"/>
      <c r="CB469" s="418"/>
      <c r="CC469" s="419"/>
      <c r="CD469" s="419"/>
      <c r="CE469" s="420"/>
      <c r="CF469" s="412"/>
      <c r="CG469" s="413"/>
      <c r="CH469" s="413"/>
      <c r="CI469" s="413"/>
      <c r="CJ469" s="414"/>
      <c r="CK469" s="412"/>
      <c r="CL469" s="413"/>
      <c r="CM469" s="413"/>
      <c r="CN469" s="413"/>
      <c r="CO469" s="414"/>
      <c r="CP469" s="412"/>
      <c r="CQ469" s="413"/>
      <c r="CR469" s="413"/>
      <c r="CS469" s="413"/>
      <c r="CT469" s="414"/>
      <c r="CU469" s="415"/>
      <c r="CV469" s="416"/>
      <c r="CW469" s="416"/>
      <c r="CX469" s="416"/>
      <c r="CY469" s="417"/>
    </row>
    <row r="470" spans="1:103" ht="16.5">
      <c r="A470" s="435"/>
      <c r="B470" s="36"/>
      <c r="C470" s="199" t="str">
        <f t="shared" ca="1" si="9"/>
        <v/>
      </c>
      <c r="D470" s="479"/>
      <c r="E470" s="480"/>
      <c r="F470" s="480"/>
      <c r="G470" s="480"/>
      <c r="H470" s="480"/>
      <c r="I470" s="480"/>
      <c r="J470" s="480"/>
      <c r="K470" s="440"/>
      <c r="L470" s="441"/>
      <c r="M470" s="441"/>
      <c r="N470" s="441"/>
      <c r="O470" s="441"/>
      <c r="P470" s="441"/>
      <c r="Q470" s="441"/>
      <c r="R470" s="444"/>
      <c r="S470" s="445"/>
      <c r="T470" s="444"/>
      <c r="U470" s="445"/>
      <c r="V470" s="440"/>
      <c r="W470" s="441"/>
      <c r="X470" s="441"/>
      <c r="Y470" s="441"/>
      <c r="Z470" s="441"/>
      <c r="AA470" s="441"/>
      <c r="AB470" s="441"/>
      <c r="AC470" s="441"/>
      <c r="AD470" s="440"/>
      <c r="AE470" s="441"/>
      <c r="AF470" s="441"/>
      <c r="AG470" s="441"/>
      <c r="AH470" s="441"/>
      <c r="AI470" s="441"/>
      <c r="AJ470" s="441"/>
      <c r="AK470" s="450"/>
      <c r="AL470" s="440"/>
      <c r="AM470" s="441"/>
      <c r="AN470" s="441"/>
      <c r="AO470" s="441"/>
      <c r="AP470" s="441"/>
      <c r="AQ470" s="441"/>
      <c r="AR470" s="450"/>
      <c r="AS470" s="485"/>
      <c r="AT470" s="486"/>
      <c r="AU470" s="486"/>
      <c r="AV470" s="486"/>
      <c r="AW470" s="486"/>
      <c r="AX470" s="486"/>
      <c r="AY470" s="487"/>
      <c r="AZ470" s="462"/>
      <c r="BA470" s="463"/>
      <c r="BB470" s="61">
        <v>4</v>
      </c>
      <c r="BC470" s="418"/>
      <c r="BD470" s="419"/>
      <c r="BE470" s="419"/>
      <c r="BF470" s="420"/>
      <c r="BG470" s="421"/>
      <c r="BH470" s="422"/>
      <c r="BI470" s="195"/>
      <c r="BJ470" s="423"/>
      <c r="BK470" s="424"/>
      <c r="BL470" s="424"/>
      <c r="BM470" s="424"/>
      <c r="BN470" s="424"/>
      <c r="BO470" s="425"/>
      <c r="BP470" s="423"/>
      <c r="BQ470" s="424"/>
      <c r="BR470" s="424"/>
      <c r="BS470" s="424"/>
      <c r="BT470" s="424"/>
      <c r="BU470" s="425"/>
      <c r="BV470" s="423"/>
      <c r="BW470" s="424"/>
      <c r="BX470" s="424"/>
      <c r="BY470" s="424"/>
      <c r="BZ470" s="424"/>
      <c r="CA470" s="425"/>
      <c r="CB470" s="418"/>
      <c r="CC470" s="419"/>
      <c r="CD470" s="419"/>
      <c r="CE470" s="420"/>
      <c r="CF470" s="412"/>
      <c r="CG470" s="413"/>
      <c r="CH470" s="413"/>
      <c r="CI470" s="413"/>
      <c r="CJ470" s="414"/>
      <c r="CK470" s="412"/>
      <c r="CL470" s="413"/>
      <c r="CM470" s="413"/>
      <c r="CN470" s="413"/>
      <c r="CO470" s="414"/>
      <c r="CP470" s="412"/>
      <c r="CQ470" s="413"/>
      <c r="CR470" s="413"/>
      <c r="CS470" s="413"/>
      <c r="CT470" s="414"/>
      <c r="CU470" s="415"/>
      <c r="CV470" s="416"/>
      <c r="CW470" s="416"/>
      <c r="CX470" s="416"/>
      <c r="CY470" s="417"/>
    </row>
    <row r="471" spans="1:103" ht="16.5">
      <c r="A471" s="435"/>
      <c r="B471" s="36"/>
      <c r="C471" s="199" t="str">
        <f t="shared" ca="1" si="9"/>
        <v/>
      </c>
      <c r="D471" s="479"/>
      <c r="E471" s="480"/>
      <c r="F471" s="480"/>
      <c r="G471" s="480"/>
      <c r="H471" s="480"/>
      <c r="I471" s="480"/>
      <c r="J471" s="480"/>
      <c r="K471" s="440"/>
      <c r="L471" s="441"/>
      <c r="M471" s="441"/>
      <c r="N471" s="441"/>
      <c r="O471" s="441"/>
      <c r="P471" s="441"/>
      <c r="Q471" s="441"/>
      <c r="R471" s="444"/>
      <c r="S471" s="445"/>
      <c r="T471" s="444"/>
      <c r="U471" s="445"/>
      <c r="V471" s="440"/>
      <c r="W471" s="441"/>
      <c r="X471" s="441"/>
      <c r="Y471" s="441"/>
      <c r="Z471" s="441"/>
      <c r="AA471" s="441"/>
      <c r="AB471" s="441"/>
      <c r="AC471" s="441"/>
      <c r="AD471" s="440"/>
      <c r="AE471" s="441"/>
      <c r="AF471" s="441"/>
      <c r="AG471" s="441"/>
      <c r="AH471" s="441"/>
      <c r="AI471" s="441"/>
      <c r="AJ471" s="441"/>
      <c r="AK471" s="450"/>
      <c r="AL471" s="440"/>
      <c r="AM471" s="441"/>
      <c r="AN471" s="441"/>
      <c r="AO471" s="441"/>
      <c r="AP471" s="441"/>
      <c r="AQ471" s="441"/>
      <c r="AR471" s="450"/>
      <c r="AS471" s="485"/>
      <c r="AT471" s="486"/>
      <c r="AU471" s="486"/>
      <c r="AV471" s="486"/>
      <c r="AW471" s="486"/>
      <c r="AX471" s="486"/>
      <c r="AY471" s="487"/>
      <c r="AZ471" s="462"/>
      <c r="BA471" s="463"/>
      <c r="BB471" s="61">
        <v>5</v>
      </c>
      <c r="BC471" s="418"/>
      <c r="BD471" s="419"/>
      <c r="BE471" s="419"/>
      <c r="BF471" s="420"/>
      <c r="BG471" s="421"/>
      <c r="BH471" s="422"/>
      <c r="BI471" s="195"/>
      <c r="BJ471" s="423"/>
      <c r="BK471" s="424"/>
      <c r="BL471" s="424"/>
      <c r="BM471" s="424"/>
      <c r="BN471" s="424"/>
      <c r="BO471" s="425"/>
      <c r="BP471" s="423"/>
      <c r="BQ471" s="424"/>
      <c r="BR471" s="424"/>
      <c r="BS471" s="424"/>
      <c r="BT471" s="424"/>
      <c r="BU471" s="425"/>
      <c r="BV471" s="423"/>
      <c r="BW471" s="424"/>
      <c r="BX471" s="424"/>
      <c r="BY471" s="424"/>
      <c r="BZ471" s="424"/>
      <c r="CA471" s="425"/>
      <c r="CB471" s="418"/>
      <c r="CC471" s="419"/>
      <c r="CD471" s="419"/>
      <c r="CE471" s="420"/>
      <c r="CF471" s="412"/>
      <c r="CG471" s="413"/>
      <c r="CH471" s="413"/>
      <c r="CI471" s="413"/>
      <c r="CJ471" s="414"/>
      <c r="CK471" s="412"/>
      <c r="CL471" s="413"/>
      <c r="CM471" s="413"/>
      <c r="CN471" s="413"/>
      <c r="CO471" s="414"/>
      <c r="CP471" s="412"/>
      <c r="CQ471" s="413"/>
      <c r="CR471" s="413"/>
      <c r="CS471" s="413"/>
      <c r="CT471" s="414"/>
      <c r="CU471" s="415"/>
      <c r="CV471" s="416"/>
      <c r="CW471" s="416"/>
      <c r="CX471" s="416"/>
      <c r="CY471" s="417"/>
    </row>
    <row r="472" spans="1:103" ht="16.5">
      <c r="A472" s="436"/>
      <c r="B472" s="37"/>
      <c r="C472" s="200" t="str">
        <f t="shared" ca="1" si="9"/>
        <v/>
      </c>
      <c r="D472" s="481"/>
      <c r="E472" s="482"/>
      <c r="F472" s="482"/>
      <c r="G472" s="482"/>
      <c r="H472" s="482"/>
      <c r="I472" s="482"/>
      <c r="J472" s="482"/>
      <c r="K472" s="409"/>
      <c r="L472" s="410"/>
      <c r="M472" s="410"/>
      <c r="N472" s="410"/>
      <c r="O472" s="410"/>
      <c r="P472" s="410"/>
      <c r="Q472" s="410"/>
      <c r="R472" s="446"/>
      <c r="S472" s="447"/>
      <c r="T472" s="446"/>
      <c r="U472" s="447"/>
      <c r="V472" s="409"/>
      <c r="W472" s="410"/>
      <c r="X472" s="410"/>
      <c r="Y472" s="410"/>
      <c r="Z472" s="410"/>
      <c r="AA472" s="410"/>
      <c r="AB472" s="410"/>
      <c r="AC472" s="410"/>
      <c r="AD472" s="409"/>
      <c r="AE472" s="410"/>
      <c r="AF472" s="410"/>
      <c r="AG472" s="410"/>
      <c r="AH472" s="410"/>
      <c r="AI472" s="410"/>
      <c r="AJ472" s="410"/>
      <c r="AK472" s="411"/>
      <c r="AL472" s="409"/>
      <c r="AM472" s="410"/>
      <c r="AN472" s="410"/>
      <c r="AO472" s="410"/>
      <c r="AP472" s="410"/>
      <c r="AQ472" s="410"/>
      <c r="AR472" s="411"/>
      <c r="AS472" s="488"/>
      <c r="AT472" s="489"/>
      <c r="AU472" s="489"/>
      <c r="AV472" s="489"/>
      <c r="AW472" s="489"/>
      <c r="AX472" s="489"/>
      <c r="AY472" s="490"/>
      <c r="AZ472" s="464"/>
      <c r="BA472" s="465"/>
      <c r="BB472" s="62">
        <v>6</v>
      </c>
      <c r="BC472" s="426"/>
      <c r="BD472" s="427"/>
      <c r="BE472" s="427"/>
      <c r="BF472" s="428"/>
      <c r="BG472" s="429"/>
      <c r="BH472" s="430"/>
      <c r="BI472" s="196"/>
      <c r="BJ472" s="474"/>
      <c r="BK472" s="475"/>
      <c r="BL472" s="475"/>
      <c r="BM472" s="475"/>
      <c r="BN472" s="475"/>
      <c r="BO472" s="476"/>
      <c r="BP472" s="474"/>
      <c r="BQ472" s="475"/>
      <c r="BR472" s="475"/>
      <c r="BS472" s="475"/>
      <c r="BT472" s="475"/>
      <c r="BU472" s="476"/>
      <c r="BV472" s="474"/>
      <c r="BW472" s="475"/>
      <c r="BX472" s="475"/>
      <c r="BY472" s="475"/>
      <c r="BZ472" s="475"/>
      <c r="CA472" s="476"/>
      <c r="CB472" s="426"/>
      <c r="CC472" s="427"/>
      <c r="CD472" s="427"/>
      <c r="CE472" s="428"/>
      <c r="CF472" s="412"/>
      <c r="CG472" s="413"/>
      <c r="CH472" s="413"/>
      <c r="CI472" s="413"/>
      <c r="CJ472" s="414"/>
      <c r="CK472" s="412"/>
      <c r="CL472" s="413"/>
      <c r="CM472" s="413"/>
      <c r="CN472" s="413"/>
      <c r="CO472" s="414"/>
      <c r="CP472" s="412"/>
      <c r="CQ472" s="413"/>
      <c r="CR472" s="413"/>
      <c r="CS472" s="413"/>
      <c r="CT472" s="414"/>
      <c r="CU472" s="415"/>
      <c r="CV472" s="416"/>
      <c r="CW472" s="416"/>
      <c r="CX472" s="416"/>
      <c r="CY472" s="417"/>
    </row>
    <row r="473" spans="1:103" ht="16.5">
      <c r="A473" s="434">
        <v>78</v>
      </c>
      <c r="B473" s="36"/>
      <c r="C473" s="198" t="str">
        <f t="shared" ca="1" si="9"/>
        <v/>
      </c>
      <c r="D473" s="477"/>
      <c r="E473" s="478"/>
      <c r="F473" s="478"/>
      <c r="G473" s="478"/>
      <c r="H473" s="478"/>
      <c r="I473" s="478"/>
      <c r="J473" s="478"/>
      <c r="K473" s="438" t="s">
        <v>428</v>
      </c>
      <c r="L473" s="439"/>
      <c r="M473" s="439"/>
      <c r="N473" s="439"/>
      <c r="O473" s="439"/>
      <c r="P473" s="439"/>
      <c r="Q473" s="439"/>
      <c r="R473" s="442" t="s">
        <v>186</v>
      </c>
      <c r="S473" s="443"/>
      <c r="T473" s="442"/>
      <c r="U473" s="443"/>
      <c r="V473" s="438"/>
      <c r="W473" s="439"/>
      <c r="X473" s="439"/>
      <c r="Y473" s="439"/>
      <c r="Z473" s="439"/>
      <c r="AA473" s="439"/>
      <c r="AB473" s="439"/>
      <c r="AC473" s="439"/>
      <c r="AD473" s="438"/>
      <c r="AE473" s="439"/>
      <c r="AF473" s="439"/>
      <c r="AG473" s="439"/>
      <c r="AH473" s="439"/>
      <c r="AI473" s="439"/>
      <c r="AJ473" s="439"/>
      <c r="AK473" s="449"/>
      <c r="AL473" s="438"/>
      <c r="AM473" s="439"/>
      <c r="AN473" s="439"/>
      <c r="AO473" s="439"/>
      <c r="AP473" s="439"/>
      <c r="AQ473" s="439"/>
      <c r="AR473" s="449"/>
      <c r="AS473" s="500"/>
      <c r="AT473" s="483"/>
      <c r="AU473" s="483"/>
      <c r="AV473" s="483"/>
      <c r="AW473" s="483"/>
      <c r="AX473" s="483"/>
      <c r="AY473" s="484"/>
      <c r="AZ473" s="460"/>
      <c r="BA473" s="461"/>
      <c r="BB473" s="60">
        <v>1</v>
      </c>
      <c r="BC473" s="466"/>
      <c r="BD473" s="467"/>
      <c r="BE473" s="467"/>
      <c r="BF473" s="468"/>
      <c r="BG473" s="469"/>
      <c r="BH473" s="470"/>
      <c r="BI473" s="194"/>
      <c r="BJ473" s="471"/>
      <c r="BK473" s="472"/>
      <c r="BL473" s="472"/>
      <c r="BM473" s="472"/>
      <c r="BN473" s="472"/>
      <c r="BO473" s="473"/>
      <c r="BP473" s="471"/>
      <c r="BQ473" s="472"/>
      <c r="BR473" s="472"/>
      <c r="BS473" s="472"/>
      <c r="BT473" s="472"/>
      <c r="BU473" s="473"/>
      <c r="BV473" s="471"/>
      <c r="BW473" s="472"/>
      <c r="BX473" s="472"/>
      <c r="BY473" s="472"/>
      <c r="BZ473" s="472"/>
      <c r="CA473" s="473"/>
      <c r="CB473" s="466"/>
      <c r="CC473" s="467"/>
      <c r="CD473" s="467"/>
      <c r="CE473" s="468"/>
      <c r="CF473" s="409"/>
      <c r="CG473" s="410"/>
      <c r="CH473" s="410"/>
      <c r="CI473" s="410"/>
      <c r="CJ473" s="411"/>
      <c r="CK473" s="409"/>
      <c r="CL473" s="410"/>
      <c r="CM473" s="410"/>
      <c r="CN473" s="410"/>
      <c r="CO473" s="411"/>
      <c r="CP473" s="409"/>
      <c r="CQ473" s="410"/>
      <c r="CR473" s="410"/>
      <c r="CS473" s="410"/>
      <c r="CT473" s="411"/>
      <c r="CU473" s="415"/>
      <c r="CV473" s="416"/>
      <c r="CW473" s="416"/>
      <c r="CX473" s="416"/>
      <c r="CY473" s="417"/>
    </row>
    <row r="474" spans="1:103" ht="16.5">
      <c r="A474" s="435"/>
      <c r="B474" s="36"/>
      <c r="C474" s="199" t="str">
        <f t="shared" ca="1" si="9"/>
        <v/>
      </c>
      <c r="D474" s="479"/>
      <c r="E474" s="480"/>
      <c r="F474" s="480"/>
      <c r="G474" s="480"/>
      <c r="H474" s="480"/>
      <c r="I474" s="480"/>
      <c r="J474" s="480"/>
      <c r="K474" s="440"/>
      <c r="L474" s="441"/>
      <c r="M474" s="441"/>
      <c r="N474" s="441"/>
      <c r="O474" s="441"/>
      <c r="P474" s="441"/>
      <c r="Q474" s="441"/>
      <c r="R474" s="444"/>
      <c r="S474" s="445"/>
      <c r="T474" s="444"/>
      <c r="U474" s="445"/>
      <c r="V474" s="440"/>
      <c r="W474" s="441"/>
      <c r="X474" s="441"/>
      <c r="Y474" s="441"/>
      <c r="Z474" s="441"/>
      <c r="AA474" s="441"/>
      <c r="AB474" s="441"/>
      <c r="AC474" s="441"/>
      <c r="AD474" s="440"/>
      <c r="AE474" s="441"/>
      <c r="AF474" s="441"/>
      <c r="AG474" s="441"/>
      <c r="AH474" s="441"/>
      <c r="AI474" s="441"/>
      <c r="AJ474" s="441"/>
      <c r="AK474" s="450"/>
      <c r="AL474" s="440"/>
      <c r="AM474" s="441"/>
      <c r="AN474" s="441"/>
      <c r="AO474" s="441"/>
      <c r="AP474" s="441"/>
      <c r="AQ474" s="441"/>
      <c r="AR474" s="450"/>
      <c r="AS474" s="485"/>
      <c r="AT474" s="486"/>
      <c r="AU474" s="486"/>
      <c r="AV474" s="486"/>
      <c r="AW474" s="486"/>
      <c r="AX474" s="486"/>
      <c r="AY474" s="487"/>
      <c r="AZ474" s="462"/>
      <c r="BA474" s="463"/>
      <c r="BB474" s="61">
        <v>2</v>
      </c>
      <c r="BC474" s="418"/>
      <c r="BD474" s="419"/>
      <c r="BE474" s="419"/>
      <c r="BF474" s="420"/>
      <c r="BG474" s="421"/>
      <c r="BH474" s="422"/>
      <c r="BI474" s="195"/>
      <c r="BJ474" s="423"/>
      <c r="BK474" s="424"/>
      <c r="BL474" s="424"/>
      <c r="BM474" s="424"/>
      <c r="BN474" s="424"/>
      <c r="BO474" s="425"/>
      <c r="BP474" s="423"/>
      <c r="BQ474" s="424"/>
      <c r="BR474" s="424"/>
      <c r="BS474" s="424"/>
      <c r="BT474" s="424"/>
      <c r="BU474" s="425"/>
      <c r="BV474" s="423"/>
      <c r="BW474" s="424"/>
      <c r="BX474" s="424"/>
      <c r="BY474" s="424"/>
      <c r="BZ474" s="424"/>
      <c r="CA474" s="425"/>
      <c r="CB474" s="418"/>
      <c r="CC474" s="419"/>
      <c r="CD474" s="419"/>
      <c r="CE474" s="420"/>
      <c r="CF474" s="412"/>
      <c r="CG474" s="413"/>
      <c r="CH474" s="413"/>
      <c r="CI474" s="413"/>
      <c r="CJ474" s="414"/>
      <c r="CK474" s="412"/>
      <c r="CL474" s="413"/>
      <c r="CM474" s="413"/>
      <c r="CN474" s="413"/>
      <c r="CO474" s="414"/>
      <c r="CP474" s="412"/>
      <c r="CQ474" s="413"/>
      <c r="CR474" s="413"/>
      <c r="CS474" s="413"/>
      <c r="CT474" s="414"/>
      <c r="CU474" s="415"/>
      <c r="CV474" s="416"/>
      <c r="CW474" s="416"/>
      <c r="CX474" s="416"/>
      <c r="CY474" s="417"/>
    </row>
    <row r="475" spans="1:103" ht="16.5">
      <c r="A475" s="435"/>
      <c r="B475" s="36"/>
      <c r="C475" s="199" t="str">
        <f t="shared" ca="1" si="9"/>
        <v/>
      </c>
      <c r="D475" s="479"/>
      <c r="E475" s="480"/>
      <c r="F475" s="480"/>
      <c r="G475" s="480"/>
      <c r="H475" s="480"/>
      <c r="I475" s="480"/>
      <c r="J475" s="480"/>
      <c r="K475" s="440"/>
      <c r="L475" s="441"/>
      <c r="M475" s="441"/>
      <c r="N475" s="441"/>
      <c r="O475" s="441"/>
      <c r="P475" s="441"/>
      <c r="Q475" s="441"/>
      <c r="R475" s="444"/>
      <c r="S475" s="445"/>
      <c r="T475" s="444"/>
      <c r="U475" s="445"/>
      <c r="V475" s="440"/>
      <c r="W475" s="441"/>
      <c r="X475" s="441"/>
      <c r="Y475" s="441"/>
      <c r="Z475" s="441"/>
      <c r="AA475" s="441"/>
      <c r="AB475" s="441"/>
      <c r="AC475" s="441"/>
      <c r="AD475" s="440"/>
      <c r="AE475" s="441"/>
      <c r="AF475" s="441"/>
      <c r="AG475" s="441"/>
      <c r="AH475" s="441"/>
      <c r="AI475" s="441"/>
      <c r="AJ475" s="441"/>
      <c r="AK475" s="450"/>
      <c r="AL475" s="440"/>
      <c r="AM475" s="441"/>
      <c r="AN475" s="441"/>
      <c r="AO475" s="441"/>
      <c r="AP475" s="441"/>
      <c r="AQ475" s="441"/>
      <c r="AR475" s="450"/>
      <c r="AS475" s="485"/>
      <c r="AT475" s="486"/>
      <c r="AU475" s="486"/>
      <c r="AV475" s="486"/>
      <c r="AW475" s="486"/>
      <c r="AX475" s="486"/>
      <c r="AY475" s="487"/>
      <c r="AZ475" s="462"/>
      <c r="BA475" s="463"/>
      <c r="BB475" s="61">
        <v>3</v>
      </c>
      <c r="BC475" s="418"/>
      <c r="BD475" s="419"/>
      <c r="BE475" s="419"/>
      <c r="BF475" s="420"/>
      <c r="BG475" s="421"/>
      <c r="BH475" s="422"/>
      <c r="BI475" s="195"/>
      <c r="BJ475" s="423"/>
      <c r="BK475" s="424"/>
      <c r="BL475" s="424"/>
      <c r="BM475" s="424"/>
      <c r="BN475" s="424"/>
      <c r="BO475" s="425"/>
      <c r="BP475" s="423"/>
      <c r="BQ475" s="424"/>
      <c r="BR475" s="424"/>
      <c r="BS475" s="424"/>
      <c r="BT475" s="424"/>
      <c r="BU475" s="425"/>
      <c r="BV475" s="423"/>
      <c r="BW475" s="424"/>
      <c r="BX475" s="424"/>
      <c r="BY475" s="424"/>
      <c r="BZ475" s="424"/>
      <c r="CA475" s="425"/>
      <c r="CB475" s="418"/>
      <c r="CC475" s="419"/>
      <c r="CD475" s="419"/>
      <c r="CE475" s="420"/>
      <c r="CF475" s="412"/>
      <c r="CG475" s="413"/>
      <c r="CH475" s="413"/>
      <c r="CI475" s="413"/>
      <c r="CJ475" s="414"/>
      <c r="CK475" s="412"/>
      <c r="CL475" s="413"/>
      <c r="CM475" s="413"/>
      <c r="CN475" s="413"/>
      <c r="CO475" s="414"/>
      <c r="CP475" s="412"/>
      <c r="CQ475" s="413"/>
      <c r="CR475" s="413"/>
      <c r="CS475" s="413"/>
      <c r="CT475" s="414"/>
      <c r="CU475" s="415"/>
      <c r="CV475" s="416"/>
      <c r="CW475" s="416"/>
      <c r="CX475" s="416"/>
      <c r="CY475" s="417"/>
    </row>
    <row r="476" spans="1:103" ht="16.5">
      <c r="A476" s="435"/>
      <c r="B476" s="36"/>
      <c r="C476" s="199" t="str">
        <f t="shared" ca="1" si="9"/>
        <v/>
      </c>
      <c r="D476" s="479"/>
      <c r="E476" s="480"/>
      <c r="F476" s="480"/>
      <c r="G476" s="480"/>
      <c r="H476" s="480"/>
      <c r="I476" s="480"/>
      <c r="J476" s="480"/>
      <c r="K476" s="440"/>
      <c r="L476" s="441"/>
      <c r="M476" s="441"/>
      <c r="N476" s="441"/>
      <c r="O476" s="441"/>
      <c r="P476" s="441"/>
      <c r="Q476" s="441"/>
      <c r="R476" s="444"/>
      <c r="S476" s="445"/>
      <c r="T476" s="444"/>
      <c r="U476" s="445"/>
      <c r="V476" s="440"/>
      <c r="W476" s="441"/>
      <c r="X476" s="441"/>
      <c r="Y476" s="441"/>
      <c r="Z476" s="441"/>
      <c r="AA476" s="441"/>
      <c r="AB476" s="441"/>
      <c r="AC476" s="441"/>
      <c r="AD476" s="440"/>
      <c r="AE476" s="441"/>
      <c r="AF476" s="441"/>
      <c r="AG476" s="441"/>
      <c r="AH476" s="441"/>
      <c r="AI476" s="441"/>
      <c r="AJ476" s="441"/>
      <c r="AK476" s="450"/>
      <c r="AL476" s="440"/>
      <c r="AM476" s="441"/>
      <c r="AN476" s="441"/>
      <c r="AO476" s="441"/>
      <c r="AP476" s="441"/>
      <c r="AQ476" s="441"/>
      <c r="AR476" s="450"/>
      <c r="AS476" s="485"/>
      <c r="AT476" s="486"/>
      <c r="AU476" s="486"/>
      <c r="AV476" s="486"/>
      <c r="AW476" s="486"/>
      <c r="AX476" s="486"/>
      <c r="AY476" s="487"/>
      <c r="AZ476" s="462"/>
      <c r="BA476" s="463"/>
      <c r="BB476" s="61">
        <v>4</v>
      </c>
      <c r="BC476" s="418"/>
      <c r="BD476" s="419"/>
      <c r="BE476" s="419"/>
      <c r="BF476" s="420"/>
      <c r="BG476" s="421"/>
      <c r="BH476" s="422"/>
      <c r="BI476" s="195"/>
      <c r="BJ476" s="423"/>
      <c r="BK476" s="424"/>
      <c r="BL476" s="424"/>
      <c r="BM476" s="424"/>
      <c r="BN476" s="424"/>
      <c r="BO476" s="425"/>
      <c r="BP476" s="423"/>
      <c r="BQ476" s="424"/>
      <c r="BR476" s="424"/>
      <c r="BS476" s="424"/>
      <c r="BT476" s="424"/>
      <c r="BU476" s="425"/>
      <c r="BV476" s="423"/>
      <c r="BW476" s="424"/>
      <c r="BX476" s="424"/>
      <c r="BY476" s="424"/>
      <c r="BZ476" s="424"/>
      <c r="CA476" s="425"/>
      <c r="CB476" s="418"/>
      <c r="CC476" s="419"/>
      <c r="CD476" s="419"/>
      <c r="CE476" s="420"/>
      <c r="CF476" s="412"/>
      <c r="CG476" s="413"/>
      <c r="CH476" s="413"/>
      <c r="CI476" s="413"/>
      <c r="CJ476" s="414"/>
      <c r="CK476" s="412"/>
      <c r="CL476" s="413"/>
      <c r="CM476" s="413"/>
      <c r="CN476" s="413"/>
      <c r="CO476" s="414"/>
      <c r="CP476" s="412"/>
      <c r="CQ476" s="413"/>
      <c r="CR476" s="413"/>
      <c r="CS476" s="413"/>
      <c r="CT476" s="414"/>
      <c r="CU476" s="415"/>
      <c r="CV476" s="416"/>
      <c r="CW476" s="416"/>
      <c r="CX476" s="416"/>
      <c r="CY476" s="417"/>
    </row>
    <row r="477" spans="1:103" ht="16.5">
      <c r="A477" s="435"/>
      <c r="B477" s="36"/>
      <c r="C477" s="199" t="str">
        <f t="shared" ca="1" si="9"/>
        <v/>
      </c>
      <c r="D477" s="479"/>
      <c r="E477" s="480"/>
      <c r="F477" s="480"/>
      <c r="G477" s="480"/>
      <c r="H477" s="480"/>
      <c r="I477" s="480"/>
      <c r="J477" s="480"/>
      <c r="K477" s="440"/>
      <c r="L477" s="441"/>
      <c r="M477" s="441"/>
      <c r="N477" s="441"/>
      <c r="O477" s="441"/>
      <c r="P477" s="441"/>
      <c r="Q477" s="441"/>
      <c r="R477" s="444"/>
      <c r="S477" s="445"/>
      <c r="T477" s="444"/>
      <c r="U477" s="445"/>
      <c r="V477" s="440"/>
      <c r="W477" s="441"/>
      <c r="X477" s="441"/>
      <c r="Y477" s="441"/>
      <c r="Z477" s="441"/>
      <c r="AA477" s="441"/>
      <c r="AB477" s="441"/>
      <c r="AC477" s="441"/>
      <c r="AD477" s="440"/>
      <c r="AE477" s="441"/>
      <c r="AF477" s="441"/>
      <c r="AG477" s="441"/>
      <c r="AH477" s="441"/>
      <c r="AI477" s="441"/>
      <c r="AJ477" s="441"/>
      <c r="AK477" s="450"/>
      <c r="AL477" s="440"/>
      <c r="AM477" s="441"/>
      <c r="AN477" s="441"/>
      <c r="AO477" s="441"/>
      <c r="AP477" s="441"/>
      <c r="AQ477" s="441"/>
      <c r="AR477" s="450"/>
      <c r="AS477" s="485"/>
      <c r="AT477" s="486"/>
      <c r="AU477" s="486"/>
      <c r="AV477" s="486"/>
      <c r="AW477" s="486"/>
      <c r="AX477" s="486"/>
      <c r="AY477" s="487"/>
      <c r="AZ477" s="462"/>
      <c r="BA477" s="463"/>
      <c r="BB477" s="61">
        <v>5</v>
      </c>
      <c r="BC477" s="418"/>
      <c r="BD477" s="419"/>
      <c r="BE477" s="419"/>
      <c r="BF477" s="420"/>
      <c r="BG477" s="421"/>
      <c r="BH477" s="422"/>
      <c r="BI477" s="195"/>
      <c r="BJ477" s="423"/>
      <c r="BK477" s="424"/>
      <c r="BL477" s="424"/>
      <c r="BM477" s="424"/>
      <c r="BN477" s="424"/>
      <c r="BO477" s="425"/>
      <c r="BP477" s="423"/>
      <c r="BQ477" s="424"/>
      <c r="BR477" s="424"/>
      <c r="BS477" s="424"/>
      <c r="BT477" s="424"/>
      <c r="BU477" s="425"/>
      <c r="BV477" s="423"/>
      <c r="BW477" s="424"/>
      <c r="BX477" s="424"/>
      <c r="BY477" s="424"/>
      <c r="BZ477" s="424"/>
      <c r="CA477" s="425"/>
      <c r="CB477" s="418"/>
      <c r="CC477" s="419"/>
      <c r="CD477" s="419"/>
      <c r="CE477" s="420"/>
      <c r="CF477" s="412"/>
      <c r="CG477" s="413"/>
      <c r="CH477" s="413"/>
      <c r="CI477" s="413"/>
      <c r="CJ477" s="414"/>
      <c r="CK477" s="412"/>
      <c r="CL477" s="413"/>
      <c r="CM477" s="413"/>
      <c r="CN477" s="413"/>
      <c r="CO477" s="414"/>
      <c r="CP477" s="412"/>
      <c r="CQ477" s="413"/>
      <c r="CR477" s="413"/>
      <c r="CS477" s="413"/>
      <c r="CT477" s="414"/>
      <c r="CU477" s="415"/>
      <c r="CV477" s="416"/>
      <c r="CW477" s="416"/>
      <c r="CX477" s="416"/>
      <c r="CY477" s="417"/>
    </row>
    <row r="478" spans="1:103" ht="16.5">
      <c r="A478" s="436"/>
      <c r="B478" s="37"/>
      <c r="C478" s="200" t="str">
        <f t="shared" ca="1" si="9"/>
        <v/>
      </c>
      <c r="D478" s="481"/>
      <c r="E478" s="482"/>
      <c r="F478" s="482"/>
      <c r="G478" s="482"/>
      <c r="H478" s="482"/>
      <c r="I478" s="482"/>
      <c r="J478" s="482"/>
      <c r="K478" s="409"/>
      <c r="L478" s="410"/>
      <c r="M478" s="410"/>
      <c r="N478" s="410"/>
      <c r="O478" s="410"/>
      <c r="P478" s="410"/>
      <c r="Q478" s="410"/>
      <c r="R478" s="446"/>
      <c r="S478" s="447"/>
      <c r="T478" s="446"/>
      <c r="U478" s="447"/>
      <c r="V478" s="409"/>
      <c r="W478" s="410"/>
      <c r="X478" s="410"/>
      <c r="Y478" s="410"/>
      <c r="Z478" s="410"/>
      <c r="AA478" s="410"/>
      <c r="AB478" s="410"/>
      <c r="AC478" s="410"/>
      <c r="AD478" s="409"/>
      <c r="AE478" s="410"/>
      <c r="AF478" s="410"/>
      <c r="AG478" s="410"/>
      <c r="AH478" s="410"/>
      <c r="AI478" s="410"/>
      <c r="AJ478" s="410"/>
      <c r="AK478" s="411"/>
      <c r="AL478" s="409"/>
      <c r="AM478" s="410"/>
      <c r="AN478" s="410"/>
      <c r="AO478" s="410"/>
      <c r="AP478" s="410"/>
      <c r="AQ478" s="410"/>
      <c r="AR478" s="411"/>
      <c r="AS478" s="488"/>
      <c r="AT478" s="489"/>
      <c r="AU478" s="489"/>
      <c r="AV478" s="489"/>
      <c r="AW478" s="489"/>
      <c r="AX478" s="489"/>
      <c r="AY478" s="490"/>
      <c r="AZ478" s="464"/>
      <c r="BA478" s="465"/>
      <c r="BB478" s="62">
        <v>6</v>
      </c>
      <c r="BC478" s="426"/>
      <c r="BD478" s="427"/>
      <c r="BE478" s="427"/>
      <c r="BF478" s="428"/>
      <c r="BG478" s="429"/>
      <c r="BH478" s="430"/>
      <c r="BI478" s="196"/>
      <c r="BJ478" s="474"/>
      <c r="BK478" s="475"/>
      <c r="BL478" s="475"/>
      <c r="BM478" s="475"/>
      <c r="BN478" s="475"/>
      <c r="BO478" s="476"/>
      <c r="BP478" s="474"/>
      <c r="BQ478" s="475"/>
      <c r="BR478" s="475"/>
      <c r="BS478" s="475"/>
      <c r="BT478" s="475"/>
      <c r="BU478" s="476"/>
      <c r="BV478" s="474"/>
      <c r="BW478" s="475"/>
      <c r="BX478" s="475"/>
      <c r="BY478" s="475"/>
      <c r="BZ478" s="475"/>
      <c r="CA478" s="476"/>
      <c r="CB478" s="426"/>
      <c r="CC478" s="427"/>
      <c r="CD478" s="427"/>
      <c r="CE478" s="428"/>
      <c r="CF478" s="412"/>
      <c r="CG478" s="413"/>
      <c r="CH478" s="413"/>
      <c r="CI478" s="413"/>
      <c r="CJ478" s="414"/>
      <c r="CK478" s="412"/>
      <c r="CL478" s="413"/>
      <c r="CM478" s="413"/>
      <c r="CN478" s="413"/>
      <c r="CO478" s="414"/>
      <c r="CP478" s="412"/>
      <c r="CQ478" s="413"/>
      <c r="CR478" s="413"/>
      <c r="CS478" s="413"/>
      <c r="CT478" s="414"/>
      <c r="CU478" s="415"/>
      <c r="CV478" s="416"/>
      <c r="CW478" s="416"/>
      <c r="CX478" s="416"/>
      <c r="CY478" s="417"/>
    </row>
    <row r="479" spans="1:103" ht="16.5">
      <c r="A479" s="434">
        <v>79</v>
      </c>
      <c r="B479" s="36"/>
      <c r="C479" s="198" t="str">
        <f t="shared" ca="1" si="9"/>
        <v/>
      </c>
      <c r="D479" s="477"/>
      <c r="E479" s="478"/>
      <c r="F479" s="478"/>
      <c r="G479" s="478"/>
      <c r="H479" s="478"/>
      <c r="I479" s="478"/>
      <c r="J479" s="478"/>
      <c r="K479" s="438" t="s">
        <v>429</v>
      </c>
      <c r="L479" s="439"/>
      <c r="M479" s="439"/>
      <c r="N479" s="439"/>
      <c r="O479" s="439"/>
      <c r="P479" s="439"/>
      <c r="Q479" s="439"/>
      <c r="R479" s="442" t="s">
        <v>186</v>
      </c>
      <c r="S479" s="443"/>
      <c r="T479" s="442"/>
      <c r="U479" s="443"/>
      <c r="V479" s="438"/>
      <c r="W479" s="439"/>
      <c r="X479" s="439"/>
      <c r="Y479" s="439"/>
      <c r="Z479" s="439"/>
      <c r="AA479" s="439"/>
      <c r="AB479" s="439"/>
      <c r="AC479" s="439"/>
      <c r="AD479" s="438"/>
      <c r="AE479" s="439"/>
      <c r="AF479" s="439"/>
      <c r="AG479" s="439"/>
      <c r="AH479" s="439"/>
      <c r="AI479" s="439"/>
      <c r="AJ479" s="439"/>
      <c r="AK479" s="449"/>
      <c r="AL479" s="438"/>
      <c r="AM479" s="439"/>
      <c r="AN479" s="439"/>
      <c r="AO479" s="439"/>
      <c r="AP479" s="439"/>
      <c r="AQ479" s="439"/>
      <c r="AR479" s="449"/>
      <c r="AS479" s="500"/>
      <c r="AT479" s="483"/>
      <c r="AU479" s="483"/>
      <c r="AV479" s="483"/>
      <c r="AW479" s="483"/>
      <c r="AX479" s="483"/>
      <c r="AY479" s="484"/>
      <c r="AZ479" s="460"/>
      <c r="BA479" s="461"/>
      <c r="BB479" s="60">
        <v>1</v>
      </c>
      <c r="BC479" s="466"/>
      <c r="BD479" s="467"/>
      <c r="BE479" s="467"/>
      <c r="BF479" s="468"/>
      <c r="BG479" s="469"/>
      <c r="BH479" s="470"/>
      <c r="BI479" s="194"/>
      <c r="BJ479" s="471"/>
      <c r="BK479" s="472"/>
      <c r="BL479" s="472"/>
      <c r="BM479" s="472"/>
      <c r="BN479" s="472"/>
      <c r="BO479" s="473"/>
      <c r="BP479" s="471"/>
      <c r="BQ479" s="472"/>
      <c r="BR479" s="472"/>
      <c r="BS479" s="472"/>
      <c r="BT479" s="472"/>
      <c r="BU479" s="473"/>
      <c r="BV479" s="471"/>
      <c r="BW479" s="472"/>
      <c r="BX479" s="472"/>
      <c r="BY479" s="472"/>
      <c r="BZ479" s="472"/>
      <c r="CA479" s="473"/>
      <c r="CB479" s="466"/>
      <c r="CC479" s="467"/>
      <c r="CD479" s="467"/>
      <c r="CE479" s="468"/>
      <c r="CF479" s="409"/>
      <c r="CG479" s="410"/>
      <c r="CH479" s="410"/>
      <c r="CI479" s="410"/>
      <c r="CJ479" s="411"/>
      <c r="CK479" s="409"/>
      <c r="CL479" s="410"/>
      <c r="CM479" s="410"/>
      <c r="CN479" s="410"/>
      <c r="CO479" s="411"/>
      <c r="CP479" s="409"/>
      <c r="CQ479" s="410"/>
      <c r="CR479" s="410"/>
      <c r="CS479" s="410"/>
      <c r="CT479" s="411"/>
      <c r="CU479" s="415"/>
      <c r="CV479" s="416"/>
      <c r="CW479" s="416"/>
      <c r="CX479" s="416"/>
      <c r="CY479" s="417"/>
    </row>
    <row r="480" spans="1:103" ht="16.5">
      <c r="A480" s="435"/>
      <c r="B480" s="36"/>
      <c r="C480" s="199" t="str">
        <f t="shared" ca="1" si="9"/>
        <v/>
      </c>
      <c r="D480" s="479"/>
      <c r="E480" s="480"/>
      <c r="F480" s="480"/>
      <c r="G480" s="480"/>
      <c r="H480" s="480"/>
      <c r="I480" s="480"/>
      <c r="J480" s="480"/>
      <c r="K480" s="440"/>
      <c r="L480" s="441"/>
      <c r="M480" s="441"/>
      <c r="N480" s="441"/>
      <c r="O480" s="441"/>
      <c r="P480" s="441"/>
      <c r="Q480" s="441"/>
      <c r="R480" s="444"/>
      <c r="S480" s="445"/>
      <c r="T480" s="444"/>
      <c r="U480" s="445"/>
      <c r="V480" s="440"/>
      <c r="W480" s="441"/>
      <c r="X480" s="441"/>
      <c r="Y480" s="441"/>
      <c r="Z480" s="441"/>
      <c r="AA480" s="441"/>
      <c r="AB480" s="441"/>
      <c r="AC480" s="441"/>
      <c r="AD480" s="440"/>
      <c r="AE480" s="441"/>
      <c r="AF480" s="441"/>
      <c r="AG480" s="441"/>
      <c r="AH480" s="441"/>
      <c r="AI480" s="441"/>
      <c r="AJ480" s="441"/>
      <c r="AK480" s="450"/>
      <c r="AL480" s="440"/>
      <c r="AM480" s="441"/>
      <c r="AN480" s="441"/>
      <c r="AO480" s="441"/>
      <c r="AP480" s="441"/>
      <c r="AQ480" s="441"/>
      <c r="AR480" s="450"/>
      <c r="AS480" s="485"/>
      <c r="AT480" s="486"/>
      <c r="AU480" s="486"/>
      <c r="AV480" s="486"/>
      <c r="AW480" s="486"/>
      <c r="AX480" s="486"/>
      <c r="AY480" s="487"/>
      <c r="AZ480" s="462"/>
      <c r="BA480" s="463"/>
      <c r="BB480" s="61">
        <v>2</v>
      </c>
      <c r="BC480" s="418"/>
      <c r="BD480" s="419"/>
      <c r="BE480" s="419"/>
      <c r="BF480" s="420"/>
      <c r="BG480" s="421"/>
      <c r="BH480" s="422"/>
      <c r="BI480" s="195"/>
      <c r="BJ480" s="423"/>
      <c r="BK480" s="424"/>
      <c r="BL480" s="424"/>
      <c r="BM480" s="424"/>
      <c r="BN480" s="424"/>
      <c r="BO480" s="425"/>
      <c r="BP480" s="423"/>
      <c r="BQ480" s="424"/>
      <c r="BR480" s="424"/>
      <c r="BS480" s="424"/>
      <c r="BT480" s="424"/>
      <c r="BU480" s="425"/>
      <c r="BV480" s="423"/>
      <c r="BW480" s="424"/>
      <c r="BX480" s="424"/>
      <c r="BY480" s="424"/>
      <c r="BZ480" s="424"/>
      <c r="CA480" s="425"/>
      <c r="CB480" s="418"/>
      <c r="CC480" s="419"/>
      <c r="CD480" s="419"/>
      <c r="CE480" s="420"/>
      <c r="CF480" s="412"/>
      <c r="CG480" s="413"/>
      <c r="CH480" s="413"/>
      <c r="CI480" s="413"/>
      <c r="CJ480" s="414"/>
      <c r="CK480" s="412"/>
      <c r="CL480" s="413"/>
      <c r="CM480" s="413"/>
      <c r="CN480" s="413"/>
      <c r="CO480" s="414"/>
      <c r="CP480" s="412"/>
      <c r="CQ480" s="413"/>
      <c r="CR480" s="413"/>
      <c r="CS480" s="413"/>
      <c r="CT480" s="414"/>
      <c r="CU480" s="415"/>
      <c r="CV480" s="416"/>
      <c r="CW480" s="416"/>
      <c r="CX480" s="416"/>
      <c r="CY480" s="417"/>
    </row>
    <row r="481" spans="1:103" ht="16.5">
      <c r="A481" s="435"/>
      <c r="B481" s="36"/>
      <c r="C481" s="199" t="str">
        <f t="shared" ca="1" si="9"/>
        <v/>
      </c>
      <c r="D481" s="479"/>
      <c r="E481" s="480"/>
      <c r="F481" s="480"/>
      <c r="G481" s="480"/>
      <c r="H481" s="480"/>
      <c r="I481" s="480"/>
      <c r="J481" s="480"/>
      <c r="K481" s="440"/>
      <c r="L481" s="441"/>
      <c r="M481" s="441"/>
      <c r="N481" s="441"/>
      <c r="O481" s="441"/>
      <c r="P481" s="441"/>
      <c r="Q481" s="441"/>
      <c r="R481" s="444"/>
      <c r="S481" s="445"/>
      <c r="T481" s="444"/>
      <c r="U481" s="445"/>
      <c r="V481" s="440"/>
      <c r="W481" s="441"/>
      <c r="X481" s="441"/>
      <c r="Y481" s="441"/>
      <c r="Z481" s="441"/>
      <c r="AA481" s="441"/>
      <c r="AB481" s="441"/>
      <c r="AC481" s="441"/>
      <c r="AD481" s="440"/>
      <c r="AE481" s="441"/>
      <c r="AF481" s="441"/>
      <c r="AG481" s="441"/>
      <c r="AH481" s="441"/>
      <c r="AI481" s="441"/>
      <c r="AJ481" s="441"/>
      <c r="AK481" s="450"/>
      <c r="AL481" s="440"/>
      <c r="AM481" s="441"/>
      <c r="AN481" s="441"/>
      <c r="AO481" s="441"/>
      <c r="AP481" s="441"/>
      <c r="AQ481" s="441"/>
      <c r="AR481" s="450"/>
      <c r="AS481" s="485"/>
      <c r="AT481" s="486"/>
      <c r="AU481" s="486"/>
      <c r="AV481" s="486"/>
      <c r="AW481" s="486"/>
      <c r="AX481" s="486"/>
      <c r="AY481" s="487"/>
      <c r="AZ481" s="462"/>
      <c r="BA481" s="463"/>
      <c r="BB481" s="61">
        <v>3</v>
      </c>
      <c r="BC481" s="418"/>
      <c r="BD481" s="419"/>
      <c r="BE481" s="419"/>
      <c r="BF481" s="420"/>
      <c r="BG481" s="421"/>
      <c r="BH481" s="422"/>
      <c r="BI481" s="195"/>
      <c r="BJ481" s="423"/>
      <c r="BK481" s="424"/>
      <c r="BL481" s="424"/>
      <c r="BM481" s="424"/>
      <c r="BN481" s="424"/>
      <c r="BO481" s="425"/>
      <c r="BP481" s="423"/>
      <c r="BQ481" s="424"/>
      <c r="BR481" s="424"/>
      <c r="BS481" s="424"/>
      <c r="BT481" s="424"/>
      <c r="BU481" s="425"/>
      <c r="BV481" s="423"/>
      <c r="BW481" s="424"/>
      <c r="BX481" s="424"/>
      <c r="BY481" s="424"/>
      <c r="BZ481" s="424"/>
      <c r="CA481" s="425"/>
      <c r="CB481" s="418"/>
      <c r="CC481" s="419"/>
      <c r="CD481" s="419"/>
      <c r="CE481" s="420"/>
      <c r="CF481" s="412"/>
      <c r="CG481" s="413"/>
      <c r="CH481" s="413"/>
      <c r="CI481" s="413"/>
      <c r="CJ481" s="414"/>
      <c r="CK481" s="412"/>
      <c r="CL481" s="413"/>
      <c r="CM481" s="413"/>
      <c r="CN481" s="413"/>
      <c r="CO481" s="414"/>
      <c r="CP481" s="412"/>
      <c r="CQ481" s="413"/>
      <c r="CR481" s="413"/>
      <c r="CS481" s="413"/>
      <c r="CT481" s="414"/>
      <c r="CU481" s="415"/>
      <c r="CV481" s="416"/>
      <c r="CW481" s="416"/>
      <c r="CX481" s="416"/>
      <c r="CY481" s="417"/>
    </row>
    <row r="482" spans="1:103" ht="16.5">
      <c r="A482" s="435"/>
      <c r="B482" s="36"/>
      <c r="C482" s="199" t="str">
        <f t="shared" ca="1" si="9"/>
        <v/>
      </c>
      <c r="D482" s="479"/>
      <c r="E482" s="480"/>
      <c r="F482" s="480"/>
      <c r="G482" s="480"/>
      <c r="H482" s="480"/>
      <c r="I482" s="480"/>
      <c r="J482" s="480"/>
      <c r="K482" s="440"/>
      <c r="L482" s="441"/>
      <c r="M482" s="441"/>
      <c r="N482" s="441"/>
      <c r="O482" s="441"/>
      <c r="P482" s="441"/>
      <c r="Q482" s="441"/>
      <c r="R482" s="444"/>
      <c r="S482" s="445"/>
      <c r="T482" s="444"/>
      <c r="U482" s="445"/>
      <c r="V482" s="440"/>
      <c r="W482" s="441"/>
      <c r="X482" s="441"/>
      <c r="Y482" s="441"/>
      <c r="Z482" s="441"/>
      <c r="AA482" s="441"/>
      <c r="AB482" s="441"/>
      <c r="AC482" s="441"/>
      <c r="AD482" s="440"/>
      <c r="AE482" s="441"/>
      <c r="AF482" s="441"/>
      <c r="AG482" s="441"/>
      <c r="AH482" s="441"/>
      <c r="AI482" s="441"/>
      <c r="AJ482" s="441"/>
      <c r="AK482" s="450"/>
      <c r="AL482" s="440"/>
      <c r="AM482" s="441"/>
      <c r="AN482" s="441"/>
      <c r="AO482" s="441"/>
      <c r="AP482" s="441"/>
      <c r="AQ482" s="441"/>
      <c r="AR482" s="450"/>
      <c r="AS482" s="485"/>
      <c r="AT482" s="486"/>
      <c r="AU482" s="486"/>
      <c r="AV482" s="486"/>
      <c r="AW482" s="486"/>
      <c r="AX482" s="486"/>
      <c r="AY482" s="487"/>
      <c r="AZ482" s="462"/>
      <c r="BA482" s="463"/>
      <c r="BB482" s="61">
        <v>4</v>
      </c>
      <c r="BC482" s="418"/>
      <c r="BD482" s="419"/>
      <c r="BE482" s="419"/>
      <c r="BF482" s="420"/>
      <c r="BG482" s="421"/>
      <c r="BH482" s="422"/>
      <c r="BI482" s="195"/>
      <c r="BJ482" s="423"/>
      <c r="BK482" s="424"/>
      <c r="BL482" s="424"/>
      <c r="BM482" s="424"/>
      <c r="BN482" s="424"/>
      <c r="BO482" s="425"/>
      <c r="BP482" s="423"/>
      <c r="BQ482" s="424"/>
      <c r="BR482" s="424"/>
      <c r="BS482" s="424"/>
      <c r="BT482" s="424"/>
      <c r="BU482" s="425"/>
      <c r="BV482" s="423"/>
      <c r="BW482" s="424"/>
      <c r="BX482" s="424"/>
      <c r="BY482" s="424"/>
      <c r="BZ482" s="424"/>
      <c r="CA482" s="425"/>
      <c r="CB482" s="418"/>
      <c r="CC482" s="419"/>
      <c r="CD482" s="419"/>
      <c r="CE482" s="420"/>
      <c r="CF482" s="412"/>
      <c r="CG482" s="413"/>
      <c r="CH482" s="413"/>
      <c r="CI482" s="413"/>
      <c r="CJ482" s="414"/>
      <c r="CK482" s="412"/>
      <c r="CL482" s="413"/>
      <c r="CM482" s="413"/>
      <c r="CN482" s="413"/>
      <c r="CO482" s="414"/>
      <c r="CP482" s="412"/>
      <c r="CQ482" s="413"/>
      <c r="CR482" s="413"/>
      <c r="CS482" s="413"/>
      <c r="CT482" s="414"/>
      <c r="CU482" s="415"/>
      <c r="CV482" s="416"/>
      <c r="CW482" s="416"/>
      <c r="CX482" s="416"/>
      <c r="CY482" s="417"/>
    </row>
    <row r="483" spans="1:103" ht="16.5">
      <c r="A483" s="435"/>
      <c r="B483" s="36"/>
      <c r="C483" s="199" t="str">
        <f t="shared" ca="1" si="9"/>
        <v/>
      </c>
      <c r="D483" s="479"/>
      <c r="E483" s="480"/>
      <c r="F483" s="480"/>
      <c r="G483" s="480"/>
      <c r="H483" s="480"/>
      <c r="I483" s="480"/>
      <c r="J483" s="480"/>
      <c r="K483" s="440"/>
      <c r="L483" s="441"/>
      <c r="M483" s="441"/>
      <c r="N483" s="441"/>
      <c r="O483" s="441"/>
      <c r="P483" s="441"/>
      <c r="Q483" s="441"/>
      <c r="R483" s="444"/>
      <c r="S483" s="445"/>
      <c r="T483" s="444"/>
      <c r="U483" s="445"/>
      <c r="V483" s="440"/>
      <c r="W483" s="441"/>
      <c r="X483" s="441"/>
      <c r="Y483" s="441"/>
      <c r="Z483" s="441"/>
      <c r="AA483" s="441"/>
      <c r="AB483" s="441"/>
      <c r="AC483" s="441"/>
      <c r="AD483" s="440"/>
      <c r="AE483" s="441"/>
      <c r="AF483" s="441"/>
      <c r="AG483" s="441"/>
      <c r="AH483" s="441"/>
      <c r="AI483" s="441"/>
      <c r="AJ483" s="441"/>
      <c r="AK483" s="450"/>
      <c r="AL483" s="440"/>
      <c r="AM483" s="441"/>
      <c r="AN483" s="441"/>
      <c r="AO483" s="441"/>
      <c r="AP483" s="441"/>
      <c r="AQ483" s="441"/>
      <c r="AR483" s="450"/>
      <c r="AS483" s="485"/>
      <c r="AT483" s="486"/>
      <c r="AU483" s="486"/>
      <c r="AV483" s="486"/>
      <c r="AW483" s="486"/>
      <c r="AX483" s="486"/>
      <c r="AY483" s="487"/>
      <c r="AZ483" s="462"/>
      <c r="BA483" s="463"/>
      <c r="BB483" s="61">
        <v>5</v>
      </c>
      <c r="BC483" s="418"/>
      <c r="BD483" s="419"/>
      <c r="BE483" s="419"/>
      <c r="BF483" s="420"/>
      <c r="BG483" s="421"/>
      <c r="BH483" s="422"/>
      <c r="BI483" s="195"/>
      <c r="BJ483" s="423"/>
      <c r="BK483" s="424"/>
      <c r="BL483" s="424"/>
      <c r="BM483" s="424"/>
      <c r="BN483" s="424"/>
      <c r="BO483" s="425"/>
      <c r="BP483" s="423"/>
      <c r="BQ483" s="424"/>
      <c r="BR483" s="424"/>
      <c r="BS483" s="424"/>
      <c r="BT483" s="424"/>
      <c r="BU483" s="425"/>
      <c r="BV483" s="423"/>
      <c r="BW483" s="424"/>
      <c r="BX483" s="424"/>
      <c r="BY483" s="424"/>
      <c r="BZ483" s="424"/>
      <c r="CA483" s="425"/>
      <c r="CB483" s="418"/>
      <c r="CC483" s="419"/>
      <c r="CD483" s="419"/>
      <c r="CE483" s="420"/>
      <c r="CF483" s="412"/>
      <c r="CG483" s="413"/>
      <c r="CH483" s="413"/>
      <c r="CI483" s="413"/>
      <c r="CJ483" s="414"/>
      <c r="CK483" s="412"/>
      <c r="CL483" s="413"/>
      <c r="CM483" s="413"/>
      <c r="CN483" s="413"/>
      <c r="CO483" s="414"/>
      <c r="CP483" s="412"/>
      <c r="CQ483" s="413"/>
      <c r="CR483" s="413"/>
      <c r="CS483" s="413"/>
      <c r="CT483" s="414"/>
      <c r="CU483" s="415"/>
      <c r="CV483" s="416"/>
      <c r="CW483" s="416"/>
      <c r="CX483" s="416"/>
      <c r="CY483" s="417"/>
    </row>
    <row r="484" spans="1:103" ht="16.5">
      <c r="A484" s="436"/>
      <c r="B484" s="37"/>
      <c r="C484" s="200" t="str">
        <f t="shared" ca="1" si="9"/>
        <v/>
      </c>
      <c r="D484" s="481"/>
      <c r="E484" s="482"/>
      <c r="F484" s="482"/>
      <c r="G484" s="482"/>
      <c r="H484" s="482"/>
      <c r="I484" s="482"/>
      <c r="J484" s="482"/>
      <c r="K484" s="409"/>
      <c r="L484" s="410"/>
      <c r="M484" s="410"/>
      <c r="N484" s="410"/>
      <c r="O484" s="410"/>
      <c r="P484" s="410"/>
      <c r="Q484" s="410"/>
      <c r="R484" s="446"/>
      <c r="S484" s="447"/>
      <c r="T484" s="446"/>
      <c r="U484" s="447"/>
      <c r="V484" s="409"/>
      <c r="W484" s="410"/>
      <c r="X484" s="410"/>
      <c r="Y484" s="410"/>
      <c r="Z484" s="410"/>
      <c r="AA484" s="410"/>
      <c r="AB484" s="410"/>
      <c r="AC484" s="410"/>
      <c r="AD484" s="409"/>
      <c r="AE484" s="410"/>
      <c r="AF484" s="410"/>
      <c r="AG484" s="410"/>
      <c r="AH484" s="410"/>
      <c r="AI484" s="410"/>
      <c r="AJ484" s="410"/>
      <c r="AK484" s="411"/>
      <c r="AL484" s="409"/>
      <c r="AM484" s="410"/>
      <c r="AN484" s="410"/>
      <c r="AO484" s="410"/>
      <c r="AP484" s="410"/>
      <c r="AQ484" s="410"/>
      <c r="AR484" s="411"/>
      <c r="AS484" s="488"/>
      <c r="AT484" s="489"/>
      <c r="AU484" s="489"/>
      <c r="AV484" s="489"/>
      <c r="AW484" s="489"/>
      <c r="AX484" s="489"/>
      <c r="AY484" s="490"/>
      <c r="AZ484" s="464"/>
      <c r="BA484" s="465"/>
      <c r="BB484" s="62">
        <v>6</v>
      </c>
      <c r="BC484" s="426"/>
      <c r="BD484" s="427"/>
      <c r="BE484" s="427"/>
      <c r="BF484" s="428"/>
      <c r="BG484" s="429"/>
      <c r="BH484" s="430"/>
      <c r="BI484" s="196"/>
      <c r="BJ484" s="474"/>
      <c r="BK484" s="475"/>
      <c r="BL484" s="475"/>
      <c r="BM484" s="475"/>
      <c r="BN484" s="475"/>
      <c r="BO484" s="476"/>
      <c r="BP484" s="474"/>
      <c r="BQ484" s="475"/>
      <c r="BR484" s="475"/>
      <c r="BS484" s="475"/>
      <c r="BT484" s="475"/>
      <c r="BU484" s="476"/>
      <c r="BV484" s="474"/>
      <c r="BW484" s="475"/>
      <c r="BX484" s="475"/>
      <c r="BY484" s="475"/>
      <c r="BZ484" s="475"/>
      <c r="CA484" s="476"/>
      <c r="CB484" s="426"/>
      <c r="CC484" s="427"/>
      <c r="CD484" s="427"/>
      <c r="CE484" s="428"/>
      <c r="CF484" s="412"/>
      <c r="CG484" s="413"/>
      <c r="CH484" s="413"/>
      <c r="CI484" s="413"/>
      <c r="CJ484" s="414"/>
      <c r="CK484" s="412"/>
      <c r="CL484" s="413"/>
      <c r="CM484" s="413"/>
      <c r="CN484" s="413"/>
      <c r="CO484" s="414"/>
      <c r="CP484" s="412"/>
      <c r="CQ484" s="413"/>
      <c r="CR484" s="413"/>
      <c r="CS484" s="413"/>
      <c r="CT484" s="414"/>
      <c r="CU484" s="415"/>
      <c r="CV484" s="416"/>
      <c r="CW484" s="416"/>
      <c r="CX484" s="416"/>
      <c r="CY484" s="417"/>
    </row>
    <row r="485" spans="1:103" ht="16.5">
      <c r="A485" s="434">
        <v>80</v>
      </c>
      <c r="B485" s="36"/>
      <c r="C485" s="198" t="str">
        <f t="shared" ca="1" si="9"/>
        <v/>
      </c>
      <c r="D485" s="477"/>
      <c r="E485" s="478"/>
      <c r="F485" s="478"/>
      <c r="G485" s="478"/>
      <c r="H485" s="478"/>
      <c r="I485" s="478"/>
      <c r="J485" s="478"/>
      <c r="K485" s="438" t="s">
        <v>430</v>
      </c>
      <c r="L485" s="439"/>
      <c r="M485" s="439"/>
      <c r="N485" s="439"/>
      <c r="O485" s="439"/>
      <c r="P485" s="439"/>
      <c r="Q485" s="439"/>
      <c r="R485" s="442" t="s">
        <v>186</v>
      </c>
      <c r="S485" s="443"/>
      <c r="T485" s="442"/>
      <c r="U485" s="443"/>
      <c r="V485" s="438"/>
      <c r="W485" s="439"/>
      <c r="X485" s="439"/>
      <c r="Y485" s="439"/>
      <c r="Z485" s="439"/>
      <c r="AA485" s="439"/>
      <c r="AB485" s="439"/>
      <c r="AC485" s="439"/>
      <c r="AD485" s="438"/>
      <c r="AE485" s="439"/>
      <c r="AF485" s="439"/>
      <c r="AG485" s="439"/>
      <c r="AH485" s="439"/>
      <c r="AI485" s="439"/>
      <c r="AJ485" s="439"/>
      <c r="AK485" s="449"/>
      <c r="AL485" s="438"/>
      <c r="AM485" s="439"/>
      <c r="AN485" s="439"/>
      <c r="AO485" s="439"/>
      <c r="AP485" s="439"/>
      <c r="AQ485" s="439"/>
      <c r="AR485" s="449"/>
      <c r="AS485" s="500"/>
      <c r="AT485" s="483"/>
      <c r="AU485" s="483"/>
      <c r="AV485" s="483"/>
      <c r="AW485" s="483"/>
      <c r="AX485" s="483"/>
      <c r="AY485" s="484"/>
      <c r="AZ485" s="460"/>
      <c r="BA485" s="461"/>
      <c r="BB485" s="60">
        <v>1</v>
      </c>
      <c r="BC485" s="466"/>
      <c r="BD485" s="467"/>
      <c r="BE485" s="467"/>
      <c r="BF485" s="468"/>
      <c r="BG485" s="469"/>
      <c r="BH485" s="470"/>
      <c r="BI485" s="194"/>
      <c r="BJ485" s="471"/>
      <c r="BK485" s="472"/>
      <c r="BL485" s="472"/>
      <c r="BM485" s="472"/>
      <c r="BN485" s="472"/>
      <c r="BO485" s="473"/>
      <c r="BP485" s="471"/>
      <c r="BQ485" s="472"/>
      <c r="BR485" s="472"/>
      <c r="BS485" s="472"/>
      <c r="BT485" s="472"/>
      <c r="BU485" s="473"/>
      <c r="BV485" s="471"/>
      <c r="BW485" s="472"/>
      <c r="BX485" s="472"/>
      <c r="BY485" s="472"/>
      <c r="BZ485" s="472"/>
      <c r="CA485" s="473"/>
      <c r="CB485" s="466"/>
      <c r="CC485" s="467"/>
      <c r="CD485" s="467"/>
      <c r="CE485" s="468"/>
      <c r="CF485" s="409"/>
      <c r="CG485" s="410"/>
      <c r="CH485" s="410"/>
      <c r="CI485" s="410"/>
      <c r="CJ485" s="411"/>
      <c r="CK485" s="409"/>
      <c r="CL485" s="410"/>
      <c r="CM485" s="410"/>
      <c r="CN485" s="410"/>
      <c r="CO485" s="411"/>
      <c r="CP485" s="409"/>
      <c r="CQ485" s="410"/>
      <c r="CR485" s="410"/>
      <c r="CS485" s="410"/>
      <c r="CT485" s="411"/>
      <c r="CU485" s="415"/>
      <c r="CV485" s="416"/>
      <c r="CW485" s="416"/>
      <c r="CX485" s="416"/>
      <c r="CY485" s="417"/>
    </row>
    <row r="486" spans="1:103" ht="16.5">
      <c r="A486" s="435"/>
      <c r="B486" s="36"/>
      <c r="C486" s="199" t="str">
        <f t="shared" ca="1" si="9"/>
        <v/>
      </c>
      <c r="D486" s="479"/>
      <c r="E486" s="480"/>
      <c r="F486" s="480"/>
      <c r="G486" s="480"/>
      <c r="H486" s="480"/>
      <c r="I486" s="480"/>
      <c r="J486" s="480"/>
      <c r="K486" s="440"/>
      <c r="L486" s="441"/>
      <c r="M486" s="441"/>
      <c r="N486" s="441"/>
      <c r="O486" s="441"/>
      <c r="P486" s="441"/>
      <c r="Q486" s="441"/>
      <c r="R486" s="444"/>
      <c r="S486" s="445"/>
      <c r="T486" s="444"/>
      <c r="U486" s="445"/>
      <c r="V486" s="440"/>
      <c r="W486" s="441"/>
      <c r="X486" s="441"/>
      <c r="Y486" s="441"/>
      <c r="Z486" s="441"/>
      <c r="AA486" s="441"/>
      <c r="AB486" s="441"/>
      <c r="AC486" s="441"/>
      <c r="AD486" s="440"/>
      <c r="AE486" s="441"/>
      <c r="AF486" s="441"/>
      <c r="AG486" s="441"/>
      <c r="AH486" s="441"/>
      <c r="AI486" s="441"/>
      <c r="AJ486" s="441"/>
      <c r="AK486" s="450"/>
      <c r="AL486" s="440"/>
      <c r="AM486" s="441"/>
      <c r="AN486" s="441"/>
      <c r="AO486" s="441"/>
      <c r="AP486" s="441"/>
      <c r="AQ486" s="441"/>
      <c r="AR486" s="450"/>
      <c r="AS486" s="485"/>
      <c r="AT486" s="486"/>
      <c r="AU486" s="486"/>
      <c r="AV486" s="486"/>
      <c r="AW486" s="486"/>
      <c r="AX486" s="486"/>
      <c r="AY486" s="487"/>
      <c r="AZ486" s="462"/>
      <c r="BA486" s="463"/>
      <c r="BB486" s="61">
        <v>2</v>
      </c>
      <c r="BC486" s="418"/>
      <c r="BD486" s="419"/>
      <c r="BE486" s="419"/>
      <c r="BF486" s="420"/>
      <c r="BG486" s="421"/>
      <c r="BH486" s="422"/>
      <c r="BI486" s="195"/>
      <c r="BJ486" s="423"/>
      <c r="BK486" s="424"/>
      <c r="BL486" s="424"/>
      <c r="BM486" s="424"/>
      <c r="BN486" s="424"/>
      <c r="BO486" s="425"/>
      <c r="BP486" s="423"/>
      <c r="BQ486" s="424"/>
      <c r="BR486" s="424"/>
      <c r="BS486" s="424"/>
      <c r="BT486" s="424"/>
      <c r="BU486" s="425"/>
      <c r="BV486" s="423"/>
      <c r="BW486" s="424"/>
      <c r="BX486" s="424"/>
      <c r="BY486" s="424"/>
      <c r="BZ486" s="424"/>
      <c r="CA486" s="425"/>
      <c r="CB486" s="418"/>
      <c r="CC486" s="419"/>
      <c r="CD486" s="419"/>
      <c r="CE486" s="420"/>
      <c r="CF486" s="412"/>
      <c r="CG486" s="413"/>
      <c r="CH486" s="413"/>
      <c r="CI486" s="413"/>
      <c r="CJ486" s="414"/>
      <c r="CK486" s="412"/>
      <c r="CL486" s="413"/>
      <c r="CM486" s="413"/>
      <c r="CN486" s="413"/>
      <c r="CO486" s="414"/>
      <c r="CP486" s="412"/>
      <c r="CQ486" s="413"/>
      <c r="CR486" s="413"/>
      <c r="CS486" s="413"/>
      <c r="CT486" s="414"/>
      <c r="CU486" s="415"/>
      <c r="CV486" s="416"/>
      <c r="CW486" s="416"/>
      <c r="CX486" s="416"/>
      <c r="CY486" s="417"/>
    </row>
    <row r="487" spans="1:103" ht="16.5">
      <c r="A487" s="435"/>
      <c r="B487" s="36"/>
      <c r="C487" s="199" t="str">
        <f t="shared" ca="1" si="9"/>
        <v/>
      </c>
      <c r="D487" s="479"/>
      <c r="E487" s="480"/>
      <c r="F487" s="480"/>
      <c r="G487" s="480"/>
      <c r="H487" s="480"/>
      <c r="I487" s="480"/>
      <c r="J487" s="480"/>
      <c r="K487" s="440"/>
      <c r="L487" s="441"/>
      <c r="M487" s="441"/>
      <c r="N487" s="441"/>
      <c r="O487" s="441"/>
      <c r="P487" s="441"/>
      <c r="Q487" s="441"/>
      <c r="R487" s="444"/>
      <c r="S487" s="445"/>
      <c r="T487" s="444"/>
      <c r="U487" s="445"/>
      <c r="V487" s="440"/>
      <c r="W487" s="441"/>
      <c r="X487" s="441"/>
      <c r="Y487" s="441"/>
      <c r="Z487" s="441"/>
      <c r="AA487" s="441"/>
      <c r="AB487" s="441"/>
      <c r="AC487" s="441"/>
      <c r="AD487" s="440"/>
      <c r="AE487" s="441"/>
      <c r="AF487" s="441"/>
      <c r="AG487" s="441"/>
      <c r="AH487" s="441"/>
      <c r="AI487" s="441"/>
      <c r="AJ487" s="441"/>
      <c r="AK487" s="450"/>
      <c r="AL487" s="440"/>
      <c r="AM487" s="441"/>
      <c r="AN487" s="441"/>
      <c r="AO487" s="441"/>
      <c r="AP487" s="441"/>
      <c r="AQ487" s="441"/>
      <c r="AR487" s="450"/>
      <c r="AS487" s="485"/>
      <c r="AT487" s="486"/>
      <c r="AU487" s="486"/>
      <c r="AV487" s="486"/>
      <c r="AW487" s="486"/>
      <c r="AX487" s="486"/>
      <c r="AY487" s="487"/>
      <c r="AZ487" s="462"/>
      <c r="BA487" s="463"/>
      <c r="BB487" s="61">
        <v>3</v>
      </c>
      <c r="BC487" s="418"/>
      <c r="BD487" s="419"/>
      <c r="BE487" s="419"/>
      <c r="BF487" s="420"/>
      <c r="BG487" s="421"/>
      <c r="BH487" s="422"/>
      <c r="BI487" s="195"/>
      <c r="BJ487" s="423"/>
      <c r="BK487" s="424"/>
      <c r="BL487" s="424"/>
      <c r="BM487" s="424"/>
      <c r="BN487" s="424"/>
      <c r="BO487" s="425"/>
      <c r="BP487" s="423"/>
      <c r="BQ487" s="424"/>
      <c r="BR487" s="424"/>
      <c r="BS487" s="424"/>
      <c r="BT487" s="424"/>
      <c r="BU487" s="425"/>
      <c r="BV487" s="423"/>
      <c r="BW487" s="424"/>
      <c r="BX487" s="424"/>
      <c r="BY487" s="424"/>
      <c r="BZ487" s="424"/>
      <c r="CA487" s="425"/>
      <c r="CB487" s="418"/>
      <c r="CC487" s="419"/>
      <c r="CD487" s="419"/>
      <c r="CE487" s="420"/>
      <c r="CF487" s="412"/>
      <c r="CG487" s="413"/>
      <c r="CH487" s="413"/>
      <c r="CI487" s="413"/>
      <c r="CJ487" s="414"/>
      <c r="CK487" s="412"/>
      <c r="CL487" s="413"/>
      <c r="CM487" s="413"/>
      <c r="CN487" s="413"/>
      <c r="CO487" s="414"/>
      <c r="CP487" s="412"/>
      <c r="CQ487" s="413"/>
      <c r="CR487" s="413"/>
      <c r="CS487" s="413"/>
      <c r="CT487" s="414"/>
      <c r="CU487" s="415"/>
      <c r="CV487" s="416"/>
      <c r="CW487" s="416"/>
      <c r="CX487" s="416"/>
      <c r="CY487" s="417"/>
    </row>
    <row r="488" spans="1:103" ht="16.5">
      <c r="A488" s="435"/>
      <c r="B488" s="36"/>
      <c r="C488" s="199" t="str">
        <f t="shared" ca="1" si="9"/>
        <v/>
      </c>
      <c r="D488" s="479"/>
      <c r="E488" s="480"/>
      <c r="F488" s="480"/>
      <c r="G488" s="480"/>
      <c r="H488" s="480"/>
      <c r="I488" s="480"/>
      <c r="J488" s="480"/>
      <c r="K488" s="440"/>
      <c r="L488" s="441"/>
      <c r="M488" s="441"/>
      <c r="N488" s="441"/>
      <c r="O488" s="441"/>
      <c r="P488" s="441"/>
      <c r="Q488" s="441"/>
      <c r="R488" s="444"/>
      <c r="S488" s="445"/>
      <c r="T488" s="444"/>
      <c r="U488" s="445"/>
      <c r="V488" s="440"/>
      <c r="W488" s="441"/>
      <c r="X488" s="441"/>
      <c r="Y488" s="441"/>
      <c r="Z488" s="441"/>
      <c r="AA488" s="441"/>
      <c r="AB488" s="441"/>
      <c r="AC488" s="441"/>
      <c r="AD488" s="440"/>
      <c r="AE488" s="441"/>
      <c r="AF488" s="441"/>
      <c r="AG488" s="441"/>
      <c r="AH488" s="441"/>
      <c r="AI488" s="441"/>
      <c r="AJ488" s="441"/>
      <c r="AK488" s="450"/>
      <c r="AL488" s="440"/>
      <c r="AM488" s="441"/>
      <c r="AN488" s="441"/>
      <c r="AO488" s="441"/>
      <c r="AP488" s="441"/>
      <c r="AQ488" s="441"/>
      <c r="AR488" s="450"/>
      <c r="AS488" s="485"/>
      <c r="AT488" s="486"/>
      <c r="AU488" s="486"/>
      <c r="AV488" s="486"/>
      <c r="AW488" s="486"/>
      <c r="AX488" s="486"/>
      <c r="AY488" s="487"/>
      <c r="AZ488" s="462"/>
      <c r="BA488" s="463"/>
      <c r="BB488" s="61">
        <v>4</v>
      </c>
      <c r="BC488" s="418"/>
      <c r="BD488" s="419"/>
      <c r="BE488" s="419"/>
      <c r="BF488" s="420"/>
      <c r="BG488" s="421"/>
      <c r="BH488" s="422"/>
      <c r="BI488" s="195"/>
      <c r="BJ488" s="423"/>
      <c r="BK488" s="424"/>
      <c r="BL488" s="424"/>
      <c r="BM488" s="424"/>
      <c r="BN488" s="424"/>
      <c r="BO488" s="425"/>
      <c r="BP488" s="423"/>
      <c r="BQ488" s="424"/>
      <c r="BR488" s="424"/>
      <c r="BS488" s="424"/>
      <c r="BT488" s="424"/>
      <c r="BU488" s="425"/>
      <c r="BV488" s="423"/>
      <c r="BW488" s="424"/>
      <c r="BX488" s="424"/>
      <c r="BY488" s="424"/>
      <c r="BZ488" s="424"/>
      <c r="CA488" s="425"/>
      <c r="CB488" s="418"/>
      <c r="CC488" s="419"/>
      <c r="CD488" s="419"/>
      <c r="CE488" s="420"/>
      <c r="CF488" s="412"/>
      <c r="CG488" s="413"/>
      <c r="CH488" s="413"/>
      <c r="CI488" s="413"/>
      <c r="CJ488" s="414"/>
      <c r="CK488" s="412"/>
      <c r="CL488" s="413"/>
      <c r="CM488" s="413"/>
      <c r="CN488" s="413"/>
      <c r="CO488" s="414"/>
      <c r="CP488" s="412"/>
      <c r="CQ488" s="413"/>
      <c r="CR488" s="413"/>
      <c r="CS488" s="413"/>
      <c r="CT488" s="414"/>
      <c r="CU488" s="415"/>
      <c r="CV488" s="416"/>
      <c r="CW488" s="416"/>
      <c r="CX488" s="416"/>
      <c r="CY488" s="417"/>
    </row>
    <row r="489" spans="1:103" ht="16.5">
      <c r="A489" s="435"/>
      <c r="B489" s="36"/>
      <c r="C489" s="199" t="str">
        <f t="shared" ca="1" si="9"/>
        <v/>
      </c>
      <c r="D489" s="479"/>
      <c r="E489" s="480"/>
      <c r="F489" s="480"/>
      <c r="G489" s="480"/>
      <c r="H489" s="480"/>
      <c r="I489" s="480"/>
      <c r="J489" s="480"/>
      <c r="K489" s="440"/>
      <c r="L489" s="441"/>
      <c r="M489" s="441"/>
      <c r="N489" s="441"/>
      <c r="O489" s="441"/>
      <c r="P489" s="441"/>
      <c r="Q489" s="441"/>
      <c r="R489" s="444"/>
      <c r="S489" s="445"/>
      <c r="T489" s="444"/>
      <c r="U489" s="445"/>
      <c r="V489" s="440"/>
      <c r="W489" s="441"/>
      <c r="X489" s="441"/>
      <c r="Y489" s="441"/>
      <c r="Z489" s="441"/>
      <c r="AA489" s="441"/>
      <c r="AB489" s="441"/>
      <c r="AC489" s="441"/>
      <c r="AD489" s="440"/>
      <c r="AE489" s="441"/>
      <c r="AF489" s="441"/>
      <c r="AG489" s="441"/>
      <c r="AH489" s="441"/>
      <c r="AI489" s="441"/>
      <c r="AJ489" s="441"/>
      <c r="AK489" s="450"/>
      <c r="AL489" s="440"/>
      <c r="AM489" s="441"/>
      <c r="AN489" s="441"/>
      <c r="AO489" s="441"/>
      <c r="AP489" s="441"/>
      <c r="AQ489" s="441"/>
      <c r="AR489" s="450"/>
      <c r="AS489" s="485"/>
      <c r="AT489" s="486"/>
      <c r="AU489" s="486"/>
      <c r="AV489" s="486"/>
      <c r="AW489" s="486"/>
      <c r="AX489" s="486"/>
      <c r="AY489" s="487"/>
      <c r="AZ489" s="462"/>
      <c r="BA489" s="463"/>
      <c r="BB489" s="61">
        <v>5</v>
      </c>
      <c r="BC489" s="418"/>
      <c r="BD489" s="419"/>
      <c r="BE489" s="419"/>
      <c r="BF489" s="420"/>
      <c r="BG489" s="421"/>
      <c r="BH489" s="422"/>
      <c r="BI489" s="195"/>
      <c r="BJ489" s="423"/>
      <c r="BK489" s="424"/>
      <c r="BL489" s="424"/>
      <c r="BM489" s="424"/>
      <c r="BN489" s="424"/>
      <c r="BO489" s="425"/>
      <c r="BP489" s="423"/>
      <c r="BQ489" s="424"/>
      <c r="BR489" s="424"/>
      <c r="BS489" s="424"/>
      <c r="BT489" s="424"/>
      <c r="BU489" s="425"/>
      <c r="BV489" s="423"/>
      <c r="BW489" s="424"/>
      <c r="BX489" s="424"/>
      <c r="BY489" s="424"/>
      <c r="BZ489" s="424"/>
      <c r="CA489" s="425"/>
      <c r="CB489" s="418"/>
      <c r="CC489" s="419"/>
      <c r="CD489" s="419"/>
      <c r="CE489" s="420"/>
      <c r="CF489" s="412"/>
      <c r="CG489" s="413"/>
      <c r="CH489" s="413"/>
      <c r="CI489" s="413"/>
      <c r="CJ489" s="414"/>
      <c r="CK489" s="412"/>
      <c r="CL489" s="413"/>
      <c r="CM489" s="413"/>
      <c r="CN489" s="413"/>
      <c r="CO489" s="414"/>
      <c r="CP489" s="412"/>
      <c r="CQ489" s="413"/>
      <c r="CR489" s="413"/>
      <c r="CS489" s="413"/>
      <c r="CT489" s="414"/>
      <c r="CU489" s="415"/>
      <c r="CV489" s="416"/>
      <c r="CW489" s="416"/>
      <c r="CX489" s="416"/>
      <c r="CY489" s="417"/>
    </row>
    <row r="490" spans="1:103" ht="16.5">
      <c r="A490" s="436"/>
      <c r="B490" s="37"/>
      <c r="C490" s="200" t="str">
        <f t="shared" ca="1" si="9"/>
        <v/>
      </c>
      <c r="D490" s="481"/>
      <c r="E490" s="482"/>
      <c r="F490" s="482"/>
      <c r="G490" s="482"/>
      <c r="H490" s="482"/>
      <c r="I490" s="482"/>
      <c r="J490" s="482"/>
      <c r="K490" s="409"/>
      <c r="L490" s="410"/>
      <c r="M490" s="410"/>
      <c r="N490" s="410"/>
      <c r="O490" s="410"/>
      <c r="P490" s="410"/>
      <c r="Q490" s="410"/>
      <c r="R490" s="446"/>
      <c r="S490" s="447"/>
      <c r="T490" s="446"/>
      <c r="U490" s="447"/>
      <c r="V490" s="409"/>
      <c r="W490" s="410"/>
      <c r="X490" s="410"/>
      <c r="Y490" s="410"/>
      <c r="Z490" s="410"/>
      <c r="AA490" s="410"/>
      <c r="AB490" s="410"/>
      <c r="AC490" s="410"/>
      <c r="AD490" s="409"/>
      <c r="AE490" s="410"/>
      <c r="AF490" s="410"/>
      <c r="AG490" s="410"/>
      <c r="AH490" s="410"/>
      <c r="AI490" s="410"/>
      <c r="AJ490" s="410"/>
      <c r="AK490" s="411"/>
      <c r="AL490" s="409"/>
      <c r="AM490" s="410"/>
      <c r="AN490" s="410"/>
      <c r="AO490" s="410"/>
      <c r="AP490" s="410"/>
      <c r="AQ490" s="410"/>
      <c r="AR490" s="411"/>
      <c r="AS490" s="488"/>
      <c r="AT490" s="489"/>
      <c r="AU490" s="489"/>
      <c r="AV490" s="489"/>
      <c r="AW490" s="489"/>
      <c r="AX490" s="489"/>
      <c r="AY490" s="490"/>
      <c r="AZ490" s="464"/>
      <c r="BA490" s="465"/>
      <c r="BB490" s="62">
        <v>6</v>
      </c>
      <c r="BC490" s="426"/>
      <c r="BD490" s="427"/>
      <c r="BE490" s="427"/>
      <c r="BF490" s="428"/>
      <c r="BG490" s="429"/>
      <c r="BH490" s="430"/>
      <c r="BI490" s="196"/>
      <c r="BJ490" s="474"/>
      <c r="BK490" s="475"/>
      <c r="BL490" s="475"/>
      <c r="BM490" s="475"/>
      <c r="BN490" s="475"/>
      <c r="BO490" s="476"/>
      <c r="BP490" s="474"/>
      <c r="BQ490" s="475"/>
      <c r="BR490" s="475"/>
      <c r="BS490" s="475"/>
      <c r="BT490" s="475"/>
      <c r="BU490" s="476"/>
      <c r="BV490" s="474"/>
      <c r="BW490" s="475"/>
      <c r="BX490" s="475"/>
      <c r="BY490" s="475"/>
      <c r="BZ490" s="475"/>
      <c r="CA490" s="476"/>
      <c r="CB490" s="426"/>
      <c r="CC490" s="427"/>
      <c r="CD490" s="427"/>
      <c r="CE490" s="428"/>
      <c r="CF490" s="412"/>
      <c r="CG490" s="413"/>
      <c r="CH490" s="413"/>
      <c r="CI490" s="413"/>
      <c r="CJ490" s="414"/>
      <c r="CK490" s="412"/>
      <c r="CL490" s="413"/>
      <c r="CM490" s="413"/>
      <c r="CN490" s="413"/>
      <c r="CO490" s="414"/>
      <c r="CP490" s="412"/>
      <c r="CQ490" s="413"/>
      <c r="CR490" s="413"/>
      <c r="CS490" s="413"/>
      <c r="CT490" s="414"/>
      <c r="CU490" s="415"/>
      <c r="CV490" s="416"/>
      <c r="CW490" s="416"/>
      <c r="CX490" s="416"/>
      <c r="CY490" s="417"/>
    </row>
    <row r="491" spans="1:103" ht="16.5">
      <c r="A491" s="434">
        <v>81</v>
      </c>
      <c r="B491" s="36"/>
      <c r="C491" s="198" t="str">
        <f t="shared" ca="1" si="9"/>
        <v/>
      </c>
      <c r="D491" s="477"/>
      <c r="E491" s="478"/>
      <c r="F491" s="478"/>
      <c r="G491" s="478"/>
      <c r="H491" s="478"/>
      <c r="I491" s="478"/>
      <c r="J491" s="478"/>
      <c r="K491" s="438" t="s">
        <v>431</v>
      </c>
      <c r="L491" s="439"/>
      <c r="M491" s="439"/>
      <c r="N491" s="439"/>
      <c r="O491" s="439"/>
      <c r="P491" s="439"/>
      <c r="Q491" s="439"/>
      <c r="R491" s="442" t="s">
        <v>186</v>
      </c>
      <c r="S491" s="443"/>
      <c r="T491" s="442"/>
      <c r="U491" s="443"/>
      <c r="V491" s="438"/>
      <c r="W491" s="439"/>
      <c r="X491" s="439"/>
      <c r="Y491" s="439"/>
      <c r="Z491" s="439"/>
      <c r="AA491" s="439"/>
      <c r="AB491" s="439"/>
      <c r="AC491" s="439"/>
      <c r="AD491" s="438"/>
      <c r="AE491" s="439"/>
      <c r="AF491" s="439"/>
      <c r="AG491" s="439"/>
      <c r="AH491" s="439"/>
      <c r="AI491" s="439"/>
      <c r="AJ491" s="439"/>
      <c r="AK491" s="449"/>
      <c r="AL491" s="438"/>
      <c r="AM491" s="439"/>
      <c r="AN491" s="439"/>
      <c r="AO491" s="439"/>
      <c r="AP491" s="439"/>
      <c r="AQ491" s="439"/>
      <c r="AR491" s="449"/>
      <c r="AS491" s="500"/>
      <c r="AT491" s="483"/>
      <c r="AU491" s="483"/>
      <c r="AV491" s="483"/>
      <c r="AW491" s="483"/>
      <c r="AX491" s="483"/>
      <c r="AY491" s="484"/>
      <c r="AZ491" s="460"/>
      <c r="BA491" s="461"/>
      <c r="BB491" s="60">
        <v>1</v>
      </c>
      <c r="BC491" s="466"/>
      <c r="BD491" s="467"/>
      <c r="BE491" s="467"/>
      <c r="BF491" s="468"/>
      <c r="BG491" s="469"/>
      <c r="BH491" s="470"/>
      <c r="BI491" s="194"/>
      <c r="BJ491" s="471"/>
      <c r="BK491" s="472"/>
      <c r="BL491" s="472"/>
      <c r="BM491" s="472"/>
      <c r="BN491" s="472"/>
      <c r="BO491" s="473"/>
      <c r="BP491" s="471"/>
      <c r="BQ491" s="472"/>
      <c r="BR491" s="472"/>
      <c r="BS491" s="472"/>
      <c r="BT491" s="472"/>
      <c r="BU491" s="473"/>
      <c r="BV491" s="471"/>
      <c r="BW491" s="472"/>
      <c r="BX491" s="472"/>
      <c r="BY491" s="472"/>
      <c r="BZ491" s="472"/>
      <c r="CA491" s="473"/>
      <c r="CB491" s="466"/>
      <c r="CC491" s="467"/>
      <c r="CD491" s="467"/>
      <c r="CE491" s="468"/>
      <c r="CF491" s="409"/>
      <c r="CG491" s="410"/>
      <c r="CH491" s="410"/>
      <c r="CI491" s="410"/>
      <c r="CJ491" s="411"/>
      <c r="CK491" s="409"/>
      <c r="CL491" s="410"/>
      <c r="CM491" s="410"/>
      <c r="CN491" s="410"/>
      <c r="CO491" s="411"/>
      <c r="CP491" s="409"/>
      <c r="CQ491" s="410"/>
      <c r="CR491" s="410"/>
      <c r="CS491" s="410"/>
      <c r="CT491" s="411"/>
      <c r="CU491" s="415"/>
      <c r="CV491" s="416"/>
      <c r="CW491" s="416"/>
      <c r="CX491" s="416"/>
      <c r="CY491" s="417"/>
    </row>
    <row r="492" spans="1:103" ht="16.5">
      <c r="A492" s="435"/>
      <c r="B492" s="36"/>
      <c r="C492" s="199" t="str">
        <f t="shared" ca="1" si="9"/>
        <v/>
      </c>
      <c r="D492" s="479"/>
      <c r="E492" s="480"/>
      <c r="F492" s="480"/>
      <c r="G492" s="480"/>
      <c r="H492" s="480"/>
      <c r="I492" s="480"/>
      <c r="J492" s="480"/>
      <c r="K492" s="440"/>
      <c r="L492" s="441"/>
      <c r="M492" s="441"/>
      <c r="N492" s="441"/>
      <c r="O492" s="441"/>
      <c r="P492" s="441"/>
      <c r="Q492" s="441"/>
      <c r="R492" s="444"/>
      <c r="S492" s="445"/>
      <c r="T492" s="444"/>
      <c r="U492" s="445"/>
      <c r="V492" s="440"/>
      <c r="W492" s="441"/>
      <c r="X492" s="441"/>
      <c r="Y492" s="441"/>
      <c r="Z492" s="441"/>
      <c r="AA492" s="441"/>
      <c r="AB492" s="441"/>
      <c r="AC492" s="441"/>
      <c r="AD492" s="440"/>
      <c r="AE492" s="441"/>
      <c r="AF492" s="441"/>
      <c r="AG492" s="441"/>
      <c r="AH492" s="441"/>
      <c r="AI492" s="441"/>
      <c r="AJ492" s="441"/>
      <c r="AK492" s="450"/>
      <c r="AL492" s="440"/>
      <c r="AM492" s="441"/>
      <c r="AN492" s="441"/>
      <c r="AO492" s="441"/>
      <c r="AP492" s="441"/>
      <c r="AQ492" s="441"/>
      <c r="AR492" s="450"/>
      <c r="AS492" s="485"/>
      <c r="AT492" s="486"/>
      <c r="AU492" s="486"/>
      <c r="AV492" s="486"/>
      <c r="AW492" s="486"/>
      <c r="AX492" s="486"/>
      <c r="AY492" s="487"/>
      <c r="AZ492" s="462"/>
      <c r="BA492" s="463"/>
      <c r="BB492" s="61">
        <v>2</v>
      </c>
      <c r="BC492" s="418"/>
      <c r="BD492" s="419"/>
      <c r="BE492" s="419"/>
      <c r="BF492" s="420"/>
      <c r="BG492" s="421"/>
      <c r="BH492" s="422"/>
      <c r="BI492" s="195"/>
      <c r="BJ492" s="423"/>
      <c r="BK492" s="424"/>
      <c r="BL492" s="424"/>
      <c r="BM492" s="424"/>
      <c r="BN492" s="424"/>
      <c r="BO492" s="425"/>
      <c r="BP492" s="423"/>
      <c r="BQ492" s="424"/>
      <c r="BR492" s="424"/>
      <c r="BS492" s="424"/>
      <c r="BT492" s="424"/>
      <c r="BU492" s="425"/>
      <c r="BV492" s="423"/>
      <c r="BW492" s="424"/>
      <c r="BX492" s="424"/>
      <c r="BY492" s="424"/>
      <c r="BZ492" s="424"/>
      <c r="CA492" s="425"/>
      <c r="CB492" s="418"/>
      <c r="CC492" s="419"/>
      <c r="CD492" s="419"/>
      <c r="CE492" s="420"/>
      <c r="CF492" s="412"/>
      <c r="CG492" s="413"/>
      <c r="CH492" s="413"/>
      <c r="CI492" s="413"/>
      <c r="CJ492" s="414"/>
      <c r="CK492" s="412"/>
      <c r="CL492" s="413"/>
      <c r="CM492" s="413"/>
      <c r="CN492" s="413"/>
      <c r="CO492" s="414"/>
      <c r="CP492" s="412"/>
      <c r="CQ492" s="413"/>
      <c r="CR492" s="413"/>
      <c r="CS492" s="413"/>
      <c r="CT492" s="414"/>
      <c r="CU492" s="415"/>
      <c r="CV492" s="416"/>
      <c r="CW492" s="416"/>
      <c r="CX492" s="416"/>
      <c r="CY492" s="417"/>
    </row>
    <row r="493" spans="1:103" ht="16.5">
      <c r="A493" s="435"/>
      <c r="B493" s="36"/>
      <c r="C493" s="199" t="str">
        <f t="shared" ca="1" si="9"/>
        <v/>
      </c>
      <c r="D493" s="479"/>
      <c r="E493" s="480"/>
      <c r="F493" s="480"/>
      <c r="G493" s="480"/>
      <c r="H493" s="480"/>
      <c r="I493" s="480"/>
      <c r="J493" s="480"/>
      <c r="K493" s="440"/>
      <c r="L493" s="441"/>
      <c r="M493" s="441"/>
      <c r="N493" s="441"/>
      <c r="O493" s="441"/>
      <c r="P493" s="441"/>
      <c r="Q493" s="441"/>
      <c r="R493" s="444"/>
      <c r="S493" s="445"/>
      <c r="T493" s="444"/>
      <c r="U493" s="445"/>
      <c r="V493" s="440"/>
      <c r="W493" s="441"/>
      <c r="X493" s="441"/>
      <c r="Y493" s="441"/>
      <c r="Z493" s="441"/>
      <c r="AA493" s="441"/>
      <c r="AB493" s="441"/>
      <c r="AC493" s="441"/>
      <c r="AD493" s="440"/>
      <c r="AE493" s="441"/>
      <c r="AF493" s="441"/>
      <c r="AG493" s="441"/>
      <c r="AH493" s="441"/>
      <c r="AI493" s="441"/>
      <c r="AJ493" s="441"/>
      <c r="AK493" s="450"/>
      <c r="AL493" s="440"/>
      <c r="AM493" s="441"/>
      <c r="AN493" s="441"/>
      <c r="AO493" s="441"/>
      <c r="AP493" s="441"/>
      <c r="AQ493" s="441"/>
      <c r="AR493" s="450"/>
      <c r="AS493" s="485"/>
      <c r="AT493" s="486"/>
      <c r="AU493" s="486"/>
      <c r="AV493" s="486"/>
      <c r="AW493" s="486"/>
      <c r="AX493" s="486"/>
      <c r="AY493" s="487"/>
      <c r="AZ493" s="462"/>
      <c r="BA493" s="463"/>
      <c r="BB493" s="61">
        <v>3</v>
      </c>
      <c r="BC493" s="418"/>
      <c r="BD493" s="419"/>
      <c r="BE493" s="419"/>
      <c r="BF493" s="420"/>
      <c r="BG493" s="421"/>
      <c r="BH493" s="422"/>
      <c r="BI493" s="195"/>
      <c r="BJ493" s="423"/>
      <c r="BK493" s="424"/>
      <c r="BL493" s="424"/>
      <c r="BM493" s="424"/>
      <c r="BN493" s="424"/>
      <c r="BO493" s="425"/>
      <c r="BP493" s="423"/>
      <c r="BQ493" s="424"/>
      <c r="BR493" s="424"/>
      <c r="BS493" s="424"/>
      <c r="BT493" s="424"/>
      <c r="BU493" s="425"/>
      <c r="BV493" s="423"/>
      <c r="BW493" s="424"/>
      <c r="BX493" s="424"/>
      <c r="BY493" s="424"/>
      <c r="BZ493" s="424"/>
      <c r="CA493" s="425"/>
      <c r="CB493" s="418"/>
      <c r="CC493" s="419"/>
      <c r="CD493" s="419"/>
      <c r="CE493" s="420"/>
      <c r="CF493" s="412"/>
      <c r="CG493" s="413"/>
      <c r="CH493" s="413"/>
      <c r="CI493" s="413"/>
      <c r="CJ493" s="414"/>
      <c r="CK493" s="412"/>
      <c r="CL493" s="413"/>
      <c r="CM493" s="413"/>
      <c r="CN493" s="413"/>
      <c r="CO493" s="414"/>
      <c r="CP493" s="412"/>
      <c r="CQ493" s="413"/>
      <c r="CR493" s="413"/>
      <c r="CS493" s="413"/>
      <c r="CT493" s="414"/>
      <c r="CU493" s="415"/>
      <c r="CV493" s="416"/>
      <c r="CW493" s="416"/>
      <c r="CX493" s="416"/>
      <c r="CY493" s="417"/>
    </row>
    <row r="494" spans="1:103" ht="16.5">
      <c r="A494" s="435"/>
      <c r="B494" s="36"/>
      <c r="C494" s="199" t="str">
        <f t="shared" ca="1" si="9"/>
        <v/>
      </c>
      <c r="D494" s="479"/>
      <c r="E494" s="480"/>
      <c r="F494" s="480"/>
      <c r="G494" s="480"/>
      <c r="H494" s="480"/>
      <c r="I494" s="480"/>
      <c r="J494" s="480"/>
      <c r="K494" s="440"/>
      <c r="L494" s="441"/>
      <c r="M494" s="441"/>
      <c r="N494" s="441"/>
      <c r="O494" s="441"/>
      <c r="P494" s="441"/>
      <c r="Q494" s="441"/>
      <c r="R494" s="444"/>
      <c r="S494" s="445"/>
      <c r="T494" s="444"/>
      <c r="U494" s="445"/>
      <c r="V494" s="440"/>
      <c r="W494" s="441"/>
      <c r="X494" s="441"/>
      <c r="Y494" s="441"/>
      <c r="Z494" s="441"/>
      <c r="AA494" s="441"/>
      <c r="AB494" s="441"/>
      <c r="AC494" s="441"/>
      <c r="AD494" s="440"/>
      <c r="AE494" s="441"/>
      <c r="AF494" s="441"/>
      <c r="AG494" s="441"/>
      <c r="AH494" s="441"/>
      <c r="AI494" s="441"/>
      <c r="AJ494" s="441"/>
      <c r="AK494" s="450"/>
      <c r="AL494" s="440"/>
      <c r="AM494" s="441"/>
      <c r="AN494" s="441"/>
      <c r="AO494" s="441"/>
      <c r="AP494" s="441"/>
      <c r="AQ494" s="441"/>
      <c r="AR494" s="450"/>
      <c r="AS494" s="485"/>
      <c r="AT494" s="486"/>
      <c r="AU494" s="486"/>
      <c r="AV494" s="486"/>
      <c r="AW494" s="486"/>
      <c r="AX494" s="486"/>
      <c r="AY494" s="487"/>
      <c r="AZ494" s="462"/>
      <c r="BA494" s="463"/>
      <c r="BB494" s="61">
        <v>4</v>
      </c>
      <c r="BC494" s="418"/>
      <c r="BD494" s="419"/>
      <c r="BE494" s="419"/>
      <c r="BF494" s="420"/>
      <c r="BG494" s="421"/>
      <c r="BH494" s="422"/>
      <c r="BI494" s="195"/>
      <c r="BJ494" s="423"/>
      <c r="BK494" s="424"/>
      <c r="BL494" s="424"/>
      <c r="BM494" s="424"/>
      <c r="BN494" s="424"/>
      <c r="BO494" s="425"/>
      <c r="BP494" s="423"/>
      <c r="BQ494" s="424"/>
      <c r="BR494" s="424"/>
      <c r="BS494" s="424"/>
      <c r="BT494" s="424"/>
      <c r="BU494" s="425"/>
      <c r="BV494" s="423"/>
      <c r="BW494" s="424"/>
      <c r="BX494" s="424"/>
      <c r="BY494" s="424"/>
      <c r="BZ494" s="424"/>
      <c r="CA494" s="425"/>
      <c r="CB494" s="418"/>
      <c r="CC494" s="419"/>
      <c r="CD494" s="419"/>
      <c r="CE494" s="420"/>
      <c r="CF494" s="412"/>
      <c r="CG494" s="413"/>
      <c r="CH494" s="413"/>
      <c r="CI494" s="413"/>
      <c r="CJ494" s="414"/>
      <c r="CK494" s="412"/>
      <c r="CL494" s="413"/>
      <c r="CM494" s="413"/>
      <c r="CN494" s="413"/>
      <c r="CO494" s="414"/>
      <c r="CP494" s="412"/>
      <c r="CQ494" s="413"/>
      <c r="CR494" s="413"/>
      <c r="CS494" s="413"/>
      <c r="CT494" s="414"/>
      <c r="CU494" s="415"/>
      <c r="CV494" s="416"/>
      <c r="CW494" s="416"/>
      <c r="CX494" s="416"/>
      <c r="CY494" s="417"/>
    </row>
    <row r="495" spans="1:103" ht="16.5">
      <c r="A495" s="435"/>
      <c r="B495" s="36"/>
      <c r="C495" s="199" t="str">
        <f t="shared" ca="1" si="9"/>
        <v/>
      </c>
      <c r="D495" s="479"/>
      <c r="E495" s="480"/>
      <c r="F495" s="480"/>
      <c r="G495" s="480"/>
      <c r="H495" s="480"/>
      <c r="I495" s="480"/>
      <c r="J495" s="480"/>
      <c r="K495" s="440"/>
      <c r="L495" s="441"/>
      <c r="M495" s="441"/>
      <c r="N495" s="441"/>
      <c r="O495" s="441"/>
      <c r="P495" s="441"/>
      <c r="Q495" s="441"/>
      <c r="R495" s="444"/>
      <c r="S495" s="445"/>
      <c r="T495" s="444"/>
      <c r="U495" s="445"/>
      <c r="V495" s="440"/>
      <c r="W495" s="441"/>
      <c r="X495" s="441"/>
      <c r="Y495" s="441"/>
      <c r="Z495" s="441"/>
      <c r="AA495" s="441"/>
      <c r="AB495" s="441"/>
      <c r="AC495" s="441"/>
      <c r="AD495" s="440"/>
      <c r="AE495" s="441"/>
      <c r="AF495" s="441"/>
      <c r="AG495" s="441"/>
      <c r="AH495" s="441"/>
      <c r="AI495" s="441"/>
      <c r="AJ495" s="441"/>
      <c r="AK495" s="450"/>
      <c r="AL495" s="440"/>
      <c r="AM495" s="441"/>
      <c r="AN495" s="441"/>
      <c r="AO495" s="441"/>
      <c r="AP495" s="441"/>
      <c r="AQ495" s="441"/>
      <c r="AR495" s="450"/>
      <c r="AS495" s="485"/>
      <c r="AT495" s="486"/>
      <c r="AU495" s="486"/>
      <c r="AV495" s="486"/>
      <c r="AW495" s="486"/>
      <c r="AX495" s="486"/>
      <c r="AY495" s="487"/>
      <c r="AZ495" s="462"/>
      <c r="BA495" s="463"/>
      <c r="BB495" s="61">
        <v>5</v>
      </c>
      <c r="BC495" s="418"/>
      <c r="BD495" s="419"/>
      <c r="BE495" s="419"/>
      <c r="BF495" s="420"/>
      <c r="BG495" s="421"/>
      <c r="BH495" s="422"/>
      <c r="BI495" s="195"/>
      <c r="BJ495" s="423"/>
      <c r="BK495" s="424"/>
      <c r="BL495" s="424"/>
      <c r="BM495" s="424"/>
      <c r="BN495" s="424"/>
      <c r="BO495" s="425"/>
      <c r="BP495" s="423"/>
      <c r="BQ495" s="424"/>
      <c r="BR495" s="424"/>
      <c r="BS495" s="424"/>
      <c r="BT495" s="424"/>
      <c r="BU495" s="425"/>
      <c r="BV495" s="423"/>
      <c r="BW495" s="424"/>
      <c r="BX495" s="424"/>
      <c r="BY495" s="424"/>
      <c r="BZ495" s="424"/>
      <c r="CA495" s="425"/>
      <c r="CB495" s="418"/>
      <c r="CC495" s="419"/>
      <c r="CD495" s="419"/>
      <c r="CE495" s="420"/>
      <c r="CF495" s="412"/>
      <c r="CG495" s="413"/>
      <c r="CH495" s="413"/>
      <c r="CI495" s="413"/>
      <c r="CJ495" s="414"/>
      <c r="CK495" s="412"/>
      <c r="CL495" s="413"/>
      <c r="CM495" s="413"/>
      <c r="CN495" s="413"/>
      <c r="CO495" s="414"/>
      <c r="CP495" s="412"/>
      <c r="CQ495" s="413"/>
      <c r="CR495" s="413"/>
      <c r="CS495" s="413"/>
      <c r="CT495" s="414"/>
      <c r="CU495" s="415"/>
      <c r="CV495" s="416"/>
      <c r="CW495" s="416"/>
      <c r="CX495" s="416"/>
      <c r="CY495" s="417"/>
    </row>
    <row r="496" spans="1:103" ht="16.5">
      <c r="A496" s="436"/>
      <c r="B496" s="37"/>
      <c r="C496" s="200" t="str">
        <f t="shared" ca="1" si="9"/>
        <v/>
      </c>
      <c r="D496" s="481"/>
      <c r="E496" s="482"/>
      <c r="F496" s="482"/>
      <c r="G496" s="482"/>
      <c r="H496" s="482"/>
      <c r="I496" s="482"/>
      <c r="J496" s="482"/>
      <c r="K496" s="409"/>
      <c r="L496" s="410"/>
      <c r="M496" s="410"/>
      <c r="N496" s="410"/>
      <c r="O496" s="410"/>
      <c r="P496" s="410"/>
      <c r="Q496" s="410"/>
      <c r="R496" s="446"/>
      <c r="S496" s="447"/>
      <c r="T496" s="446"/>
      <c r="U496" s="447"/>
      <c r="V496" s="409"/>
      <c r="W496" s="410"/>
      <c r="X496" s="410"/>
      <c r="Y496" s="410"/>
      <c r="Z496" s="410"/>
      <c r="AA496" s="410"/>
      <c r="AB496" s="410"/>
      <c r="AC496" s="410"/>
      <c r="AD496" s="409"/>
      <c r="AE496" s="410"/>
      <c r="AF496" s="410"/>
      <c r="AG496" s="410"/>
      <c r="AH496" s="410"/>
      <c r="AI496" s="410"/>
      <c r="AJ496" s="410"/>
      <c r="AK496" s="411"/>
      <c r="AL496" s="409"/>
      <c r="AM496" s="410"/>
      <c r="AN496" s="410"/>
      <c r="AO496" s="410"/>
      <c r="AP496" s="410"/>
      <c r="AQ496" s="410"/>
      <c r="AR496" s="411"/>
      <c r="AS496" s="488"/>
      <c r="AT496" s="489"/>
      <c r="AU496" s="489"/>
      <c r="AV496" s="489"/>
      <c r="AW496" s="489"/>
      <c r="AX496" s="489"/>
      <c r="AY496" s="490"/>
      <c r="AZ496" s="464"/>
      <c r="BA496" s="465"/>
      <c r="BB496" s="62">
        <v>6</v>
      </c>
      <c r="BC496" s="426"/>
      <c r="BD496" s="427"/>
      <c r="BE496" s="427"/>
      <c r="BF496" s="428"/>
      <c r="BG496" s="429"/>
      <c r="BH496" s="430"/>
      <c r="BI496" s="196"/>
      <c r="BJ496" s="474"/>
      <c r="BK496" s="475"/>
      <c r="BL496" s="475"/>
      <c r="BM496" s="475"/>
      <c r="BN496" s="475"/>
      <c r="BO496" s="476"/>
      <c r="BP496" s="474"/>
      <c r="BQ496" s="475"/>
      <c r="BR496" s="475"/>
      <c r="BS496" s="475"/>
      <c r="BT496" s="475"/>
      <c r="BU496" s="476"/>
      <c r="BV496" s="474"/>
      <c r="BW496" s="475"/>
      <c r="BX496" s="475"/>
      <c r="BY496" s="475"/>
      <c r="BZ496" s="475"/>
      <c r="CA496" s="476"/>
      <c r="CB496" s="426"/>
      <c r="CC496" s="427"/>
      <c r="CD496" s="427"/>
      <c r="CE496" s="428"/>
      <c r="CF496" s="412"/>
      <c r="CG496" s="413"/>
      <c r="CH496" s="413"/>
      <c r="CI496" s="413"/>
      <c r="CJ496" s="414"/>
      <c r="CK496" s="412"/>
      <c r="CL496" s="413"/>
      <c r="CM496" s="413"/>
      <c r="CN496" s="413"/>
      <c r="CO496" s="414"/>
      <c r="CP496" s="412"/>
      <c r="CQ496" s="413"/>
      <c r="CR496" s="413"/>
      <c r="CS496" s="413"/>
      <c r="CT496" s="414"/>
      <c r="CU496" s="415"/>
      <c r="CV496" s="416"/>
      <c r="CW496" s="416"/>
      <c r="CX496" s="416"/>
      <c r="CY496" s="417"/>
    </row>
    <row r="497" spans="1:103" ht="16.5">
      <c r="A497" s="434">
        <v>82</v>
      </c>
      <c r="B497" s="36"/>
      <c r="C497" s="198" t="str">
        <f t="shared" ca="1" si="9"/>
        <v/>
      </c>
      <c r="D497" s="477"/>
      <c r="E497" s="478"/>
      <c r="F497" s="478"/>
      <c r="G497" s="478"/>
      <c r="H497" s="478"/>
      <c r="I497" s="478"/>
      <c r="J497" s="478"/>
      <c r="K497" s="438" t="s">
        <v>432</v>
      </c>
      <c r="L497" s="439"/>
      <c r="M497" s="439"/>
      <c r="N497" s="439"/>
      <c r="O497" s="439"/>
      <c r="P497" s="439"/>
      <c r="Q497" s="439"/>
      <c r="R497" s="442" t="s">
        <v>186</v>
      </c>
      <c r="S497" s="443"/>
      <c r="T497" s="442"/>
      <c r="U497" s="443"/>
      <c r="V497" s="438"/>
      <c r="W497" s="439"/>
      <c r="X497" s="439"/>
      <c r="Y497" s="439"/>
      <c r="Z497" s="439"/>
      <c r="AA497" s="439"/>
      <c r="AB497" s="439"/>
      <c r="AC497" s="439"/>
      <c r="AD497" s="438"/>
      <c r="AE497" s="439"/>
      <c r="AF497" s="439"/>
      <c r="AG497" s="439"/>
      <c r="AH497" s="439"/>
      <c r="AI497" s="439"/>
      <c r="AJ497" s="439"/>
      <c r="AK497" s="449"/>
      <c r="AL497" s="438"/>
      <c r="AM497" s="439"/>
      <c r="AN497" s="439"/>
      <c r="AO497" s="439"/>
      <c r="AP497" s="439"/>
      <c r="AQ497" s="439"/>
      <c r="AR497" s="449"/>
      <c r="AS497" s="500"/>
      <c r="AT497" s="483"/>
      <c r="AU497" s="483"/>
      <c r="AV497" s="483"/>
      <c r="AW497" s="483"/>
      <c r="AX497" s="483"/>
      <c r="AY497" s="484"/>
      <c r="AZ497" s="460"/>
      <c r="BA497" s="461"/>
      <c r="BB497" s="60">
        <v>1</v>
      </c>
      <c r="BC497" s="466"/>
      <c r="BD497" s="467"/>
      <c r="BE497" s="467"/>
      <c r="BF497" s="468"/>
      <c r="BG497" s="469"/>
      <c r="BH497" s="470"/>
      <c r="BI497" s="194"/>
      <c r="BJ497" s="471"/>
      <c r="BK497" s="472"/>
      <c r="BL497" s="472"/>
      <c r="BM497" s="472"/>
      <c r="BN497" s="472"/>
      <c r="BO497" s="473"/>
      <c r="BP497" s="471"/>
      <c r="BQ497" s="472"/>
      <c r="BR497" s="472"/>
      <c r="BS497" s="472"/>
      <c r="BT497" s="472"/>
      <c r="BU497" s="473"/>
      <c r="BV497" s="471"/>
      <c r="BW497" s="472"/>
      <c r="BX497" s="472"/>
      <c r="BY497" s="472"/>
      <c r="BZ497" s="472"/>
      <c r="CA497" s="473"/>
      <c r="CB497" s="466"/>
      <c r="CC497" s="467"/>
      <c r="CD497" s="467"/>
      <c r="CE497" s="468"/>
      <c r="CF497" s="409"/>
      <c r="CG497" s="410"/>
      <c r="CH497" s="410"/>
      <c r="CI497" s="410"/>
      <c r="CJ497" s="411"/>
      <c r="CK497" s="409"/>
      <c r="CL497" s="410"/>
      <c r="CM497" s="410"/>
      <c r="CN497" s="410"/>
      <c r="CO497" s="411"/>
      <c r="CP497" s="409"/>
      <c r="CQ497" s="410"/>
      <c r="CR497" s="410"/>
      <c r="CS497" s="410"/>
      <c r="CT497" s="411"/>
      <c r="CU497" s="415"/>
      <c r="CV497" s="416"/>
      <c r="CW497" s="416"/>
      <c r="CX497" s="416"/>
      <c r="CY497" s="417"/>
    </row>
    <row r="498" spans="1:103" ht="16.5">
      <c r="A498" s="435"/>
      <c r="B498" s="36"/>
      <c r="C498" s="199" t="str">
        <f t="shared" ca="1" si="9"/>
        <v/>
      </c>
      <c r="D498" s="479"/>
      <c r="E498" s="480"/>
      <c r="F498" s="480"/>
      <c r="G498" s="480"/>
      <c r="H498" s="480"/>
      <c r="I498" s="480"/>
      <c r="J498" s="480"/>
      <c r="K498" s="440"/>
      <c r="L498" s="441"/>
      <c r="M498" s="441"/>
      <c r="N498" s="441"/>
      <c r="O498" s="441"/>
      <c r="P498" s="441"/>
      <c r="Q498" s="441"/>
      <c r="R498" s="444"/>
      <c r="S498" s="445"/>
      <c r="T498" s="444"/>
      <c r="U498" s="445"/>
      <c r="V498" s="440"/>
      <c r="W498" s="441"/>
      <c r="X498" s="441"/>
      <c r="Y498" s="441"/>
      <c r="Z498" s="441"/>
      <c r="AA498" s="441"/>
      <c r="AB498" s="441"/>
      <c r="AC498" s="441"/>
      <c r="AD498" s="440"/>
      <c r="AE498" s="441"/>
      <c r="AF498" s="441"/>
      <c r="AG498" s="441"/>
      <c r="AH498" s="441"/>
      <c r="AI498" s="441"/>
      <c r="AJ498" s="441"/>
      <c r="AK498" s="450"/>
      <c r="AL498" s="440"/>
      <c r="AM498" s="441"/>
      <c r="AN498" s="441"/>
      <c r="AO498" s="441"/>
      <c r="AP498" s="441"/>
      <c r="AQ498" s="441"/>
      <c r="AR498" s="450"/>
      <c r="AS498" s="485"/>
      <c r="AT498" s="486"/>
      <c r="AU498" s="486"/>
      <c r="AV498" s="486"/>
      <c r="AW498" s="486"/>
      <c r="AX498" s="486"/>
      <c r="AY498" s="487"/>
      <c r="AZ498" s="462"/>
      <c r="BA498" s="463"/>
      <c r="BB498" s="61">
        <v>2</v>
      </c>
      <c r="BC498" s="418"/>
      <c r="BD498" s="419"/>
      <c r="BE498" s="419"/>
      <c r="BF498" s="420"/>
      <c r="BG498" s="421"/>
      <c r="BH498" s="422"/>
      <c r="BI498" s="195"/>
      <c r="BJ498" s="423"/>
      <c r="BK498" s="424"/>
      <c r="BL498" s="424"/>
      <c r="BM498" s="424"/>
      <c r="BN498" s="424"/>
      <c r="BO498" s="425"/>
      <c r="BP498" s="423"/>
      <c r="BQ498" s="424"/>
      <c r="BR498" s="424"/>
      <c r="BS498" s="424"/>
      <c r="BT498" s="424"/>
      <c r="BU498" s="425"/>
      <c r="BV498" s="423"/>
      <c r="BW498" s="424"/>
      <c r="BX498" s="424"/>
      <c r="BY498" s="424"/>
      <c r="BZ498" s="424"/>
      <c r="CA498" s="425"/>
      <c r="CB498" s="418"/>
      <c r="CC498" s="419"/>
      <c r="CD498" s="419"/>
      <c r="CE498" s="420"/>
      <c r="CF498" s="412"/>
      <c r="CG498" s="413"/>
      <c r="CH498" s="413"/>
      <c r="CI498" s="413"/>
      <c r="CJ498" s="414"/>
      <c r="CK498" s="412"/>
      <c r="CL498" s="413"/>
      <c r="CM498" s="413"/>
      <c r="CN498" s="413"/>
      <c r="CO498" s="414"/>
      <c r="CP498" s="412"/>
      <c r="CQ498" s="413"/>
      <c r="CR498" s="413"/>
      <c r="CS498" s="413"/>
      <c r="CT498" s="414"/>
      <c r="CU498" s="415"/>
      <c r="CV498" s="416"/>
      <c r="CW498" s="416"/>
      <c r="CX498" s="416"/>
      <c r="CY498" s="417"/>
    </row>
    <row r="499" spans="1:103" ht="16.5">
      <c r="A499" s="435"/>
      <c r="B499" s="36"/>
      <c r="C499" s="199" t="str">
        <f t="shared" ca="1" si="9"/>
        <v/>
      </c>
      <c r="D499" s="479"/>
      <c r="E499" s="480"/>
      <c r="F499" s="480"/>
      <c r="G499" s="480"/>
      <c r="H499" s="480"/>
      <c r="I499" s="480"/>
      <c r="J499" s="480"/>
      <c r="K499" s="440"/>
      <c r="L499" s="441"/>
      <c r="M499" s="441"/>
      <c r="N499" s="441"/>
      <c r="O499" s="441"/>
      <c r="P499" s="441"/>
      <c r="Q499" s="441"/>
      <c r="R499" s="444"/>
      <c r="S499" s="445"/>
      <c r="T499" s="444"/>
      <c r="U499" s="445"/>
      <c r="V499" s="440"/>
      <c r="W499" s="441"/>
      <c r="X499" s="441"/>
      <c r="Y499" s="441"/>
      <c r="Z499" s="441"/>
      <c r="AA499" s="441"/>
      <c r="AB499" s="441"/>
      <c r="AC499" s="441"/>
      <c r="AD499" s="440"/>
      <c r="AE499" s="441"/>
      <c r="AF499" s="441"/>
      <c r="AG499" s="441"/>
      <c r="AH499" s="441"/>
      <c r="AI499" s="441"/>
      <c r="AJ499" s="441"/>
      <c r="AK499" s="450"/>
      <c r="AL499" s="440"/>
      <c r="AM499" s="441"/>
      <c r="AN499" s="441"/>
      <c r="AO499" s="441"/>
      <c r="AP499" s="441"/>
      <c r="AQ499" s="441"/>
      <c r="AR499" s="450"/>
      <c r="AS499" s="485"/>
      <c r="AT499" s="486"/>
      <c r="AU499" s="486"/>
      <c r="AV499" s="486"/>
      <c r="AW499" s="486"/>
      <c r="AX499" s="486"/>
      <c r="AY499" s="487"/>
      <c r="AZ499" s="462"/>
      <c r="BA499" s="463"/>
      <c r="BB499" s="61">
        <v>3</v>
      </c>
      <c r="BC499" s="418"/>
      <c r="BD499" s="419"/>
      <c r="BE499" s="419"/>
      <c r="BF499" s="420"/>
      <c r="BG499" s="421"/>
      <c r="BH499" s="422"/>
      <c r="BI499" s="195"/>
      <c r="BJ499" s="423"/>
      <c r="BK499" s="424"/>
      <c r="BL499" s="424"/>
      <c r="BM499" s="424"/>
      <c r="BN499" s="424"/>
      <c r="BO499" s="425"/>
      <c r="BP499" s="423"/>
      <c r="BQ499" s="424"/>
      <c r="BR499" s="424"/>
      <c r="BS499" s="424"/>
      <c r="BT499" s="424"/>
      <c r="BU499" s="425"/>
      <c r="BV499" s="423"/>
      <c r="BW499" s="424"/>
      <c r="BX499" s="424"/>
      <c r="BY499" s="424"/>
      <c r="BZ499" s="424"/>
      <c r="CA499" s="425"/>
      <c r="CB499" s="418"/>
      <c r="CC499" s="419"/>
      <c r="CD499" s="419"/>
      <c r="CE499" s="420"/>
      <c r="CF499" s="412"/>
      <c r="CG499" s="413"/>
      <c r="CH499" s="413"/>
      <c r="CI499" s="413"/>
      <c r="CJ499" s="414"/>
      <c r="CK499" s="412"/>
      <c r="CL499" s="413"/>
      <c r="CM499" s="413"/>
      <c r="CN499" s="413"/>
      <c r="CO499" s="414"/>
      <c r="CP499" s="412"/>
      <c r="CQ499" s="413"/>
      <c r="CR499" s="413"/>
      <c r="CS499" s="413"/>
      <c r="CT499" s="414"/>
      <c r="CU499" s="415"/>
      <c r="CV499" s="416"/>
      <c r="CW499" s="416"/>
      <c r="CX499" s="416"/>
      <c r="CY499" s="417"/>
    </row>
    <row r="500" spans="1:103" ht="16.5">
      <c r="A500" s="435"/>
      <c r="B500" s="36"/>
      <c r="C500" s="199" t="str">
        <f t="shared" ca="1" si="9"/>
        <v/>
      </c>
      <c r="D500" s="479"/>
      <c r="E500" s="480"/>
      <c r="F500" s="480"/>
      <c r="G500" s="480"/>
      <c r="H500" s="480"/>
      <c r="I500" s="480"/>
      <c r="J500" s="480"/>
      <c r="K500" s="440"/>
      <c r="L500" s="441"/>
      <c r="M500" s="441"/>
      <c r="N500" s="441"/>
      <c r="O500" s="441"/>
      <c r="P500" s="441"/>
      <c r="Q500" s="441"/>
      <c r="R500" s="444"/>
      <c r="S500" s="445"/>
      <c r="T500" s="444"/>
      <c r="U500" s="445"/>
      <c r="V500" s="440"/>
      <c r="W500" s="441"/>
      <c r="X500" s="441"/>
      <c r="Y500" s="441"/>
      <c r="Z500" s="441"/>
      <c r="AA500" s="441"/>
      <c r="AB500" s="441"/>
      <c r="AC500" s="441"/>
      <c r="AD500" s="440"/>
      <c r="AE500" s="441"/>
      <c r="AF500" s="441"/>
      <c r="AG500" s="441"/>
      <c r="AH500" s="441"/>
      <c r="AI500" s="441"/>
      <c r="AJ500" s="441"/>
      <c r="AK500" s="450"/>
      <c r="AL500" s="440"/>
      <c r="AM500" s="441"/>
      <c r="AN500" s="441"/>
      <c r="AO500" s="441"/>
      <c r="AP500" s="441"/>
      <c r="AQ500" s="441"/>
      <c r="AR500" s="450"/>
      <c r="AS500" s="485"/>
      <c r="AT500" s="486"/>
      <c r="AU500" s="486"/>
      <c r="AV500" s="486"/>
      <c r="AW500" s="486"/>
      <c r="AX500" s="486"/>
      <c r="AY500" s="487"/>
      <c r="AZ500" s="462"/>
      <c r="BA500" s="463"/>
      <c r="BB500" s="61">
        <v>4</v>
      </c>
      <c r="BC500" s="418"/>
      <c r="BD500" s="419"/>
      <c r="BE500" s="419"/>
      <c r="BF500" s="420"/>
      <c r="BG500" s="421"/>
      <c r="BH500" s="422"/>
      <c r="BI500" s="195"/>
      <c r="BJ500" s="423"/>
      <c r="BK500" s="424"/>
      <c r="BL500" s="424"/>
      <c r="BM500" s="424"/>
      <c r="BN500" s="424"/>
      <c r="BO500" s="425"/>
      <c r="BP500" s="423"/>
      <c r="BQ500" s="424"/>
      <c r="BR500" s="424"/>
      <c r="BS500" s="424"/>
      <c r="BT500" s="424"/>
      <c r="BU500" s="425"/>
      <c r="BV500" s="423"/>
      <c r="BW500" s="424"/>
      <c r="BX500" s="424"/>
      <c r="BY500" s="424"/>
      <c r="BZ500" s="424"/>
      <c r="CA500" s="425"/>
      <c r="CB500" s="418"/>
      <c r="CC500" s="419"/>
      <c r="CD500" s="419"/>
      <c r="CE500" s="420"/>
      <c r="CF500" s="412"/>
      <c r="CG500" s="413"/>
      <c r="CH500" s="413"/>
      <c r="CI500" s="413"/>
      <c r="CJ500" s="414"/>
      <c r="CK500" s="412"/>
      <c r="CL500" s="413"/>
      <c r="CM500" s="413"/>
      <c r="CN500" s="413"/>
      <c r="CO500" s="414"/>
      <c r="CP500" s="412"/>
      <c r="CQ500" s="413"/>
      <c r="CR500" s="413"/>
      <c r="CS500" s="413"/>
      <c r="CT500" s="414"/>
      <c r="CU500" s="415"/>
      <c r="CV500" s="416"/>
      <c r="CW500" s="416"/>
      <c r="CX500" s="416"/>
      <c r="CY500" s="417"/>
    </row>
    <row r="501" spans="1:103" ht="16.5">
      <c r="A501" s="435"/>
      <c r="B501" s="36"/>
      <c r="C501" s="199" t="str">
        <f t="shared" ca="1" si="9"/>
        <v/>
      </c>
      <c r="D501" s="479"/>
      <c r="E501" s="480"/>
      <c r="F501" s="480"/>
      <c r="G501" s="480"/>
      <c r="H501" s="480"/>
      <c r="I501" s="480"/>
      <c r="J501" s="480"/>
      <c r="K501" s="440"/>
      <c r="L501" s="441"/>
      <c r="M501" s="441"/>
      <c r="N501" s="441"/>
      <c r="O501" s="441"/>
      <c r="P501" s="441"/>
      <c r="Q501" s="441"/>
      <c r="R501" s="444"/>
      <c r="S501" s="445"/>
      <c r="T501" s="444"/>
      <c r="U501" s="445"/>
      <c r="V501" s="440"/>
      <c r="W501" s="441"/>
      <c r="X501" s="441"/>
      <c r="Y501" s="441"/>
      <c r="Z501" s="441"/>
      <c r="AA501" s="441"/>
      <c r="AB501" s="441"/>
      <c r="AC501" s="441"/>
      <c r="AD501" s="440"/>
      <c r="AE501" s="441"/>
      <c r="AF501" s="441"/>
      <c r="AG501" s="441"/>
      <c r="AH501" s="441"/>
      <c r="AI501" s="441"/>
      <c r="AJ501" s="441"/>
      <c r="AK501" s="450"/>
      <c r="AL501" s="440"/>
      <c r="AM501" s="441"/>
      <c r="AN501" s="441"/>
      <c r="AO501" s="441"/>
      <c r="AP501" s="441"/>
      <c r="AQ501" s="441"/>
      <c r="AR501" s="450"/>
      <c r="AS501" s="485"/>
      <c r="AT501" s="486"/>
      <c r="AU501" s="486"/>
      <c r="AV501" s="486"/>
      <c r="AW501" s="486"/>
      <c r="AX501" s="486"/>
      <c r="AY501" s="487"/>
      <c r="AZ501" s="462"/>
      <c r="BA501" s="463"/>
      <c r="BB501" s="61">
        <v>5</v>
      </c>
      <c r="BC501" s="418"/>
      <c r="BD501" s="419"/>
      <c r="BE501" s="419"/>
      <c r="BF501" s="420"/>
      <c r="BG501" s="421"/>
      <c r="BH501" s="422"/>
      <c r="BI501" s="195"/>
      <c r="BJ501" s="423"/>
      <c r="BK501" s="424"/>
      <c r="BL501" s="424"/>
      <c r="BM501" s="424"/>
      <c r="BN501" s="424"/>
      <c r="BO501" s="425"/>
      <c r="BP501" s="423"/>
      <c r="BQ501" s="424"/>
      <c r="BR501" s="424"/>
      <c r="BS501" s="424"/>
      <c r="BT501" s="424"/>
      <c r="BU501" s="425"/>
      <c r="BV501" s="423"/>
      <c r="BW501" s="424"/>
      <c r="BX501" s="424"/>
      <c r="BY501" s="424"/>
      <c r="BZ501" s="424"/>
      <c r="CA501" s="425"/>
      <c r="CB501" s="418"/>
      <c r="CC501" s="419"/>
      <c r="CD501" s="419"/>
      <c r="CE501" s="420"/>
      <c r="CF501" s="412"/>
      <c r="CG501" s="413"/>
      <c r="CH501" s="413"/>
      <c r="CI501" s="413"/>
      <c r="CJ501" s="414"/>
      <c r="CK501" s="412"/>
      <c r="CL501" s="413"/>
      <c r="CM501" s="413"/>
      <c r="CN501" s="413"/>
      <c r="CO501" s="414"/>
      <c r="CP501" s="412"/>
      <c r="CQ501" s="413"/>
      <c r="CR501" s="413"/>
      <c r="CS501" s="413"/>
      <c r="CT501" s="414"/>
      <c r="CU501" s="415"/>
      <c r="CV501" s="416"/>
      <c r="CW501" s="416"/>
      <c r="CX501" s="416"/>
      <c r="CY501" s="417"/>
    </row>
    <row r="502" spans="1:103" ht="16.5">
      <c r="A502" s="436"/>
      <c r="B502" s="37"/>
      <c r="C502" s="200" t="str">
        <f t="shared" ca="1" si="9"/>
        <v/>
      </c>
      <c r="D502" s="481"/>
      <c r="E502" s="482"/>
      <c r="F502" s="482"/>
      <c r="G502" s="482"/>
      <c r="H502" s="482"/>
      <c r="I502" s="482"/>
      <c r="J502" s="482"/>
      <c r="K502" s="409"/>
      <c r="L502" s="410"/>
      <c r="M502" s="410"/>
      <c r="N502" s="410"/>
      <c r="O502" s="410"/>
      <c r="P502" s="410"/>
      <c r="Q502" s="410"/>
      <c r="R502" s="446"/>
      <c r="S502" s="447"/>
      <c r="T502" s="446"/>
      <c r="U502" s="447"/>
      <c r="V502" s="409"/>
      <c r="W502" s="410"/>
      <c r="X502" s="410"/>
      <c r="Y502" s="410"/>
      <c r="Z502" s="410"/>
      <c r="AA502" s="410"/>
      <c r="AB502" s="410"/>
      <c r="AC502" s="410"/>
      <c r="AD502" s="409"/>
      <c r="AE502" s="410"/>
      <c r="AF502" s="410"/>
      <c r="AG502" s="410"/>
      <c r="AH502" s="410"/>
      <c r="AI502" s="410"/>
      <c r="AJ502" s="410"/>
      <c r="AK502" s="411"/>
      <c r="AL502" s="409"/>
      <c r="AM502" s="410"/>
      <c r="AN502" s="410"/>
      <c r="AO502" s="410"/>
      <c r="AP502" s="410"/>
      <c r="AQ502" s="410"/>
      <c r="AR502" s="411"/>
      <c r="AS502" s="488"/>
      <c r="AT502" s="489"/>
      <c r="AU502" s="489"/>
      <c r="AV502" s="489"/>
      <c r="AW502" s="489"/>
      <c r="AX502" s="489"/>
      <c r="AY502" s="490"/>
      <c r="AZ502" s="464"/>
      <c r="BA502" s="465"/>
      <c r="BB502" s="62">
        <v>6</v>
      </c>
      <c r="BC502" s="426"/>
      <c r="BD502" s="427"/>
      <c r="BE502" s="427"/>
      <c r="BF502" s="428"/>
      <c r="BG502" s="429"/>
      <c r="BH502" s="430"/>
      <c r="BI502" s="196"/>
      <c r="BJ502" s="474"/>
      <c r="BK502" s="475"/>
      <c r="BL502" s="475"/>
      <c r="BM502" s="475"/>
      <c r="BN502" s="475"/>
      <c r="BO502" s="476"/>
      <c r="BP502" s="474"/>
      <c r="BQ502" s="475"/>
      <c r="BR502" s="475"/>
      <c r="BS502" s="475"/>
      <c r="BT502" s="475"/>
      <c r="BU502" s="476"/>
      <c r="BV502" s="474"/>
      <c r="BW502" s="475"/>
      <c r="BX502" s="475"/>
      <c r="BY502" s="475"/>
      <c r="BZ502" s="475"/>
      <c r="CA502" s="476"/>
      <c r="CB502" s="426"/>
      <c r="CC502" s="427"/>
      <c r="CD502" s="427"/>
      <c r="CE502" s="428"/>
      <c r="CF502" s="412"/>
      <c r="CG502" s="413"/>
      <c r="CH502" s="413"/>
      <c r="CI502" s="413"/>
      <c r="CJ502" s="414"/>
      <c r="CK502" s="412"/>
      <c r="CL502" s="413"/>
      <c r="CM502" s="413"/>
      <c r="CN502" s="413"/>
      <c r="CO502" s="414"/>
      <c r="CP502" s="412"/>
      <c r="CQ502" s="413"/>
      <c r="CR502" s="413"/>
      <c r="CS502" s="413"/>
      <c r="CT502" s="414"/>
      <c r="CU502" s="415"/>
      <c r="CV502" s="416"/>
      <c r="CW502" s="416"/>
      <c r="CX502" s="416"/>
      <c r="CY502" s="417"/>
    </row>
    <row r="503" spans="1:103" ht="16.5">
      <c r="A503" s="434">
        <v>83</v>
      </c>
      <c r="B503" s="36"/>
      <c r="C503" s="198" t="str">
        <f t="shared" ca="1" si="9"/>
        <v/>
      </c>
      <c r="D503" s="477"/>
      <c r="E503" s="478"/>
      <c r="F503" s="478"/>
      <c r="G503" s="478"/>
      <c r="H503" s="478"/>
      <c r="I503" s="478"/>
      <c r="J503" s="478"/>
      <c r="K503" s="438" t="s">
        <v>433</v>
      </c>
      <c r="L503" s="439"/>
      <c r="M503" s="439"/>
      <c r="N503" s="439"/>
      <c r="O503" s="439"/>
      <c r="P503" s="439"/>
      <c r="Q503" s="439"/>
      <c r="R503" s="442" t="s">
        <v>186</v>
      </c>
      <c r="S503" s="443"/>
      <c r="T503" s="442"/>
      <c r="U503" s="443"/>
      <c r="V503" s="438"/>
      <c r="W503" s="439"/>
      <c r="X503" s="439"/>
      <c r="Y503" s="439"/>
      <c r="Z503" s="439"/>
      <c r="AA503" s="439"/>
      <c r="AB503" s="439"/>
      <c r="AC503" s="439"/>
      <c r="AD503" s="438"/>
      <c r="AE503" s="439"/>
      <c r="AF503" s="439"/>
      <c r="AG503" s="439"/>
      <c r="AH503" s="439"/>
      <c r="AI503" s="439"/>
      <c r="AJ503" s="439"/>
      <c r="AK503" s="449"/>
      <c r="AL503" s="438"/>
      <c r="AM503" s="439"/>
      <c r="AN503" s="439"/>
      <c r="AO503" s="439"/>
      <c r="AP503" s="439"/>
      <c r="AQ503" s="439"/>
      <c r="AR503" s="449"/>
      <c r="AS503" s="500"/>
      <c r="AT503" s="483"/>
      <c r="AU503" s="483"/>
      <c r="AV503" s="483"/>
      <c r="AW503" s="483"/>
      <c r="AX503" s="483"/>
      <c r="AY503" s="484"/>
      <c r="AZ503" s="460"/>
      <c r="BA503" s="461"/>
      <c r="BB503" s="60">
        <v>1</v>
      </c>
      <c r="BC503" s="466"/>
      <c r="BD503" s="467"/>
      <c r="BE503" s="467"/>
      <c r="BF503" s="468"/>
      <c r="BG503" s="469"/>
      <c r="BH503" s="470"/>
      <c r="BI503" s="194"/>
      <c r="BJ503" s="471"/>
      <c r="BK503" s="472"/>
      <c r="BL503" s="472"/>
      <c r="BM503" s="472"/>
      <c r="BN503" s="472"/>
      <c r="BO503" s="473"/>
      <c r="BP503" s="471"/>
      <c r="BQ503" s="472"/>
      <c r="BR503" s="472"/>
      <c r="BS503" s="472"/>
      <c r="BT503" s="472"/>
      <c r="BU503" s="473"/>
      <c r="BV503" s="471"/>
      <c r="BW503" s="472"/>
      <c r="BX503" s="472"/>
      <c r="BY503" s="472"/>
      <c r="BZ503" s="472"/>
      <c r="CA503" s="473"/>
      <c r="CB503" s="466"/>
      <c r="CC503" s="467"/>
      <c r="CD503" s="467"/>
      <c r="CE503" s="468"/>
      <c r="CF503" s="409"/>
      <c r="CG503" s="410"/>
      <c r="CH503" s="410"/>
      <c r="CI503" s="410"/>
      <c r="CJ503" s="411"/>
      <c r="CK503" s="409"/>
      <c r="CL503" s="410"/>
      <c r="CM503" s="410"/>
      <c r="CN503" s="410"/>
      <c r="CO503" s="411"/>
      <c r="CP503" s="409"/>
      <c r="CQ503" s="410"/>
      <c r="CR503" s="410"/>
      <c r="CS503" s="410"/>
      <c r="CT503" s="411"/>
      <c r="CU503" s="415"/>
      <c r="CV503" s="416"/>
      <c r="CW503" s="416"/>
      <c r="CX503" s="416"/>
      <c r="CY503" s="417"/>
    </row>
    <row r="504" spans="1:103" ht="16.5">
      <c r="A504" s="435"/>
      <c r="B504" s="36"/>
      <c r="C504" s="199" t="str">
        <f t="shared" ca="1" si="9"/>
        <v/>
      </c>
      <c r="D504" s="479"/>
      <c r="E504" s="480"/>
      <c r="F504" s="480"/>
      <c r="G504" s="480"/>
      <c r="H504" s="480"/>
      <c r="I504" s="480"/>
      <c r="J504" s="480"/>
      <c r="K504" s="440"/>
      <c r="L504" s="441"/>
      <c r="M504" s="441"/>
      <c r="N504" s="441"/>
      <c r="O504" s="441"/>
      <c r="P504" s="441"/>
      <c r="Q504" s="441"/>
      <c r="R504" s="444"/>
      <c r="S504" s="445"/>
      <c r="T504" s="444"/>
      <c r="U504" s="445"/>
      <c r="V504" s="440"/>
      <c r="W504" s="441"/>
      <c r="X504" s="441"/>
      <c r="Y504" s="441"/>
      <c r="Z504" s="441"/>
      <c r="AA504" s="441"/>
      <c r="AB504" s="441"/>
      <c r="AC504" s="441"/>
      <c r="AD504" s="440"/>
      <c r="AE504" s="441"/>
      <c r="AF504" s="441"/>
      <c r="AG504" s="441"/>
      <c r="AH504" s="441"/>
      <c r="AI504" s="441"/>
      <c r="AJ504" s="441"/>
      <c r="AK504" s="450"/>
      <c r="AL504" s="440"/>
      <c r="AM504" s="441"/>
      <c r="AN504" s="441"/>
      <c r="AO504" s="441"/>
      <c r="AP504" s="441"/>
      <c r="AQ504" s="441"/>
      <c r="AR504" s="450"/>
      <c r="AS504" s="485"/>
      <c r="AT504" s="486"/>
      <c r="AU504" s="486"/>
      <c r="AV504" s="486"/>
      <c r="AW504" s="486"/>
      <c r="AX504" s="486"/>
      <c r="AY504" s="487"/>
      <c r="AZ504" s="462"/>
      <c r="BA504" s="463"/>
      <c r="BB504" s="61">
        <v>2</v>
      </c>
      <c r="BC504" s="418"/>
      <c r="BD504" s="419"/>
      <c r="BE504" s="419"/>
      <c r="BF504" s="420"/>
      <c r="BG504" s="421"/>
      <c r="BH504" s="422"/>
      <c r="BI504" s="195"/>
      <c r="BJ504" s="423"/>
      <c r="BK504" s="424"/>
      <c r="BL504" s="424"/>
      <c r="BM504" s="424"/>
      <c r="BN504" s="424"/>
      <c r="BO504" s="425"/>
      <c r="BP504" s="423"/>
      <c r="BQ504" s="424"/>
      <c r="BR504" s="424"/>
      <c r="BS504" s="424"/>
      <c r="BT504" s="424"/>
      <c r="BU504" s="425"/>
      <c r="BV504" s="423"/>
      <c r="BW504" s="424"/>
      <c r="BX504" s="424"/>
      <c r="BY504" s="424"/>
      <c r="BZ504" s="424"/>
      <c r="CA504" s="425"/>
      <c r="CB504" s="418"/>
      <c r="CC504" s="419"/>
      <c r="CD504" s="419"/>
      <c r="CE504" s="420"/>
      <c r="CF504" s="412"/>
      <c r="CG504" s="413"/>
      <c r="CH504" s="413"/>
      <c r="CI504" s="413"/>
      <c r="CJ504" s="414"/>
      <c r="CK504" s="412"/>
      <c r="CL504" s="413"/>
      <c r="CM504" s="413"/>
      <c r="CN504" s="413"/>
      <c r="CO504" s="414"/>
      <c r="CP504" s="412"/>
      <c r="CQ504" s="413"/>
      <c r="CR504" s="413"/>
      <c r="CS504" s="413"/>
      <c r="CT504" s="414"/>
      <c r="CU504" s="415"/>
      <c r="CV504" s="416"/>
      <c r="CW504" s="416"/>
      <c r="CX504" s="416"/>
      <c r="CY504" s="417"/>
    </row>
    <row r="505" spans="1:103" ht="16.5">
      <c r="A505" s="435"/>
      <c r="B505" s="36"/>
      <c r="C505" s="199" t="str">
        <f t="shared" ca="1" si="9"/>
        <v/>
      </c>
      <c r="D505" s="479"/>
      <c r="E505" s="480"/>
      <c r="F505" s="480"/>
      <c r="G505" s="480"/>
      <c r="H505" s="480"/>
      <c r="I505" s="480"/>
      <c r="J505" s="480"/>
      <c r="K505" s="440"/>
      <c r="L505" s="441"/>
      <c r="M505" s="441"/>
      <c r="N505" s="441"/>
      <c r="O505" s="441"/>
      <c r="P505" s="441"/>
      <c r="Q505" s="441"/>
      <c r="R505" s="444"/>
      <c r="S505" s="445"/>
      <c r="T505" s="444"/>
      <c r="U505" s="445"/>
      <c r="V505" s="440"/>
      <c r="W505" s="441"/>
      <c r="X505" s="441"/>
      <c r="Y505" s="441"/>
      <c r="Z505" s="441"/>
      <c r="AA505" s="441"/>
      <c r="AB505" s="441"/>
      <c r="AC505" s="441"/>
      <c r="AD505" s="440"/>
      <c r="AE505" s="441"/>
      <c r="AF505" s="441"/>
      <c r="AG505" s="441"/>
      <c r="AH505" s="441"/>
      <c r="AI505" s="441"/>
      <c r="AJ505" s="441"/>
      <c r="AK505" s="450"/>
      <c r="AL505" s="440"/>
      <c r="AM505" s="441"/>
      <c r="AN505" s="441"/>
      <c r="AO505" s="441"/>
      <c r="AP505" s="441"/>
      <c r="AQ505" s="441"/>
      <c r="AR505" s="450"/>
      <c r="AS505" s="485"/>
      <c r="AT505" s="486"/>
      <c r="AU505" s="486"/>
      <c r="AV505" s="486"/>
      <c r="AW505" s="486"/>
      <c r="AX505" s="486"/>
      <c r="AY505" s="487"/>
      <c r="AZ505" s="462"/>
      <c r="BA505" s="463"/>
      <c r="BB505" s="61">
        <v>3</v>
      </c>
      <c r="BC505" s="418"/>
      <c r="BD505" s="419"/>
      <c r="BE505" s="419"/>
      <c r="BF505" s="420"/>
      <c r="BG505" s="421"/>
      <c r="BH505" s="422"/>
      <c r="BI505" s="195"/>
      <c r="BJ505" s="423"/>
      <c r="BK505" s="424"/>
      <c r="BL505" s="424"/>
      <c r="BM505" s="424"/>
      <c r="BN505" s="424"/>
      <c r="BO505" s="425"/>
      <c r="BP505" s="423"/>
      <c r="BQ505" s="424"/>
      <c r="BR505" s="424"/>
      <c r="BS505" s="424"/>
      <c r="BT505" s="424"/>
      <c r="BU505" s="425"/>
      <c r="BV505" s="423"/>
      <c r="BW505" s="424"/>
      <c r="BX505" s="424"/>
      <c r="BY505" s="424"/>
      <c r="BZ505" s="424"/>
      <c r="CA505" s="425"/>
      <c r="CB505" s="418"/>
      <c r="CC505" s="419"/>
      <c r="CD505" s="419"/>
      <c r="CE505" s="420"/>
      <c r="CF505" s="412"/>
      <c r="CG505" s="413"/>
      <c r="CH505" s="413"/>
      <c r="CI505" s="413"/>
      <c r="CJ505" s="414"/>
      <c r="CK505" s="412"/>
      <c r="CL505" s="413"/>
      <c r="CM505" s="413"/>
      <c r="CN505" s="413"/>
      <c r="CO505" s="414"/>
      <c r="CP505" s="412"/>
      <c r="CQ505" s="413"/>
      <c r="CR505" s="413"/>
      <c r="CS505" s="413"/>
      <c r="CT505" s="414"/>
      <c r="CU505" s="415"/>
      <c r="CV505" s="416"/>
      <c r="CW505" s="416"/>
      <c r="CX505" s="416"/>
      <c r="CY505" s="417"/>
    </row>
    <row r="506" spans="1:103" ht="16.5">
      <c r="A506" s="435"/>
      <c r="B506" s="36"/>
      <c r="C506" s="199" t="str">
        <f t="shared" ca="1" si="9"/>
        <v/>
      </c>
      <c r="D506" s="479"/>
      <c r="E506" s="480"/>
      <c r="F506" s="480"/>
      <c r="G506" s="480"/>
      <c r="H506" s="480"/>
      <c r="I506" s="480"/>
      <c r="J506" s="480"/>
      <c r="K506" s="440"/>
      <c r="L506" s="441"/>
      <c r="M506" s="441"/>
      <c r="N506" s="441"/>
      <c r="O506" s="441"/>
      <c r="P506" s="441"/>
      <c r="Q506" s="441"/>
      <c r="R506" s="444"/>
      <c r="S506" s="445"/>
      <c r="T506" s="444"/>
      <c r="U506" s="445"/>
      <c r="V506" s="440"/>
      <c r="W506" s="441"/>
      <c r="X506" s="441"/>
      <c r="Y506" s="441"/>
      <c r="Z506" s="441"/>
      <c r="AA506" s="441"/>
      <c r="AB506" s="441"/>
      <c r="AC506" s="441"/>
      <c r="AD506" s="440"/>
      <c r="AE506" s="441"/>
      <c r="AF506" s="441"/>
      <c r="AG506" s="441"/>
      <c r="AH506" s="441"/>
      <c r="AI506" s="441"/>
      <c r="AJ506" s="441"/>
      <c r="AK506" s="450"/>
      <c r="AL506" s="440"/>
      <c r="AM506" s="441"/>
      <c r="AN506" s="441"/>
      <c r="AO506" s="441"/>
      <c r="AP506" s="441"/>
      <c r="AQ506" s="441"/>
      <c r="AR506" s="450"/>
      <c r="AS506" s="485"/>
      <c r="AT506" s="486"/>
      <c r="AU506" s="486"/>
      <c r="AV506" s="486"/>
      <c r="AW506" s="486"/>
      <c r="AX506" s="486"/>
      <c r="AY506" s="487"/>
      <c r="AZ506" s="462"/>
      <c r="BA506" s="463"/>
      <c r="BB506" s="61">
        <v>4</v>
      </c>
      <c r="BC506" s="418"/>
      <c r="BD506" s="419"/>
      <c r="BE506" s="419"/>
      <c r="BF506" s="420"/>
      <c r="BG506" s="421"/>
      <c r="BH506" s="422"/>
      <c r="BI506" s="195"/>
      <c r="BJ506" s="423"/>
      <c r="BK506" s="424"/>
      <c r="BL506" s="424"/>
      <c r="BM506" s="424"/>
      <c r="BN506" s="424"/>
      <c r="BO506" s="425"/>
      <c r="BP506" s="423"/>
      <c r="BQ506" s="424"/>
      <c r="BR506" s="424"/>
      <c r="BS506" s="424"/>
      <c r="BT506" s="424"/>
      <c r="BU506" s="425"/>
      <c r="BV506" s="423"/>
      <c r="BW506" s="424"/>
      <c r="BX506" s="424"/>
      <c r="BY506" s="424"/>
      <c r="BZ506" s="424"/>
      <c r="CA506" s="425"/>
      <c r="CB506" s="418"/>
      <c r="CC506" s="419"/>
      <c r="CD506" s="419"/>
      <c r="CE506" s="420"/>
      <c r="CF506" s="412"/>
      <c r="CG506" s="413"/>
      <c r="CH506" s="413"/>
      <c r="CI506" s="413"/>
      <c r="CJ506" s="414"/>
      <c r="CK506" s="412"/>
      <c r="CL506" s="413"/>
      <c r="CM506" s="413"/>
      <c r="CN506" s="413"/>
      <c r="CO506" s="414"/>
      <c r="CP506" s="412"/>
      <c r="CQ506" s="413"/>
      <c r="CR506" s="413"/>
      <c r="CS506" s="413"/>
      <c r="CT506" s="414"/>
      <c r="CU506" s="415"/>
      <c r="CV506" s="416"/>
      <c r="CW506" s="416"/>
      <c r="CX506" s="416"/>
      <c r="CY506" s="417"/>
    </row>
    <row r="507" spans="1:103" ht="16.5">
      <c r="A507" s="435"/>
      <c r="B507" s="36"/>
      <c r="C507" s="199" t="str">
        <f t="shared" ca="1" si="9"/>
        <v/>
      </c>
      <c r="D507" s="479"/>
      <c r="E507" s="480"/>
      <c r="F507" s="480"/>
      <c r="G507" s="480"/>
      <c r="H507" s="480"/>
      <c r="I507" s="480"/>
      <c r="J507" s="480"/>
      <c r="K507" s="440"/>
      <c r="L507" s="441"/>
      <c r="M507" s="441"/>
      <c r="N507" s="441"/>
      <c r="O507" s="441"/>
      <c r="P507" s="441"/>
      <c r="Q507" s="441"/>
      <c r="R507" s="444"/>
      <c r="S507" s="445"/>
      <c r="T507" s="444"/>
      <c r="U507" s="445"/>
      <c r="V507" s="440"/>
      <c r="W507" s="441"/>
      <c r="X507" s="441"/>
      <c r="Y507" s="441"/>
      <c r="Z507" s="441"/>
      <c r="AA507" s="441"/>
      <c r="AB507" s="441"/>
      <c r="AC507" s="441"/>
      <c r="AD507" s="440"/>
      <c r="AE507" s="441"/>
      <c r="AF507" s="441"/>
      <c r="AG507" s="441"/>
      <c r="AH507" s="441"/>
      <c r="AI507" s="441"/>
      <c r="AJ507" s="441"/>
      <c r="AK507" s="450"/>
      <c r="AL507" s="440"/>
      <c r="AM507" s="441"/>
      <c r="AN507" s="441"/>
      <c r="AO507" s="441"/>
      <c r="AP507" s="441"/>
      <c r="AQ507" s="441"/>
      <c r="AR507" s="450"/>
      <c r="AS507" s="485"/>
      <c r="AT507" s="486"/>
      <c r="AU507" s="486"/>
      <c r="AV507" s="486"/>
      <c r="AW507" s="486"/>
      <c r="AX507" s="486"/>
      <c r="AY507" s="487"/>
      <c r="AZ507" s="462"/>
      <c r="BA507" s="463"/>
      <c r="BB507" s="61">
        <v>5</v>
      </c>
      <c r="BC507" s="418"/>
      <c r="BD507" s="419"/>
      <c r="BE507" s="419"/>
      <c r="BF507" s="420"/>
      <c r="BG507" s="421"/>
      <c r="BH507" s="422"/>
      <c r="BI507" s="195"/>
      <c r="BJ507" s="423"/>
      <c r="BK507" s="424"/>
      <c r="BL507" s="424"/>
      <c r="BM507" s="424"/>
      <c r="BN507" s="424"/>
      <c r="BO507" s="425"/>
      <c r="BP507" s="423"/>
      <c r="BQ507" s="424"/>
      <c r="BR507" s="424"/>
      <c r="BS507" s="424"/>
      <c r="BT507" s="424"/>
      <c r="BU507" s="425"/>
      <c r="BV507" s="423"/>
      <c r="BW507" s="424"/>
      <c r="BX507" s="424"/>
      <c r="BY507" s="424"/>
      <c r="BZ507" s="424"/>
      <c r="CA507" s="425"/>
      <c r="CB507" s="418"/>
      <c r="CC507" s="419"/>
      <c r="CD507" s="419"/>
      <c r="CE507" s="420"/>
      <c r="CF507" s="412"/>
      <c r="CG507" s="413"/>
      <c r="CH507" s="413"/>
      <c r="CI507" s="413"/>
      <c r="CJ507" s="414"/>
      <c r="CK507" s="412"/>
      <c r="CL507" s="413"/>
      <c r="CM507" s="413"/>
      <c r="CN507" s="413"/>
      <c r="CO507" s="414"/>
      <c r="CP507" s="412"/>
      <c r="CQ507" s="413"/>
      <c r="CR507" s="413"/>
      <c r="CS507" s="413"/>
      <c r="CT507" s="414"/>
      <c r="CU507" s="415"/>
      <c r="CV507" s="416"/>
      <c r="CW507" s="416"/>
      <c r="CX507" s="416"/>
      <c r="CY507" s="417"/>
    </row>
    <row r="508" spans="1:103" ht="16.5">
      <c r="A508" s="436"/>
      <c r="B508" s="37"/>
      <c r="C508" s="200" t="str">
        <f t="shared" ca="1" si="9"/>
        <v/>
      </c>
      <c r="D508" s="481"/>
      <c r="E508" s="482"/>
      <c r="F508" s="482"/>
      <c r="G508" s="482"/>
      <c r="H508" s="482"/>
      <c r="I508" s="482"/>
      <c r="J508" s="482"/>
      <c r="K508" s="409"/>
      <c r="L508" s="410"/>
      <c r="M508" s="410"/>
      <c r="N508" s="410"/>
      <c r="O508" s="410"/>
      <c r="P508" s="410"/>
      <c r="Q508" s="410"/>
      <c r="R508" s="446"/>
      <c r="S508" s="447"/>
      <c r="T508" s="446"/>
      <c r="U508" s="447"/>
      <c r="V508" s="409"/>
      <c r="W508" s="410"/>
      <c r="X508" s="410"/>
      <c r="Y508" s="410"/>
      <c r="Z508" s="410"/>
      <c r="AA508" s="410"/>
      <c r="AB508" s="410"/>
      <c r="AC508" s="410"/>
      <c r="AD508" s="409"/>
      <c r="AE508" s="410"/>
      <c r="AF508" s="410"/>
      <c r="AG508" s="410"/>
      <c r="AH508" s="410"/>
      <c r="AI508" s="410"/>
      <c r="AJ508" s="410"/>
      <c r="AK508" s="411"/>
      <c r="AL508" s="409"/>
      <c r="AM508" s="410"/>
      <c r="AN508" s="410"/>
      <c r="AO508" s="410"/>
      <c r="AP508" s="410"/>
      <c r="AQ508" s="410"/>
      <c r="AR508" s="411"/>
      <c r="AS508" s="488"/>
      <c r="AT508" s="489"/>
      <c r="AU508" s="489"/>
      <c r="AV508" s="489"/>
      <c r="AW508" s="489"/>
      <c r="AX508" s="489"/>
      <c r="AY508" s="490"/>
      <c r="AZ508" s="464"/>
      <c r="BA508" s="465"/>
      <c r="BB508" s="62">
        <v>6</v>
      </c>
      <c r="BC508" s="426"/>
      <c r="BD508" s="427"/>
      <c r="BE508" s="427"/>
      <c r="BF508" s="428"/>
      <c r="BG508" s="429"/>
      <c r="BH508" s="430"/>
      <c r="BI508" s="196"/>
      <c r="BJ508" s="474"/>
      <c r="BK508" s="475"/>
      <c r="BL508" s="475"/>
      <c r="BM508" s="475"/>
      <c r="BN508" s="475"/>
      <c r="BO508" s="476"/>
      <c r="BP508" s="474"/>
      <c r="BQ508" s="475"/>
      <c r="BR508" s="475"/>
      <c r="BS508" s="475"/>
      <c r="BT508" s="475"/>
      <c r="BU508" s="476"/>
      <c r="BV508" s="474"/>
      <c r="BW508" s="475"/>
      <c r="BX508" s="475"/>
      <c r="BY508" s="475"/>
      <c r="BZ508" s="475"/>
      <c r="CA508" s="476"/>
      <c r="CB508" s="426"/>
      <c r="CC508" s="427"/>
      <c r="CD508" s="427"/>
      <c r="CE508" s="428"/>
      <c r="CF508" s="412"/>
      <c r="CG508" s="413"/>
      <c r="CH508" s="413"/>
      <c r="CI508" s="413"/>
      <c r="CJ508" s="414"/>
      <c r="CK508" s="412"/>
      <c r="CL508" s="413"/>
      <c r="CM508" s="413"/>
      <c r="CN508" s="413"/>
      <c r="CO508" s="414"/>
      <c r="CP508" s="412"/>
      <c r="CQ508" s="413"/>
      <c r="CR508" s="413"/>
      <c r="CS508" s="413"/>
      <c r="CT508" s="414"/>
      <c r="CU508" s="415"/>
      <c r="CV508" s="416"/>
      <c r="CW508" s="416"/>
      <c r="CX508" s="416"/>
      <c r="CY508" s="417"/>
    </row>
    <row r="509" spans="1:103" ht="16.5">
      <c r="A509" s="434">
        <v>84</v>
      </c>
      <c r="B509" s="36"/>
      <c r="C509" s="198" t="str">
        <f t="shared" ca="1" si="9"/>
        <v/>
      </c>
      <c r="D509" s="477"/>
      <c r="E509" s="478"/>
      <c r="F509" s="478"/>
      <c r="G509" s="478"/>
      <c r="H509" s="478"/>
      <c r="I509" s="478"/>
      <c r="J509" s="478"/>
      <c r="K509" s="438" t="s">
        <v>434</v>
      </c>
      <c r="L509" s="439"/>
      <c r="M509" s="439"/>
      <c r="N509" s="439"/>
      <c r="O509" s="439"/>
      <c r="P509" s="439"/>
      <c r="Q509" s="439"/>
      <c r="R509" s="442" t="s">
        <v>186</v>
      </c>
      <c r="S509" s="443"/>
      <c r="T509" s="442"/>
      <c r="U509" s="443"/>
      <c r="V509" s="438"/>
      <c r="W509" s="439"/>
      <c r="X509" s="439"/>
      <c r="Y509" s="439"/>
      <c r="Z509" s="439"/>
      <c r="AA509" s="439"/>
      <c r="AB509" s="439"/>
      <c r="AC509" s="439"/>
      <c r="AD509" s="438"/>
      <c r="AE509" s="439"/>
      <c r="AF509" s="439"/>
      <c r="AG509" s="439"/>
      <c r="AH509" s="439"/>
      <c r="AI509" s="439"/>
      <c r="AJ509" s="439"/>
      <c r="AK509" s="449"/>
      <c r="AL509" s="438"/>
      <c r="AM509" s="439"/>
      <c r="AN509" s="439"/>
      <c r="AO509" s="439"/>
      <c r="AP509" s="439"/>
      <c r="AQ509" s="439"/>
      <c r="AR509" s="449"/>
      <c r="AS509" s="500"/>
      <c r="AT509" s="483"/>
      <c r="AU509" s="483"/>
      <c r="AV509" s="483"/>
      <c r="AW509" s="483"/>
      <c r="AX509" s="483"/>
      <c r="AY509" s="484"/>
      <c r="AZ509" s="460"/>
      <c r="BA509" s="461"/>
      <c r="BB509" s="60">
        <v>1</v>
      </c>
      <c r="BC509" s="466"/>
      <c r="BD509" s="467"/>
      <c r="BE509" s="467"/>
      <c r="BF509" s="468"/>
      <c r="BG509" s="469"/>
      <c r="BH509" s="470"/>
      <c r="BI509" s="194"/>
      <c r="BJ509" s="471"/>
      <c r="BK509" s="472"/>
      <c r="BL509" s="472"/>
      <c r="BM509" s="472"/>
      <c r="BN509" s="472"/>
      <c r="BO509" s="473"/>
      <c r="BP509" s="471"/>
      <c r="BQ509" s="472"/>
      <c r="BR509" s="472"/>
      <c r="BS509" s="472"/>
      <c r="BT509" s="472"/>
      <c r="BU509" s="473"/>
      <c r="BV509" s="471"/>
      <c r="BW509" s="472"/>
      <c r="BX509" s="472"/>
      <c r="BY509" s="472"/>
      <c r="BZ509" s="472"/>
      <c r="CA509" s="473"/>
      <c r="CB509" s="466"/>
      <c r="CC509" s="467"/>
      <c r="CD509" s="467"/>
      <c r="CE509" s="468"/>
      <c r="CF509" s="409"/>
      <c r="CG509" s="410"/>
      <c r="CH509" s="410"/>
      <c r="CI509" s="410"/>
      <c r="CJ509" s="411"/>
      <c r="CK509" s="409"/>
      <c r="CL509" s="410"/>
      <c r="CM509" s="410"/>
      <c r="CN509" s="410"/>
      <c r="CO509" s="411"/>
      <c r="CP509" s="409"/>
      <c r="CQ509" s="410"/>
      <c r="CR509" s="410"/>
      <c r="CS509" s="410"/>
      <c r="CT509" s="411"/>
      <c r="CU509" s="415"/>
      <c r="CV509" s="416"/>
      <c r="CW509" s="416"/>
      <c r="CX509" s="416"/>
      <c r="CY509" s="417"/>
    </row>
    <row r="510" spans="1:103" ht="16.5">
      <c r="A510" s="435"/>
      <c r="B510" s="36"/>
      <c r="C510" s="199" t="str">
        <f t="shared" ca="1" si="9"/>
        <v/>
      </c>
      <c r="D510" s="479"/>
      <c r="E510" s="480"/>
      <c r="F510" s="480"/>
      <c r="G510" s="480"/>
      <c r="H510" s="480"/>
      <c r="I510" s="480"/>
      <c r="J510" s="480"/>
      <c r="K510" s="440"/>
      <c r="L510" s="441"/>
      <c r="M510" s="441"/>
      <c r="N510" s="441"/>
      <c r="O510" s="441"/>
      <c r="P510" s="441"/>
      <c r="Q510" s="441"/>
      <c r="R510" s="444"/>
      <c r="S510" s="445"/>
      <c r="T510" s="444"/>
      <c r="U510" s="445"/>
      <c r="V510" s="440"/>
      <c r="W510" s="441"/>
      <c r="X510" s="441"/>
      <c r="Y510" s="441"/>
      <c r="Z510" s="441"/>
      <c r="AA510" s="441"/>
      <c r="AB510" s="441"/>
      <c r="AC510" s="441"/>
      <c r="AD510" s="440"/>
      <c r="AE510" s="441"/>
      <c r="AF510" s="441"/>
      <c r="AG510" s="441"/>
      <c r="AH510" s="441"/>
      <c r="AI510" s="441"/>
      <c r="AJ510" s="441"/>
      <c r="AK510" s="450"/>
      <c r="AL510" s="440"/>
      <c r="AM510" s="441"/>
      <c r="AN510" s="441"/>
      <c r="AO510" s="441"/>
      <c r="AP510" s="441"/>
      <c r="AQ510" s="441"/>
      <c r="AR510" s="450"/>
      <c r="AS510" s="485"/>
      <c r="AT510" s="486"/>
      <c r="AU510" s="486"/>
      <c r="AV510" s="486"/>
      <c r="AW510" s="486"/>
      <c r="AX510" s="486"/>
      <c r="AY510" s="487"/>
      <c r="AZ510" s="462"/>
      <c r="BA510" s="463"/>
      <c r="BB510" s="61">
        <v>2</v>
      </c>
      <c r="BC510" s="418"/>
      <c r="BD510" s="419"/>
      <c r="BE510" s="419"/>
      <c r="BF510" s="420"/>
      <c r="BG510" s="421"/>
      <c r="BH510" s="422"/>
      <c r="BI510" s="195"/>
      <c r="BJ510" s="423"/>
      <c r="BK510" s="424"/>
      <c r="BL510" s="424"/>
      <c r="BM510" s="424"/>
      <c r="BN510" s="424"/>
      <c r="BO510" s="425"/>
      <c r="BP510" s="423"/>
      <c r="BQ510" s="424"/>
      <c r="BR510" s="424"/>
      <c r="BS510" s="424"/>
      <c r="BT510" s="424"/>
      <c r="BU510" s="425"/>
      <c r="BV510" s="423"/>
      <c r="BW510" s="424"/>
      <c r="BX510" s="424"/>
      <c r="BY510" s="424"/>
      <c r="BZ510" s="424"/>
      <c r="CA510" s="425"/>
      <c r="CB510" s="418"/>
      <c r="CC510" s="419"/>
      <c r="CD510" s="419"/>
      <c r="CE510" s="420"/>
      <c r="CF510" s="412"/>
      <c r="CG510" s="413"/>
      <c r="CH510" s="413"/>
      <c r="CI510" s="413"/>
      <c r="CJ510" s="414"/>
      <c r="CK510" s="412"/>
      <c r="CL510" s="413"/>
      <c r="CM510" s="413"/>
      <c r="CN510" s="413"/>
      <c r="CO510" s="414"/>
      <c r="CP510" s="412"/>
      <c r="CQ510" s="413"/>
      <c r="CR510" s="413"/>
      <c r="CS510" s="413"/>
      <c r="CT510" s="414"/>
      <c r="CU510" s="415"/>
      <c r="CV510" s="416"/>
      <c r="CW510" s="416"/>
      <c r="CX510" s="416"/>
      <c r="CY510" s="417"/>
    </row>
    <row r="511" spans="1:103" ht="16.5">
      <c r="A511" s="435"/>
      <c r="B511" s="36"/>
      <c r="C511" s="199" t="str">
        <f t="shared" ca="1" si="9"/>
        <v/>
      </c>
      <c r="D511" s="479"/>
      <c r="E511" s="480"/>
      <c r="F511" s="480"/>
      <c r="G511" s="480"/>
      <c r="H511" s="480"/>
      <c r="I511" s="480"/>
      <c r="J511" s="480"/>
      <c r="K511" s="440"/>
      <c r="L511" s="441"/>
      <c r="M511" s="441"/>
      <c r="N511" s="441"/>
      <c r="O511" s="441"/>
      <c r="P511" s="441"/>
      <c r="Q511" s="441"/>
      <c r="R511" s="444"/>
      <c r="S511" s="445"/>
      <c r="T511" s="444"/>
      <c r="U511" s="445"/>
      <c r="V511" s="440"/>
      <c r="W511" s="441"/>
      <c r="X511" s="441"/>
      <c r="Y511" s="441"/>
      <c r="Z511" s="441"/>
      <c r="AA511" s="441"/>
      <c r="AB511" s="441"/>
      <c r="AC511" s="441"/>
      <c r="AD511" s="440"/>
      <c r="AE511" s="441"/>
      <c r="AF511" s="441"/>
      <c r="AG511" s="441"/>
      <c r="AH511" s="441"/>
      <c r="AI511" s="441"/>
      <c r="AJ511" s="441"/>
      <c r="AK511" s="450"/>
      <c r="AL511" s="440"/>
      <c r="AM511" s="441"/>
      <c r="AN511" s="441"/>
      <c r="AO511" s="441"/>
      <c r="AP511" s="441"/>
      <c r="AQ511" s="441"/>
      <c r="AR511" s="450"/>
      <c r="AS511" s="485"/>
      <c r="AT511" s="486"/>
      <c r="AU511" s="486"/>
      <c r="AV511" s="486"/>
      <c r="AW511" s="486"/>
      <c r="AX511" s="486"/>
      <c r="AY511" s="487"/>
      <c r="AZ511" s="462"/>
      <c r="BA511" s="463"/>
      <c r="BB511" s="61">
        <v>3</v>
      </c>
      <c r="BC511" s="418"/>
      <c r="BD511" s="419"/>
      <c r="BE511" s="419"/>
      <c r="BF511" s="420"/>
      <c r="BG511" s="421"/>
      <c r="BH511" s="422"/>
      <c r="BI511" s="195"/>
      <c r="BJ511" s="423"/>
      <c r="BK511" s="424"/>
      <c r="BL511" s="424"/>
      <c r="BM511" s="424"/>
      <c r="BN511" s="424"/>
      <c r="BO511" s="425"/>
      <c r="BP511" s="423"/>
      <c r="BQ511" s="424"/>
      <c r="BR511" s="424"/>
      <c r="BS511" s="424"/>
      <c r="BT511" s="424"/>
      <c r="BU511" s="425"/>
      <c r="BV511" s="423"/>
      <c r="BW511" s="424"/>
      <c r="BX511" s="424"/>
      <c r="BY511" s="424"/>
      <c r="BZ511" s="424"/>
      <c r="CA511" s="425"/>
      <c r="CB511" s="418"/>
      <c r="CC511" s="419"/>
      <c r="CD511" s="419"/>
      <c r="CE511" s="420"/>
      <c r="CF511" s="412"/>
      <c r="CG511" s="413"/>
      <c r="CH511" s="413"/>
      <c r="CI511" s="413"/>
      <c r="CJ511" s="414"/>
      <c r="CK511" s="412"/>
      <c r="CL511" s="413"/>
      <c r="CM511" s="413"/>
      <c r="CN511" s="413"/>
      <c r="CO511" s="414"/>
      <c r="CP511" s="412"/>
      <c r="CQ511" s="413"/>
      <c r="CR511" s="413"/>
      <c r="CS511" s="413"/>
      <c r="CT511" s="414"/>
      <c r="CU511" s="415"/>
      <c r="CV511" s="416"/>
      <c r="CW511" s="416"/>
      <c r="CX511" s="416"/>
      <c r="CY511" s="417"/>
    </row>
    <row r="512" spans="1:103" ht="16.5">
      <c r="A512" s="435"/>
      <c r="B512" s="36"/>
      <c r="C512" s="199" t="str">
        <f t="shared" ca="1" si="9"/>
        <v/>
      </c>
      <c r="D512" s="479"/>
      <c r="E512" s="480"/>
      <c r="F512" s="480"/>
      <c r="G512" s="480"/>
      <c r="H512" s="480"/>
      <c r="I512" s="480"/>
      <c r="J512" s="480"/>
      <c r="K512" s="440"/>
      <c r="L512" s="441"/>
      <c r="M512" s="441"/>
      <c r="N512" s="441"/>
      <c r="O512" s="441"/>
      <c r="P512" s="441"/>
      <c r="Q512" s="441"/>
      <c r="R512" s="444"/>
      <c r="S512" s="445"/>
      <c r="T512" s="444"/>
      <c r="U512" s="445"/>
      <c r="V512" s="440"/>
      <c r="W512" s="441"/>
      <c r="X512" s="441"/>
      <c r="Y512" s="441"/>
      <c r="Z512" s="441"/>
      <c r="AA512" s="441"/>
      <c r="AB512" s="441"/>
      <c r="AC512" s="441"/>
      <c r="AD512" s="440"/>
      <c r="AE512" s="441"/>
      <c r="AF512" s="441"/>
      <c r="AG512" s="441"/>
      <c r="AH512" s="441"/>
      <c r="AI512" s="441"/>
      <c r="AJ512" s="441"/>
      <c r="AK512" s="450"/>
      <c r="AL512" s="440"/>
      <c r="AM512" s="441"/>
      <c r="AN512" s="441"/>
      <c r="AO512" s="441"/>
      <c r="AP512" s="441"/>
      <c r="AQ512" s="441"/>
      <c r="AR512" s="450"/>
      <c r="AS512" s="485"/>
      <c r="AT512" s="486"/>
      <c r="AU512" s="486"/>
      <c r="AV512" s="486"/>
      <c r="AW512" s="486"/>
      <c r="AX512" s="486"/>
      <c r="AY512" s="487"/>
      <c r="AZ512" s="462"/>
      <c r="BA512" s="463"/>
      <c r="BB512" s="61">
        <v>4</v>
      </c>
      <c r="BC512" s="418"/>
      <c r="BD512" s="419"/>
      <c r="BE512" s="419"/>
      <c r="BF512" s="420"/>
      <c r="BG512" s="421"/>
      <c r="BH512" s="422"/>
      <c r="BI512" s="195"/>
      <c r="BJ512" s="423"/>
      <c r="BK512" s="424"/>
      <c r="BL512" s="424"/>
      <c r="BM512" s="424"/>
      <c r="BN512" s="424"/>
      <c r="BO512" s="425"/>
      <c r="BP512" s="423"/>
      <c r="BQ512" s="424"/>
      <c r="BR512" s="424"/>
      <c r="BS512" s="424"/>
      <c r="BT512" s="424"/>
      <c r="BU512" s="425"/>
      <c r="BV512" s="423"/>
      <c r="BW512" s="424"/>
      <c r="BX512" s="424"/>
      <c r="BY512" s="424"/>
      <c r="BZ512" s="424"/>
      <c r="CA512" s="425"/>
      <c r="CB512" s="418"/>
      <c r="CC512" s="419"/>
      <c r="CD512" s="419"/>
      <c r="CE512" s="420"/>
      <c r="CF512" s="412"/>
      <c r="CG512" s="413"/>
      <c r="CH512" s="413"/>
      <c r="CI512" s="413"/>
      <c r="CJ512" s="414"/>
      <c r="CK512" s="412"/>
      <c r="CL512" s="413"/>
      <c r="CM512" s="413"/>
      <c r="CN512" s="413"/>
      <c r="CO512" s="414"/>
      <c r="CP512" s="412"/>
      <c r="CQ512" s="413"/>
      <c r="CR512" s="413"/>
      <c r="CS512" s="413"/>
      <c r="CT512" s="414"/>
      <c r="CU512" s="415"/>
      <c r="CV512" s="416"/>
      <c r="CW512" s="416"/>
      <c r="CX512" s="416"/>
      <c r="CY512" s="417"/>
    </row>
    <row r="513" spans="1:103" ht="16.5">
      <c r="A513" s="435"/>
      <c r="B513" s="36"/>
      <c r="C513" s="199" t="str">
        <f t="shared" ca="1" si="9"/>
        <v/>
      </c>
      <c r="D513" s="479"/>
      <c r="E513" s="480"/>
      <c r="F513" s="480"/>
      <c r="G513" s="480"/>
      <c r="H513" s="480"/>
      <c r="I513" s="480"/>
      <c r="J513" s="480"/>
      <c r="K513" s="440"/>
      <c r="L513" s="441"/>
      <c r="M513" s="441"/>
      <c r="N513" s="441"/>
      <c r="O513" s="441"/>
      <c r="P513" s="441"/>
      <c r="Q513" s="441"/>
      <c r="R513" s="444"/>
      <c r="S513" s="445"/>
      <c r="T513" s="444"/>
      <c r="U513" s="445"/>
      <c r="V513" s="440"/>
      <c r="W513" s="441"/>
      <c r="X513" s="441"/>
      <c r="Y513" s="441"/>
      <c r="Z513" s="441"/>
      <c r="AA513" s="441"/>
      <c r="AB513" s="441"/>
      <c r="AC513" s="441"/>
      <c r="AD513" s="440"/>
      <c r="AE513" s="441"/>
      <c r="AF513" s="441"/>
      <c r="AG513" s="441"/>
      <c r="AH513" s="441"/>
      <c r="AI513" s="441"/>
      <c r="AJ513" s="441"/>
      <c r="AK513" s="450"/>
      <c r="AL513" s="440"/>
      <c r="AM513" s="441"/>
      <c r="AN513" s="441"/>
      <c r="AO513" s="441"/>
      <c r="AP513" s="441"/>
      <c r="AQ513" s="441"/>
      <c r="AR513" s="450"/>
      <c r="AS513" s="485"/>
      <c r="AT513" s="486"/>
      <c r="AU513" s="486"/>
      <c r="AV513" s="486"/>
      <c r="AW513" s="486"/>
      <c r="AX513" s="486"/>
      <c r="AY513" s="487"/>
      <c r="AZ513" s="462"/>
      <c r="BA513" s="463"/>
      <c r="BB513" s="61">
        <v>5</v>
      </c>
      <c r="BC513" s="418"/>
      <c r="BD513" s="419"/>
      <c r="BE513" s="419"/>
      <c r="BF513" s="420"/>
      <c r="BG513" s="421"/>
      <c r="BH513" s="422"/>
      <c r="BI513" s="195"/>
      <c r="BJ513" s="423"/>
      <c r="BK513" s="424"/>
      <c r="BL513" s="424"/>
      <c r="BM513" s="424"/>
      <c r="BN513" s="424"/>
      <c r="BO513" s="425"/>
      <c r="BP513" s="423"/>
      <c r="BQ513" s="424"/>
      <c r="BR513" s="424"/>
      <c r="BS513" s="424"/>
      <c r="BT513" s="424"/>
      <c r="BU513" s="425"/>
      <c r="BV513" s="423"/>
      <c r="BW513" s="424"/>
      <c r="BX513" s="424"/>
      <c r="BY513" s="424"/>
      <c r="BZ513" s="424"/>
      <c r="CA513" s="425"/>
      <c r="CB513" s="418"/>
      <c r="CC513" s="419"/>
      <c r="CD513" s="419"/>
      <c r="CE513" s="420"/>
      <c r="CF513" s="412"/>
      <c r="CG513" s="413"/>
      <c r="CH513" s="413"/>
      <c r="CI513" s="413"/>
      <c r="CJ513" s="414"/>
      <c r="CK513" s="412"/>
      <c r="CL513" s="413"/>
      <c r="CM513" s="413"/>
      <c r="CN513" s="413"/>
      <c r="CO513" s="414"/>
      <c r="CP513" s="412"/>
      <c r="CQ513" s="413"/>
      <c r="CR513" s="413"/>
      <c r="CS513" s="413"/>
      <c r="CT513" s="414"/>
      <c r="CU513" s="415"/>
      <c r="CV513" s="416"/>
      <c r="CW513" s="416"/>
      <c r="CX513" s="416"/>
      <c r="CY513" s="417"/>
    </row>
    <row r="514" spans="1:103" ht="16.5">
      <c r="A514" s="436"/>
      <c r="B514" s="37"/>
      <c r="C514" s="200" t="str">
        <f t="shared" ca="1" si="9"/>
        <v/>
      </c>
      <c r="D514" s="481"/>
      <c r="E514" s="482"/>
      <c r="F514" s="482"/>
      <c r="G514" s="482"/>
      <c r="H514" s="482"/>
      <c r="I514" s="482"/>
      <c r="J514" s="482"/>
      <c r="K514" s="409"/>
      <c r="L514" s="410"/>
      <c r="M514" s="410"/>
      <c r="N514" s="410"/>
      <c r="O514" s="410"/>
      <c r="P514" s="410"/>
      <c r="Q514" s="410"/>
      <c r="R514" s="446"/>
      <c r="S514" s="447"/>
      <c r="T514" s="446"/>
      <c r="U514" s="447"/>
      <c r="V514" s="409"/>
      <c r="W514" s="410"/>
      <c r="X514" s="410"/>
      <c r="Y514" s="410"/>
      <c r="Z514" s="410"/>
      <c r="AA514" s="410"/>
      <c r="AB514" s="410"/>
      <c r="AC514" s="410"/>
      <c r="AD514" s="409"/>
      <c r="AE514" s="410"/>
      <c r="AF514" s="410"/>
      <c r="AG514" s="410"/>
      <c r="AH514" s="410"/>
      <c r="AI514" s="410"/>
      <c r="AJ514" s="410"/>
      <c r="AK514" s="411"/>
      <c r="AL514" s="409"/>
      <c r="AM514" s="410"/>
      <c r="AN514" s="410"/>
      <c r="AO514" s="410"/>
      <c r="AP514" s="410"/>
      <c r="AQ514" s="410"/>
      <c r="AR514" s="411"/>
      <c r="AS514" s="488"/>
      <c r="AT514" s="489"/>
      <c r="AU514" s="489"/>
      <c r="AV514" s="489"/>
      <c r="AW514" s="489"/>
      <c r="AX514" s="489"/>
      <c r="AY514" s="490"/>
      <c r="AZ514" s="464"/>
      <c r="BA514" s="465"/>
      <c r="BB514" s="62">
        <v>6</v>
      </c>
      <c r="BC514" s="426"/>
      <c r="BD514" s="427"/>
      <c r="BE514" s="427"/>
      <c r="BF514" s="428"/>
      <c r="BG514" s="429"/>
      <c r="BH514" s="430"/>
      <c r="BI514" s="196"/>
      <c r="BJ514" s="474"/>
      <c r="BK514" s="475"/>
      <c r="BL514" s="475"/>
      <c r="BM514" s="475"/>
      <c r="BN514" s="475"/>
      <c r="BO514" s="476"/>
      <c r="BP514" s="474"/>
      <c r="BQ514" s="475"/>
      <c r="BR514" s="475"/>
      <c r="BS514" s="475"/>
      <c r="BT514" s="475"/>
      <c r="BU514" s="476"/>
      <c r="BV514" s="474"/>
      <c r="BW514" s="475"/>
      <c r="BX514" s="475"/>
      <c r="BY514" s="475"/>
      <c r="BZ514" s="475"/>
      <c r="CA514" s="476"/>
      <c r="CB514" s="426"/>
      <c r="CC514" s="427"/>
      <c r="CD514" s="427"/>
      <c r="CE514" s="428"/>
      <c r="CF514" s="412"/>
      <c r="CG514" s="413"/>
      <c r="CH514" s="413"/>
      <c r="CI514" s="413"/>
      <c r="CJ514" s="414"/>
      <c r="CK514" s="412"/>
      <c r="CL514" s="413"/>
      <c r="CM514" s="413"/>
      <c r="CN514" s="413"/>
      <c r="CO514" s="414"/>
      <c r="CP514" s="412"/>
      <c r="CQ514" s="413"/>
      <c r="CR514" s="413"/>
      <c r="CS514" s="413"/>
      <c r="CT514" s="414"/>
      <c r="CU514" s="415"/>
      <c r="CV514" s="416"/>
      <c r="CW514" s="416"/>
      <c r="CX514" s="416"/>
      <c r="CY514" s="417"/>
    </row>
    <row r="515" spans="1:103" ht="16.5">
      <c r="A515" s="434">
        <v>85</v>
      </c>
      <c r="B515" s="36"/>
      <c r="C515" s="198" t="str">
        <f t="shared" ca="1" si="9"/>
        <v/>
      </c>
      <c r="D515" s="477"/>
      <c r="E515" s="478"/>
      <c r="F515" s="478"/>
      <c r="G515" s="478"/>
      <c r="H515" s="478"/>
      <c r="I515" s="478"/>
      <c r="J515" s="478"/>
      <c r="K515" s="438" t="s">
        <v>435</v>
      </c>
      <c r="L515" s="439"/>
      <c r="M515" s="439"/>
      <c r="N515" s="439"/>
      <c r="O515" s="439"/>
      <c r="P515" s="439"/>
      <c r="Q515" s="439"/>
      <c r="R515" s="442" t="s">
        <v>186</v>
      </c>
      <c r="S515" s="443"/>
      <c r="T515" s="442"/>
      <c r="U515" s="443"/>
      <c r="V515" s="438"/>
      <c r="W515" s="439"/>
      <c r="X515" s="439"/>
      <c r="Y515" s="439"/>
      <c r="Z515" s="439"/>
      <c r="AA515" s="439"/>
      <c r="AB515" s="439"/>
      <c r="AC515" s="439"/>
      <c r="AD515" s="438"/>
      <c r="AE515" s="439"/>
      <c r="AF515" s="439"/>
      <c r="AG515" s="439"/>
      <c r="AH515" s="439"/>
      <c r="AI515" s="439"/>
      <c r="AJ515" s="439"/>
      <c r="AK515" s="449"/>
      <c r="AL515" s="438"/>
      <c r="AM515" s="439"/>
      <c r="AN515" s="439"/>
      <c r="AO515" s="439"/>
      <c r="AP515" s="439"/>
      <c r="AQ515" s="439"/>
      <c r="AR515" s="449"/>
      <c r="AS515" s="500"/>
      <c r="AT515" s="483"/>
      <c r="AU515" s="483"/>
      <c r="AV515" s="483"/>
      <c r="AW515" s="483"/>
      <c r="AX515" s="483"/>
      <c r="AY515" s="484"/>
      <c r="AZ515" s="460"/>
      <c r="BA515" s="461"/>
      <c r="BB515" s="60">
        <v>1</v>
      </c>
      <c r="BC515" s="466"/>
      <c r="BD515" s="467"/>
      <c r="BE515" s="467"/>
      <c r="BF515" s="468"/>
      <c r="BG515" s="469"/>
      <c r="BH515" s="470"/>
      <c r="BI515" s="194"/>
      <c r="BJ515" s="471"/>
      <c r="BK515" s="472"/>
      <c r="BL515" s="472"/>
      <c r="BM515" s="472"/>
      <c r="BN515" s="472"/>
      <c r="BO515" s="473"/>
      <c r="BP515" s="471"/>
      <c r="BQ515" s="472"/>
      <c r="BR515" s="472"/>
      <c r="BS515" s="472"/>
      <c r="BT515" s="472"/>
      <c r="BU515" s="473"/>
      <c r="BV515" s="471"/>
      <c r="BW515" s="472"/>
      <c r="BX515" s="472"/>
      <c r="BY515" s="472"/>
      <c r="BZ515" s="472"/>
      <c r="CA515" s="473"/>
      <c r="CB515" s="466"/>
      <c r="CC515" s="467"/>
      <c r="CD515" s="467"/>
      <c r="CE515" s="468"/>
      <c r="CF515" s="409"/>
      <c r="CG515" s="410"/>
      <c r="CH515" s="410"/>
      <c r="CI515" s="410"/>
      <c r="CJ515" s="411"/>
      <c r="CK515" s="409"/>
      <c r="CL515" s="410"/>
      <c r="CM515" s="410"/>
      <c r="CN515" s="410"/>
      <c r="CO515" s="411"/>
      <c r="CP515" s="409"/>
      <c r="CQ515" s="410"/>
      <c r="CR515" s="410"/>
      <c r="CS515" s="410"/>
      <c r="CT515" s="411"/>
      <c r="CU515" s="415"/>
      <c r="CV515" s="416"/>
      <c r="CW515" s="416"/>
      <c r="CX515" s="416"/>
      <c r="CY515" s="417"/>
    </row>
    <row r="516" spans="1:103" ht="16.5">
      <c r="A516" s="435"/>
      <c r="B516" s="36"/>
      <c r="C516" s="199" t="str">
        <f t="shared" ca="1" si="9"/>
        <v/>
      </c>
      <c r="D516" s="479"/>
      <c r="E516" s="480"/>
      <c r="F516" s="480"/>
      <c r="G516" s="480"/>
      <c r="H516" s="480"/>
      <c r="I516" s="480"/>
      <c r="J516" s="480"/>
      <c r="K516" s="440"/>
      <c r="L516" s="441"/>
      <c r="M516" s="441"/>
      <c r="N516" s="441"/>
      <c r="O516" s="441"/>
      <c r="P516" s="441"/>
      <c r="Q516" s="441"/>
      <c r="R516" s="444"/>
      <c r="S516" s="445"/>
      <c r="T516" s="444"/>
      <c r="U516" s="445"/>
      <c r="V516" s="440"/>
      <c r="W516" s="441"/>
      <c r="X516" s="441"/>
      <c r="Y516" s="441"/>
      <c r="Z516" s="441"/>
      <c r="AA516" s="441"/>
      <c r="AB516" s="441"/>
      <c r="AC516" s="441"/>
      <c r="AD516" s="440"/>
      <c r="AE516" s="441"/>
      <c r="AF516" s="441"/>
      <c r="AG516" s="441"/>
      <c r="AH516" s="441"/>
      <c r="AI516" s="441"/>
      <c r="AJ516" s="441"/>
      <c r="AK516" s="450"/>
      <c r="AL516" s="440"/>
      <c r="AM516" s="441"/>
      <c r="AN516" s="441"/>
      <c r="AO516" s="441"/>
      <c r="AP516" s="441"/>
      <c r="AQ516" s="441"/>
      <c r="AR516" s="450"/>
      <c r="AS516" s="485"/>
      <c r="AT516" s="486"/>
      <c r="AU516" s="486"/>
      <c r="AV516" s="486"/>
      <c r="AW516" s="486"/>
      <c r="AX516" s="486"/>
      <c r="AY516" s="487"/>
      <c r="AZ516" s="462"/>
      <c r="BA516" s="463"/>
      <c r="BB516" s="61">
        <v>2</v>
      </c>
      <c r="BC516" s="418"/>
      <c r="BD516" s="419"/>
      <c r="BE516" s="419"/>
      <c r="BF516" s="420"/>
      <c r="BG516" s="421"/>
      <c r="BH516" s="422"/>
      <c r="BI516" s="195"/>
      <c r="BJ516" s="423"/>
      <c r="BK516" s="424"/>
      <c r="BL516" s="424"/>
      <c r="BM516" s="424"/>
      <c r="BN516" s="424"/>
      <c r="BO516" s="425"/>
      <c r="BP516" s="423"/>
      <c r="BQ516" s="424"/>
      <c r="BR516" s="424"/>
      <c r="BS516" s="424"/>
      <c r="BT516" s="424"/>
      <c r="BU516" s="425"/>
      <c r="BV516" s="423"/>
      <c r="BW516" s="424"/>
      <c r="BX516" s="424"/>
      <c r="BY516" s="424"/>
      <c r="BZ516" s="424"/>
      <c r="CA516" s="425"/>
      <c r="CB516" s="418"/>
      <c r="CC516" s="419"/>
      <c r="CD516" s="419"/>
      <c r="CE516" s="420"/>
      <c r="CF516" s="412"/>
      <c r="CG516" s="413"/>
      <c r="CH516" s="413"/>
      <c r="CI516" s="413"/>
      <c r="CJ516" s="414"/>
      <c r="CK516" s="412"/>
      <c r="CL516" s="413"/>
      <c r="CM516" s="413"/>
      <c r="CN516" s="413"/>
      <c r="CO516" s="414"/>
      <c r="CP516" s="412"/>
      <c r="CQ516" s="413"/>
      <c r="CR516" s="413"/>
      <c r="CS516" s="413"/>
      <c r="CT516" s="414"/>
      <c r="CU516" s="415"/>
      <c r="CV516" s="416"/>
      <c r="CW516" s="416"/>
      <c r="CX516" s="416"/>
      <c r="CY516" s="417"/>
    </row>
    <row r="517" spans="1:103" ht="16.5">
      <c r="A517" s="435"/>
      <c r="B517" s="36"/>
      <c r="C517" s="199" t="str">
        <f t="shared" ca="1" si="9"/>
        <v/>
      </c>
      <c r="D517" s="479"/>
      <c r="E517" s="480"/>
      <c r="F517" s="480"/>
      <c r="G517" s="480"/>
      <c r="H517" s="480"/>
      <c r="I517" s="480"/>
      <c r="J517" s="480"/>
      <c r="K517" s="440"/>
      <c r="L517" s="441"/>
      <c r="M517" s="441"/>
      <c r="N517" s="441"/>
      <c r="O517" s="441"/>
      <c r="P517" s="441"/>
      <c r="Q517" s="441"/>
      <c r="R517" s="444"/>
      <c r="S517" s="445"/>
      <c r="T517" s="444"/>
      <c r="U517" s="445"/>
      <c r="V517" s="440"/>
      <c r="W517" s="441"/>
      <c r="X517" s="441"/>
      <c r="Y517" s="441"/>
      <c r="Z517" s="441"/>
      <c r="AA517" s="441"/>
      <c r="AB517" s="441"/>
      <c r="AC517" s="441"/>
      <c r="AD517" s="440"/>
      <c r="AE517" s="441"/>
      <c r="AF517" s="441"/>
      <c r="AG517" s="441"/>
      <c r="AH517" s="441"/>
      <c r="AI517" s="441"/>
      <c r="AJ517" s="441"/>
      <c r="AK517" s="450"/>
      <c r="AL517" s="440"/>
      <c r="AM517" s="441"/>
      <c r="AN517" s="441"/>
      <c r="AO517" s="441"/>
      <c r="AP517" s="441"/>
      <c r="AQ517" s="441"/>
      <c r="AR517" s="450"/>
      <c r="AS517" s="485"/>
      <c r="AT517" s="486"/>
      <c r="AU517" s="486"/>
      <c r="AV517" s="486"/>
      <c r="AW517" s="486"/>
      <c r="AX517" s="486"/>
      <c r="AY517" s="487"/>
      <c r="AZ517" s="462"/>
      <c r="BA517" s="463"/>
      <c r="BB517" s="61">
        <v>3</v>
      </c>
      <c r="BC517" s="418"/>
      <c r="BD517" s="419"/>
      <c r="BE517" s="419"/>
      <c r="BF517" s="420"/>
      <c r="BG517" s="421"/>
      <c r="BH517" s="422"/>
      <c r="BI517" s="195"/>
      <c r="BJ517" s="423"/>
      <c r="BK517" s="424"/>
      <c r="BL517" s="424"/>
      <c r="BM517" s="424"/>
      <c r="BN517" s="424"/>
      <c r="BO517" s="425"/>
      <c r="BP517" s="423"/>
      <c r="BQ517" s="424"/>
      <c r="BR517" s="424"/>
      <c r="BS517" s="424"/>
      <c r="BT517" s="424"/>
      <c r="BU517" s="425"/>
      <c r="BV517" s="423"/>
      <c r="BW517" s="424"/>
      <c r="BX517" s="424"/>
      <c r="BY517" s="424"/>
      <c r="BZ517" s="424"/>
      <c r="CA517" s="425"/>
      <c r="CB517" s="418"/>
      <c r="CC517" s="419"/>
      <c r="CD517" s="419"/>
      <c r="CE517" s="420"/>
      <c r="CF517" s="412"/>
      <c r="CG517" s="413"/>
      <c r="CH517" s="413"/>
      <c r="CI517" s="413"/>
      <c r="CJ517" s="414"/>
      <c r="CK517" s="412"/>
      <c r="CL517" s="413"/>
      <c r="CM517" s="413"/>
      <c r="CN517" s="413"/>
      <c r="CO517" s="414"/>
      <c r="CP517" s="412"/>
      <c r="CQ517" s="413"/>
      <c r="CR517" s="413"/>
      <c r="CS517" s="413"/>
      <c r="CT517" s="414"/>
      <c r="CU517" s="415"/>
      <c r="CV517" s="416"/>
      <c r="CW517" s="416"/>
      <c r="CX517" s="416"/>
      <c r="CY517" s="417"/>
    </row>
    <row r="518" spans="1:103" ht="16.5">
      <c r="A518" s="435"/>
      <c r="B518" s="36"/>
      <c r="C518" s="199" t="str">
        <f t="shared" ca="1" si="9"/>
        <v/>
      </c>
      <c r="D518" s="479"/>
      <c r="E518" s="480"/>
      <c r="F518" s="480"/>
      <c r="G518" s="480"/>
      <c r="H518" s="480"/>
      <c r="I518" s="480"/>
      <c r="J518" s="480"/>
      <c r="K518" s="440"/>
      <c r="L518" s="441"/>
      <c r="M518" s="441"/>
      <c r="N518" s="441"/>
      <c r="O518" s="441"/>
      <c r="P518" s="441"/>
      <c r="Q518" s="441"/>
      <c r="R518" s="444"/>
      <c r="S518" s="445"/>
      <c r="T518" s="444"/>
      <c r="U518" s="445"/>
      <c r="V518" s="440"/>
      <c r="W518" s="441"/>
      <c r="X518" s="441"/>
      <c r="Y518" s="441"/>
      <c r="Z518" s="441"/>
      <c r="AA518" s="441"/>
      <c r="AB518" s="441"/>
      <c r="AC518" s="441"/>
      <c r="AD518" s="440"/>
      <c r="AE518" s="441"/>
      <c r="AF518" s="441"/>
      <c r="AG518" s="441"/>
      <c r="AH518" s="441"/>
      <c r="AI518" s="441"/>
      <c r="AJ518" s="441"/>
      <c r="AK518" s="450"/>
      <c r="AL518" s="440"/>
      <c r="AM518" s="441"/>
      <c r="AN518" s="441"/>
      <c r="AO518" s="441"/>
      <c r="AP518" s="441"/>
      <c r="AQ518" s="441"/>
      <c r="AR518" s="450"/>
      <c r="AS518" s="485"/>
      <c r="AT518" s="486"/>
      <c r="AU518" s="486"/>
      <c r="AV518" s="486"/>
      <c r="AW518" s="486"/>
      <c r="AX518" s="486"/>
      <c r="AY518" s="487"/>
      <c r="AZ518" s="462"/>
      <c r="BA518" s="463"/>
      <c r="BB518" s="61">
        <v>4</v>
      </c>
      <c r="BC518" s="418"/>
      <c r="BD518" s="419"/>
      <c r="BE518" s="419"/>
      <c r="BF518" s="420"/>
      <c r="BG518" s="421"/>
      <c r="BH518" s="422"/>
      <c r="BI518" s="195"/>
      <c r="BJ518" s="423"/>
      <c r="BK518" s="424"/>
      <c r="BL518" s="424"/>
      <c r="BM518" s="424"/>
      <c r="BN518" s="424"/>
      <c r="BO518" s="425"/>
      <c r="BP518" s="423"/>
      <c r="BQ518" s="424"/>
      <c r="BR518" s="424"/>
      <c r="BS518" s="424"/>
      <c r="BT518" s="424"/>
      <c r="BU518" s="425"/>
      <c r="BV518" s="423"/>
      <c r="BW518" s="424"/>
      <c r="BX518" s="424"/>
      <c r="BY518" s="424"/>
      <c r="BZ518" s="424"/>
      <c r="CA518" s="425"/>
      <c r="CB518" s="418"/>
      <c r="CC518" s="419"/>
      <c r="CD518" s="419"/>
      <c r="CE518" s="420"/>
      <c r="CF518" s="412"/>
      <c r="CG518" s="413"/>
      <c r="CH518" s="413"/>
      <c r="CI518" s="413"/>
      <c r="CJ518" s="414"/>
      <c r="CK518" s="412"/>
      <c r="CL518" s="413"/>
      <c r="CM518" s="413"/>
      <c r="CN518" s="413"/>
      <c r="CO518" s="414"/>
      <c r="CP518" s="412"/>
      <c r="CQ518" s="413"/>
      <c r="CR518" s="413"/>
      <c r="CS518" s="413"/>
      <c r="CT518" s="414"/>
      <c r="CU518" s="415"/>
      <c r="CV518" s="416"/>
      <c r="CW518" s="416"/>
      <c r="CX518" s="416"/>
      <c r="CY518" s="417"/>
    </row>
    <row r="519" spans="1:103" ht="16.5">
      <c r="A519" s="435"/>
      <c r="B519" s="36"/>
      <c r="C519" s="199" t="str">
        <f t="shared" ca="1" si="9"/>
        <v/>
      </c>
      <c r="D519" s="479"/>
      <c r="E519" s="480"/>
      <c r="F519" s="480"/>
      <c r="G519" s="480"/>
      <c r="H519" s="480"/>
      <c r="I519" s="480"/>
      <c r="J519" s="480"/>
      <c r="K519" s="440"/>
      <c r="L519" s="441"/>
      <c r="M519" s="441"/>
      <c r="N519" s="441"/>
      <c r="O519" s="441"/>
      <c r="P519" s="441"/>
      <c r="Q519" s="441"/>
      <c r="R519" s="444"/>
      <c r="S519" s="445"/>
      <c r="T519" s="444"/>
      <c r="U519" s="445"/>
      <c r="V519" s="440"/>
      <c r="W519" s="441"/>
      <c r="X519" s="441"/>
      <c r="Y519" s="441"/>
      <c r="Z519" s="441"/>
      <c r="AA519" s="441"/>
      <c r="AB519" s="441"/>
      <c r="AC519" s="441"/>
      <c r="AD519" s="440"/>
      <c r="AE519" s="441"/>
      <c r="AF519" s="441"/>
      <c r="AG519" s="441"/>
      <c r="AH519" s="441"/>
      <c r="AI519" s="441"/>
      <c r="AJ519" s="441"/>
      <c r="AK519" s="450"/>
      <c r="AL519" s="440"/>
      <c r="AM519" s="441"/>
      <c r="AN519" s="441"/>
      <c r="AO519" s="441"/>
      <c r="AP519" s="441"/>
      <c r="AQ519" s="441"/>
      <c r="AR519" s="450"/>
      <c r="AS519" s="485"/>
      <c r="AT519" s="486"/>
      <c r="AU519" s="486"/>
      <c r="AV519" s="486"/>
      <c r="AW519" s="486"/>
      <c r="AX519" s="486"/>
      <c r="AY519" s="487"/>
      <c r="AZ519" s="462"/>
      <c r="BA519" s="463"/>
      <c r="BB519" s="61">
        <v>5</v>
      </c>
      <c r="BC519" s="418"/>
      <c r="BD519" s="419"/>
      <c r="BE519" s="419"/>
      <c r="BF519" s="420"/>
      <c r="BG519" s="421"/>
      <c r="BH519" s="422"/>
      <c r="BI519" s="195"/>
      <c r="BJ519" s="423"/>
      <c r="BK519" s="424"/>
      <c r="BL519" s="424"/>
      <c r="BM519" s="424"/>
      <c r="BN519" s="424"/>
      <c r="BO519" s="425"/>
      <c r="BP519" s="423"/>
      <c r="BQ519" s="424"/>
      <c r="BR519" s="424"/>
      <c r="BS519" s="424"/>
      <c r="BT519" s="424"/>
      <c r="BU519" s="425"/>
      <c r="BV519" s="423"/>
      <c r="BW519" s="424"/>
      <c r="BX519" s="424"/>
      <c r="BY519" s="424"/>
      <c r="BZ519" s="424"/>
      <c r="CA519" s="425"/>
      <c r="CB519" s="418"/>
      <c r="CC519" s="419"/>
      <c r="CD519" s="419"/>
      <c r="CE519" s="420"/>
      <c r="CF519" s="412"/>
      <c r="CG519" s="413"/>
      <c r="CH519" s="413"/>
      <c r="CI519" s="413"/>
      <c r="CJ519" s="414"/>
      <c r="CK519" s="412"/>
      <c r="CL519" s="413"/>
      <c r="CM519" s="413"/>
      <c r="CN519" s="413"/>
      <c r="CO519" s="414"/>
      <c r="CP519" s="412"/>
      <c r="CQ519" s="413"/>
      <c r="CR519" s="413"/>
      <c r="CS519" s="413"/>
      <c r="CT519" s="414"/>
      <c r="CU519" s="415"/>
      <c r="CV519" s="416"/>
      <c r="CW519" s="416"/>
      <c r="CX519" s="416"/>
      <c r="CY519" s="417"/>
    </row>
    <row r="520" spans="1:103" ht="16.5">
      <c r="A520" s="436"/>
      <c r="B520" s="37"/>
      <c r="C520" s="200" t="str">
        <f t="shared" ca="1" si="9"/>
        <v/>
      </c>
      <c r="D520" s="481"/>
      <c r="E520" s="482"/>
      <c r="F520" s="482"/>
      <c r="G520" s="482"/>
      <c r="H520" s="482"/>
      <c r="I520" s="482"/>
      <c r="J520" s="482"/>
      <c r="K520" s="409"/>
      <c r="L520" s="410"/>
      <c r="M520" s="410"/>
      <c r="N520" s="410"/>
      <c r="O520" s="410"/>
      <c r="P520" s="410"/>
      <c r="Q520" s="410"/>
      <c r="R520" s="446"/>
      <c r="S520" s="447"/>
      <c r="T520" s="446"/>
      <c r="U520" s="447"/>
      <c r="V520" s="409"/>
      <c r="W520" s="410"/>
      <c r="X520" s="410"/>
      <c r="Y520" s="410"/>
      <c r="Z520" s="410"/>
      <c r="AA520" s="410"/>
      <c r="AB520" s="410"/>
      <c r="AC520" s="410"/>
      <c r="AD520" s="409"/>
      <c r="AE520" s="410"/>
      <c r="AF520" s="410"/>
      <c r="AG520" s="410"/>
      <c r="AH520" s="410"/>
      <c r="AI520" s="410"/>
      <c r="AJ520" s="410"/>
      <c r="AK520" s="411"/>
      <c r="AL520" s="409"/>
      <c r="AM520" s="410"/>
      <c r="AN520" s="410"/>
      <c r="AO520" s="410"/>
      <c r="AP520" s="410"/>
      <c r="AQ520" s="410"/>
      <c r="AR520" s="411"/>
      <c r="AS520" s="488"/>
      <c r="AT520" s="489"/>
      <c r="AU520" s="489"/>
      <c r="AV520" s="489"/>
      <c r="AW520" s="489"/>
      <c r="AX520" s="489"/>
      <c r="AY520" s="490"/>
      <c r="AZ520" s="464"/>
      <c r="BA520" s="465"/>
      <c r="BB520" s="62">
        <v>6</v>
      </c>
      <c r="BC520" s="426"/>
      <c r="BD520" s="427"/>
      <c r="BE520" s="427"/>
      <c r="BF520" s="428"/>
      <c r="BG520" s="429"/>
      <c r="BH520" s="430"/>
      <c r="BI520" s="196"/>
      <c r="BJ520" s="474"/>
      <c r="BK520" s="475"/>
      <c r="BL520" s="475"/>
      <c r="BM520" s="475"/>
      <c r="BN520" s="475"/>
      <c r="BO520" s="476"/>
      <c r="BP520" s="474"/>
      <c r="BQ520" s="475"/>
      <c r="BR520" s="475"/>
      <c r="BS520" s="475"/>
      <c r="BT520" s="475"/>
      <c r="BU520" s="476"/>
      <c r="BV520" s="474"/>
      <c r="BW520" s="475"/>
      <c r="BX520" s="475"/>
      <c r="BY520" s="475"/>
      <c r="BZ520" s="475"/>
      <c r="CA520" s="476"/>
      <c r="CB520" s="426"/>
      <c r="CC520" s="427"/>
      <c r="CD520" s="427"/>
      <c r="CE520" s="428"/>
      <c r="CF520" s="412"/>
      <c r="CG520" s="413"/>
      <c r="CH520" s="413"/>
      <c r="CI520" s="413"/>
      <c r="CJ520" s="414"/>
      <c r="CK520" s="412"/>
      <c r="CL520" s="413"/>
      <c r="CM520" s="413"/>
      <c r="CN520" s="413"/>
      <c r="CO520" s="414"/>
      <c r="CP520" s="412"/>
      <c r="CQ520" s="413"/>
      <c r="CR520" s="413"/>
      <c r="CS520" s="413"/>
      <c r="CT520" s="414"/>
      <c r="CU520" s="415"/>
      <c r="CV520" s="416"/>
      <c r="CW520" s="416"/>
      <c r="CX520" s="416"/>
      <c r="CY520" s="417"/>
    </row>
    <row r="521" spans="1:103" ht="16.5">
      <c r="A521" s="434">
        <v>86</v>
      </c>
      <c r="B521" s="36"/>
      <c r="C521" s="198" t="str">
        <f t="shared" ca="1" si="9"/>
        <v/>
      </c>
      <c r="D521" s="477"/>
      <c r="E521" s="478"/>
      <c r="F521" s="478"/>
      <c r="G521" s="478"/>
      <c r="H521" s="478"/>
      <c r="I521" s="478"/>
      <c r="J521" s="478"/>
      <c r="K521" s="438" t="s">
        <v>436</v>
      </c>
      <c r="L521" s="439"/>
      <c r="M521" s="439"/>
      <c r="N521" s="439"/>
      <c r="O521" s="439"/>
      <c r="P521" s="439"/>
      <c r="Q521" s="439"/>
      <c r="R521" s="442" t="s">
        <v>186</v>
      </c>
      <c r="S521" s="443"/>
      <c r="T521" s="442"/>
      <c r="U521" s="443"/>
      <c r="V521" s="438"/>
      <c r="W521" s="439"/>
      <c r="X521" s="439"/>
      <c r="Y521" s="439"/>
      <c r="Z521" s="439"/>
      <c r="AA521" s="439"/>
      <c r="AB521" s="439"/>
      <c r="AC521" s="439"/>
      <c r="AD521" s="438"/>
      <c r="AE521" s="439"/>
      <c r="AF521" s="439"/>
      <c r="AG521" s="439"/>
      <c r="AH521" s="439"/>
      <c r="AI521" s="439"/>
      <c r="AJ521" s="439"/>
      <c r="AK521" s="449"/>
      <c r="AL521" s="438"/>
      <c r="AM521" s="439"/>
      <c r="AN521" s="439"/>
      <c r="AO521" s="439"/>
      <c r="AP521" s="439"/>
      <c r="AQ521" s="439"/>
      <c r="AR521" s="449"/>
      <c r="AS521" s="500"/>
      <c r="AT521" s="483"/>
      <c r="AU521" s="483"/>
      <c r="AV521" s="483"/>
      <c r="AW521" s="483"/>
      <c r="AX521" s="483"/>
      <c r="AY521" s="484"/>
      <c r="AZ521" s="460"/>
      <c r="BA521" s="461"/>
      <c r="BB521" s="60">
        <v>1</v>
      </c>
      <c r="BC521" s="466"/>
      <c r="BD521" s="467"/>
      <c r="BE521" s="467"/>
      <c r="BF521" s="468"/>
      <c r="BG521" s="469"/>
      <c r="BH521" s="470"/>
      <c r="BI521" s="194"/>
      <c r="BJ521" s="471"/>
      <c r="BK521" s="472"/>
      <c r="BL521" s="472"/>
      <c r="BM521" s="472"/>
      <c r="BN521" s="472"/>
      <c r="BO521" s="473"/>
      <c r="BP521" s="471"/>
      <c r="BQ521" s="472"/>
      <c r="BR521" s="472"/>
      <c r="BS521" s="472"/>
      <c r="BT521" s="472"/>
      <c r="BU521" s="473"/>
      <c r="BV521" s="471"/>
      <c r="BW521" s="472"/>
      <c r="BX521" s="472"/>
      <c r="BY521" s="472"/>
      <c r="BZ521" s="472"/>
      <c r="CA521" s="473"/>
      <c r="CB521" s="466"/>
      <c r="CC521" s="467"/>
      <c r="CD521" s="467"/>
      <c r="CE521" s="468"/>
      <c r="CF521" s="409"/>
      <c r="CG521" s="410"/>
      <c r="CH521" s="410"/>
      <c r="CI521" s="410"/>
      <c r="CJ521" s="411"/>
      <c r="CK521" s="409"/>
      <c r="CL521" s="410"/>
      <c r="CM521" s="410"/>
      <c r="CN521" s="410"/>
      <c r="CO521" s="411"/>
      <c r="CP521" s="409"/>
      <c r="CQ521" s="410"/>
      <c r="CR521" s="410"/>
      <c r="CS521" s="410"/>
      <c r="CT521" s="411"/>
      <c r="CU521" s="415"/>
      <c r="CV521" s="416"/>
      <c r="CW521" s="416"/>
      <c r="CX521" s="416"/>
      <c r="CY521" s="417"/>
    </row>
    <row r="522" spans="1:103" ht="16.5">
      <c r="A522" s="435"/>
      <c r="B522" s="36"/>
      <c r="C522" s="199" t="str">
        <f t="shared" ca="1" si="9"/>
        <v/>
      </c>
      <c r="D522" s="479"/>
      <c r="E522" s="480"/>
      <c r="F522" s="480"/>
      <c r="G522" s="480"/>
      <c r="H522" s="480"/>
      <c r="I522" s="480"/>
      <c r="J522" s="480"/>
      <c r="K522" s="440"/>
      <c r="L522" s="441"/>
      <c r="M522" s="441"/>
      <c r="N522" s="441"/>
      <c r="O522" s="441"/>
      <c r="P522" s="441"/>
      <c r="Q522" s="441"/>
      <c r="R522" s="444"/>
      <c r="S522" s="445"/>
      <c r="T522" s="444"/>
      <c r="U522" s="445"/>
      <c r="V522" s="440"/>
      <c r="W522" s="441"/>
      <c r="X522" s="441"/>
      <c r="Y522" s="441"/>
      <c r="Z522" s="441"/>
      <c r="AA522" s="441"/>
      <c r="AB522" s="441"/>
      <c r="AC522" s="441"/>
      <c r="AD522" s="440"/>
      <c r="AE522" s="441"/>
      <c r="AF522" s="441"/>
      <c r="AG522" s="441"/>
      <c r="AH522" s="441"/>
      <c r="AI522" s="441"/>
      <c r="AJ522" s="441"/>
      <c r="AK522" s="450"/>
      <c r="AL522" s="440"/>
      <c r="AM522" s="441"/>
      <c r="AN522" s="441"/>
      <c r="AO522" s="441"/>
      <c r="AP522" s="441"/>
      <c r="AQ522" s="441"/>
      <c r="AR522" s="450"/>
      <c r="AS522" s="485"/>
      <c r="AT522" s="486"/>
      <c r="AU522" s="486"/>
      <c r="AV522" s="486"/>
      <c r="AW522" s="486"/>
      <c r="AX522" s="486"/>
      <c r="AY522" s="487"/>
      <c r="AZ522" s="462"/>
      <c r="BA522" s="463"/>
      <c r="BB522" s="61">
        <v>2</v>
      </c>
      <c r="BC522" s="418"/>
      <c r="BD522" s="419"/>
      <c r="BE522" s="419"/>
      <c r="BF522" s="420"/>
      <c r="BG522" s="421"/>
      <c r="BH522" s="422"/>
      <c r="BI522" s="195"/>
      <c r="BJ522" s="423"/>
      <c r="BK522" s="424"/>
      <c r="BL522" s="424"/>
      <c r="BM522" s="424"/>
      <c r="BN522" s="424"/>
      <c r="BO522" s="425"/>
      <c r="BP522" s="423"/>
      <c r="BQ522" s="424"/>
      <c r="BR522" s="424"/>
      <c r="BS522" s="424"/>
      <c r="BT522" s="424"/>
      <c r="BU522" s="425"/>
      <c r="BV522" s="423"/>
      <c r="BW522" s="424"/>
      <c r="BX522" s="424"/>
      <c r="BY522" s="424"/>
      <c r="BZ522" s="424"/>
      <c r="CA522" s="425"/>
      <c r="CB522" s="418"/>
      <c r="CC522" s="419"/>
      <c r="CD522" s="419"/>
      <c r="CE522" s="420"/>
      <c r="CF522" s="412"/>
      <c r="CG522" s="413"/>
      <c r="CH522" s="413"/>
      <c r="CI522" s="413"/>
      <c r="CJ522" s="414"/>
      <c r="CK522" s="412"/>
      <c r="CL522" s="413"/>
      <c r="CM522" s="413"/>
      <c r="CN522" s="413"/>
      <c r="CO522" s="414"/>
      <c r="CP522" s="412"/>
      <c r="CQ522" s="413"/>
      <c r="CR522" s="413"/>
      <c r="CS522" s="413"/>
      <c r="CT522" s="414"/>
      <c r="CU522" s="415"/>
      <c r="CV522" s="416"/>
      <c r="CW522" s="416"/>
      <c r="CX522" s="416"/>
      <c r="CY522" s="417"/>
    </row>
    <row r="523" spans="1:103" ht="16.5">
      <c r="A523" s="435"/>
      <c r="B523" s="36"/>
      <c r="C523" s="199" t="str">
        <f t="shared" ca="1" si="9"/>
        <v/>
      </c>
      <c r="D523" s="479"/>
      <c r="E523" s="480"/>
      <c r="F523" s="480"/>
      <c r="G523" s="480"/>
      <c r="H523" s="480"/>
      <c r="I523" s="480"/>
      <c r="J523" s="480"/>
      <c r="K523" s="440"/>
      <c r="L523" s="441"/>
      <c r="M523" s="441"/>
      <c r="N523" s="441"/>
      <c r="O523" s="441"/>
      <c r="P523" s="441"/>
      <c r="Q523" s="441"/>
      <c r="R523" s="444"/>
      <c r="S523" s="445"/>
      <c r="T523" s="444"/>
      <c r="U523" s="445"/>
      <c r="V523" s="440"/>
      <c r="W523" s="441"/>
      <c r="X523" s="441"/>
      <c r="Y523" s="441"/>
      <c r="Z523" s="441"/>
      <c r="AA523" s="441"/>
      <c r="AB523" s="441"/>
      <c r="AC523" s="441"/>
      <c r="AD523" s="440"/>
      <c r="AE523" s="441"/>
      <c r="AF523" s="441"/>
      <c r="AG523" s="441"/>
      <c r="AH523" s="441"/>
      <c r="AI523" s="441"/>
      <c r="AJ523" s="441"/>
      <c r="AK523" s="450"/>
      <c r="AL523" s="440"/>
      <c r="AM523" s="441"/>
      <c r="AN523" s="441"/>
      <c r="AO523" s="441"/>
      <c r="AP523" s="441"/>
      <c r="AQ523" s="441"/>
      <c r="AR523" s="450"/>
      <c r="AS523" s="485"/>
      <c r="AT523" s="486"/>
      <c r="AU523" s="486"/>
      <c r="AV523" s="486"/>
      <c r="AW523" s="486"/>
      <c r="AX523" s="486"/>
      <c r="AY523" s="487"/>
      <c r="AZ523" s="462"/>
      <c r="BA523" s="463"/>
      <c r="BB523" s="61">
        <v>3</v>
      </c>
      <c r="BC523" s="418"/>
      <c r="BD523" s="419"/>
      <c r="BE523" s="419"/>
      <c r="BF523" s="420"/>
      <c r="BG523" s="421"/>
      <c r="BH523" s="422"/>
      <c r="BI523" s="195"/>
      <c r="BJ523" s="423"/>
      <c r="BK523" s="424"/>
      <c r="BL523" s="424"/>
      <c r="BM523" s="424"/>
      <c r="BN523" s="424"/>
      <c r="BO523" s="425"/>
      <c r="BP523" s="423"/>
      <c r="BQ523" s="424"/>
      <c r="BR523" s="424"/>
      <c r="BS523" s="424"/>
      <c r="BT523" s="424"/>
      <c r="BU523" s="425"/>
      <c r="BV523" s="423"/>
      <c r="BW523" s="424"/>
      <c r="BX523" s="424"/>
      <c r="BY523" s="424"/>
      <c r="BZ523" s="424"/>
      <c r="CA523" s="425"/>
      <c r="CB523" s="418"/>
      <c r="CC523" s="419"/>
      <c r="CD523" s="419"/>
      <c r="CE523" s="420"/>
      <c r="CF523" s="412"/>
      <c r="CG523" s="413"/>
      <c r="CH523" s="413"/>
      <c r="CI523" s="413"/>
      <c r="CJ523" s="414"/>
      <c r="CK523" s="412"/>
      <c r="CL523" s="413"/>
      <c r="CM523" s="413"/>
      <c r="CN523" s="413"/>
      <c r="CO523" s="414"/>
      <c r="CP523" s="412"/>
      <c r="CQ523" s="413"/>
      <c r="CR523" s="413"/>
      <c r="CS523" s="413"/>
      <c r="CT523" s="414"/>
      <c r="CU523" s="415"/>
      <c r="CV523" s="416"/>
      <c r="CW523" s="416"/>
      <c r="CX523" s="416"/>
      <c r="CY523" s="417"/>
    </row>
    <row r="524" spans="1:103" ht="16.5">
      <c r="A524" s="435"/>
      <c r="B524" s="36"/>
      <c r="C524" s="199" t="str">
        <f t="shared" ref="C524:C587" ca="1" si="10">IF(AND(OFFSET($K524,-($BB524-1),0)&lt;&gt;"",OFFSET($R524,-($BB524-1),0)&lt;&gt;"x"),"●","")</f>
        <v/>
      </c>
      <c r="D524" s="479"/>
      <c r="E524" s="480"/>
      <c r="F524" s="480"/>
      <c r="G524" s="480"/>
      <c r="H524" s="480"/>
      <c r="I524" s="480"/>
      <c r="J524" s="480"/>
      <c r="K524" s="440"/>
      <c r="L524" s="441"/>
      <c r="M524" s="441"/>
      <c r="N524" s="441"/>
      <c r="O524" s="441"/>
      <c r="P524" s="441"/>
      <c r="Q524" s="441"/>
      <c r="R524" s="444"/>
      <c r="S524" s="445"/>
      <c r="T524" s="444"/>
      <c r="U524" s="445"/>
      <c r="V524" s="440"/>
      <c r="W524" s="441"/>
      <c r="X524" s="441"/>
      <c r="Y524" s="441"/>
      <c r="Z524" s="441"/>
      <c r="AA524" s="441"/>
      <c r="AB524" s="441"/>
      <c r="AC524" s="441"/>
      <c r="AD524" s="440"/>
      <c r="AE524" s="441"/>
      <c r="AF524" s="441"/>
      <c r="AG524" s="441"/>
      <c r="AH524" s="441"/>
      <c r="AI524" s="441"/>
      <c r="AJ524" s="441"/>
      <c r="AK524" s="450"/>
      <c r="AL524" s="440"/>
      <c r="AM524" s="441"/>
      <c r="AN524" s="441"/>
      <c r="AO524" s="441"/>
      <c r="AP524" s="441"/>
      <c r="AQ524" s="441"/>
      <c r="AR524" s="450"/>
      <c r="AS524" s="485"/>
      <c r="AT524" s="486"/>
      <c r="AU524" s="486"/>
      <c r="AV524" s="486"/>
      <c r="AW524" s="486"/>
      <c r="AX524" s="486"/>
      <c r="AY524" s="487"/>
      <c r="AZ524" s="462"/>
      <c r="BA524" s="463"/>
      <c r="BB524" s="61">
        <v>4</v>
      </c>
      <c r="BC524" s="418"/>
      <c r="BD524" s="419"/>
      <c r="BE524" s="419"/>
      <c r="BF524" s="420"/>
      <c r="BG524" s="421"/>
      <c r="BH524" s="422"/>
      <c r="BI524" s="195"/>
      <c r="BJ524" s="423"/>
      <c r="BK524" s="424"/>
      <c r="BL524" s="424"/>
      <c r="BM524" s="424"/>
      <c r="BN524" s="424"/>
      <c r="BO524" s="425"/>
      <c r="BP524" s="423"/>
      <c r="BQ524" s="424"/>
      <c r="BR524" s="424"/>
      <c r="BS524" s="424"/>
      <c r="BT524" s="424"/>
      <c r="BU524" s="425"/>
      <c r="BV524" s="423"/>
      <c r="BW524" s="424"/>
      <c r="BX524" s="424"/>
      <c r="BY524" s="424"/>
      <c r="BZ524" s="424"/>
      <c r="CA524" s="425"/>
      <c r="CB524" s="418"/>
      <c r="CC524" s="419"/>
      <c r="CD524" s="419"/>
      <c r="CE524" s="420"/>
      <c r="CF524" s="412"/>
      <c r="CG524" s="413"/>
      <c r="CH524" s="413"/>
      <c r="CI524" s="413"/>
      <c r="CJ524" s="414"/>
      <c r="CK524" s="412"/>
      <c r="CL524" s="413"/>
      <c r="CM524" s="413"/>
      <c r="CN524" s="413"/>
      <c r="CO524" s="414"/>
      <c r="CP524" s="412"/>
      <c r="CQ524" s="413"/>
      <c r="CR524" s="413"/>
      <c r="CS524" s="413"/>
      <c r="CT524" s="414"/>
      <c r="CU524" s="415"/>
      <c r="CV524" s="416"/>
      <c r="CW524" s="416"/>
      <c r="CX524" s="416"/>
      <c r="CY524" s="417"/>
    </row>
    <row r="525" spans="1:103" ht="16.5">
      <c r="A525" s="435"/>
      <c r="B525" s="36"/>
      <c r="C525" s="199" t="str">
        <f t="shared" ca="1" si="10"/>
        <v/>
      </c>
      <c r="D525" s="479"/>
      <c r="E525" s="480"/>
      <c r="F525" s="480"/>
      <c r="G525" s="480"/>
      <c r="H525" s="480"/>
      <c r="I525" s="480"/>
      <c r="J525" s="480"/>
      <c r="K525" s="440"/>
      <c r="L525" s="441"/>
      <c r="M525" s="441"/>
      <c r="N525" s="441"/>
      <c r="O525" s="441"/>
      <c r="P525" s="441"/>
      <c r="Q525" s="441"/>
      <c r="R525" s="444"/>
      <c r="S525" s="445"/>
      <c r="T525" s="444"/>
      <c r="U525" s="445"/>
      <c r="V525" s="440"/>
      <c r="W525" s="441"/>
      <c r="X525" s="441"/>
      <c r="Y525" s="441"/>
      <c r="Z525" s="441"/>
      <c r="AA525" s="441"/>
      <c r="AB525" s="441"/>
      <c r="AC525" s="441"/>
      <c r="AD525" s="440"/>
      <c r="AE525" s="441"/>
      <c r="AF525" s="441"/>
      <c r="AG525" s="441"/>
      <c r="AH525" s="441"/>
      <c r="AI525" s="441"/>
      <c r="AJ525" s="441"/>
      <c r="AK525" s="450"/>
      <c r="AL525" s="440"/>
      <c r="AM525" s="441"/>
      <c r="AN525" s="441"/>
      <c r="AO525" s="441"/>
      <c r="AP525" s="441"/>
      <c r="AQ525" s="441"/>
      <c r="AR525" s="450"/>
      <c r="AS525" s="485"/>
      <c r="AT525" s="486"/>
      <c r="AU525" s="486"/>
      <c r="AV525" s="486"/>
      <c r="AW525" s="486"/>
      <c r="AX525" s="486"/>
      <c r="AY525" s="487"/>
      <c r="AZ525" s="462"/>
      <c r="BA525" s="463"/>
      <c r="BB525" s="61">
        <v>5</v>
      </c>
      <c r="BC525" s="418"/>
      <c r="BD525" s="419"/>
      <c r="BE525" s="419"/>
      <c r="BF525" s="420"/>
      <c r="BG525" s="421"/>
      <c r="BH525" s="422"/>
      <c r="BI525" s="195"/>
      <c r="BJ525" s="423"/>
      <c r="BK525" s="424"/>
      <c r="BL525" s="424"/>
      <c r="BM525" s="424"/>
      <c r="BN525" s="424"/>
      <c r="BO525" s="425"/>
      <c r="BP525" s="423"/>
      <c r="BQ525" s="424"/>
      <c r="BR525" s="424"/>
      <c r="BS525" s="424"/>
      <c r="BT525" s="424"/>
      <c r="BU525" s="425"/>
      <c r="BV525" s="423"/>
      <c r="BW525" s="424"/>
      <c r="BX525" s="424"/>
      <c r="BY525" s="424"/>
      <c r="BZ525" s="424"/>
      <c r="CA525" s="425"/>
      <c r="CB525" s="418"/>
      <c r="CC525" s="419"/>
      <c r="CD525" s="419"/>
      <c r="CE525" s="420"/>
      <c r="CF525" s="412"/>
      <c r="CG525" s="413"/>
      <c r="CH525" s="413"/>
      <c r="CI525" s="413"/>
      <c r="CJ525" s="414"/>
      <c r="CK525" s="412"/>
      <c r="CL525" s="413"/>
      <c r="CM525" s="413"/>
      <c r="CN525" s="413"/>
      <c r="CO525" s="414"/>
      <c r="CP525" s="412"/>
      <c r="CQ525" s="413"/>
      <c r="CR525" s="413"/>
      <c r="CS525" s="413"/>
      <c r="CT525" s="414"/>
      <c r="CU525" s="415"/>
      <c r="CV525" s="416"/>
      <c r="CW525" s="416"/>
      <c r="CX525" s="416"/>
      <c r="CY525" s="417"/>
    </row>
    <row r="526" spans="1:103" ht="16.5">
      <c r="A526" s="436"/>
      <c r="B526" s="37"/>
      <c r="C526" s="200" t="str">
        <f t="shared" ca="1" si="10"/>
        <v/>
      </c>
      <c r="D526" s="481"/>
      <c r="E526" s="482"/>
      <c r="F526" s="482"/>
      <c r="G526" s="482"/>
      <c r="H526" s="482"/>
      <c r="I526" s="482"/>
      <c r="J526" s="482"/>
      <c r="K526" s="409"/>
      <c r="L526" s="410"/>
      <c r="M526" s="410"/>
      <c r="N526" s="410"/>
      <c r="O526" s="410"/>
      <c r="P526" s="410"/>
      <c r="Q526" s="410"/>
      <c r="R526" s="446"/>
      <c r="S526" s="447"/>
      <c r="T526" s="446"/>
      <c r="U526" s="447"/>
      <c r="V526" s="409"/>
      <c r="W526" s="410"/>
      <c r="X526" s="410"/>
      <c r="Y526" s="410"/>
      <c r="Z526" s="410"/>
      <c r="AA526" s="410"/>
      <c r="AB526" s="410"/>
      <c r="AC526" s="410"/>
      <c r="AD526" s="409"/>
      <c r="AE526" s="410"/>
      <c r="AF526" s="410"/>
      <c r="AG526" s="410"/>
      <c r="AH526" s="410"/>
      <c r="AI526" s="410"/>
      <c r="AJ526" s="410"/>
      <c r="AK526" s="411"/>
      <c r="AL526" s="409"/>
      <c r="AM526" s="410"/>
      <c r="AN526" s="410"/>
      <c r="AO526" s="410"/>
      <c r="AP526" s="410"/>
      <c r="AQ526" s="410"/>
      <c r="AR526" s="411"/>
      <c r="AS526" s="488"/>
      <c r="AT526" s="489"/>
      <c r="AU526" s="489"/>
      <c r="AV526" s="489"/>
      <c r="AW526" s="489"/>
      <c r="AX526" s="489"/>
      <c r="AY526" s="490"/>
      <c r="AZ526" s="464"/>
      <c r="BA526" s="465"/>
      <c r="BB526" s="62">
        <v>6</v>
      </c>
      <c r="BC526" s="426"/>
      <c r="BD526" s="427"/>
      <c r="BE526" s="427"/>
      <c r="BF526" s="428"/>
      <c r="BG526" s="429"/>
      <c r="BH526" s="430"/>
      <c r="BI526" s="196"/>
      <c r="BJ526" s="474"/>
      <c r="BK526" s="475"/>
      <c r="BL526" s="475"/>
      <c r="BM526" s="475"/>
      <c r="BN526" s="475"/>
      <c r="BO526" s="476"/>
      <c r="BP526" s="474"/>
      <c r="BQ526" s="475"/>
      <c r="BR526" s="475"/>
      <c r="BS526" s="475"/>
      <c r="BT526" s="475"/>
      <c r="BU526" s="476"/>
      <c r="BV526" s="474"/>
      <c r="BW526" s="475"/>
      <c r="BX526" s="475"/>
      <c r="BY526" s="475"/>
      <c r="BZ526" s="475"/>
      <c r="CA526" s="476"/>
      <c r="CB526" s="426"/>
      <c r="CC526" s="427"/>
      <c r="CD526" s="427"/>
      <c r="CE526" s="428"/>
      <c r="CF526" s="412"/>
      <c r="CG526" s="413"/>
      <c r="CH526" s="413"/>
      <c r="CI526" s="413"/>
      <c r="CJ526" s="414"/>
      <c r="CK526" s="412"/>
      <c r="CL526" s="413"/>
      <c r="CM526" s="413"/>
      <c r="CN526" s="413"/>
      <c r="CO526" s="414"/>
      <c r="CP526" s="412"/>
      <c r="CQ526" s="413"/>
      <c r="CR526" s="413"/>
      <c r="CS526" s="413"/>
      <c r="CT526" s="414"/>
      <c r="CU526" s="415"/>
      <c r="CV526" s="416"/>
      <c r="CW526" s="416"/>
      <c r="CX526" s="416"/>
      <c r="CY526" s="417"/>
    </row>
    <row r="527" spans="1:103" ht="16.5">
      <c r="A527" s="434">
        <v>87</v>
      </c>
      <c r="B527" s="36"/>
      <c r="C527" s="198" t="str">
        <f t="shared" ca="1" si="10"/>
        <v/>
      </c>
      <c r="D527" s="477"/>
      <c r="E527" s="478"/>
      <c r="F527" s="478"/>
      <c r="G527" s="478"/>
      <c r="H527" s="478"/>
      <c r="I527" s="478"/>
      <c r="J527" s="478"/>
      <c r="K527" s="438" t="s">
        <v>437</v>
      </c>
      <c r="L527" s="439"/>
      <c r="M527" s="439"/>
      <c r="N527" s="439"/>
      <c r="O527" s="439"/>
      <c r="P527" s="439"/>
      <c r="Q527" s="439"/>
      <c r="R527" s="442" t="s">
        <v>186</v>
      </c>
      <c r="S527" s="443"/>
      <c r="T527" s="442"/>
      <c r="U527" s="443"/>
      <c r="V527" s="438"/>
      <c r="W527" s="439"/>
      <c r="X527" s="439"/>
      <c r="Y527" s="439"/>
      <c r="Z527" s="439"/>
      <c r="AA527" s="439"/>
      <c r="AB527" s="439"/>
      <c r="AC527" s="439"/>
      <c r="AD527" s="438"/>
      <c r="AE527" s="439"/>
      <c r="AF527" s="439"/>
      <c r="AG527" s="439"/>
      <c r="AH527" s="439"/>
      <c r="AI527" s="439"/>
      <c r="AJ527" s="439"/>
      <c r="AK527" s="449"/>
      <c r="AL527" s="438"/>
      <c r="AM527" s="439"/>
      <c r="AN527" s="439"/>
      <c r="AO527" s="439"/>
      <c r="AP527" s="439"/>
      <c r="AQ527" s="439"/>
      <c r="AR527" s="449"/>
      <c r="AS527" s="500"/>
      <c r="AT527" s="483"/>
      <c r="AU527" s="483"/>
      <c r="AV527" s="483"/>
      <c r="AW527" s="483"/>
      <c r="AX527" s="483"/>
      <c r="AY527" s="484"/>
      <c r="AZ527" s="460"/>
      <c r="BA527" s="461"/>
      <c r="BB527" s="60">
        <v>1</v>
      </c>
      <c r="BC527" s="466"/>
      <c r="BD527" s="467"/>
      <c r="BE527" s="467"/>
      <c r="BF527" s="468"/>
      <c r="BG527" s="469"/>
      <c r="BH527" s="470"/>
      <c r="BI527" s="194"/>
      <c r="BJ527" s="471"/>
      <c r="BK527" s="472"/>
      <c r="BL527" s="472"/>
      <c r="BM527" s="472"/>
      <c r="BN527" s="472"/>
      <c r="BO527" s="473"/>
      <c r="BP527" s="471"/>
      <c r="BQ527" s="472"/>
      <c r="BR527" s="472"/>
      <c r="BS527" s="472"/>
      <c r="BT527" s="472"/>
      <c r="BU527" s="473"/>
      <c r="BV527" s="471"/>
      <c r="BW527" s="472"/>
      <c r="BX527" s="472"/>
      <c r="BY527" s="472"/>
      <c r="BZ527" s="472"/>
      <c r="CA527" s="473"/>
      <c r="CB527" s="466"/>
      <c r="CC527" s="467"/>
      <c r="CD527" s="467"/>
      <c r="CE527" s="468"/>
      <c r="CF527" s="409"/>
      <c r="CG527" s="410"/>
      <c r="CH527" s="410"/>
      <c r="CI527" s="410"/>
      <c r="CJ527" s="411"/>
      <c r="CK527" s="409"/>
      <c r="CL527" s="410"/>
      <c r="CM527" s="410"/>
      <c r="CN527" s="410"/>
      <c r="CO527" s="411"/>
      <c r="CP527" s="409"/>
      <c r="CQ527" s="410"/>
      <c r="CR527" s="410"/>
      <c r="CS527" s="410"/>
      <c r="CT527" s="411"/>
      <c r="CU527" s="415"/>
      <c r="CV527" s="416"/>
      <c r="CW527" s="416"/>
      <c r="CX527" s="416"/>
      <c r="CY527" s="417"/>
    </row>
    <row r="528" spans="1:103" ht="16.5">
      <c r="A528" s="435"/>
      <c r="B528" s="36"/>
      <c r="C528" s="199" t="str">
        <f t="shared" ca="1" si="10"/>
        <v/>
      </c>
      <c r="D528" s="479"/>
      <c r="E528" s="480"/>
      <c r="F528" s="480"/>
      <c r="G528" s="480"/>
      <c r="H528" s="480"/>
      <c r="I528" s="480"/>
      <c r="J528" s="480"/>
      <c r="K528" s="440"/>
      <c r="L528" s="441"/>
      <c r="M528" s="441"/>
      <c r="N528" s="441"/>
      <c r="O528" s="441"/>
      <c r="P528" s="441"/>
      <c r="Q528" s="441"/>
      <c r="R528" s="444"/>
      <c r="S528" s="445"/>
      <c r="T528" s="444"/>
      <c r="U528" s="445"/>
      <c r="V528" s="440"/>
      <c r="W528" s="441"/>
      <c r="X528" s="441"/>
      <c r="Y528" s="441"/>
      <c r="Z528" s="441"/>
      <c r="AA528" s="441"/>
      <c r="AB528" s="441"/>
      <c r="AC528" s="441"/>
      <c r="AD528" s="440"/>
      <c r="AE528" s="441"/>
      <c r="AF528" s="441"/>
      <c r="AG528" s="441"/>
      <c r="AH528" s="441"/>
      <c r="AI528" s="441"/>
      <c r="AJ528" s="441"/>
      <c r="AK528" s="450"/>
      <c r="AL528" s="440"/>
      <c r="AM528" s="441"/>
      <c r="AN528" s="441"/>
      <c r="AO528" s="441"/>
      <c r="AP528" s="441"/>
      <c r="AQ528" s="441"/>
      <c r="AR528" s="450"/>
      <c r="AS528" s="485"/>
      <c r="AT528" s="486"/>
      <c r="AU528" s="486"/>
      <c r="AV528" s="486"/>
      <c r="AW528" s="486"/>
      <c r="AX528" s="486"/>
      <c r="AY528" s="487"/>
      <c r="AZ528" s="462"/>
      <c r="BA528" s="463"/>
      <c r="BB528" s="61">
        <v>2</v>
      </c>
      <c r="BC528" s="418"/>
      <c r="BD528" s="419"/>
      <c r="BE528" s="419"/>
      <c r="BF528" s="420"/>
      <c r="BG528" s="421"/>
      <c r="BH528" s="422"/>
      <c r="BI528" s="195"/>
      <c r="BJ528" s="423"/>
      <c r="BK528" s="424"/>
      <c r="BL528" s="424"/>
      <c r="BM528" s="424"/>
      <c r="BN528" s="424"/>
      <c r="BO528" s="425"/>
      <c r="BP528" s="423"/>
      <c r="BQ528" s="424"/>
      <c r="BR528" s="424"/>
      <c r="BS528" s="424"/>
      <c r="BT528" s="424"/>
      <c r="BU528" s="425"/>
      <c r="BV528" s="423"/>
      <c r="BW528" s="424"/>
      <c r="BX528" s="424"/>
      <c r="BY528" s="424"/>
      <c r="BZ528" s="424"/>
      <c r="CA528" s="425"/>
      <c r="CB528" s="418"/>
      <c r="CC528" s="419"/>
      <c r="CD528" s="419"/>
      <c r="CE528" s="420"/>
      <c r="CF528" s="412"/>
      <c r="CG528" s="413"/>
      <c r="CH528" s="413"/>
      <c r="CI528" s="413"/>
      <c r="CJ528" s="414"/>
      <c r="CK528" s="412"/>
      <c r="CL528" s="413"/>
      <c r="CM528" s="413"/>
      <c r="CN528" s="413"/>
      <c r="CO528" s="414"/>
      <c r="CP528" s="412"/>
      <c r="CQ528" s="413"/>
      <c r="CR528" s="413"/>
      <c r="CS528" s="413"/>
      <c r="CT528" s="414"/>
      <c r="CU528" s="415"/>
      <c r="CV528" s="416"/>
      <c r="CW528" s="416"/>
      <c r="CX528" s="416"/>
      <c r="CY528" s="417"/>
    </row>
    <row r="529" spans="1:103" ht="16.5">
      <c r="A529" s="435"/>
      <c r="B529" s="36"/>
      <c r="C529" s="199" t="str">
        <f t="shared" ca="1" si="10"/>
        <v/>
      </c>
      <c r="D529" s="479"/>
      <c r="E529" s="480"/>
      <c r="F529" s="480"/>
      <c r="G529" s="480"/>
      <c r="H529" s="480"/>
      <c r="I529" s="480"/>
      <c r="J529" s="480"/>
      <c r="K529" s="440"/>
      <c r="L529" s="441"/>
      <c r="M529" s="441"/>
      <c r="N529" s="441"/>
      <c r="O529" s="441"/>
      <c r="P529" s="441"/>
      <c r="Q529" s="441"/>
      <c r="R529" s="444"/>
      <c r="S529" s="445"/>
      <c r="T529" s="444"/>
      <c r="U529" s="445"/>
      <c r="V529" s="440"/>
      <c r="W529" s="441"/>
      <c r="X529" s="441"/>
      <c r="Y529" s="441"/>
      <c r="Z529" s="441"/>
      <c r="AA529" s="441"/>
      <c r="AB529" s="441"/>
      <c r="AC529" s="441"/>
      <c r="AD529" s="440"/>
      <c r="AE529" s="441"/>
      <c r="AF529" s="441"/>
      <c r="AG529" s="441"/>
      <c r="AH529" s="441"/>
      <c r="AI529" s="441"/>
      <c r="AJ529" s="441"/>
      <c r="AK529" s="450"/>
      <c r="AL529" s="440"/>
      <c r="AM529" s="441"/>
      <c r="AN529" s="441"/>
      <c r="AO529" s="441"/>
      <c r="AP529" s="441"/>
      <c r="AQ529" s="441"/>
      <c r="AR529" s="450"/>
      <c r="AS529" s="485"/>
      <c r="AT529" s="486"/>
      <c r="AU529" s="486"/>
      <c r="AV529" s="486"/>
      <c r="AW529" s="486"/>
      <c r="AX529" s="486"/>
      <c r="AY529" s="487"/>
      <c r="AZ529" s="462"/>
      <c r="BA529" s="463"/>
      <c r="BB529" s="61">
        <v>3</v>
      </c>
      <c r="BC529" s="418"/>
      <c r="BD529" s="419"/>
      <c r="BE529" s="419"/>
      <c r="BF529" s="420"/>
      <c r="BG529" s="421"/>
      <c r="BH529" s="422"/>
      <c r="BI529" s="195"/>
      <c r="BJ529" s="423"/>
      <c r="BK529" s="424"/>
      <c r="BL529" s="424"/>
      <c r="BM529" s="424"/>
      <c r="BN529" s="424"/>
      <c r="BO529" s="425"/>
      <c r="BP529" s="423"/>
      <c r="BQ529" s="424"/>
      <c r="BR529" s="424"/>
      <c r="BS529" s="424"/>
      <c r="BT529" s="424"/>
      <c r="BU529" s="425"/>
      <c r="BV529" s="423"/>
      <c r="BW529" s="424"/>
      <c r="BX529" s="424"/>
      <c r="BY529" s="424"/>
      <c r="BZ529" s="424"/>
      <c r="CA529" s="425"/>
      <c r="CB529" s="418"/>
      <c r="CC529" s="419"/>
      <c r="CD529" s="419"/>
      <c r="CE529" s="420"/>
      <c r="CF529" s="412"/>
      <c r="CG529" s="413"/>
      <c r="CH529" s="413"/>
      <c r="CI529" s="413"/>
      <c r="CJ529" s="414"/>
      <c r="CK529" s="412"/>
      <c r="CL529" s="413"/>
      <c r="CM529" s="413"/>
      <c r="CN529" s="413"/>
      <c r="CO529" s="414"/>
      <c r="CP529" s="412"/>
      <c r="CQ529" s="413"/>
      <c r="CR529" s="413"/>
      <c r="CS529" s="413"/>
      <c r="CT529" s="414"/>
      <c r="CU529" s="415"/>
      <c r="CV529" s="416"/>
      <c r="CW529" s="416"/>
      <c r="CX529" s="416"/>
      <c r="CY529" s="417"/>
    </row>
    <row r="530" spans="1:103" ht="16.5">
      <c r="A530" s="435"/>
      <c r="B530" s="36"/>
      <c r="C530" s="199" t="str">
        <f t="shared" ca="1" si="10"/>
        <v/>
      </c>
      <c r="D530" s="479"/>
      <c r="E530" s="480"/>
      <c r="F530" s="480"/>
      <c r="G530" s="480"/>
      <c r="H530" s="480"/>
      <c r="I530" s="480"/>
      <c r="J530" s="480"/>
      <c r="K530" s="440"/>
      <c r="L530" s="441"/>
      <c r="M530" s="441"/>
      <c r="N530" s="441"/>
      <c r="O530" s="441"/>
      <c r="P530" s="441"/>
      <c r="Q530" s="441"/>
      <c r="R530" s="444"/>
      <c r="S530" s="445"/>
      <c r="T530" s="444"/>
      <c r="U530" s="445"/>
      <c r="V530" s="440"/>
      <c r="W530" s="441"/>
      <c r="X530" s="441"/>
      <c r="Y530" s="441"/>
      <c r="Z530" s="441"/>
      <c r="AA530" s="441"/>
      <c r="AB530" s="441"/>
      <c r="AC530" s="441"/>
      <c r="AD530" s="440"/>
      <c r="AE530" s="441"/>
      <c r="AF530" s="441"/>
      <c r="AG530" s="441"/>
      <c r="AH530" s="441"/>
      <c r="AI530" s="441"/>
      <c r="AJ530" s="441"/>
      <c r="AK530" s="450"/>
      <c r="AL530" s="440"/>
      <c r="AM530" s="441"/>
      <c r="AN530" s="441"/>
      <c r="AO530" s="441"/>
      <c r="AP530" s="441"/>
      <c r="AQ530" s="441"/>
      <c r="AR530" s="450"/>
      <c r="AS530" s="485"/>
      <c r="AT530" s="486"/>
      <c r="AU530" s="486"/>
      <c r="AV530" s="486"/>
      <c r="AW530" s="486"/>
      <c r="AX530" s="486"/>
      <c r="AY530" s="487"/>
      <c r="AZ530" s="462"/>
      <c r="BA530" s="463"/>
      <c r="BB530" s="61">
        <v>4</v>
      </c>
      <c r="BC530" s="418"/>
      <c r="BD530" s="419"/>
      <c r="BE530" s="419"/>
      <c r="BF530" s="420"/>
      <c r="BG530" s="421"/>
      <c r="BH530" s="422"/>
      <c r="BI530" s="195"/>
      <c r="BJ530" s="423"/>
      <c r="BK530" s="424"/>
      <c r="BL530" s="424"/>
      <c r="BM530" s="424"/>
      <c r="BN530" s="424"/>
      <c r="BO530" s="425"/>
      <c r="BP530" s="423"/>
      <c r="BQ530" s="424"/>
      <c r="BR530" s="424"/>
      <c r="BS530" s="424"/>
      <c r="BT530" s="424"/>
      <c r="BU530" s="425"/>
      <c r="BV530" s="423"/>
      <c r="BW530" s="424"/>
      <c r="BX530" s="424"/>
      <c r="BY530" s="424"/>
      <c r="BZ530" s="424"/>
      <c r="CA530" s="425"/>
      <c r="CB530" s="418"/>
      <c r="CC530" s="419"/>
      <c r="CD530" s="419"/>
      <c r="CE530" s="420"/>
      <c r="CF530" s="412"/>
      <c r="CG530" s="413"/>
      <c r="CH530" s="413"/>
      <c r="CI530" s="413"/>
      <c r="CJ530" s="414"/>
      <c r="CK530" s="412"/>
      <c r="CL530" s="413"/>
      <c r="CM530" s="413"/>
      <c r="CN530" s="413"/>
      <c r="CO530" s="414"/>
      <c r="CP530" s="412"/>
      <c r="CQ530" s="413"/>
      <c r="CR530" s="413"/>
      <c r="CS530" s="413"/>
      <c r="CT530" s="414"/>
      <c r="CU530" s="415"/>
      <c r="CV530" s="416"/>
      <c r="CW530" s="416"/>
      <c r="CX530" s="416"/>
      <c r="CY530" s="417"/>
    </row>
    <row r="531" spans="1:103" ht="16.5">
      <c r="A531" s="435"/>
      <c r="B531" s="36"/>
      <c r="C531" s="199" t="str">
        <f t="shared" ca="1" si="10"/>
        <v/>
      </c>
      <c r="D531" s="479"/>
      <c r="E531" s="480"/>
      <c r="F531" s="480"/>
      <c r="G531" s="480"/>
      <c r="H531" s="480"/>
      <c r="I531" s="480"/>
      <c r="J531" s="480"/>
      <c r="K531" s="440"/>
      <c r="L531" s="441"/>
      <c r="M531" s="441"/>
      <c r="N531" s="441"/>
      <c r="O531" s="441"/>
      <c r="P531" s="441"/>
      <c r="Q531" s="441"/>
      <c r="R531" s="444"/>
      <c r="S531" s="445"/>
      <c r="T531" s="444"/>
      <c r="U531" s="445"/>
      <c r="V531" s="440"/>
      <c r="W531" s="441"/>
      <c r="X531" s="441"/>
      <c r="Y531" s="441"/>
      <c r="Z531" s="441"/>
      <c r="AA531" s="441"/>
      <c r="AB531" s="441"/>
      <c r="AC531" s="441"/>
      <c r="AD531" s="440"/>
      <c r="AE531" s="441"/>
      <c r="AF531" s="441"/>
      <c r="AG531" s="441"/>
      <c r="AH531" s="441"/>
      <c r="AI531" s="441"/>
      <c r="AJ531" s="441"/>
      <c r="AK531" s="450"/>
      <c r="AL531" s="440"/>
      <c r="AM531" s="441"/>
      <c r="AN531" s="441"/>
      <c r="AO531" s="441"/>
      <c r="AP531" s="441"/>
      <c r="AQ531" s="441"/>
      <c r="AR531" s="450"/>
      <c r="AS531" s="485"/>
      <c r="AT531" s="486"/>
      <c r="AU531" s="486"/>
      <c r="AV531" s="486"/>
      <c r="AW531" s="486"/>
      <c r="AX531" s="486"/>
      <c r="AY531" s="487"/>
      <c r="AZ531" s="462"/>
      <c r="BA531" s="463"/>
      <c r="BB531" s="61">
        <v>5</v>
      </c>
      <c r="BC531" s="418"/>
      <c r="BD531" s="419"/>
      <c r="BE531" s="419"/>
      <c r="BF531" s="420"/>
      <c r="BG531" s="421"/>
      <c r="BH531" s="422"/>
      <c r="BI531" s="195"/>
      <c r="BJ531" s="423"/>
      <c r="BK531" s="424"/>
      <c r="BL531" s="424"/>
      <c r="BM531" s="424"/>
      <c r="BN531" s="424"/>
      <c r="BO531" s="425"/>
      <c r="BP531" s="423"/>
      <c r="BQ531" s="424"/>
      <c r="BR531" s="424"/>
      <c r="BS531" s="424"/>
      <c r="BT531" s="424"/>
      <c r="BU531" s="425"/>
      <c r="BV531" s="423"/>
      <c r="BW531" s="424"/>
      <c r="BX531" s="424"/>
      <c r="BY531" s="424"/>
      <c r="BZ531" s="424"/>
      <c r="CA531" s="425"/>
      <c r="CB531" s="418"/>
      <c r="CC531" s="419"/>
      <c r="CD531" s="419"/>
      <c r="CE531" s="420"/>
      <c r="CF531" s="412"/>
      <c r="CG531" s="413"/>
      <c r="CH531" s="413"/>
      <c r="CI531" s="413"/>
      <c r="CJ531" s="414"/>
      <c r="CK531" s="412"/>
      <c r="CL531" s="413"/>
      <c r="CM531" s="413"/>
      <c r="CN531" s="413"/>
      <c r="CO531" s="414"/>
      <c r="CP531" s="412"/>
      <c r="CQ531" s="413"/>
      <c r="CR531" s="413"/>
      <c r="CS531" s="413"/>
      <c r="CT531" s="414"/>
      <c r="CU531" s="415"/>
      <c r="CV531" s="416"/>
      <c r="CW531" s="416"/>
      <c r="CX531" s="416"/>
      <c r="CY531" s="417"/>
    </row>
    <row r="532" spans="1:103" ht="16.5">
      <c r="A532" s="436"/>
      <c r="B532" s="37"/>
      <c r="C532" s="200" t="str">
        <f t="shared" ca="1" si="10"/>
        <v/>
      </c>
      <c r="D532" s="481"/>
      <c r="E532" s="482"/>
      <c r="F532" s="482"/>
      <c r="G532" s="482"/>
      <c r="H532" s="482"/>
      <c r="I532" s="482"/>
      <c r="J532" s="482"/>
      <c r="K532" s="409"/>
      <c r="L532" s="410"/>
      <c r="M532" s="410"/>
      <c r="N532" s="410"/>
      <c r="O532" s="410"/>
      <c r="P532" s="410"/>
      <c r="Q532" s="410"/>
      <c r="R532" s="446"/>
      <c r="S532" s="447"/>
      <c r="T532" s="446"/>
      <c r="U532" s="447"/>
      <c r="V532" s="409"/>
      <c r="W532" s="410"/>
      <c r="X532" s="410"/>
      <c r="Y532" s="410"/>
      <c r="Z532" s="410"/>
      <c r="AA532" s="410"/>
      <c r="AB532" s="410"/>
      <c r="AC532" s="410"/>
      <c r="AD532" s="409"/>
      <c r="AE532" s="410"/>
      <c r="AF532" s="410"/>
      <c r="AG532" s="410"/>
      <c r="AH532" s="410"/>
      <c r="AI532" s="410"/>
      <c r="AJ532" s="410"/>
      <c r="AK532" s="411"/>
      <c r="AL532" s="409"/>
      <c r="AM532" s="410"/>
      <c r="AN532" s="410"/>
      <c r="AO532" s="410"/>
      <c r="AP532" s="410"/>
      <c r="AQ532" s="410"/>
      <c r="AR532" s="411"/>
      <c r="AS532" s="488"/>
      <c r="AT532" s="489"/>
      <c r="AU532" s="489"/>
      <c r="AV532" s="489"/>
      <c r="AW532" s="489"/>
      <c r="AX532" s="489"/>
      <c r="AY532" s="490"/>
      <c r="AZ532" s="464"/>
      <c r="BA532" s="465"/>
      <c r="BB532" s="62">
        <v>6</v>
      </c>
      <c r="BC532" s="426"/>
      <c r="BD532" s="427"/>
      <c r="BE532" s="427"/>
      <c r="BF532" s="428"/>
      <c r="BG532" s="429"/>
      <c r="BH532" s="430"/>
      <c r="BI532" s="196"/>
      <c r="BJ532" s="474"/>
      <c r="BK532" s="475"/>
      <c r="BL532" s="475"/>
      <c r="BM532" s="475"/>
      <c r="BN532" s="475"/>
      <c r="BO532" s="476"/>
      <c r="BP532" s="474"/>
      <c r="BQ532" s="475"/>
      <c r="BR532" s="475"/>
      <c r="BS532" s="475"/>
      <c r="BT532" s="475"/>
      <c r="BU532" s="476"/>
      <c r="BV532" s="474"/>
      <c r="BW532" s="475"/>
      <c r="BX532" s="475"/>
      <c r="BY532" s="475"/>
      <c r="BZ532" s="475"/>
      <c r="CA532" s="476"/>
      <c r="CB532" s="426"/>
      <c r="CC532" s="427"/>
      <c r="CD532" s="427"/>
      <c r="CE532" s="428"/>
      <c r="CF532" s="412"/>
      <c r="CG532" s="413"/>
      <c r="CH532" s="413"/>
      <c r="CI532" s="413"/>
      <c r="CJ532" s="414"/>
      <c r="CK532" s="412"/>
      <c r="CL532" s="413"/>
      <c r="CM532" s="413"/>
      <c r="CN532" s="413"/>
      <c r="CO532" s="414"/>
      <c r="CP532" s="412"/>
      <c r="CQ532" s="413"/>
      <c r="CR532" s="413"/>
      <c r="CS532" s="413"/>
      <c r="CT532" s="414"/>
      <c r="CU532" s="415"/>
      <c r="CV532" s="416"/>
      <c r="CW532" s="416"/>
      <c r="CX532" s="416"/>
      <c r="CY532" s="417"/>
    </row>
    <row r="533" spans="1:103" ht="16.5">
      <c r="A533" s="434">
        <v>88</v>
      </c>
      <c r="B533" s="36"/>
      <c r="C533" s="198" t="str">
        <f t="shared" ca="1" si="10"/>
        <v/>
      </c>
      <c r="D533" s="477"/>
      <c r="E533" s="478"/>
      <c r="F533" s="478"/>
      <c r="G533" s="478"/>
      <c r="H533" s="478"/>
      <c r="I533" s="478"/>
      <c r="J533" s="478"/>
      <c r="K533" s="438" t="s">
        <v>438</v>
      </c>
      <c r="L533" s="439"/>
      <c r="M533" s="439"/>
      <c r="N533" s="439"/>
      <c r="O533" s="439"/>
      <c r="P533" s="439"/>
      <c r="Q533" s="439"/>
      <c r="R533" s="442" t="s">
        <v>186</v>
      </c>
      <c r="S533" s="443"/>
      <c r="T533" s="442"/>
      <c r="U533" s="443"/>
      <c r="V533" s="438"/>
      <c r="W533" s="439"/>
      <c r="X533" s="439"/>
      <c r="Y533" s="439"/>
      <c r="Z533" s="439"/>
      <c r="AA533" s="439"/>
      <c r="AB533" s="439"/>
      <c r="AC533" s="439"/>
      <c r="AD533" s="438"/>
      <c r="AE533" s="439"/>
      <c r="AF533" s="439"/>
      <c r="AG533" s="439"/>
      <c r="AH533" s="439"/>
      <c r="AI533" s="439"/>
      <c r="AJ533" s="439"/>
      <c r="AK533" s="449"/>
      <c r="AL533" s="438"/>
      <c r="AM533" s="439"/>
      <c r="AN533" s="439"/>
      <c r="AO533" s="439"/>
      <c r="AP533" s="439"/>
      <c r="AQ533" s="439"/>
      <c r="AR533" s="449"/>
      <c r="AS533" s="500"/>
      <c r="AT533" s="483"/>
      <c r="AU533" s="483"/>
      <c r="AV533" s="483"/>
      <c r="AW533" s="483"/>
      <c r="AX533" s="483"/>
      <c r="AY533" s="484"/>
      <c r="AZ533" s="460"/>
      <c r="BA533" s="461"/>
      <c r="BB533" s="60">
        <v>1</v>
      </c>
      <c r="BC533" s="466"/>
      <c r="BD533" s="467"/>
      <c r="BE533" s="467"/>
      <c r="BF533" s="468"/>
      <c r="BG533" s="469"/>
      <c r="BH533" s="470"/>
      <c r="BI533" s="194"/>
      <c r="BJ533" s="471"/>
      <c r="BK533" s="472"/>
      <c r="BL533" s="472"/>
      <c r="BM533" s="472"/>
      <c r="BN533" s="472"/>
      <c r="BO533" s="473"/>
      <c r="BP533" s="471"/>
      <c r="BQ533" s="472"/>
      <c r="BR533" s="472"/>
      <c r="BS533" s="472"/>
      <c r="BT533" s="472"/>
      <c r="BU533" s="473"/>
      <c r="BV533" s="471"/>
      <c r="BW533" s="472"/>
      <c r="BX533" s="472"/>
      <c r="BY533" s="472"/>
      <c r="BZ533" s="472"/>
      <c r="CA533" s="473"/>
      <c r="CB533" s="466"/>
      <c r="CC533" s="467"/>
      <c r="CD533" s="467"/>
      <c r="CE533" s="468"/>
      <c r="CF533" s="409"/>
      <c r="CG533" s="410"/>
      <c r="CH533" s="410"/>
      <c r="CI533" s="410"/>
      <c r="CJ533" s="411"/>
      <c r="CK533" s="409"/>
      <c r="CL533" s="410"/>
      <c r="CM533" s="410"/>
      <c r="CN533" s="410"/>
      <c r="CO533" s="411"/>
      <c r="CP533" s="409"/>
      <c r="CQ533" s="410"/>
      <c r="CR533" s="410"/>
      <c r="CS533" s="410"/>
      <c r="CT533" s="411"/>
      <c r="CU533" s="415"/>
      <c r="CV533" s="416"/>
      <c r="CW533" s="416"/>
      <c r="CX533" s="416"/>
      <c r="CY533" s="417"/>
    </row>
    <row r="534" spans="1:103" ht="16.5">
      <c r="A534" s="435"/>
      <c r="B534" s="36"/>
      <c r="C534" s="199" t="str">
        <f t="shared" ca="1" si="10"/>
        <v/>
      </c>
      <c r="D534" s="479"/>
      <c r="E534" s="480"/>
      <c r="F534" s="480"/>
      <c r="G534" s="480"/>
      <c r="H534" s="480"/>
      <c r="I534" s="480"/>
      <c r="J534" s="480"/>
      <c r="K534" s="440"/>
      <c r="L534" s="441"/>
      <c r="M534" s="441"/>
      <c r="N534" s="441"/>
      <c r="O534" s="441"/>
      <c r="P534" s="441"/>
      <c r="Q534" s="441"/>
      <c r="R534" s="444"/>
      <c r="S534" s="445"/>
      <c r="T534" s="444"/>
      <c r="U534" s="445"/>
      <c r="V534" s="440"/>
      <c r="W534" s="441"/>
      <c r="X534" s="441"/>
      <c r="Y534" s="441"/>
      <c r="Z534" s="441"/>
      <c r="AA534" s="441"/>
      <c r="AB534" s="441"/>
      <c r="AC534" s="441"/>
      <c r="AD534" s="440"/>
      <c r="AE534" s="441"/>
      <c r="AF534" s="441"/>
      <c r="AG534" s="441"/>
      <c r="AH534" s="441"/>
      <c r="AI534" s="441"/>
      <c r="AJ534" s="441"/>
      <c r="AK534" s="450"/>
      <c r="AL534" s="440"/>
      <c r="AM534" s="441"/>
      <c r="AN534" s="441"/>
      <c r="AO534" s="441"/>
      <c r="AP534" s="441"/>
      <c r="AQ534" s="441"/>
      <c r="AR534" s="450"/>
      <c r="AS534" s="485"/>
      <c r="AT534" s="486"/>
      <c r="AU534" s="486"/>
      <c r="AV534" s="486"/>
      <c r="AW534" s="486"/>
      <c r="AX534" s="486"/>
      <c r="AY534" s="487"/>
      <c r="AZ534" s="462"/>
      <c r="BA534" s="463"/>
      <c r="BB534" s="61">
        <v>2</v>
      </c>
      <c r="BC534" s="418"/>
      <c r="BD534" s="419"/>
      <c r="BE534" s="419"/>
      <c r="BF534" s="420"/>
      <c r="BG534" s="421"/>
      <c r="BH534" s="422"/>
      <c r="BI534" s="195"/>
      <c r="BJ534" s="423"/>
      <c r="BK534" s="424"/>
      <c r="BL534" s="424"/>
      <c r="BM534" s="424"/>
      <c r="BN534" s="424"/>
      <c r="BO534" s="425"/>
      <c r="BP534" s="423"/>
      <c r="BQ534" s="424"/>
      <c r="BR534" s="424"/>
      <c r="BS534" s="424"/>
      <c r="BT534" s="424"/>
      <c r="BU534" s="425"/>
      <c r="BV534" s="423"/>
      <c r="BW534" s="424"/>
      <c r="BX534" s="424"/>
      <c r="BY534" s="424"/>
      <c r="BZ534" s="424"/>
      <c r="CA534" s="425"/>
      <c r="CB534" s="418"/>
      <c r="CC534" s="419"/>
      <c r="CD534" s="419"/>
      <c r="CE534" s="420"/>
      <c r="CF534" s="412"/>
      <c r="CG534" s="413"/>
      <c r="CH534" s="413"/>
      <c r="CI534" s="413"/>
      <c r="CJ534" s="414"/>
      <c r="CK534" s="412"/>
      <c r="CL534" s="413"/>
      <c r="CM534" s="413"/>
      <c r="CN534" s="413"/>
      <c r="CO534" s="414"/>
      <c r="CP534" s="412"/>
      <c r="CQ534" s="413"/>
      <c r="CR534" s="413"/>
      <c r="CS534" s="413"/>
      <c r="CT534" s="414"/>
      <c r="CU534" s="415"/>
      <c r="CV534" s="416"/>
      <c r="CW534" s="416"/>
      <c r="CX534" s="416"/>
      <c r="CY534" s="417"/>
    </row>
    <row r="535" spans="1:103" ht="16.5">
      <c r="A535" s="435"/>
      <c r="B535" s="36"/>
      <c r="C535" s="199" t="str">
        <f t="shared" ca="1" si="10"/>
        <v/>
      </c>
      <c r="D535" s="479"/>
      <c r="E535" s="480"/>
      <c r="F535" s="480"/>
      <c r="G535" s="480"/>
      <c r="H535" s="480"/>
      <c r="I535" s="480"/>
      <c r="J535" s="480"/>
      <c r="K535" s="440"/>
      <c r="L535" s="441"/>
      <c r="M535" s="441"/>
      <c r="N535" s="441"/>
      <c r="O535" s="441"/>
      <c r="P535" s="441"/>
      <c r="Q535" s="441"/>
      <c r="R535" s="444"/>
      <c r="S535" s="445"/>
      <c r="T535" s="444"/>
      <c r="U535" s="445"/>
      <c r="V535" s="440"/>
      <c r="W535" s="441"/>
      <c r="X535" s="441"/>
      <c r="Y535" s="441"/>
      <c r="Z535" s="441"/>
      <c r="AA535" s="441"/>
      <c r="AB535" s="441"/>
      <c r="AC535" s="441"/>
      <c r="AD535" s="440"/>
      <c r="AE535" s="441"/>
      <c r="AF535" s="441"/>
      <c r="AG535" s="441"/>
      <c r="AH535" s="441"/>
      <c r="AI535" s="441"/>
      <c r="AJ535" s="441"/>
      <c r="AK535" s="450"/>
      <c r="AL535" s="440"/>
      <c r="AM535" s="441"/>
      <c r="AN535" s="441"/>
      <c r="AO535" s="441"/>
      <c r="AP535" s="441"/>
      <c r="AQ535" s="441"/>
      <c r="AR535" s="450"/>
      <c r="AS535" s="485"/>
      <c r="AT535" s="486"/>
      <c r="AU535" s="486"/>
      <c r="AV535" s="486"/>
      <c r="AW535" s="486"/>
      <c r="AX535" s="486"/>
      <c r="AY535" s="487"/>
      <c r="AZ535" s="462"/>
      <c r="BA535" s="463"/>
      <c r="BB535" s="61">
        <v>3</v>
      </c>
      <c r="BC535" s="418"/>
      <c r="BD535" s="419"/>
      <c r="BE535" s="419"/>
      <c r="BF535" s="420"/>
      <c r="BG535" s="421"/>
      <c r="BH535" s="422"/>
      <c r="BI535" s="195"/>
      <c r="BJ535" s="423"/>
      <c r="BK535" s="424"/>
      <c r="BL535" s="424"/>
      <c r="BM535" s="424"/>
      <c r="BN535" s="424"/>
      <c r="BO535" s="425"/>
      <c r="BP535" s="423"/>
      <c r="BQ535" s="424"/>
      <c r="BR535" s="424"/>
      <c r="BS535" s="424"/>
      <c r="BT535" s="424"/>
      <c r="BU535" s="425"/>
      <c r="BV535" s="423"/>
      <c r="BW535" s="424"/>
      <c r="BX535" s="424"/>
      <c r="BY535" s="424"/>
      <c r="BZ535" s="424"/>
      <c r="CA535" s="425"/>
      <c r="CB535" s="418"/>
      <c r="CC535" s="419"/>
      <c r="CD535" s="419"/>
      <c r="CE535" s="420"/>
      <c r="CF535" s="412"/>
      <c r="CG535" s="413"/>
      <c r="CH535" s="413"/>
      <c r="CI535" s="413"/>
      <c r="CJ535" s="414"/>
      <c r="CK535" s="412"/>
      <c r="CL535" s="413"/>
      <c r="CM535" s="413"/>
      <c r="CN535" s="413"/>
      <c r="CO535" s="414"/>
      <c r="CP535" s="412"/>
      <c r="CQ535" s="413"/>
      <c r="CR535" s="413"/>
      <c r="CS535" s="413"/>
      <c r="CT535" s="414"/>
      <c r="CU535" s="415"/>
      <c r="CV535" s="416"/>
      <c r="CW535" s="416"/>
      <c r="CX535" s="416"/>
      <c r="CY535" s="417"/>
    </row>
    <row r="536" spans="1:103" ht="16.5">
      <c r="A536" s="435"/>
      <c r="B536" s="36"/>
      <c r="C536" s="199" t="str">
        <f t="shared" ca="1" si="10"/>
        <v/>
      </c>
      <c r="D536" s="479"/>
      <c r="E536" s="480"/>
      <c r="F536" s="480"/>
      <c r="G536" s="480"/>
      <c r="H536" s="480"/>
      <c r="I536" s="480"/>
      <c r="J536" s="480"/>
      <c r="K536" s="440"/>
      <c r="L536" s="441"/>
      <c r="M536" s="441"/>
      <c r="N536" s="441"/>
      <c r="O536" s="441"/>
      <c r="P536" s="441"/>
      <c r="Q536" s="441"/>
      <c r="R536" s="444"/>
      <c r="S536" s="445"/>
      <c r="T536" s="444"/>
      <c r="U536" s="445"/>
      <c r="V536" s="440"/>
      <c r="W536" s="441"/>
      <c r="X536" s="441"/>
      <c r="Y536" s="441"/>
      <c r="Z536" s="441"/>
      <c r="AA536" s="441"/>
      <c r="AB536" s="441"/>
      <c r="AC536" s="441"/>
      <c r="AD536" s="440"/>
      <c r="AE536" s="441"/>
      <c r="AF536" s="441"/>
      <c r="AG536" s="441"/>
      <c r="AH536" s="441"/>
      <c r="AI536" s="441"/>
      <c r="AJ536" s="441"/>
      <c r="AK536" s="450"/>
      <c r="AL536" s="440"/>
      <c r="AM536" s="441"/>
      <c r="AN536" s="441"/>
      <c r="AO536" s="441"/>
      <c r="AP536" s="441"/>
      <c r="AQ536" s="441"/>
      <c r="AR536" s="450"/>
      <c r="AS536" s="485"/>
      <c r="AT536" s="486"/>
      <c r="AU536" s="486"/>
      <c r="AV536" s="486"/>
      <c r="AW536" s="486"/>
      <c r="AX536" s="486"/>
      <c r="AY536" s="487"/>
      <c r="AZ536" s="462"/>
      <c r="BA536" s="463"/>
      <c r="BB536" s="61">
        <v>4</v>
      </c>
      <c r="BC536" s="418"/>
      <c r="BD536" s="419"/>
      <c r="BE536" s="419"/>
      <c r="BF536" s="420"/>
      <c r="BG536" s="421"/>
      <c r="BH536" s="422"/>
      <c r="BI536" s="195"/>
      <c r="BJ536" s="423"/>
      <c r="BK536" s="424"/>
      <c r="BL536" s="424"/>
      <c r="BM536" s="424"/>
      <c r="BN536" s="424"/>
      <c r="BO536" s="425"/>
      <c r="BP536" s="423"/>
      <c r="BQ536" s="424"/>
      <c r="BR536" s="424"/>
      <c r="BS536" s="424"/>
      <c r="BT536" s="424"/>
      <c r="BU536" s="425"/>
      <c r="BV536" s="423"/>
      <c r="BW536" s="424"/>
      <c r="BX536" s="424"/>
      <c r="BY536" s="424"/>
      <c r="BZ536" s="424"/>
      <c r="CA536" s="425"/>
      <c r="CB536" s="418"/>
      <c r="CC536" s="419"/>
      <c r="CD536" s="419"/>
      <c r="CE536" s="420"/>
      <c r="CF536" s="412"/>
      <c r="CG536" s="413"/>
      <c r="CH536" s="413"/>
      <c r="CI536" s="413"/>
      <c r="CJ536" s="414"/>
      <c r="CK536" s="412"/>
      <c r="CL536" s="413"/>
      <c r="CM536" s="413"/>
      <c r="CN536" s="413"/>
      <c r="CO536" s="414"/>
      <c r="CP536" s="412"/>
      <c r="CQ536" s="413"/>
      <c r="CR536" s="413"/>
      <c r="CS536" s="413"/>
      <c r="CT536" s="414"/>
      <c r="CU536" s="415"/>
      <c r="CV536" s="416"/>
      <c r="CW536" s="416"/>
      <c r="CX536" s="416"/>
      <c r="CY536" s="417"/>
    </row>
    <row r="537" spans="1:103" ht="16.5">
      <c r="A537" s="435"/>
      <c r="B537" s="36"/>
      <c r="C537" s="199" t="str">
        <f t="shared" ca="1" si="10"/>
        <v/>
      </c>
      <c r="D537" s="479"/>
      <c r="E537" s="480"/>
      <c r="F537" s="480"/>
      <c r="G537" s="480"/>
      <c r="H537" s="480"/>
      <c r="I537" s="480"/>
      <c r="J537" s="480"/>
      <c r="K537" s="440"/>
      <c r="L537" s="441"/>
      <c r="M537" s="441"/>
      <c r="N537" s="441"/>
      <c r="O537" s="441"/>
      <c r="P537" s="441"/>
      <c r="Q537" s="441"/>
      <c r="R537" s="444"/>
      <c r="S537" s="445"/>
      <c r="T537" s="444"/>
      <c r="U537" s="445"/>
      <c r="V537" s="440"/>
      <c r="W537" s="441"/>
      <c r="X537" s="441"/>
      <c r="Y537" s="441"/>
      <c r="Z537" s="441"/>
      <c r="AA537" s="441"/>
      <c r="AB537" s="441"/>
      <c r="AC537" s="441"/>
      <c r="AD537" s="440"/>
      <c r="AE537" s="441"/>
      <c r="AF537" s="441"/>
      <c r="AG537" s="441"/>
      <c r="AH537" s="441"/>
      <c r="AI537" s="441"/>
      <c r="AJ537" s="441"/>
      <c r="AK537" s="450"/>
      <c r="AL537" s="440"/>
      <c r="AM537" s="441"/>
      <c r="AN537" s="441"/>
      <c r="AO537" s="441"/>
      <c r="AP537" s="441"/>
      <c r="AQ537" s="441"/>
      <c r="AR537" s="450"/>
      <c r="AS537" s="485"/>
      <c r="AT537" s="486"/>
      <c r="AU537" s="486"/>
      <c r="AV537" s="486"/>
      <c r="AW537" s="486"/>
      <c r="AX537" s="486"/>
      <c r="AY537" s="487"/>
      <c r="AZ537" s="462"/>
      <c r="BA537" s="463"/>
      <c r="BB537" s="61">
        <v>5</v>
      </c>
      <c r="BC537" s="418"/>
      <c r="BD537" s="419"/>
      <c r="BE537" s="419"/>
      <c r="BF537" s="420"/>
      <c r="BG537" s="421"/>
      <c r="BH537" s="422"/>
      <c r="BI537" s="195"/>
      <c r="BJ537" s="423"/>
      <c r="BK537" s="424"/>
      <c r="BL537" s="424"/>
      <c r="BM537" s="424"/>
      <c r="BN537" s="424"/>
      <c r="BO537" s="425"/>
      <c r="BP537" s="423"/>
      <c r="BQ537" s="424"/>
      <c r="BR537" s="424"/>
      <c r="BS537" s="424"/>
      <c r="BT537" s="424"/>
      <c r="BU537" s="425"/>
      <c r="BV537" s="423"/>
      <c r="BW537" s="424"/>
      <c r="BX537" s="424"/>
      <c r="BY537" s="424"/>
      <c r="BZ537" s="424"/>
      <c r="CA537" s="425"/>
      <c r="CB537" s="418"/>
      <c r="CC537" s="419"/>
      <c r="CD537" s="419"/>
      <c r="CE537" s="420"/>
      <c r="CF537" s="412"/>
      <c r="CG537" s="413"/>
      <c r="CH537" s="413"/>
      <c r="CI537" s="413"/>
      <c r="CJ537" s="414"/>
      <c r="CK537" s="412"/>
      <c r="CL537" s="413"/>
      <c r="CM537" s="413"/>
      <c r="CN537" s="413"/>
      <c r="CO537" s="414"/>
      <c r="CP537" s="412"/>
      <c r="CQ537" s="413"/>
      <c r="CR537" s="413"/>
      <c r="CS537" s="413"/>
      <c r="CT537" s="414"/>
      <c r="CU537" s="415"/>
      <c r="CV537" s="416"/>
      <c r="CW537" s="416"/>
      <c r="CX537" s="416"/>
      <c r="CY537" s="417"/>
    </row>
    <row r="538" spans="1:103" ht="16.5">
      <c r="A538" s="436"/>
      <c r="B538" s="37"/>
      <c r="C538" s="200" t="str">
        <f t="shared" ca="1" si="10"/>
        <v/>
      </c>
      <c r="D538" s="481"/>
      <c r="E538" s="482"/>
      <c r="F538" s="482"/>
      <c r="G538" s="482"/>
      <c r="H538" s="482"/>
      <c r="I538" s="482"/>
      <c r="J538" s="482"/>
      <c r="K538" s="409"/>
      <c r="L538" s="410"/>
      <c r="M538" s="410"/>
      <c r="N538" s="410"/>
      <c r="O538" s="410"/>
      <c r="P538" s="410"/>
      <c r="Q538" s="410"/>
      <c r="R538" s="446"/>
      <c r="S538" s="447"/>
      <c r="T538" s="446"/>
      <c r="U538" s="447"/>
      <c r="V538" s="409"/>
      <c r="W538" s="410"/>
      <c r="X538" s="410"/>
      <c r="Y538" s="410"/>
      <c r="Z538" s="410"/>
      <c r="AA538" s="410"/>
      <c r="AB538" s="410"/>
      <c r="AC538" s="410"/>
      <c r="AD538" s="409"/>
      <c r="AE538" s="410"/>
      <c r="AF538" s="410"/>
      <c r="AG538" s="410"/>
      <c r="AH538" s="410"/>
      <c r="AI538" s="410"/>
      <c r="AJ538" s="410"/>
      <c r="AK538" s="411"/>
      <c r="AL538" s="409"/>
      <c r="AM538" s="410"/>
      <c r="AN538" s="410"/>
      <c r="AO538" s="410"/>
      <c r="AP538" s="410"/>
      <c r="AQ538" s="410"/>
      <c r="AR538" s="411"/>
      <c r="AS538" s="488"/>
      <c r="AT538" s="489"/>
      <c r="AU538" s="489"/>
      <c r="AV538" s="489"/>
      <c r="AW538" s="489"/>
      <c r="AX538" s="489"/>
      <c r="AY538" s="490"/>
      <c r="AZ538" s="464"/>
      <c r="BA538" s="465"/>
      <c r="BB538" s="62">
        <v>6</v>
      </c>
      <c r="BC538" s="426"/>
      <c r="BD538" s="427"/>
      <c r="BE538" s="427"/>
      <c r="BF538" s="428"/>
      <c r="BG538" s="429"/>
      <c r="BH538" s="430"/>
      <c r="BI538" s="196"/>
      <c r="BJ538" s="474"/>
      <c r="BK538" s="475"/>
      <c r="BL538" s="475"/>
      <c r="BM538" s="475"/>
      <c r="BN538" s="475"/>
      <c r="BO538" s="476"/>
      <c r="BP538" s="474"/>
      <c r="BQ538" s="475"/>
      <c r="BR538" s="475"/>
      <c r="BS538" s="475"/>
      <c r="BT538" s="475"/>
      <c r="BU538" s="476"/>
      <c r="BV538" s="474"/>
      <c r="BW538" s="475"/>
      <c r="BX538" s="475"/>
      <c r="BY538" s="475"/>
      <c r="BZ538" s="475"/>
      <c r="CA538" s="476"/>
      <c r="CB538" s="426"/>
      <c r="CC538" s="427"/>
      <c r="CD538" s="427"/>
      <c r="CE538" s="428"/>
      <c r="CF538" s="412"/>
      <c r="CG538" s="413"/>
      <c r="CH538" s="413"/>
      <c r="CI538" s="413"/>
      <c r="CJ538" s="414"/>
      <c r="CK538" s="412"/>
      <c r="CL538" s="413"/>
      <c r="CM538" s="413"/>
      <c r="CN538" s="413"/>
      <c r="CO538" s="414"/>
      <c r="CP538" s="412"/>
      <c r="CQ538" s="413"/>
      <c r="CR538" s="413"/>
      <c r="CS538" s="413"/>
      <c r="CT538" s="414"/>
      <c r="CU538" s="415"/>
      <c r="CV538" s="416"/>
      <c r="CW538" s="416"/>
      <c r="CX538" s="416"/>
      <c r="CY538" s="417"/>
    </row>
    <row r="539" spans="1:103" ht="16.5">
      <c r="A539" s="434">
        <v>89</v>
      </c>
      <c r="B539" s="36"/>
      <c r="C539" s="198" t="str">
        <f t="shared" ca="1" si="10"/>
        <v/>
      </c>
      <c r="D539" s="477"/>
      <c r="E539" s="478"/>
      <c r="F539" s="478"/>
      <c r="G539" s="478"/>
      <c r="H539" s="478"/>
      <c r="I539" s="478"/>
      <c r="J539" s="478"/>
      <c r="K539" s="438" t="s">
        <v>439</v>
      </c>
      <c r="L539" s="439"/>
      <c r="M539" s="439"/>
      <c r="N539" s="439"/>
      <c r="O539" s="439"/>
      <c r="P539" s="439"/>
      <c r="Q539" s="439"/>
      <c r="R539" s="442" t="s">
        <v>186</v>
      </c>
      <c r="S539" s="443"/>
      <c r="T539" s="442"/>
      <c r="U539" s="443"/>
      <c r="V539" s="438"/>
      <c r="W539" s="439"/>
      <c r="X539" s="439"/>
      <c r="Y539" s="439"/>
      <c r="Z539" s="439"/>
      <c r="AA539" s="439"/>
      <c r="AB539" s="439"/>
      <c r="AC539" s="439"/>
      <c r="AD539" s="438"/>
      <c r="AE539" s="439"/>
      <c r="AF539" s="439"/>
      <c r="AG539" s="439"/>
      <c r="AH539" s="439"/>
      <c r="AI539" s="439"/>
      <c r="AJ539" s="439"/>
      <c r="AK539" s="449"/>
      <c r="AL539" s="438"/>
      <c r="AM539" s="439"/>
      <c r="AN539" s="439"/>
      <c r="AO539" s="439"/>
      <c r="AP539" s="439"/>
      <c r="AQ539" s="439"/>
      <c r="AR539" s="449"/>
      <c r="AS539" s="500"/>
      <c r="AT539" s="483"/>
      <c r="AU539" s="483"/>
      <c r="AV539" s="483"/>
      <c r="AW539" s="483"/>
      <c r="AX539" s="483"/>
      <c r="AY539" s="484"/>
      <c r="AZ539" s="460"/>
      <c r="BA539" s="461"/>
      <c r="BB539" s="60">
        <v>1</v>
      </c>
      <c r="BC539" s="466"/>
      <c r="BD539" s="467"/>
      <c r="BE539" s="467"/>
      <c r="BF539" s="468"/>
      <c r="BG539" s="469"/>
      <c r="BH539" s="470"/>
      <c r="BI539" s="194"/>
      <c r="BJ539" s="471"/>
      <c r="BK539" s="472"/>
      <c r="BL539" s="472"/>
      <c r="BM539" s="472"/>
      <c r="BN539" s="472"/>
      <c r="BO539" s="473"/>
      <c r="BP539" s="471"/>
      <c r="BQ539" s="472"/>
      <c r="BR539" s="472"/>
      <c r="BS539" s="472"/>
      <c r="BT539" s="472"/>
      <c r="BU539" s="473"/>
      <c r="BV539" s="471"/>
      <c r="BW539" s="472"/>
      <c r="BX539" s="472"/>
      <c r="BY539" s="472"/>
      <c r="BZ539" s="472"/>
      <c r="CA539" s="473"/>
      <c r="CB539" s="466"/>
      <c r="CC539" s="467"/>
      <c r="CD539" s="467"/>
      <c r="CE539" s="468"/>
      <c r="CF539" s="409"/>
      <c r="CG539" s="410"/>
      <c r="CH539" s="410"/>
      <c r="CI539" s="410"/>
      <c r="CJ539" s="411"/>
      <c r="CK539" s="409"/>
      <c r="CL539" s="410"/>
      <c r="CM539" s="410"/>
      <c r="CN539" s="410"/>
      <c r="CO539" s="411"/>
      <c r="CP539" s="409"/>
      <c r="CQ539" s="410"/>
      <c r="CR539" s="410"/>
      <c r="CS539" s="410"/>
      <c r="CT539" s="411"/>
      <c r="CU539" s="415"/>
      <c r="CV539" s="416"/>
      <c r="CW539" s="416"/>
      <c r="CX539" s="416"/>
      <c r="CY539" s="417"/>
    </row>
    <row r="540" spans="1:103" ht="16.5">
      <c r="A540" s="435"/>
      <c r="B540" s="36"/>
      <c r="C540" s="199" t="str">
        <f t="shared" ca="1" si="10"/>
        <v/>
      </c>
      <c r="D540" s="479"/>
      <c r="E540" s="480"/>
      <c r="F540" s="480"/>
      <c r="G540" s="480"/>
      <c r="H540" s="480"/>
      <c r="I540" s="480"/>
      <c r="J540" s="480"/>
      <c r="K540" s="440"/>
      <c r="L540" s="441"/>
      <c r="M540" s="441"/>
      <c r="N540" s="441"/>
      <c r="O540" s="441"/>
      <c r="P540" s="441"/>
      <c r="Q540" s="441"/>
      <c r="R540" s="444"/>
      <c r="S540" s="445"/>
      <c r="T540" s="444"/>
      <c r="U540" s="445"/>
      <c r="V540" s="440"/>
      <c r="W540" s="441"/>
      <c r="X540" s="441"/>
      <c r="Y540" s="441"/>
      <c r="Z540" s="441"/>
      <c r="AA540" s="441"/>
      <c r="AB540" s="441"/>
      <c r="AC540" s="441"/>
      <c r="AD540" s="440"/>
      <c r="AE540" s="441"/>
      <c r="AF540" s="441"/>
      <c r="AG540" s="441"/>
      <c r="AH540" s="441"/>
      <c r="AI540" s="441"/>
      <c r="AJ540" s="441"/>
      <c r="AK540" s="450"/>
      <c r="AL540" s="440"/>
      <c r="AM540" s="441"/>
      <c r="AN540" s="441"/>
      <c r="AO540" s="441"/>
      <c r="AP540" s="441"/>
      <c r="AQ540" s="441"/>
      <c r="AR540" s="450"/>
      <c r="AS540" s="485"/>
      <c r="AT540" s="486"/>
      <c r="AU540" s="486"/>
      <c r="AV540" s="486"/>
      <c r="AW540" s="486"/>
      <c r="AX540" s="486"/>
      <c r="AY540" s="487"/>
      <c r="AZ540" s="462"/>
      <c r="BA540" s="463"/>
      <c r="BB540" s="61">
        <v>2</v>
      </c>
      <c r="BC540" s="418"/>
      <c r="BD540" s="419"/>
      <c r="BE540" s="419"/>
      <c r="BF540" s="420"/>
      <c r="BG540" s="421"/>
      <c r="BH540" s="422"/>
      <c r="BI540" s="195"/>
      <c r="BJ540" s="423"/>
      <c r="BK540" s="424"/>
      <c r="BL540" s="424"/>
      <c r="BM540" s="424"/>
      <c r="BN540" s="424"/>
      <c r="BO540" s="425"/>
      <c r="BP540" s="423"/>
      <c r="BQ540" s="424"/>
      <c r="BR540" s="424"/>
      <c r="BS540" s="424"/>
      <c r="BT540" s="424"/>
      <c r="BU540" s="425"/>
      <c r="BV540" s="423"/>
      <c r="BW540" s="424"/>
      <c r="BX540" s="424"/>
      <c r="BY540" s="424"/>
      <c r="BZ540" s="424"/>
      <c r="CA540" s="425"/>
      <c r="CB540" s="418"/>
      <c r="CC540" s="419"/>
      <c r="CD540" s="419"/>
      <c r="CE540" s="420"/>
      <c r="CF540" s="412"/>
      <c r="CG540" s="413"/>
      <c r="CH540" s="413"/>
      <c r="CI540" s="413"/>
      <c r="CJ540" s="414"/>
      <c r="CK540" s="412"/>
      <c r="CL540" s="413"/>
      <c r="CM540" s="413"/>
      <c r="CN540" s="413"/>
      <c r="CO540" s="414"/>
      <c r="CP540" s="412"/>
      <c r="CQ540" s="413"/>
      <c r="CR540" s="413"/>
      <c r="CS540" s="413"/>
      <c r="CT540" s="414"/>
      <c r="CU540" s="415"/>
      <c r="CV540" s="416"/>
      <c r="CW540" s="416"/>
      <c r="CX540" s="416"/>
      <c r="CY540" s="417"/>
    </row>
    <row r="541" spans="1:103" ht="16.5">
      <c r="A541" s="435"/>
      <c r="B541" s="36"/>
      <c r="C541" s="199" t="str">
        <f t="shared" ca="1" si="10"/>
        <v/>
      </c>
      <c r="D541" s="479"/>
      <c r="E541" s="480"/>
      <c r="F541" s="480"/>
      <c r="G541" s="480"/>
      <c r="H541" s="480"/>
      <c r="I541" s="480"/>
      <c r="J541" s="480"/>
      <c r="K541" s="440"/>
      <c r="L541" s="441"/>
      <c r="M541" s="441"/>
      <c r="N541" s="441"/>
      <c r="O541" s="441"/>
      <c r="P541" s="441"/>
      <c r="Q541" s="441"/>
      <c r="R541" s="444"/>
      <c r="S541" s="445"/>
      <c r="T541" s="444"/>
      <c r="U541" s="445"/>
      <c r="V541" s="440"/>
      <c r="W541" s="441"/>
      <c r="X541" s="441"/>
      <c r="Y541" s="441"/>
      <c r="Z541" s="441"/>
      <c r="AA541" s="441"/>
      <c r="AB541" s="441"/>
      <c r="AC541" s="441"/>
      <c r="AD541" s="440"/>
      <c r="AE541" s="441"/>
      <c r="AF541" s="441"/>
      <c r="AG541" s="441"/>
      <c r="AH541" s="441"/>
      <c r="AI541" s="441"/>
      <c r="AJ541" s="441"/>
      <c r="AK541" s="450"/>
      <c r="AL541" s="440"/>
      <c r="AM541" s="441"/>
      <c r="AN541" s="441"/>
      <c r="AO541" s="441"/>
      <c r="AP541" s="441"/>
      <c r="AQ541" s="441"/>
      <c r="AR541" s="450"/>
      <c r="AS541" s="485"/>
      <c r="AT541" s="486"/>
      <c r="AU541" s="486"/>
      <c r="AV541" s="486"/>
      <c r="AW541" s="486"/>
      <c r="AX541" s="486"/>
      <c r="AY541" s="487"/>
      <c r="AZ541" s="462"/>
      <c r="BA541" s="463"/>
      <c r="BB541" s="61">
        <v>3</v>
      </c>
      <c r="BC541" s="418"/>
      <c r="BD541" s="419"/>
      <c r="BE541" s="419"/>
      <c r="BF541" s="420"/>
      <c r="BG541" s="421"/>
      <c r="BH541" s="422"/>
      <c r="BI541" s="195"/>
      <c r="BJ541" s="423"/>
      <c r="BK541" s="424"/>
      <c r="BL541" s="424"/>
      <c r="BM541" s="424"/>
      <c r="BN541" s="424"/>
      <c r="BO541" s="425"/>
      <c r="BP541" s="423"/>
      <c r="BQ541" s="424"/>
      <c r="BR541" s="424"/>
      <c r="BS541" s="424"/>
      <c r="BT541" s="424"/>
      <c r="BU541" s="425"/>
      <c r="BV541" s="423"/>
      <c r="BW541" s="424"/>
      <c r="BX541" s="424"/>
      <c r="BY541" s="424"/>
      <c r="BZ541" s="424"/>
      <c r="CA541" s="425"/>
      <c r="CB541" s="418"/>
      <c r="CC541" s="419"/>
      <c r="CD541" s="419"/>
      <c r="CE541" s="420"/>
      <c r="CF541" s="412"/>
      <c r="CG541" s="413"/>
      <c r="CH541" s="413"/>
      <c r="CI541" s="413"/>
      <c r="CJ541" s="414"/>
      <c r="CK541" s="412"/>
      <c r="CL541" s="413"/>
      <c r="CM541" s="413"/>
      <c r="CN541" s="413"/>
      <c r="CO541" s="414"/>
      <c r="CP541" s="412"/>
      <c r="CQ541" s="413"/>
      <c r="CR541" s="413"/>
      <c r="CS541" s="413"/>
      <c r="CT541" s="414"/>
      <c r="CU541" s="415"/>
      <c r="CV541" s="416"/>
      <c r="CW541" s="416"/>
      <c r="CX541" s="416"/>
      <c r="CY541" s="417"/>
    </row>
    <row r="542" spans="1:103" ht="16.5">
      <c r="A542" s="435"/>
      <c r="B542" s="36"/>
      <c r="C542" s="199" t="str">
        <f t="shared" ca="1" si="10"/>
        <v/>
      </c>
      <c r="D542" s="479"/>
      <c r="E542" s="480"/>
      <c r="F542" s="480"/>
      <c r="G542" s="480"/>
      <c r="H542" s="480"/>
      <c r="I542" s="480"/>
      <c r="J542" s="480"/>
      <c r="K542" s="440"/>
      <c r="L542" s="441"/>
      <c r="M542" s="441"/>
      <c r="N542" s="441"/>
      <c r="O542" s="441"/>
      <c r="P542" s="441"/>
      <c r="Q542" s="441"/>
      <c r="R542" s="444"/>
      <c r="S542" s="445"/>
      <c r="T542" s="444"/>
      <c r="U542" s="445"/>
      <c r="V542" s="440"/>
      <c r="W542" s="441"/>
      <c r="X542" s="441"/>
      <c r="Y542" s="441"/>
      <c r="Z542" s="441"/>
      <c r="AA542" s="441"/>
      <c r="AB542" s="441"/>
      <c r="AC542" s="441"/>
      <c r="AD542" s="440"/>
      <c r="AE542" s="441"/>
      <c r="AF542" s="441"/>
      <c r="AG542" s="441"/>
      <c r="AH542" s="441"/>
      <c r="AI542" s="441"/>
      <c r="AJ542" s="441"/>
      <c r="AK542" s="450"/>
      <c r="AL542" s="440"/>
      <c r="AM542" s="441"/>
      <c r="AN542" s="441"/>
      <c r="AO542" s="441"/>
      <c r="AP542" s="441"/>
      <c r="AQ542" s="441"/>
      <c r="AR542" s="450"/>
      <c r="AS542" s="485"/>
      <c r="AT542" s="486"/>
      <c r="AU542" s="486"/>
      <c r="AV542" s="486"/>
      <c r="AW542" s="486"/>
      <c r="AX542" s="486"/>
      <c r="AY542" s="487"/>
      <c r="AZ542" s="462"/>
      <c r="BA542" s="463"/>
      <c r="BB542" s="61">
        <v>4</v>
      </c>
      <c r="BC542" s="418"/>
      <c r="BD542" s="419"/>
      <c r="BE542" s="419"/>
      <c r="BF542" s="420"/>
      <c r="BG542" s="421"/>
      <c r="BH542" s="422"/>
      <c r="BI542" s="195"/>
      <c r="BJ542" s="423"/>
      <c r="BK542" s="424"/>
      <c r="BL542" s="424"/>
      <c r="BM542" s="424"/>
      <c r="BN542" s="424"/>
      <c r="BO542" s="425"/>
      <c r="BP542" s="423"/>
      <c r="BQ542" s="424"/>
      <c r="BR542" s="424"/>
      <c r="BS542" s="424"/>
      <c r="BT542" s="424"/>
      <c r="BU542" s="425"/>
      <c r="BV542" s="423"/>
      <c r="BW542" s="424"/>
      <c r="BX542" s="424"/>
      <c r="BY542" s="424"/>
      <c r="BZ542" s="424"/>
      <c r="CA542" s="425"/>
      <c r="CB542" s="418"/>
      <c r="CC542" s="419"/>
      <c r="CD542" s="419"/>
      <c r="CE542" s="420"/>
      <c r="CF542" s="412"/>
      <c r="CG542" s="413"/>
      <c r="CH542" s="413"/>
      <c r="CI542" s="413"/>
      <c r="CJ542" s="414"/>
      <c r="CK542" s="412"/>
      <c r="CL542" s="413"/>
      <c r="CM542" s="413"/>
      <c r="CN542" s="413"/>
      <c r="CO542" s="414"/>
      <c r="CP542" s="412"/>
      <c r="CQ542" s="413"/>
      <c r="CR542" s="413"/>
      <c r="CS542" s="413"/>
      <c r="CT542" s="414"/>
      <c r="CU542" s="415"/>
      <c r="CV542" s="416"/>
      <c r="CW542" s="416"/>
      <c r="CX542" s="416"/>
      <c r="CY542" s="417"/>
    </row>
    <row r="543" spans="1:103" ht="16.5">
      <c r="A543" s="435"/>
      <c r="B543" s="36"/>
      <c r="C543" s="199" t="str">
        <f t="shared" ca="1" si="10"/>
        <v/>
      </c>
      <c r="D543" s="479"/>
      <c r="E543" s="480"/>
      <c r="F543" s="480"/>
      <c r="G543" s="480"/>
      <c r="H543" s="480"/>
      <c r="I543" s="480"/>
      <c r="J543" s="480"/>
      <c r="K543" s="440"/>
      <c r="L543" s="441"/>
      <c r="M543" s="441"/>
      <c r="N543" s="441"/>
      <c r="O543" s="441"/>
      <c r="P543" s="441"/>
      <c r="Q543" s="441"/>
      <c r="R543" s="444"/>
      <c r="S543" s="445"/>
      <c r="T543" s="444"/>
      <c r="U543" s="445"/>
      <c r="V543" s="440"/>
      <c r="W543" s="441"/>
      <c r="X543" s="441"/>
      <c r="Y543" s="441"/>
      <c r="Z543" s="441"/>
      <c r="AA543" s="441"/>
      <c r="AB543" s="441"/>
      <c r="AC543" s="441"/>
      <c r="AD543" s="440"/>
      <c r="AE543" s="441"/>
      <c r="AF543" s="441"/>
      <c r="AG543" s="441"/>
      <c r="AH543" s="441"/>
      <c r="AI543" s="441"/>
      <c r="AJ543" s="441"/>
      <c r="AK543" s="450"/>
      <c r="AL543" s="440"/>
      <c r="AM543" s="441"/>
      <c r="AN543" s="441"/>
      <c r="AO543" s="441"/>
      <c r="AP543" s="441"/>
      <c r="AQ543" s="441"/>
      <c r="AR543" s="450"/>
      <c r="AS543" s="485"/>
      <c r="AT543" s="486"/>
      <c r="AU543" s="486"/>
      <c r="AV543" s="486"/>
      <c r="AW543" s="486"/>
      <c r="AX543" s="486"/>
      <c r="AY543" s="487"/>
      <c r="AZ543" s="462"/>
      <c r="BA543" s="463"/>
      <c r="BB543" s="61">
        <v>5</v>
      </c>
      <c r="BC543" s="418"/>
      <c r="BD543" s="419"/>
      <c r="BE543" s="419"/>
      <c r="BF543" s="420"/>
      <c r="BG543" s="421"/>
      <c r="BH543" s="422"/>
      <c r="BI543" s="195"/>
      <c r="BJ543" s="423"/>
      <c r="BK543" s="424"/>
      <c r="BL543" s="424"/>
      <c r="BM543" s="424"/>
      <c r="BN543" s="424"/>
      <c r="BO543" s="425"/>
      <c r="BP543" s="423"/>
      <c r="BQ543" s="424"/>
      <c r="BR543" s="424"/>
      <c r="BS543" s="424"/>
      <c r="BT543" s="424"/>
      <c r="BU543" s="425"/>
      <c r="BV543" s="423"/>
      <c r="BW543" s="424"/>
      <c r="BX543" s="424"/>
      <c r="BY543" s="424"/>
      <c r="BZ543" s="424"/>
      <c r="CA543" s="425"/>
      <c r="CB543" s="418"/>
      <c r="CC543" s="419"/>
      <c r="CD543" s="419"/>
      <c r="CE543" s="420"/>
      <c r="CF543" s="412"/>
      <c r="CG543" s="413"/>
      <c r="CH543" s="413"/>
      <c r="CI543" s="413"/>
      <c r="CJ543" s="414"/>
      <c r="CK543" s="412"/>
      <c r="CL543" s="413"/>
      <c r="CM543" s="413"/>
      <c r="CN543" s="413"/>
      <c r="CO543" s="414"/>
      <c r="CP543" s="412"/>
      <c r="CQ543" s="413"/>
      <c r="CR543" s="413"/>
      <c r="CS543" s="413"/>
      <c r="CT543" s="414"/>
      <c r="CU543" s="415"/>
      <c r="CV543" s="416"/>
      <c r="CW543" s="416"/>
      <c r="CX543" s="416"/>
      <c r="CY543" s="417"/>
    </row>
    <row r="544" spans="1:103" ht="16.5">
      <c r="A544" s="436"/>
      <c r="B544" s="37"/>
      <c r="C544" s="200" t="str">
        <f t="shared" ca="1" si="10"/>
        <v/>
      </c>
      <c r="D544" s="481"/>
      <c r="E544" s="482"/>
      <c r="F544" s="482"/>
      <c r="G544" s="482"/>
      <c r="H544" s="482"/>
      <c r="I544" s="482"/>
      <c r="J544" s="482"/>
      <c r="K544" s="409"/>
      <c r="L544" s="410"/>
      <c r="M544" s="410"/>
      <c r="N544" s="410"/>
      <c r="O544" s="410"/>
      <c r="P544" s="410"/>
      <c r="Q544" s="410"/>
      <c r="R544" s="446"/>
      <c r="S544" s="447"/>
      <c r="T544" s="446"/>
      <c r="U544" s="447"/>
      <c r="V544" s="409"/>
      <c r="W544" s="410"/>
      <c r="X544" s="410"/>
      <c r="Y544" s="410"/>
      <c r="Z544" s="410"/>
      <c r="AA544" s="410"/>
      <c r="AB544" s="410"/>
      <c r="AC544" s="410"/>
      <c r="AD544" s="409"/>
      <c r="AE544" s="410"/>
      <c r="AF544" s="410"/>
      <c r="AG544" s="410"/>
      <c r="AH544" s="410"/>
      <c r="AI544" s="410"/>
      <c r="AJ544" s="410"/>
      <c r="AK544" s="411"/>
      <c r="AL544" s="409"/>
      <c r="AM544" s="410"/>
      <c r="AN544" s="410"/>
      <c r="AO544" s="410"/>
      <c r="AP544" s="410"/>
      <c r="AQ544" s="410"/>
      <c r="AR544" s="411"/>
      <c r="AS544" s="488"/>
      <c r="AT544" s="489"/>
      <c r="AU544" s="489"/>
      <c r="AV544" s="489"/>
      <c r="AW544" s="489"/>
      <c r="AX544" s="489"/>
      <c r="AY544" s="490"/>
      <c r="AZ544" s="464"/>
      <c r="BA544" s="465"/>
      <c r="BB544" s="62">
        <v>6</v>
      </c>
      <c r="BC544" s="426"/>
      <c r="BD544" s="427"/>
      <c r="BE544" s="427"/>
      <c r="BF544" s="428"/>
      <c r="BG544" s="429"/>
      <c r="BH544" s="430"/>
      <c r="BI544" s="196"/>
      <c r="BJ544" s="474"/>
      <c r="BK544" s="475"/>
      <c r="BL544" s="475"/>
      <c r="BM544" s="475"/>
      <c r="BN544" s="475"/>
      <c r="BO544" s="476"/>
      <c r="BP544" s="474"/>
      <c r="BQ544" s="475"/>
      <c r="BR544" s="475"/>
      <c r="BS544" s="475"/>
      <c r="BT544" s="475"/>
      <c r="BU544" s="476"/>
      <c r="BV544" s="474"/>
      <c r="BW544" s="475"/>
      <c r="BX544" s="475"/>
      <c r="BY544" s="475"/>
      <c r="BZ544" s="475"/>
      <c r="CA544" s="476"/>
      <c r="CB544" s="426"/>
      <c r="CC544" s="427"/>
      <c r="CD544" s="427"/>
      <c r="CE544" s="428"/>
      <c r="CF544" s="412"/>
      <c r="CG544" s="413"/>
      <c r="CH544" s="413"/>
      <c r="CI544" s="413"/>
      <c r="CJ544" s="414"/>
      <c r="CK544" s="412"/>
      <c r="CL544" s="413"/>
      <c r="CM544" s="413"/>
      <c r="CN544" s="413"/>
      <c r="CO544" s="414"/>
      <c r="CP544" s="412"/>
      <c r="CQ544" s="413"/>
      <c r="CR544" s="413"/>
      <c r="CS544" s="413"/>
      <c r="CT544" s="414"/>
      <c r="CU544" s="415"/>
      <c r="CV544" s="416"/>
      <c r="CW544" s="416"/>
      <c r="CX544" s="416"/>
      <c r="CY544" s="417"/>
    </row>
    <row r="545" spans="1:103" ht="16.5">
      <c r="A545" s="434">
        <v>90</v>
      </c>
      <c r="B545" s="36"/>
      <c r="C545" s="198" t="str">
        <f t="shared" ca="1" si="10"/>
        <v/>
      </c>
      <c r="D545" s="477" t="s">
        <v>440</v>
      </c>
      <c r="E545" s="478"/>
      <c r="F545" s="478"/>
      <c r="G545" s="478"/>
      <c r="H545" s="478"/>
      <c r="I545" s="478"/>
      <c r="J545" s="478"/>
      <c r="K545" s="438" t="s">
        <v>441</v>
      </c>
      <c r="L545" s="439"/>
      <c r="M545" s="439"/>
      <c r="N545" s="439"/>
      <c r="O545" s="439"/>
      <c r="P545" s="439"/>
      <c r="Q545" s="439"/>
      <c r="R545" s="442" t="s">
        <v>186</v>
      </c>
      <c r="S545" s="443"/>
      <c r="T545" s="442"/>
      <c r="U545" s="443"/>
      <c r="V545" s="438"/>
      <c r="W545" s="439"/>
      <c r="X545" s="439"/>
      <c r="Y545" s="439"/>
      <c r="Z545" s="439"/>
      <c r="AA545" s="439"/>
      <c r="AB545" s="439"/>
      <c r="AC545" s="439"/>
      <c r="AD545" s="438"/>
      <c r="AE545" s="439"/>
      <c r="AF545" s="439"/>
      <c r="AG545" s="439"/>
      <c r="AH545" s="439"/>
      <c r="AI545" s="439"/>
      <c r="AJ545" s="439"/>
      <c r="AK545" s="449"/>
      <c r="AL545" s="438"/>
      <c r="AM545" s="439"/>
      <c r="AN545" s="439"/>
      <c r="AO545" s="439"/>
      <c r="AP545" s="439"/>
      <c r="AQ545" s="439"/>
      <c r="AR545" s="449"/>
      <c r="AS545" s="500"/>
      <c r="AT545" s="483"/>
      <c r="AU545" s="483"/>
      <c r="AV545" s="483"/>
      <c r="AW545" s="483"/>
      <c r="AX545" s="483"/>
      <c r="AY545" s="484"/>
      <c r="AZ545" s="460"/>
      <c r="BA545" s="461"/>
      <c r="BB545" s="60">
        <v>1</v>
      </c>
      <c r="BC545" s="466"/>
      <c r="BD545" s="467"/>
      <c r="BE545" s="467"/>
      <c r="BF545" s="468"/>
      <c r="BG545" s="469"/>
      <c r="BH545" s="470"/>
      <c r="BI545" s="194"/>
      <c r="BJ545" s="471"/>
      <c r="BK545" s="472"/>
      <c r="BL545" s="472"/>
      <c r="BM545" s="472"/>
      <c r="BN545" s="472"/>
      <c r="BO545" s="473"/>
      <c r="BP545" s="471"/>
      <c r="BQ545" s="472"/>
      <c r="BR545" s="472"/>
      <c r="BS545" s="472"/>
      <c r="BT545" s="472"/>
      <c r="BU545" s="473"/>
      <c r="BV545" s="471"/>
      <c r="BW545" s="472"/>
      <c r="BX545" s="472"/>
      <c r="BY545" s="472"/>
      <c r="BZ545" s="472"/>
      <c r="CA545" s="473"/>
      <c r="CB545" s="466"/>
      <c r="CC545" s="467"/>
      <c r="CD545" s="467"/>
      <c r="CE545" s="468"/>
      <c r="CF545" s="409"/>
      <c r="CG545" s="410"/>
      <c r="CH545" s="410"/>
      <c r="CI545" s="410"/>
      <c r="CJ545" s="411"/>
      <c r="CK545" s="409"/>
      <c r="CL545" s="410"/>
      <c r="CM545" s="410"/>
      <c r="CN545" s="410"/>
      <c r="CO545" s="411"/>
      <c r="CP545" s="409"/>
      <c r="CQ545" s="410"/>
      <c r="CR545" s="410"/>
      <c r="CS545" s="410"/>
      <c r="CT545" s="411"/>
      <c r="CU545" s="415"/>
      <c r="CV545" s="416"/>
      <c r="CW545" s="416"/>
      <c r="CX545" s="416"/>
      <c r="CY545" s="417"/>
    </row>
    <row r="546" spans="1:103" ht="16.5">
      <c r="A546" s="435"/>
      <c r="B546" s="36"/>
      <c r="C546" s="199" t="str">
        <f t="shared" ca="1" si="10"/>
        <v/>
      </c>
      <c r="D546" s="479"/>
      <c r="E546" s="480"/>
      <c r="F546" s="480"/>
      <c r="G546" s="480"/>
      <c r="H546" s="480"/>
      <c r="I546" s="480"/>
      <c r="J546" s="480"/>
      <c r="K546" s="440"/>
      <c r="L546" s="441"/>
      <c r="M546" s="441"/>
      <c r="N546" s="441"/>
      <c r="O546" s="441"/>
      <c r="P546" s="441"/>
      <c r="Q546" s="441"/>
      <c r="R546" s="444"/>
      <c r="S546" s="445"/>
      <c r="T546" s="444"/>
      <c r="U546" s="445"/>
      <c r="V546" s="440"/>
      <c r="W546" s="441"/>
      <c r="X546" s="441"/>
      <c r="Y546" s="441"/>
      <c r="Z546" s="441"/>
      <c r="AA546" s="441"/>
      <c r="AB546" s="441"/>
      <c r="AC546" s="441"/>
      <c r="AD546" s="440"/>
      <c r="AE546" s="441"/>
      <c r="AF546" s="441"/>
      <c r="AG546" s="441"/>
      <c r="AH546" s="441"/>
      <c r="AI546" s="441"/>
      <c r="AJ546" s="441"/>
      <c r="AK546" s="450"/>
      <c r="AL546" s="440"/>
      <c r="AM546" s="441"/>
      <c r="AN546" s="441"/>
      <c r="AO546" s="441"/>
      <c r="AP546" s="441"/>
      <c r="AQ546" s="441"/>
      <c r="AR546" s="450"/>
      <c r="AS546" s="485"/>
      <c r="AT546" s="486"/>
      <c r="AU546" s="486"/>
      <c r="AV546" s="486"/>
      <c r="AW546" s="486"/>
      <c r="AX546" s="486"/>
      <c r="AY546" s="487"/>
      <c r="AZ546" s="462"/>
      <c r="BA546" s="463"/>
      <c r="BB546" s="61">
        <v>2</v>
      </c>
      <c r="BC546" s="418"/>
      <c r="BD546" s="419"/>
      <c r="BE546" s="419"/>
      <c r="BF546" s="420"/>
      <c r="BG546" s="421"/>
      <c r="BH546" s="422"/>
      <c r="BI546" s="195"/>
      <c r="BJ546" s="423"/>
      <c r="BK546" s="424"/>
      <c r="BL546" s="424"/>
      <c r="BM546" s="424"/>
      <c r="BN546" s="424"/>
      <c r="BO546" s="425"/>
      <c r="BP546" s="423"/>
      <c r="BQ546" s="424"/>
      <c r="BR546" s="424"/>
      <c r="BS546" s="424"/>
      <c r="BT546" s="424"/>
      <c r="BU546" s="425"/>
      <c r="BV546" s="423"/>
      <c r="BW546" s="424"/>
      <c r="BX546" s="424"/>
      <c r="BY546" s="424"/>
      <c r="BZ546" s="424"/>
      <c r="CA546" s="425"/>
      <c r="CB546" s="418"/>
      <c r="CC546" s="419"/>
      <c r="CD546" s="419"/>
      <c r="CE546" s="420"/>
      <c r="CF546" s="412"/>
      <c r="CG546" s="413"/>
      <c r="CH546" s="413"/>
      <c r="CI546" s="413"/>
      <c r="CJ546" s="414"/>
      <c r="CK546" s="412"/>
      <c r="CL546" s="413"/>
      <c r="CM546" s="413"/>
      <c r="CN546" s="413"/>
      <c r="CO546" s="414"/>
      <c r="CP546" s="412"/>
      <c r="CQ546" s="413"/>
      <c r="CR546" s="413"/>
      <c r="CS546" s="413"/>
      <c r="CT546" s="414"/>
      <c r="CU546" s="415"/>
      <c r="CV546" s="416"/>
      <c r="CW546" s="416"/>
      <c r="CX546" s="416"/>
      <c r="CY546" s="417"/>
    </row>
    <row r="547" spans="1:103" ht="16.5">
      <c r="A547" s="435"/>
      <c r="B547" s="36"/>
      <c r="C547" s="199" t="str">
        <f t="shared" ca="1" si="10"/>
        <v/>
      </c>
      <c r="D547" s="479"/>
      <c r="E547" s="480"/>
      <c r="F547" s="480"/>
      <c r="G547" s="480"/>
      <c r="H547" s="480"/>
      <c r="I547" s="480"/>
      <c r="J547" s="480"/>
      <c r="K547" s="440"/>
      <c r="L547" s="441"/>
      <c r="M547" s="441"/>
      <c r="N547" s="441"/>
      <c r="O547" s="441"/>
      <c r="P547" s="441"/>
      <c r="Q547" s="441"/>
      <c r="R547" s="444"/>
      <c r="S547" s="445"/>
      <c r="T547" s="444"/>
      <c r="U547" s="445"/>
      <c r="V547" s="440"/>
      <c r="W547" s="441"/>
      <c r="X547" s="441"/>
      <c r="Y547" s="441"/>
      <c r="Z547" s="441"/>
      <c r="AA547" s="441"/>
      <c r="AB547" s="441"/>
      <c r="AC547" s="441"/>
      <c r="AD547" s="440"/>
      <c r="AE547" s="441"/>
      <c r="AF547" s="441"/>
      <c r="AG547" s="441"/>
      <c r="AH547" s="441"/>
      <c r="AI547" s="441"/>
      <c r="AJ547" s="441"/>
      <c r="AK547" s="450"/>
      <c r="AL547" s="440"/>
      <c r="AM547" s="441"/>
      <c r="AN547" s="441"/>
      <c r="AO547" s="441"/>
      <c r="AP547" s="441"/>
      <c r="AQ547" s="441"/>
      <c r="AR547" s="450"/>
      <c r="AS547" s="485"/>
      <c r="AT547" s="486"/>
      <c r="AU547" s="486"/>
      <c r="AV547" s="486"/>
      <c r="AW547" s="486"/>
      <c r="AX547" s="486"/>
      <c r="AY547" s="487"/>
      <c r="AZ547" s="462"/>
      <c r="BA547" s="463"/>
      <c r="BB547" s="61">
        <v>3</v>
      </c>
      <c r="BC547" s="418"/>
      <c r="BD547" s="419"/>
      <c r="BE547" s="419"/>
      <c r="BF547" s="420"/>
      <c r="BG547" s="421"/>
      <c r="BH547" s="422"/>
      <c r="BI547" s="195"/>
      <c r="BJ547" s="423"/>
      <c r="BK547" s="424"/>
      <c r="BL547" s="424"/>
      <c r="BM547" s="424"/>
      <c r="BN547" s="424"/>
      <c r="BO547" s="425"/>
      <c r="BP547" s="423"/>
      <c r="BQ547" s="424"/>
      <c r="BR547" s="424"/>
      <c r="BS547" s="424"/>
      <c r="BT547" s="424"/>
      <c r="BU547" s="425"/>
      <c r="BV547" s="423"/>
      <c r="BW547" s="424"/>
      <c r="BX547" s="424"/>
      <c r="BY547" s="424"/>
      <c r="BZ547" s="424"/>
      <c r="CA547" s="425"/>
      <c r="CB547" s="418"/>
      <c r="CC547" s="419"/>
      <c r="CD547" s="419"/>
      <c r="CE547" s="420"/>
      <c r="CF547" s="412"/>
      <c r="CG547" s="413"/>
      <c r="CH547" s="413"/>
      <c r="CI547" s="413"/>
      <c r="CJ547" s="414"/>
      <c r="CK547" s="412"/>
      <c r="CL547" s="413"/>
      <c r="CM547" s="413"/>
      <c r="CN547" s="413"/>
      <c r="CO547" s="414"/>
      <c r="CP547" s="412"/>
      <c r="CQ547" s="413"/>
      <c r="CR547" s="413"/>
      <c r="CS547" s="413"/>
      <c r="CT547" s="414"/>
      <c r="CU547" s="415"/>
      <c r="CV547" s="416"/>
      <c r="CW547" s="416"/>
      <c r="CX547" s="416"/>
      <c r="CY547" s="417"/>
    </row>
    <row r="548" spans="1:103" ht="16.5">
      <c r="A548" s="435"/>
      <c r="B548" s="36"/>
      <c r="C548" s="199" t="str">
        <f t="shared" ca="1" si="10"/>
        <v/>
      </c>
      <c r="D548" s="479"/>
      <c r="E548" s="480"/>
      <c r="F548" s="480"/>
      <c r="G548" s="480"/>
      <c r="H548" s="480"/>
      <c r="I548" s="480"/>
      <c r="J548" s="480"/>
      <c r="K548" s="440"/>
      <c r="L548" s="441"/>
      <c r="M548" s="441"/>
      <c r="N548" s="441"/>
      <c r="O548" s="441"/>
      <c r="P548" s="441"/>
      <c r="Q548" s="441"/>
      <c r="R548" s="444"/>
      <c r="S548" s="445"/>
      <c r="T548" s="444"/>
      <c r="U548" s="445"/>
      <c r="V548" s="440"/>
      <c r="W548" s="441"/>
      <c r="X548" s="441"/>
      <c r="Y548" s="441"/>
      <c r="Z548" s="441"/>
      <c r="AA548" s="441"/>
      <c r="AB548" s="441"/>
      <c r="AC548" s="441"/>
      <c r="AD548" s="440"/>
      <c r="AE548" s="441"/>
      <c r="AF548" s="441"/>
      <c r="AG548" s="441"/>
      <c r="AH548" s="441"/>
      <c r="AI548" s="441"/>
      <c r="AJ548" s="441"/>
      <c r="AK548" s="450"/>
      <c r="AL548" s="440"/>
      <c r="AM548" s="441"/>
      <c r="AN548" s="441"/>
      <c r="AO548" s="441"/>
      <c r="AP548" s="441"/>
      <c r="AQ548" s="441"/>
      <c r="AR548" s="450"/>
      <c r="AS548" s="485"/>
      <c r="AT548" s="486"/>
      <c r="AU548" s="486"/>
      <c r="AV548" s="486"/>
      <c r="AW548" s="486"/>
      <c r="AX548" s="486"/>
      <c r="AY548" s="487"/>
      <c r="AZ548" s="462"/>
      <c r="BA548" s="463"/>
      <c r="BB548" s="61">
        <v>4</v>
      </c>
      <c r="BC548" s="418"/>
      <c r="BD548" s="419"/>
      <c r="BE548" s="419"/>
      <c r="BF548" s="420"/>
      <c r="BG548" s="421"/>
      <c r="BH548" s="422"/>
      <c r="BI548" s="195"/>
      <c r="BJ548" s="423"/>
      <c r="BK548" s="424"/>
      <c r="BL548" s="424"/>
      <c r="BM548" s="424"/>
      <c r="BN548" s="424"/>
      <c r="BO548" s="425"/>
      <c r="BP548" s="423"/>
      <c r="BQ548" s="424"/>
      <c r="BR548" s="424"/>
      <c r="BS548" s="424"/>
      <c r="BT548" s="424"/>
      <c r="BU548" s="425"/>
      <c r="BV548" s="423"/>
      <c r="BW548" s="424"/>
      <c r="BX548" s="424"/>
      <c r="BY548" s="424"/>
      <c r="BZ548" s="424"/>
      <c r="CA548" s="425"/>
      <c r="CB548" s="418"/>
      <c r="CC548" s="419"/>
      <c r="CD548" s="419"/>
      <c r="CE548" s="420"/>
      <c r="CF548" s="412"/>
      <c r="CG548" s="413"/>
      <c r="CH548" s="413"/>
      <c r="CI548" s="413"/>
      <c r="CJ548" s="414"/>
      <c r="CK548" s="412"/>
      <c r="CL548" s="413"/>
      <c r="CM548" s="413"/>
      <c r="CN548" s="413"/>
      <c r="CO548" s="414"/>
      <c r="CP548" s="412"/>
      <c r="CQ548" s="413"/>
      <c r="CR548" s="413"/>
      <c r="CS548" s="413"/>
      <c r="CT548" s="414"/>
      <c r="CU548" s="415"/>
      <c r="CV548" s="416"/>
      <c r="CW548" s="416"/>
      <c r="CX548" s="416"/>
      <c r="CY548" s="417"/>
    </row>
    <row r="549" spans="1:103" ht="16.5">
      <c r="A549" s="435"/>
      <c r="B549" s="36"/>
      <c r="C549" s="199" t="str">
        <f t="shared" ca="1" si="10"/>
        <v/>
      </c>
      <c r="D549" s="479"/>
      <c r="E549" s="480"/>
      <c r="F549" s="480"/>
      <c r="G549" s="480"/>
      <c r="H549" s="480"/>
      <c r="I549" s="480"/>
      <c r="J549" s="480"/>
      <c r="K549" s="440"/>
      <c r="L549" s="441"/>
      <c r="M549" s="441"/>
      <c r="N549" s="441"/>
      <c r="O549" s="441"/>
      <c r="P549" s="441"/>
      <c r="Q549" s="441"/>
      <c r="R549" s="444"/>
      <c r="S549" s="445"/>
      <c r="T549" s="444"/>
      <c r="U549" s="445"/>
      <c r="V549" s="440"/>
      <c r="W549" s="441"/>
      <c r="X549" s="441"/>
      <c r="Y549" s="441"/>
      <c r="Z549" s="441"/>
      <c r="AA549" s="441"/>
      <c r="AB549" s="441"/>
      <c r="AC549" s="441"/>
      <c r="AD549" s="440"/>
      <c r="AE549" s="441"/>
      <c r="AF549" s="441"/>
      <c r="AG549" s="441"/>
      <c r="AH549" s="441"/>
      <c r="AI549" s="441"/>
      <c r="AJ549" s="441"/>
      <c r="AK549" s="450"/>
      <c r="AL549" s="440"/>
      <c r="AM549" s="441"/>
      <c r="AN549" s="441"/>
      <c r="AO549" s="441"/>
      <c r="AP549" s="441"/>
      <c r="AQ549" s="441"/>
      <c r="AR549" s="450"/>
      <c r="AS549" s="485"/>
      <c r="AT549" s="486"/>
      <c r="AU549" s="486"/>
      <c r="AV549" s="486"/>
      <c r="AW549" s="486"/>
      <c r="AX549" s="486"/>
      <c r="AY549" s="487"/>
      <c r="AZ549" s="462"/>
      <c r="BA549" s="463"/>
      <c r="BB549" s="61">
        <v>5</v>
      </c>
      <c r="BC549" s="418"/>
      <c r="BD549" s="419"/>
      <c r="BE549" s="419"/>
      <c r="BF549" s="420"/>
      <c r="BG549" s="421"/>
      <c r="BH549" s="422"/>
      <c r="BI549" s="195"/>
      <c r="BJ549" s="423"/>
      <c r="BK549" s="424"/>
      <c r="BL549" s="424"/>
      <c r="BM549" s="424"/>
      <c r="BN549" s="424"/>
      <c r="BO549" s="425"/>
      <c r="BP549" s="423"/>
      <c r="BQ549" s="424"/>
      <c r="BR549" s="424"/>
      <c r="BS549" s="424"/>
      <c r="BT549" s="424"/>
      <c r="BU549" s="425"/>
      <c r="BV549" s="423"/>
      <c r="BW549" s="424"/>
      <c r="BX549" s="424"/>
      <c r="BY549" s="424"/>
      <c r="BZ549" s="424"/>
      <c r="CA549" s="425"/>
      <c r="CB549" s="418"/>
      <c r="CC549" s="419"/>
      <c r="CD549" s="419"/>
      <c r="CE549" s="420"/>
      <c r="CF549" s="412"/>
      <c r="CG549" s="413"/>
      <c r="CH549" s="413"/>
      <c r="CI549" s="413"/>
      <c r="CJ549" s="414"/>
      <c r="CK549" s="412"/>
      <c r="CL549" s="413"/>
      <c r="CM549" s="413"/>
      <c r="CN549" s="413"/>
      <c r="CO549" s="414"/>
      <c r="CP549" s="412"/>
      <c r="CQ549" s="413"/>
      <c r="CR549" s="413"/>
      <c r="CS549" s="413"/>
      <c r="CT549" s="414"/>
      <c r="CU549" s="415"/>
      <c r="CV549" s="416"/>
      <c r="CW549" s="416"/>
      <c r="CX549" s="416"/>
      <c r="CY549" s="417"/>
    </row>
    <row r="550" spans="1:103" ht="16.5">
      <c r="A550" s="436"/>
      <c r="B550" s="37"/>
      <c r="C550" s="200" t="str">
        <f t="shared" ca="1" si="10"/>
        <v/>
      </c>
      <c r="D550" s="481"/>
      <c r="E550" s="482"/>
      <c r="F550" s="482"/>
      <c r="G550" s="482"/>
      <c r="H550" s="482"/>
      <c r="I550" s="482"/>
      <c r="J550" s="482"/>
      <c r="K550" s="409"/>
      <c r="L550" s="410"/>
      <c r="M550" s="410"/>
      <c r="N550" s="410"/>
      <c r="O550" s="410"/>
      <c r="P550" s="410"/>
      <c r="Q550" s="410"/>
      <c r="R550" s="446"/>
      <c r="S550" s="447"/>
      <c r="T550" s="446"/>
      <c r="U550" s="447"/>
      <c r="V550" s="409"/>
      <c r="W550" s="410"/>
      <c r="X550" s="410"/>
      <c r="Y550" s="410"/>
      <c r="Z550" s="410"/>
      <c r="AA550" s="410"/>
      <c r="AB550" s="410"/>
      <c r="AC550" s="410"/>
      <c r="AD550" s="409"/>
      <c r="AE550" s="410"/>
      <c r="AF550" s="410"/>
      <c r="AG550" s="410"/>
      <c r="AH550" s="410"/>
      <c r="AI550" s="410"/>
      <c r="AJ550" s="410"/>
      <c r="AK550" s="411"/>
      <c r="AL550" s="409"/>
      <c r="AM550" s="410"/>
      <c r="AN550" s="410"/>
      <c r="AO550" s="410"/>
      <c r="AP550" s="410"/>
      <c r="AQ550" s="410"/>
      <c r="AR550" s="411"/>
      <c r="AS550" s="488"/>
      <c r="AT550" s="489"/>
      <c r="AU550" s="489"/>
      <c r="AV550" s="489"/>
      <c r="AW550" s="489"/>
      <c r="AX550" s="489"/>
      <c r="AY550" s="490"/>
      <c r="AZ550" s="464"/>
      <c r="BA550" s="465"/>
      <c r="BB550" s="62">
        <v>6</v>
      </c>
      <c r="BC550" s="426"/>
      <c r="BD550" s="427"/>
      <c r="BE550" s="427"/>
      <c r="BF550" s="428"/>
      <c r="BG550" s="429"/>
      <c r="BH550" s="430"/>
      <c r="BI550" s="196"/>
      <c r="BJ550" s="474"/>
      <c r="BK550" s="475"/>
      <c r="BL550" s="475"/>
      <c r="BM550" s="475"/>
      <c r="BN550" s="475"/>
      <c r="BO550" s="476"/>
      <c r="BP550" s="474"/>
      <c r="BQ550" s="475"/>
      <c r="BR550" s="475"/>
      <c r="BS550" s="475"/>
      <c r="BT550" s="475"/>
      <c r="BU550" s="476"/>
      <c r="BV550" s="474"/>
      <c r="BW550" s="475"/>
      <c r="BX550" s="475"/>
      <c r="BY550" s="475"/>
      <c r="BZ550" s="475"/>
      <c r="CA550" s="476"/>
      <c r="CB550" s="426"/>
      <c r="CC550" s="427"/>
      <c r="CD550" s="427"/>
      <c r="CE550" s="428"/>
      <c r="CF550" s="412"/>
      <c r="CG550" s="413"/>
      <c r="CH550" s="413"/>
      <c r="CI550" s="413"/>
      <c r="CJ550" s="414"/>
      <c r="CK550" s="412"/>
      <c r="CL550" s="413"/>
      <c r="CM550" s="413"/>
      <c r="CN550" s="413"/>
      <c r="CO550" s="414"/>
      <c r="CP550" s="412"/>
      <c r="CQ550" s="413"/>
      <c r="CR550" s="413"/>
      <c r="CS550" s="413"/>
      <c r="CT550" s="414"/>
      <c r="CU550" s="415"/>
      <c r="CV550" s="416"/>
      <c r="CW550" s="416"/>
      <c r="CX550" s="416"/>
      <c r="CY550" s="417"/>
    </row>
    <row r="551" spans="1:103" ht="16.5">
      <c r="A551" s="434">
        <v>91</v>
      </c>
      <c r="B551" s="36"/>
      <c r="C551" s="198" t="str">
        <f t="shared" ca="1" si="10"/>
        <v/>
      </c>
      <c r="D551" s="477"/>
      <c r="E551" s="478"/>
      <c r="F551" s="478"/>
      <c r="G551" s="478"/>
      <c r="H551" s="478"/>
      <c r="I551" s="478"/>
      <c r="J551" s="478"/>
      <c r="K551" s="438" t="s">
        <v>442</v>
      </c>
      <c r="L551" s="439"/>
      <c r="M551" s="439"/>
      <c r="N551" s="439"/>
      <c r="O551" s="439"/>
      <c r="P551" s="439"/>
      <c r="Q551" s="439"/>
      <c r="R551" s="442" t="s">
        <v>186</v>
      </c>
      <c r="S551" s="443"/>
      <c r="T551" s="442"/>
      <c r="U551" s="443"/>
      <c r="V551" s="438"/>
      <c r="W551" s="439"/>
      <c r="X551" s="439"/>
      <c r="Y551" s="439"/>
      <c r="Z551" s="439"/>
      <c r="AA551" s="439"/>
      <c r="AB551" s="439"/>
      <c r="AC551" s="439"/>
      <c r="AD551" s="438"/>
      <c r="AE551" s="439"/>
      <c r="AF551" s="439"/>
      <c r="AG551" s="439"/>
      <c r="AH551" s="439"/>
      <c r="AI551" s="439"/>
      <c r="AJ551" s="439"/>
      <c r="AK551" s="449"/>
      <c r="AL551" s="438"/>
      <c r="AM551" s="439"/>
      <c r="AN551" s="439"/>
      <c r="AO551" s="439"/>
      <c r="AP551" s="439"/>
      <c r="AQ551" s="439"/>
      <c r="AR551" s="449"/>
      <c r="AS551" s="500"/>
      <c r="AT551" s="483"/>
      <c r="AU551" s="483"/>
      <c r="AV551" s="483"/>
      <c r="AW551" s="483"/>
      <c r="AX551" s="483"/>
      <c r="AY551" s="484"/>
      <c r="AZ551" s="460"/>
      <c r="BA551" s="461"/>
      <c r="BB551" s="60">
        <v>1</v>
      </c>
      <c r="BC551" s="466"/>
      <c r="BD551" s="467"/>
      <c r="BE551" s="467"/>
      <c r="BF551" s="468"/>
      <c r="BG551" s="469"/>
      <c r="BH551" s="470"/>
      <c r="BI551" s="194"/>
      <c r="BJ551" s="471"/>
      <c r="BK551" s="472"/>
      <c r="BL551" s="472"/>
      <c r="BM551" s="472"/>
      <c r="BN551" s="472"/>
      <c r="BO551" s="473"/>
      <c r="BP551" s="471"/>
      <c r="BQ551" s="472"/>
      <c r="BR551" s="472"/>
      <c r="BS551" s="472"/>
      <c r="BT551" s="472"/>
      <c r="BU551" s="473"/>
      <c r="BV551" s="471"/>
      <c r="BW551" s="472"/>
      <c r="BX551" s="472"/>
      <c r="BY551" s="472"/>
      <c r="BZ551" s="472"/>
      <c r="CA551" s="473"/>
      <c r="CB551" s="466"/>
      <c r="CC551" s="467"/>
      <c r="CD551" s="467"/>
      <c r="CE551" s="468"/>
      <c r="CF551" s="409"/>
      <c r="CG551" s="410"/>
      <c r="CH551" s="410"/>
      <c r="CI551" s="410"/>
      <c r="CJ551" s="411"/>
      <c r="CK551" s="409"/>
      <c r="CL551" s="410"/>
      <c r="CM551" s="410"/>
      <c r="CN551" s="410"/>
      <c r="CO551" s="411"/>
      <c r="CP551" s="409"/>
      <c r="CQ551" s="410"/>
      <c r="CR551" s="410"/>
      <c r="CS551" s="410"/>
      <c r="CT551" s="411"/>
      <c r="CU551" s="415"/>
      <c r="CV551" s="416"/>
      <c r="CW551" s="416"/>
      <c r="CX551" s="416"/>
      <c r="CY551" s="417"/>
    </row>
    <row r="552" spans="1:103" ht="16.5">
      <c r="A552" s="435"/>
      <c r="B552" s="36"/>
      <c r="C552" s="199" t="str">
        <f t="shared" ca="1" si="10"/>
        <v/>
      </c>
      <c r="D552" s="479"/>
      <c r="E552" s="480"/>
      <c r="F552" s="480"/>
      <c r="G552" s="480"/>
      <c r="H552" s="480"/>
      <c r="I552" s="480"/>
      <c r="J552" s="480"/>
      <c r="K552" s="440"/>
      <c r="L552" s="441"/>
      <c r="M552" s="441"/>
      <c r="N552" s="441"/>
      <c r="O552" s="441"/>
      <c r="P552" s="441"/>
      <c r="Q552" s="441"/>
      <c r="R552" s="444"/>
      <c r="S552" s="445"/>
      <c r="T552" s="444"/>
      <c r="U552" s="445"/>
      <c r="V552" s="440"/>
      <c r="W552" s="441"/>
      <c r="X552" s="441"/>
      <c r="Y552" s="441"/>
      <c r="Z552" s="441"/>
      <c r="AA552" s="441"/>
      <c r="AB552" s="441"/>
      <c r="AC552" s="441"/>
      <c r="AD552" s="440"/>
      <c r="AE552" s="441"/>
      <c r="AF552" s="441"/>
      <c r="AG552" s="441"/>
      <c r="AH552" s="441"/>
      <c r="AI552" s="441"/>
      <c r="AJ552" s="441"/>
      <c r="AK552" s="450"/>
      <c r="AL552" s="440"/>
      <c r="AM552" s="441"/>
      <c r="AN552" s="441"/>
      <c r="AO552" s="441"/>
      <c r="AP552" s="441"/>
      <c r="AQ552" s="441"/>
      <c r="AR552" s="450"/>
      <c r="AS552" s="485"/>
      <c r="AT552" s="486"/>
      <c r="AU552" s="486"/>
      <c r="AV552" s="486"/>
      <c r="AW552" s="486"/>
      <c r="AX552" s="486"/>
      <c r="AY552" s="487"/>
      <c r="AZ552" s="462"/>
      <c r="BA552" s="463"/>
      <c r="BB552" s="61">
        <v>2</v>
      </c>
      <c r="BC552" s="418"/>
      <c r="BD552" s="419"/>
      <c r="BE552" s="419"/>
      <c r="BF552" s="420"/>
      <c r="BG552" s="421"/>
      <c r="BH552" s="422"/>
      <c r="BI552" s="195"/>
      <c r="BJ552" s="423"/>
      <c r="BK552" s="424"/>
      <c r="BL552" s="424"/>
      <c r="BM552" s="424"/>
      <c r="BN552" s="424"/>
      <c r="BO552" s="425"/>
      <c r="BP552" s="423"/>
      <c r="BQ552" s="424"/>
      <c r="BR552" s="424"/>
      <c r="BS552" s="424"/>
      <c r="BT552" s="424"/>
      <c r="BU552" s="425"/>
      <c r="BV552" s="423"/>
      <c r="BW552" s="424"/>
      <c r="BX552" s="424"/>
      <c r="BY552" s="424"/>
      <c r="BZ552" s="424"/>
      <c r="CA552" s="425"/>
      <c r="CB552" s="418"/>
      <c r="CC552" s="419"/>
      <c r="CD552" s="419"/>
      <c r="CE552" s="420"/>
      <c r="CF552" s="412"/>
      <c r="CG552" s="413"/>
      <c r="CH552" s="413"/>
      <c r="CI552" s="413"/>
      <c r="CJ552" s="414"/>
      <c r="CK552" s="412"/>
      <c r="CL552" s="413"/>
      <c r="CM552" s="413"/>
      <c r="CN552" s="413"/>
      <c r="CO552" s="414"/>
      <c r="CP552" s="412"/>
      <c r="CQ552" s="413"/>
      <c r="CR552" s="413"/>
      <c r="CS552" s="413"/>
      <c r="CT552" s="414"/>
      <c r="CU552" s="415"/>
      <c r="CV552" s="416"/>
      <c r="CW552" s="416"/>
      <c r="CX552" s="416"/>
      <c r="CY552" s="417"/>
    </row>
    <row r="553" spans="1:103" ht="16.5">
      <c r="A553" s="435"/>
      <c r="B553" s="36"/>
      <c r="C553" s="199" t="str">
        <f t="shared" ca="1" si="10"/>
        <v/>
      </c>
      <c r="D553" s="479"/>
      <c r="E553" s="480"/>
      <c r="F553" s="480"/>
      <c r="G553" s="480"/>
      <c r="H553" s="480"/>
      <c r="I553" s="480"/>
      <c r="J553" s="480"/>
      <c r="K553" s="440"/>
      <c r="L553" s="441"/>
      <c r="M553" s="441"/>
      <c r="N553" s="441"/>
      <c r="O553" s="441"/>
      <c r="P553" s="441"/>
      <c r="Q553" s="441"/>
      <c r="R553" s="444"/>
      <c r="S553" s="445"/>
      <c r="T553" s="444"/>
      <c r="U553" s="445"/>
      <c r="V553" s="440"/>
      <c r="W553" s="441"/>
      <c r="X553" s="441"/>
      <c r="Y553" s="441"/>
      <c r="Z553" s="441"/>
      <c r="AA553" s="441"/>
      <c r="AB553" s="441"/>
      <c r="AC553" s="441"/>
      <c r="AD553" s="440"/>
      <c r="AE553" s="441"/>
      <c r="AF553" s="441"/>
      <c r="AG553" s="441"/>
      <c r="AH553" s="441"/>
      <c r="AI553" s="441"/>
      <c r="AJ553" s="441"/>
      <c r="AK553" s="450"/>
      <c r="AL553" s="440"/>
      <c r="AM553" s="441"/>
      <c r="AN553" s="441"/>
      <c r="AO553" s="441"/>
      <c r="AP553" s="441"/>
      <c r="AQ553" s="441"/>
      <c r="AR553" s="450"/>
      <c r="AS553" s="485"/>
      <c r="AT553" s="486"/>
      <c r="AU553" s="486"/>
      <c r="AV553" s="486"/>
      <c r="AW553" s="486"/>
      <c r="AX553" s="486"/>
      <c r="AY553" s="487"/>
      <c r="AZ553" s="462"/>
      <c r="BA553" s="463"/>
      <c r="BB553" s="61">
        <v>3</v>
      </c>
      <c r="BC553" s="418"/>
      <c r="BD553" s="419"/>
      <c r="BE553" s="419"/>
      <c r="BF553" s="420"/>
      <c r="BG553" s="421"/>
      <c r="BH553" s="422"/>
      <c r="BI553" s="195"/>
      <c r="BJ553" s="423"/>
      <c r="BK553" s="424"/>
      <c r="BL553" s="424"/>
      <c r="BM553" s="424"/>
      <c r="BN553" s="424"/>
      <c r="BO553" s="425"/>
      <c r="BP553" s="423"/>
      <c r="BQ553" s="424"/>
      <c r="BR553" s="424"/>
      <c r="BS553" s="424"/>
      <c r="BT553" s="424"/>
      <c r="BU553" s="425"/>
      <c r="BV553" s="423"/>
      <c r="BW553" s="424"/>
      <c r="BX553" s="424"/>
      <c r="BY553" s="424"/>
      <c r="BZ553" s="424"/>
      <c r="CA553" s="425"/>
      <c r="CB553" s="418"/>
      <c r="CC553" s="419"/>
      <c r="CD553" s="419"/>
      <c r="CE553" s="420"/>
      <c r="CF553" s="412"/>
      <c r="CG553" s="413"/>
      <c r="CH553" s="413"/>
      <c r="CI553" s="413"/>
      <c r="CJ553" s="414"/>
      <c r="CK553" s="412"/>
      <c r="CL553" s="413"/>
      <c r="CM553" s="413"/>
      <c r="CN553" s="413"/>
      <c r="CO553" s="414"/>
      <c r="CP553" s="412"/>
      <c r="CQ553" s="413"/>
      <c r="CR553" s="413"/>
      <c r="CS553" s="413"/>
      <c r="CT553" s="414"/>
      <c r="CU553" s="415"/>
      <c r="CV553" s="416"/>
      <c r="CW553" s="416"/>
      <c r="CX553" s="416"/>
      <c r="CY553" s="417"/>
    </row>
    <row r="554" spans="1:103" ht="16.5">
      <c r="A554" s="435"/>
      <c r="B554" s="36"/>
      <c r="C554" s="199" t="str">
        <f t="shared" ca="1" si="10"/>
        <v/>
      </c>
      <c r="D554" s="479"/>
      <c r="E554" s="480"/>
      <c r="F554" s="480"/>
      <c r="G554" s="480"/>
      <c r="H554" s="480"/>
      <c r="I554" s="480"/>
      <c r="J554" s="480"/>
      <c r="K554" s="440"/>
      <c r="L554" s="441"/>
      <c r="M554" s="441"/>
      <c r="N554" s="441"/>
      <c r="O554" s="441"/>
      <c r="P554" s="441"/>
      <c r="Q554" s="441"/>
      <c r="R554" s="444"/>
      <c r="S554" s="445"/>
      <c r="T554" s="444"/>
      <c r="U554" s="445"/>
      <c r="V554" s="440"/>
      <c r="W554" s="441"/>
      <c r="X554" s="441"/>
      <c r="Y554" s="441"/>
      <c r="Z554" s="441"/>
      <c r="AA554" s="441"/>
      <c r="AB554" s="441"/>
      <c r="AC554" s="441"/>
      <c r="AD554" s="440"/>
      <c r="AE554" s="441"/>
      <c r="AF554" s="441"/>
      <c r="AG554" s="441"/>
      <c r="AH554" s="441"/>
      <c r="AI554" s="441"/>
      <c r="AJ554" s="441"/>
      <c r="AK554" s="450"/>
      <c r="AL554" s="440"/>
      <c r="AM554" s="441"/>
      <c r="AN554" s="441"/>
      <c r="AO554" s="441"/>
      <c r="AP554" s="441"/>
      <c r="AQ554" s="441"/>
      <c r="AR554" s="450"/>
      <c r="AS554" s="485"/>
      <c r="AT554" s="486"/>
      <c r="AU554" s="486"/>
      <c r="AV554" s="486"/>
      <c r="AW554" s="486"/>
      <c r="AX554" s="486"/>
      <c r="AY554" s="487"/>
      <c r="AZ554" s="462"/>
      <c r="BA554" s="463"/>
      <c r="BB554" s="61">
        <v>4</v>
      </c>
      <c r="BC554" s="418"/>
      <c r="BD554" s="419"/>
      <c r="BE554" s="419"/>
      <c r="BF554" s="420"/>
      <c r="BG554" s="421"/>
      <c r="BH554" s="422"/>
      <c r="BI554" s="195"/>
      <c r="BJ554" s="423"/>
      <c r="BK554" s="424"/>
      <c r="BL554" s="424"/>
      <c r="BM554" s="424"/>
      <c r="BN554" s="424"/>
      <c r="BO554" s="425"/>
      <c r="BP554" s="423"/>
      <c r="BQ554" s="424"/>
      <c r="BR554" s="424"/>
      <c r="BS554" s="424"/>
      <c r="BT554" s="424"/>
      <c r="BU554" s="425"/>
      <c r="BV554" s="423"/>
      <c r="BW554" s="424"/>
      <c r="BX554" s="424"/>
      <c r="BY554" s="424"/>
      <c r="BZ554" s="424"/>
      <c r="CA554" s="425"/>
      <c r="CB554" s="418"/>
      <c r="CC554" s="419"/>
      <c r="CD554" s="419"/>
      <c r="CE554" s="420"/>
      <c r="CF554" s="412"/>
      <c r="CG554" s="413"/>
      <c r="CH554" s="413"/>
      <c r="CI554" s="413"/>
      <c r="CJ554" s="414"/>
      <c r="CK554" s="412"/>
      <c r="CL554" s="413"/>
      <c r="CM554" s="413"/>
      <c r="CN554" s="413"/>
      <c r="CO554" s="414"/>
      <c r="CP554" s="412"/>
      <c r="CQ554" s="413"/>
      <c r="CR554" s="413"/>
      <c r="CS554" s="413"/>
      <c r="CT554" s="414"/>
      <c r="CU554" s="415"/>
      <c r="CV554" s="416"/>
      <c r="CW554" s="416"/>
      <c r="CX554" s="416"/>
      <c r="CY554" s="417"/>
    </row>
    <row r="555" spans="1:103" ht="16.5">
      <c r="A555" s="435"/>
      <c r="B555" s="36"/>
      <c r="C555" s="199" t="str">
        <f t="shared" ca="1" si="10"/>
        <v/>
      </c>
      <c r="D555" s="479"/>
      <c r="E555" s="480"/>
      <c r="F555" s="480"/>
      <c r="G555" s="480"/>
      <c r="H555" s="480"/>
      <c r="I555" s="480"/>
      <c r="J555" s="480"/>
      <c r="K555" s="440"/>
      <c r="L555" s="441"/>
      <c r="M555" s="441"/>
      <c r="N555" s="441"/>
      <c r="O555" s="441"/>
      <c r="P555" s="441"/>
      <c r="Q555" s="441"/>
      <c r="R555" s="444"/>
      <c r="S555" s="445"/>
      <c r="T555" s="444"/>
      <c r="U555" s="445"/>
      <c r="V555" s="440"/>
      <c r="W555" s="441"/>
      <c r="X555" s="441"/>
      <c r="Y555" s="441"/>
      <c r="Z555" s="441"/>
      <c r="AA555" s="441"/>
      <c r="AB555" s="441"/>
      <c r="AC555" s="441"/>
      <c r="AD555" s="440"/>
      <c r="AE555" s="441"/>
      <c r="AF555" s="441"/>
      <c r="AG555" s="441"/>
      <c r="AH555" s="441"/>
      <c r="AI555" s="441"/>
      <c r="AJ555" s="441"/>
      <c r="AK555" s="450"/>
      <c r="AL555" s="440"/>
      <c r="AM555" s="441"/>
      <c r="AN555" s="441"/>
      <c r="AO555" s="441"/>
      <c r="AP555" s="441"/>
      <c r="AQ555" s="441"/>
      <c r="AR555" s="450"/>
      <c r="AS555" s="485"/>
      <c r="AT555" s="486"/>
      <c r="AU555" s="486"/>
      <c r="AV555" s="486"/>
      <c r="AW555" s="486"/>
      <c r="AX555" s="486"/>
      <c r="AY555" s="487"/>
      <c r="AZ555" s="462"/>
      <c r="BA555" s="463"/>
      <c r="BB555" s="61">
        <v>5</v>
      </c>
      <c r="BC555" s="418"/>
      <c r="BD555" s="419"/>
      <c r="BE555" s="419"/>
      <c r="BF555" s="420"/>
      <c r="BG555" s="421"/>
      <c r="BH555" s="422"/>
      <c r="BI555" s="195"/>
      <c r="BJ555" s="423"/>
      <c r="BK555" s="424"/>
      <c r="BL555" s="424"/>
      <c r="BM555" s="424"/>
      <c r="BN555" s="424"/>
      <c r="BO555" s="425"/>
      <c r="BP555" s="423"/>
      <c r="BQ555" s="424"/>
      <c r="BR555" s="424"/>
      <c r="BS555" s="424"/>
      <c r="BT555" s="424"/>
      <c r="BU555" s="425"/>
      <c r="BV555" s="423"/>
      <c r="BW555" s="424"/>
      <c r="BX555" s="424"/>
      <c r="BY555" s="424"/>
      <c r="BZ555" s="424"/>
      <c r="CA555" s="425"/>
      <c r="CB555" s="418"/>
      <c r="CC555" s="419"/>
      <c r="CD555" s="419"/>
      <c r="CE555" s="420"/>
      <c r="CF555" s="412"/>
      <c r="CG555" s="413"/>
      <c r="CH555" s="413"/>
      <c r="CI555" s="413"/>
      <c r="CJ555" s="414"/>
      <c r="CK555" s="412"/>
      <c r="CL555" s="413"/>
      <c r="CM555" s="413"/>
      <c r="CN555" s="413"/>
      <c r="CO555" s="414"/>
      <c r="CP555" s="412"/>
      <c r="CQ555" s="413"/>
      <c r="CR555" s="413"/>
      <c r="CS555" s="413"/>
      <c r="CT555" s="414"/>
      <c r="CU555" s="415"/>
      <c r="CV555" s="416"/>
      <c r="CW555" s="416"/>
      <c r="CX555" s="416"/>
      <c r="CY555" s="417"/>
    </row>
    <row r="556" spans="1:103" ht="16.5">
      <c r="A556" s="436"/>
      <c r="B556" s="37"/>
      <c r="C556" s="200" t="str">
        <f t="shared" ca="1" si="10"/>
        <v/>
      </c>
      <c r="D556" s="481"/>
      <c r="E556" s="482"/>
      <c r="F556" s="482"/>
      <c r="G556" s="482"/>
      <c r="H556" s="482"/>
      <c r="I556" s="482"/>
      <c r="J556" s="482"/>
      <c r="K556" s="409"/>
      <c r="L556" s="410"/>
      <c r="M556" s="410"/>
      <c r="N556" s="410"/>
      <c r="O556" s="410"/>
      <c r="P556" s="410"/>
      <c r="Q556" s="410"/>
      <c r="R556" s="446"/>
      <c r="S556" s="447"/>
      <c r="T556" s="446"/>
      <c r="U556" s="447"/>
      <c r="V556" s="409"/>
      <c r="W556" s="410"/>
      <c r="X556" s="410"/>
      <c r="Y556" s="410"/>
      <c r="Z556" s="410"/>
      <c r="AA556" s="410"/>
      <c r="AB556" s="410"/>
      <c r="AC556" s="410"/>
      <c r="AD556" s="409"/>
      <c r="AE556" s="410"/>
      <c r="AF556" s="410"/>
      <c r="AG556" s="410"/>
      <c r="AH556" s="410"/>
      <c r="AI556" s="410"/>
      <c r="AJ556" s="410"/>
      <c r="AK556" s="411"/>
      <c r="AL556" s="409"/>
      <c r="AM556" s="410"/>
      <c r="AN556" s="410"/>
      <c r="AO556" s="410"/>
      <c r="AP556" s="410"/>
      <c r="AQ556" s="410"/>
      <c r="AR556" s="411"/>
      <c r="AS556" s="488"/>
      <c r="AT556" s="489"/>
      <c r="AU556" s="489"/>
      <c r="AV556" s="489"/>
      <c r="AW556" s="489"/>
      <c r="AX556" s="489"/>
      <c r="AY556" s="490"/>
      <c r="AZ556" s="464"/>
      <c r="BA556" s="465"/>
      <c r="BB556" s="62">
        <v>6</v>
      </c>
      <c r="BC556" s="426"/>
      <c r="BD556" s="427"/>
      <c r="BE556" s="427"/>
      <c r="BF556" s="428"/>
      <c r="BG556" s="429"/>
      <c r="BH556" s="430"/>
      <c r="BI556" s="196"/>
      <c r="BJ556" s="474"/>
      <c r="BK556" s="475"/>
      <c r="BL556" s="475"/>
      <c r="BM556" s="475"/>
      <c r="BN556" s="475"/>
      <c r="BO556" s="476"/>
      <c r="BP556" s="474"/>
      <c r="BQ556" s="475"/>
      <c r="BR556" s="475"/>
      <c r="BS556" s="475"/>
      <c r="BT556" s="475"/>
      <c r="BU556" s="476"/>
      <c r="BV556" s="474"/>
      <c r="BW556" s="475"/>
      <c r="BX556" s="475"/>
      <c r="BY556" s="475"/>
      <c r="BZ556" s="475"/>
      <c r="CA556" s="476"/>
      <c r="CB556" s="426"/>
      <c r="CC556" s="427"/>
      <c r="CD556" s="427"/>
      <c r="CE556" s="428"/>
      <c r="CF556" s="412"/>
      <c r="CG556" s="413"/>
      <c r="CH556" s="413"/>
      <c r="CI556" s="413"/>
      <c r="CJ556" s="414"/>
      <c r="CK556" s="412"/>
      <c r="CL556" s="413"/>
      <c r="CM556" s="413"/>
      <c r="CN556" s="413"/>
      <c r="CO556" s="414"/>
      <c r="CP556" s="412"/>
      <c r="CQ556" s="413"/>
      <c r="CR556" s="413"/>
      <c r="CS556" s="413"/>
      <c r="CT556" s="414"/>
      <c r="CU556" s="415"/>
      <c r="CV556" s="416"/>
      <c r="CW556" s="416"/>
      <c r="CX556" s="416"/>
      <c r="CY556" s="417"/>
    </row>
    <row r="557" spans="1:103" ht="16.5">
      <c r="A557" s="434">
        <v>92</v>
      </c>
      <c r="B557" s="36"/>
      <c r="C557" s="198" t="str">
        <f t="shared" ca="1" si="10"/>
        <v/>
      </c>
      <c r="D557" s="477" t="s">
        <v>443</v>
      </c>
      <c r="E557" s="478"/>
      <c r="F557" s="478"/>
      <c r="G557" s="478"/>
      <c r="H557" s="478"/>
      <c r="I557" s="478"/>
      <c r="J557" s="478"/>
      <c r="K557" s="438" t="s">
        <v>444</v>
      </c>
      <c r="L557" s="439"/>
      <c r="M557" s="439"/>
      <c r="N557" s="439"/>
      <c r="O557" s="439"/>
      <c r="P557" s="439"/>
      <c r="Q557" s="439"/>
      <c r="R557" s="442" t="s">
        <v>186</v>
      </c>
      <c r="S557" s="443"/>
      <c r="T557" s="442"/>
      <c r="U557" s="443"/>
      <c r="V557" s="438"/>
      <c r="W557" s="439"/>
      <c r="X557" s="439"/>
      <c r="Y557" s="439"/>
      <c r="Z557" s="439"/>
      <c r="AA557" s="439"/>
      <c r="AB557" s="439"/>
      <c r="AC557" s="439"/>
      <c r="AD557" s="438"/>
      <c r="AE557" s="439"/>
      <c r="AF557" s="439"/>
      <c r="AG557" s="439"/>
      <c r="AH557" s="439"/>
      <c r="AI557" s="439"/>
      <c r="AJ557" s="439"/>
      <c r="AK557" s="449"/>
      <c r="AL557" s="438"/>
      <c r="AM557" s="439"/>
      <c r="AN557" s="439"/>
      <c r="AO557" s="439"/>
      <c r="AP557" s="439"/>
      <c r="AQ557" s="439"/>
      <c r="AR557" s="449"/>
      <c r="AS557" s="500"/>
      <c r="AT557" s="483"/>
      <c r="AU557" s="483"/>
      <c r="AV557" s="483"/>
      <c r="AW557" s="483"/>
      <c r="AX557" s="483"/>
      <c r="AY557" s="484"/>
      <c r="AZ557" s="460"/>
      <c r="BA557" s="461"/>
      <c r="BB557" s="60">
        <v>1</v>
      </c>
      <c r="BC557" s="466"/>
      <c r="BD557" s="467"/>
      <c r="BE557" s="467"/>
      <c r="BF557" s="468"/>
      <c r="BG557" s="469"/>
      <c r="BH557" s="470"/>
      <c r="BI557" s="194"/>
      <c r="BJ557" s="471"/>
      <c r="BK557" s="472"/>
      <c r="BL557" s="472"/>
      <c r="BM557" s="472"/>
      <c r="BN557" s="472"/>
      <c r="BO557" s="473"/>
      <c r="BP557" s="471"/>
      <c r="BQ557" s="472"/>
      <c r="BR557" s="472"/>
      <c r="BS557" s="472"/>
      <c r="BT557" s="472"/>
      <c r="BU557" s="473"/>
      <c r="BV557" s="471"/>
      <c r="BW557" s="472"/>
      <c r="BX557" s="472"/>
      <c r="BY557" s="472"/>
      <c r="BZ557" s="472"/>
      <c r="CA557" s="473"/>
      <c r="CB557" s="466"/>
      <c r="CC557" s="467"/>
      <c r="CD557" s="467"/>
      <c r="CE557" s="468"/>
      <c r="CF557" s="409"/>
      <c r="CG557" s="410"/>
      <c r="CH557" s="410"/>
      <c r="CI557" s="410"/>
      <c r="CJ557" s="411"/>
      <c r="CK557" s="409"/>
      <c r="CL557" s="410"/>
      <c r="CM557" s="410"/>
      <c r="CN557" s="410"/>
      <c r="CO557" s="411"/>
      <c r="CP557" s="409"/>
      <c r="CQ557" s="410"/>
      <c r="CR557" s="410"/>
      <c r="CS557" s="410"/>
      <c r="CT557" s="411"/>
      <c r="CU557" s="415"/>
      <c r="CV557" s="416"/>
      <c r="CW557" s="416"/>
      <c r="CX557" s="416"/>
      <c r="CY557" s="417"/>
    </row>
    <row r="558" spans="1:103" ht="16.5">
      <c r="A558" s="435"/>
      <c r="B558" s="36"/>
      <c r="C558" s="199" t="str">
        <f t="shared" ca="1" si="10"/>
        <v/>
      </c>
      <c r="D558" s="479"/>
      <c r="E558" s="480"/>
      <c r="F558" s="480"/>
      <c r="G558" s="480"/>
      <c r="H558" s="480"/>
      <c r="I558" s="480"/>
      <c r="J558" s="480"/>
      <c r="K558" s="440"/>
      <c r="L558" s="441"/>
      <c r="M558" s="441"/>
      <c r="N558" s="441"/>
      <c r="O558" s="441"/>
      <c r="P558" s="441"/>
      <c r="Q558" s="441"/>
      <c r="R558" s="444"/>
      <c r="S558" s="445"/>
      <c r="T558" s="444"/>
      <c r="U558" s="445"/>
      <c r="V558" s="440"/>
      <c r="W558" s="441"/>
      <c r="X558" s="441"/>
      <c r="Y558" s="441"/>
      <c r="Z558" s="441"/>
      <c r="AA558" s="441"/>
      <c r="AB558" s="441"/>
      <c r="AC558" s="441"/>
      <c r="AD558" s="440"/>
      <c r="AE558" s="441"/>
      <c r="AF558" s="441"/>
      <c r="AG558" s="441"/>
      <c r="AH558" s="441"/>
      <c r="AI558" s="441"/>
      <c r="AJ558" s="441"/>
      <c r="AK558" s="450"/>
      <c r="AL558" s="440"/>
      <c r="AM558" s="441"/>
      <c r="AN558" s="441"/>
      <c r="AO558" s="441"/>
      <c r="AP558" s="441"/>
      <c r="AQ558" s="441"/>
      <c r="AR558" s="450"/>
      <c r="AS558" s="485"/>
      <c r="AT558" s="486"/>
      <c r="AU558" s="486"/>
      <c r="AV558" s="486"/>
      <c r="AW558" s="486"/>
      <c r="AX558" s="486"/>
      <c r="AY558" s="487"/>
      <c r="AZ558" s="462"/>
      <c r="BA558" s="463"/>
      <c r="BB558" s="61">
        <v>2</v>
      </c>
      <c r="BC558" s="418"/>
      <c r="BD558" s="419"/>
      <c r="BE558" s="419"/>
      <c r="BF558" s="420"/>
      <c r="BG558" s="421"/>
      <c r="BH558" s="422"/>
      <c r="BI558" s="195"/>
      <c r="BJ558" s="423"/>
      <c r="BK558" s="424"/>
      <c r="BL558" s="424"/>
      <c r="BM558" s="424"/>
      <c r="BN558" s="424"/>
      <c r="BO558" s="425"/>
      <c r="BP558" s="423"/>
      <c r="BQ558" s="424"/>
      <c r="BR558" s="424"/>
      <c r="BS558" s="424"/>
      <c r="BT558" s="424"/>
      <c r="BU558" s="425"/>
      <c r="BV558" s="423"/>
      <c r="BW558" s="424"/>
      <c r="BX558" s="424"/>
      <c r="BY558" s="424"/>
      <c r="BZ558" s="424"/>
      <c r="CA558" s="425"/>
      <c r="CB558" s="418"/>
      <c r="CC558" s="419"/>
      <c r="CD558" s="419"/>
      <c r="CE558" s="420"/>
      <c r="CF558" s="412"/>
      <c r="CG558" s="413"/>
      <c r="CH558" s="413"/>
      <c r="CI558" s="413"/>
      <c r="CJ558" s="414"/>
      <c r="CK558" s="412"/>
      <c r="CL558" s="413"/>
      <c r="CM558" s="413"/>
      <c r="CN558" s="413"/>
      <c r="CO558" s="414"/>
      <c r="CP558" s="412"/>
      <c r="CQ558" s="413"/>
      <c r="CR558" s="413"/>
      <c r="CS558" s="413"/>
      <c r="CT558" s="414"/>
      <c r="CU558" s="415"/>
      <c r="CV558" s="416"/>
      <c r="CW558" s="416"/>
      <c r="CX558" s="416"/>
      <c r="CY558" s="417"/>
    </row>
    <row r="559" spans="1:103" ht="16.5">
      <c r="A559" s="435"/>
      <c r="B559" s="36"/>
      <c r="C559" s="199" t="str">
        <f t="shared" ca="1" si="10"/>
        <v/>
      </c>
      <c r="D559" s="479"/>
      <c r="E559" s="480"/>
      <c r="F559" s="480"/>
      <c r="G559" s="480"/>
      <c r="H559" s="480"/>
      <c r="I559" s="480"/>
      <c r="J559" s="480"/>
      <c r="K559" s="440"/>
      <c r="L559" s="441"/>
      <c r="M559" s="441"/>
      <c r="N559" s="441"/>
      <c r="O559" s="441"/>
      <c r="P559" s="441"/>
      <c r="Q559" s="441"/>
      <c r="R559" s="444"/>
      <c r="S559" s="445"/>
      <c r="T559" s="444"/>
      <c r="U559" s="445"/>
      <c r="V559" s="440"/>
      <c r="W559" s="441"/>
      <c r="X559" s="441"/>
      <c r="Y559" s="441"/>
      <c r="Z559" s="441"/>
      <c r="AA559" s="441"/>
      <c r="AB559" s="441"/>
      <c r="AC559" s="441"/>
      <c r="AD559" s="440"/>
      <c r="AE559" s="441"/>
      <c r="AF559" s="441"/>
      <c r="AG559" s="441"/>
      <c r="AH559" s="441"/>
      <c r="AI559" s="441"/>
      <c r="AJ559" s="441"/>
      <c r="AK559" s="450"/>
      <c r="AL559" s="440"/>
      <c r="AM559" s="441"/>
      <c r="AN559" s="441"/>
      <c r="AO559" s="441"/>
      <c r="AP559" s="441"/>
      <c r="AQ559" s="441"/>
      <c r="AR559" s="450"/>
      <c r="AS559" s="485"/>
      <c r="AT559" s="486"/>
      <c r="AU559" s="486"/>
      <c r="AV559" s="486"/>
      <c r="AW559" s="486"/>
      <c r="AX559" s="486"/>
      <c r="AY559" s="487"/>
      <c r="AZ559" s="462"/>
      <c r="BA559" s="463"/>
      <c r="BB559" s="61">
        <v>3</v>
      </c>
      <c r="BC559" s="418"/>
      <c r="BD559" s="419"/>
      <c r="BE559" s="419"/>
      <c r="BF559" s="420"/>
      <c r="BG559" s="421"/>
      <c r="BH559" s="422"/>
      <c r="BI559" s="195"/>
      <c r="BJ559" s="423"/>
      <c r="BK559" s="424"/>
      <c r="BL559" s="424"/>
      <c r="BM559" s="424"/>
      <c r="BN559" s="424"/>
      <c r="BO559" s="425"/>
      <c r="BP559" s="423"/>
      <c r="BQ559" s="424"/>
      <c r="BR559" s="424"/>
      <c r="BS559" s="424"/>
      <c r="BT559" s="424"/>
      <c r="BU559" s="425"/>
      <c r="BV559" s="423"/>
      <c r="BW559" s="424"/>
      <c r="BX559" s="424"/>
      <c r="BY559" s="424"/>
      <c r="BZ559" s="424"/>
      <c r="CA559" s="425"/>
      <c r="CB559" s="418"/>
      <c r="CC559" s="419"/>
      <c r="CD559" s="419"/>
      <c r="CE559" s="420"/>
      <c r="CF559" s="412"/>
      <c r="CG559" s="413"/>
      <c r="CH559" s="413"/>
      <c r="CI559" s="413"/>
      <c r="CJ559" s="414"/>
      <c r="CK559" s="412"/>
      <c r="CL559" s="413"/>
      <c r="CM559" s="413"/>
      <c r="CN559" s="413"/>
      <c r="CO559" s="414"/>
      <c r="CP559" s="412"/>
      <c r="CQ559" s="413"/>
      <c r="CR559" s="413"/>
      <c r="CS559" s="413"/>
      <c r="CT559" s="414"/>
      <c r="CU559" s="415"/>
      <c r="CV559" s="416"/>
      <c r="CW559" s="416"/>
      <c r="CX559" s="416"/>
      <c r="CY559" s="417"/>
    </row>
    <row r="560" spans="1:103" ht="16.5">
      <c r="A560" s="435"/>
      <c r="B560" s="36"/>
      <c r="C560" s="199" t="str">
        <f t="shared" ca="1" si="10"/>
        <v/>
      </c>
      <c r="D560" s="479"/>
      <c r="E560" s="480"/>
      <c r="F560" s="480"/>
      <c r="G560" s="480"/>
      <c r="H560" s="480"/>
      <c r="I560" s="480"/>
      <c r="J560" s="480"/>
      <c r="K560" s="440"/>
      <c r="L560" s="441"/>
      <c r="M560" s="441"/>
      <c r="N560" s="441"/>
      <c r="O560" s="441"/>
      <c r="P560" s="441"/>
      <c r="Q560" s="441"/>
      <c r="R560" s="444"/>
      <c r="S560" s="445"/>
      <c r="T560" s="444"/>
      <c r="U560" s="445"/>
      <c r="V560" s="440"/>
      <c r="W560" s="441"/>
      <c r="X560" s="441"/>
      <c r="Y560" s="441"/>
      <c r="Z560" s="441"/>
      <c r="AA560" s="441"/>
      <c r="AB560" s="441"/>
      <c r="AC560" s="441"/>
      <c r="AD560" s="440"/>
      <c r="AE560" s="441"/>
      <c r="AF560" s="441"/>
      <c r="AG560" s="441"/>
      <c r="AH560" s="441"/>
      <c r="AI560" s="441"/>
      <c r="AJ560" s="441"/>
      <c r="AK560" s="450"/>
      <c r="AL560" s="440"/>
      <c r="AM560" s="441"/>
      <c r="AN560" s="441"/>
      <c r="AO560" s="441"/>
      <c r="AP560" s="441"/>
      <c r="AQ560" s="441"/>
      <c r="AR560" s="450"/>
      <c r="AS560" s="485"/>
      <c r="AT560" s="486"/>
      <c r="AU560" s="486"/>
      <c r="AV560" s="486"/>
      <c r="AW560" s="486"/>
      <c r="AX560" s="486"/>
      <c r="AY560" s="487"/>
      <c r="AZ560" s="462"/>
      <c r="BA560" s="463"/>
      <c r="BB560" s="61">
        <v>4</v>
      </c>
      <c r="BC560" s="418"/>
      <c r="BD560" s="419"/>
      <c r="BE560" s="419"/>
      <c r="BF560" s="420"/>
      <c r="BG560" s="421"/>
      <c r="BH560" s="422"/>
      <c r="BI560" s="195"/>
      <c r="BJ560" s="423"/>
      <c r="BK560" s="424"/>
      <c r="BL560" s="424"/>
      <c r="BM560" s="424"/>
      <c r="BN560" s="424"/>
      <c r="BO560" s="425"/>
      <c r="BP560" s="423"/>
      <c r="BQ560" s="424"/>
      <c r="BR560" s="424"/>
      <c r="BS560" s="424"/>
      <c r="BT560" s="424"/>
      <c r="BU560" s="425"/>
      <c r="BV560" s="423"/>
      <c r="BW560" s="424"/>
      <c r="BX560" s="424"/>
      <c r="BY560" s="424"/>
      <c r="BZ560" s="424"/>
      <c r="CA560" s="425"/>
      <c r="CB560" s="418"/>
      <c r="CC560" s="419"/>
      <c r="CD560" s="419"/>
      <c r="CE560" s="420"/>
      <c r="CF560" s="412"/>
      <c r="CG560" s="413"/>
      <c r="CH560" s="413"/>
      <c r="CI560" s="413"/>
      <c r="CJ560" s="414"/>
      <c r="CK560" s="412"/>
      <c r="CL560" s="413"/>
      <c r="CM560" s="413"/>
      <c r="CN560" s="413"/>
      <c r="CO560" s="414"/>
      <c r="CP560" s="412"/>
      <c r="CQ560" s="413"/>
      <c r="CR560" s="413"/>
      <c r="CS560" s="413"/>
      <c r="CT560" s="414"/>
      <c r="CU560" s="415"/>
      <c r="CV560" s="416"/>
      <c r="CW560" s="416"/>
      <c r="CX560" s="416"/>
      <c r="CY560" s="417"/>
    </row>
    <row r="561" spans="1:103" ht="16.5">
      <c r="A561" s="435"/>
      <c r="B561" s="36"/>
      <c r="C561" s="199" t="str">
        <f t="shared" ca="1" si="10"/>
        <v/>
      </c>
      <c r="D561" s="479"/>
      <c r="E561" s="480"/>
      <c r="F561" s="480"/>
      <c r="G561" s="480"/>
      <c r="H561" s="480"/>
      <c r="I561" s="480"/>
      <c r="J561" s="480"/>
      <c r="K561" s="440"/>
      <c r="L561" s="441"/>
      <c r="M561" s="441"/>
      <c r="N561" s="441"/>
      <c r="O561" s="441"/>
      <c r="P561" s="441"/>
      <c r="Q561" s="441"/>
      <c r="R561" s="444"/>
      <c r="S561" s="445"/>
      <c r="T561" s="444"/>
      <c r="U561" s="445"/>
      <c r="V561" s="440"/>
      <c r="W561" s="441"/>
      <c r="X561" s="441"/>
      <c r="Y561" s="441"/>
      <c r="Z561" s="441"/>
      <c r="AA561" s="441"/>
      <c r="AB561" s="441"/>
      <c r="AC561" s="441"/>
      <c r="AD561" s="440"/>
      <c r="AE561" s="441"/>
      <c r="AF561" s="441"/>
      <c r="AG561" s="441"/>
      <c r="AH561" s="441"/>
      <c r="AI561" s="441"/>
      <c r="AJ561" s="441"/>
      <c r="AK561" s="450"/>
      <c r="AL561" s="440"/>
      <c r="AM561" s="441"/>
      <c r="AN561" s="441"/>
      <c r="AO561" s="441"/>
      <c r="AP561" s="441"/>
      <c r="AQ561" s="441"/>
      <c r="AR561" s="450"/>
      <c r="AS561" s="485"/>
      <c r="AT561" s="486"/>
      <c r="AU561" s="486"/>
      <c r="AV561" s="486"/>
      <c r="AW561" s="486"/>
      <c r="AX561" s="486"/>
      <c r="AY561" s="487"/>
      <c r="AZ561" s="462"/>
      <c r="BA561" s="463"/>
      <c r="BB561" s="61">
        <v>5</v>
      </c>
      <c r="BC561" s="418"/>
      <c r="BD561" s="419"/>
      <c r="BE561" s="419"/>
      <c r="BF561" s="420"/>
      <c r="BG561" s="421"/>
      <c r="BH561" s="422"/>
      <c r="BI561" s="195"/>
      <c r="BJ561" s="423"/>
      <c r="BK561" s="424"/>
      <c r="BL561" s="424"/>
      <c r="BM561" s="424"/>
      <c r="BN561" s="424"/>
      <c r="BO561" s="425"/>
      <c r="BP561" s="423"/>
      <c r="BQ561" s="424"/>
      <c r="BR561" s="424"/>
      <c r="BS561" s="424"/>
      <c r="BT561" s="424"/>
      <c r="BU561" s="425"/>
      <c r="BV561" s="423"/>
      <c r="BW561" s="424"/>
      <c r="BX561" s="424"/>
      <c r="BY561" s="424"/>
      <c r="BZ561" s="424"/>
      <c r="CA561" s="425"/>
      <c r="CB561" s="418"/>
      <c r="CC561" s="419"/>
      <c r="CD561" s="419"/>
      <c r="CE561" s="420"/>
      <c r="CF561" s="412"/>
      <c r="CG561" s="413"/>
      <c r="CH561" s="413"/>
      <c r="CI561" s="413"/>
      <c r="CJ561" s="414"/>
      <c r="CK561" s="412"/>
      <c r="CL561" s="413"/>
      <c r="CM561" s="413"/>
      <c r="CN561" s="413"/>
      <c r="CO561" s="414"/>
      <c r="CP561" s="412"/>
      <c r="CQ561" s="413"/>
      <c r="CR561" s="413"/>
      <c r="CS561" s="413"/>
      <c r="CT561" s="414"/>
      <c r="CU561" s="415"/>
      <c r="CV561" s="416"/>
      <c r="CW561" s="416"/>
      <c r="CX561" s="416"/>
      <c r="CY561" s="417"/>
    </row>
    <row r="562" spans="1:103" ht="16.5">
      <c r="A562" s="436"/>
      <c r="B562" s="37"/>
      <c r="C562" s="200" t="str">
        <f t="shared" ca="1" si="10"/>
        <v/>
      </c>
      <c r="D562" s="481"/>
      <c r="E562" s="482"/>
      <c r="F562" s="482"/>
      <c r="G562" s="482"/>
      <c r="H562" s="482"/>
      <c r="I562" s="482"/>
      <c r="J562" s="482"/>
      <c r="K562" s="409"/>
      <c r="L562" s="410"/>
      <c r="M562" s="410"/>
      <c r="N562" s="410"/>
      <c r="O562" s="410"/>
      <c r="P562" s="410"/>
      <c r="Q562" s="410"/>
      <c r="R562" s="446"/>
      <c r="S562" s="447"/>
      <c r="T562" s="446"/>
      <c r="U562" s="447"/>
      <c r="V562" s="409"/>
      <c r="W562" s="410"/>
      <c r="X562" s="410"/>
      <c r="Y562" s="410"/>
      <c r="Z562" s="410"/>
      <c r="AA562" s="410"/>
      <c r="AB562" s="410"/>
      <c r="AC562" s="410"/>
      <c r="AD562" s="409"/>
      <c r="AE562" s="410"/>
      <c r="AF562" s="410"/>
      <c r="AG562" s="410"/>
      <c r="AH562" s="410"/>
      <c r="AI562" s="410"/>
      <c r="AJ562" s="410"/>
      <c r="AK562" s="411"/>
      <c r="AL562" s="409"/>
      <c r="AM562" s="410"/>
      <c r="AN562" s="410"/>
      <c r="AO562" s="410"/>
      <c r="AP562" s="410"/>
      <c r="AQ562" s="410"/>
      <c r="AR562" s="411"/>
      <c r="AS562" s="488"/>
      <c r="AT562" s="489"/>
      <c r="AU562" s="489"/>
      <c r="AV562" s="489"/>
      <c r="AW562" s="489"/>
      <c r="AX562" s="489"/>
      <c r="AY562" s="490"/>
      <c r="AZ562" s="464"/>
      <c r="BA562" s="465"/>
      <c r="BB562" s="62">
        <v>6</v>
      </c>
      <c r="BC562" s="426"/>
      <c r="BD562" s="427"/>
      <c r="BE562" s="427"/>
      <c r="BF562" s="428"/>
      <c r="BG562" s="429"/>
      <c r="BH562" s="430"/>
      <c r="BI562" s="196"/>
      <c r="BJ562" s="474"/>
      <c r="BK562" s="475"/>
      <c r="BL562" s="475"/>
      <c r="BM562" s="475"/>
      <c r="BN562" s="475"/>
      <c r="BO562" s="476"/>
      <c r="BP562" s="474"/>
      <c r="BQ562" s="475"/>
      <c r="BR562" s="475"/>
      <c r="BS562" s="475"/>
      <c r="BT562" s="475"/>
      <c r="BU562" s="476"/>
      <c r="BV562" s="474"/>
      <c r="BW562" s="475"/>
      <c r="BX562" s="475"/>
      <c r="BY562" s="475"/>
      <c r="BZ562" s="475"/>
      <c r="CA562" s="476"/>
      <c r="CB562" s="426"/>
      <c r="CC562" s="427"/>
      <c r="CD562" s="427"/>
      <c r="CE562" s="428"/>
      <c r="CF562" s="412"/>
      <c r="CG562" s="413"/>
      <c r="CH562" s="413"/>
      <c r="CI562" s="413"/>
      <c r="CJ562" s="414"/>
      <c r="CK562" s="412"/>
      <c r="CL562" s="413"/>
      <c r="CM562" s="413"/>
      <c r="CN562" s="413"/>
      <c r="CO562" s="414"/>
      <c r="CP562" s="412"/>
      <c r="CQ562" s="413"/>
      <c r="CR562" s="413"/>
      <c r="CS562" s="413"/>
      <c r="CT562" s="414"/>
      <c r="CU562" s="415"/>
      <c r="CV562" s="416"/>
      <c r="CW562" s="416"/>
      <c r="CX562" s="416"/>
      <c r="CY562" s="417"/>
    </row>
    <row r="563" spans="1:103" ht="16.5">
      <c r="A563" s="434">
        <v>93</v>
      </c>
      <c r="B563" s="36"/>
      <c r="C563" s="198" t="str">
        <f t="shared" ca="1" si="10"/>
        <v/>
      </c>
      <c r="D563" s="477"/>
      <c r="E563" s="478"/>
      <c r="F563" s="478"/>
      <c r="G563" s="478"/>
      <c r="H563" s="478"/>
      <c r="I563" s="478"/>
      <c r="J563" s="478"/>
      <c r="K563" s="438" t="s">
        <v>445</v>
      </c>
      <c r="L563" s="439"/>
      <c r="M563" s="439"/>
      <c r="N563" s="439"/>
      <c r="O563" s="439"/>
      <c r="P563" s="439"/>
      <c r="Q563" s="439"/>
      <c r="R563" s="442" t="s">
        <v>186</v>
      </c>
      <c r="S563" s="443"/>
      <c r="T563" s="442"/>
      <c r="U563" s="443"/>
      <c r="V563" s="438"/>
      <c r="W563" s="439"/>
      <c r="X563" s="439"/>
      <c r="Y563" s="439"/>
      <c r="Z563" s="439"/>
      <c r="AA563" s="439"/>
      <c r="AB563" s="439"/>
      <c r="AC563" s="439"/>
      <c r="AD563" s="438"/>
      <c r="AE563" s="439"/>
      <c r="AF563" s="439"/>
      <c r="AG563" s="439"/>
      <c r="AH563" s="439"/>
      <c r="AI563" s="439"/>
      <c r="AJ563" s="439"/>
      <c r="AK563" s="449"/>
      <c r="AL563" s="438"/>
      <c r="AM563" s="439"/>
      <c r="AN563" s="439"/>
      <c r="AO563" s="439"/>
      <c r="AP563" s="439"/>
      <c r="AQ563" s="439"/>
      <c r="AR563" s="449"/>
      <c r="AS563" s="500"/>
      <c r="AT563" s="483"/>
      <c r="AU563" s="483"/>
      <c r="AV563" s="483"/>
      <c r="AW563" s="483"/>
      <c r="AX563" s="483"/>
      <c r="AY563" s="484"/>
      <c r="AZ563" s="460"/>
      <c r="BA563" s="461"/>
      <c r="BB563" s="60">
        <v>1</v>
      </c>
      <c r="BC563" s="466"/>
      <c r="BD563" s="467"/>
      <c r="BE563" s="467"/>
      <c r="BF563" s="468"/>
      <c r="BG563" s="469"/>
      <c r="BH563" s="470"/>
      <c r="BI563" s="194"/>
      <c r="BJ563" s="471"/>
      <c r="BK563" s="472"/>
      <c r="BL563" s="472"/>
      <c r="BM563" s="472"/>
      <c r="BN563" s="472"/>
      <c r="BO563" s="473"/>
      <c r="BP563" s="471"/>
      <c r="BQ563" s="472"/>
      <c r="BR563" s="472"/>
      <c r="BS563" s="472"/>
      <c r="BT563" s="472"/>
      <c r="BU563" s="473"/>
      <c r="BV563" s="471"/>
      <c r="BW563" s="472"/>
      <c r="BX563" s="472"/>
      <c r="BY563" s="472"/>
      <c r="BZ563" s="472"/>
      <c r="CA563" s="473"/>
      <c r="CB563" s="466"/>
      <c r="CC563" s="467"/>
      <c r="CD563" s="467"/>
      <c r="CE563" s="468"/>
      <c r="CF563" s="409"/>
      <c r="CG563" s="410"/>
      <c r="CH563" s="410"/>
      <c r="CI563" s="410"/>
      <c r="CJ563" s="411"/>
      <c r="CK563" s="409"/>
      <c r="CL563" s="410"/>
      <c r="CM563" s="410"/>
      <c r="CN563" s="410"/>
      <c r="CO563" s="411"/>
      <c r="CP563" s="409"/>
      <c r="CQ563" s="410"/>
      <c r="CR563" s="410"/>
      <c r="CS563" s="410"/>
      <c r="CT563" s="411"/>
      <c r="CU563" s="415"/>
      <c r="CV563" s="416"/>
      <c r="CW563" s="416"/>
      <c r="CX563" s="416"/>
      <c r="CY563" s="417"/>
    </row>
    <row r="564" spans="1:103" ht="16.5">
      <c r="A564" s="435"/>
      <c r="B564" s="36"/>
      <c r="C564" s="199" t="str">
        <f t="shared" ca="1" si="10"/>
        <v/>
      </c>
      <c r="D564" s="479"/>
      <c r="E564" s="480"/>
      <c r="F564" s="480"/>
      <c r="G564" s="480"/>
      <c r="H564" s="480"/>
      <c r="I564" s="480"/>
      <c r="J564" s="480"/>
      <c r="K564" s="440"/>
      <c r="L564" s="441"/>
      <c r="M564" s="441"/>
      <c r="N564" s="441"/>
      <c r="O564" s="441"/>
      <c r="P564" s="441"/>
      <c r="Q564" s="441"/>
      <c r="R564" s="444"/>
      <c r="S564" s="445"/>
      <c r="T564" s="444"/>
      <c r="U564" s="445"/>
      <c r="V564" s="440"/>
      <c r="W564" s="441"/>
      <c r="X564" s="441"/>
      <c r="Y564" s="441"/>
      <c r="Z564" s="441"/>
      <c r="AA564" s="441"/>
      <c r="AB564" s="441"/>
      <c r="AC564" s="441"/>
      <c r="AD564" s="440"/>
      <c r="AE564" s="441"/>
      <c r="AF564" s="441"/>
      <c r="AG564" s="441"/>
      <c r="AH564" s="441"/>
      <c r="AI564" s="441"/>
      <c r="AJ564" s="441"/>
      <c r="AK564" s="450"/>
      <c r="AL564" s="440"/>
      <c r="AM564" s="441"/>
      <c r="AN564" s="441"/>
      <c r="AO564" s="441"/>
      <c r="AP564" s="441"/>
      <c r="AQ564" s="441"/>
      <c r="AR564" s="450"/>
      <c r="AS564" s="485"/>
      <c r="AT564" s="486"/>
      <c r="AU564" s="486"/>
      <c r="AV564" s="486"/>
      <c r="AW564" s="486"/>
      <c r="AX564" s="486"/>
      <c r="AY564" s="487"/>
      <c r="AZ564" s="462"/>
      <c r="BA564" s="463"/>
      <c r="BB564" s="61">
        <v>2</v>
      </c>
      <c r="BC564" s="418"/>
      <c r="BD564" s="419"/>
      <c r="BE564" s="419"/>
      <c r="BF564" s="420"/>
      <c r="BG564" s="421"/>
      <c r="BH564" s="422"/>
      <c r="BI564" s="195"/>
      <c r="BJ564" s="423"/>
      <c r="BK564" s="424"/>
      <c r="BL564" s="424"/>
      <c r="BM564" s="424"/>
      <c r="BN564" s="424"/>
      <c r="BO564" s="425"/>
      <c r="BP564" s="423"/>
      <c r="BQ564" s="424"/>
      <c r="BR564" s="424"/>
      <c r="BS564" s="424"/>
      <c r="BT564" s="424"/>
      <c r="BU564" s="425"/>
      <c r="BV564" s="423"/>
      <c r="BW564" s="424"/>
      <c r="BX564" s="424"/>
      <c r="BY564" s="424"/>
      <c r="BZ564" s="424"/>
      <c r="CA564" s="425"/>
      <c r="CB564" s="418"/>
      <c r="CC564" s="419"/>
      <c r="CD564" s="419"/>
      <c r="CE564" s="420"/>
      <c r="CF564" s="412"/>
      <c r="CG564" s="413"/>
      <c r="CH564" s="413"/>
      <c r="CI564" s="413"/>
      <c r="CJ564" s="414"/>
      <c r="CK564" s="412"/>
      <c r="CL564" s="413"/>
      <c r="CM564" s="413"/>
      <c r="CN564" s="413"/>
      <c r="CO564" s="414"/>
      <c r="CP564" s="412"/>
      <c r="CQ564" s="413"/>
      <c r="CR564" s="413"/>
      <c r="CS564" s="413"/>
      <c r="CT564" s="414"/>
      <c r="CU564" s="415"/>
      <c r="CV564" s="416"/>
      <c r="CW564" s="416"/>
      <c r="CX564" s="416"/>
      <c r="CY564" s="417"/>
    </row>
    <row r="565" spans="1:103" ht="16.5">
      <c r="A565" s="435"/>
      <c r="B565" s="36"/>
      <c r="C565" s="199" t="str">
        <f t="shared" ca="1" si="10"/>
        <v/>
      </c>
      <c r="D565" s="479"/>
      <c r="E565" s="480"/>
      <c r="F565" s="480"/>
      <c r="G565" s="480"/>
      <c r="H565" s="480"/>
      <c r="I565" s="480"/>
      <c r="J565" s="480"/>
      <c r="K565" s="440"/>
      <c r="L565" s="441"/>
      <c r="M565" s="441"/>
      <c r="N565" s="441"/>
      <c r="O565" s="441"/>
      <c r="P565" s="441"/>
      <c r="Q565" s="441"/>
      <c r="R565" s="444"/>
      <c r="S565" s="445"/>
      <c r="T565" s="444"/>
      <c r="U565" s="445"/>
      <c r="V565" s="440"/>
      <c r="W565" s="441"/>
      <c r="X565" s="441"/>
      <c r="Y565" s="441"/>
      <c r="Z565" s="441"/>
      <c r="AA565" s="441"/>
      <c r="AB565" s="441"/>
      <c r="AC565" s="441"/>
      <c r="AD565" s="440"/>
      <c r="AE565" s="441"/>
      <c r="AF565" s="441"/>
      <c r="AG565" s="441"/>
      <c r="AH565" s="441"/>
      <c r="AI565" s="441"/>
      <c r="AJ565" s="441"/>
      <c r="AK565" s="450"/>
      <c r="AL565" s="440"/>
      <c r="AM565" s="441"/>
      <c r="AN565" s="441"/>
      <c r="AO565" s="441"/>
      <c r="AP565" s="441"/>
      <c r="AQ565" s="441"/>
      <c r="AR565" s="450"/>
      <c r="AS565" s="485"/>
      <c r="AT565" s="486"/>
      <c r="AU565" s="486"/>
      <c r="AV565" s="486"/>
      <c r="AW565" s="486"/>
      <c r="AX565" s="486"/>
      <c r="AY565" s="487"/>
      <c r="AZ565" s="462"/>
      <c r="BA565" s="463"/>
      <c r="BB565" s="61">
        <v>3</v>
      </c>
      <c r="BC565" s="418"/>
      <c r="BD565" s="419"/>
      <c r="BE565" s="419"/>
      <c r="BF565" s="420"/>
      <c r="BG565" s="421"/>
      <c r="BH565" s="422"/>
      <c r="BI565" s="195"/>
      <c r="BJ565" s="423"/>
      <c r="BK565" s="424"/>
      <c r="BL565" s="424"/>
      <c r="BM565" s="424"/>
      <c r="BN565" s="424"/>
      <c r="BO565" s="425"/>
      <c r="BP565" s="423"/>
      <c r="BQ565" s="424"/>
      <c r="BR565" s="424"/>
      <c r="BS565" s="424"/>
      <c r="BT565" s="424"/>
      <c r="BU565" s="425"/>
      <c r="BV565" s="423"/>
      <c r="BW565" s="424"/>
      <c r="BX565" s="424"/>
      <c r="BY565" s="424"/>
      <c r="BZ565" s="424"/>
      <c r="CA565" s="425"/>
      <c r="CB565" s="418"/>
      <c r="CC565" s="419"/>
      <c r="CD565" s="419"/>
      <c r="CE565" s="420"/>
      <c r="CF565" s="412"/>
      <c r="CG565" s="413"/>
      <c r="CH565" s="413"/>
      <c r="CI565" s="413"/>
      <c r="CJ565" s="414"/>
      <c r="CK565" s="412"/>
      <c r="CL565" s="413"/>
      <c r="CM565" s="413"/>
      <c r="CN565" s="413"/>
      <c r="CO565" s="414"/>
      <c r="CP565" s="412"/>
      <c r="CQ565" s="413"/>
      <c r="CR565" s="413"/>
      <c r="CS565" s="413"/>
      <c r="CT565" s="414"/>
      <c r="CU565" s="415"/>
      <c r="CV565" s="416"/>
      <c r="CW565" s="416"/>
      <c r="CX565" s="416"/>
      <c r="CY565" s="417"/>
    </row>
    <row r="566" spans="1:103" ht="16.5">
      <c r="A566" s="435"/>
      <c r="B566" s="36"/>
      <c r="C566" s="199" t="str">
        <f t="shared" ca="1" si="10"/>
        <v/>
      </c>
      <c r="D566" s="479"/>
      <c r="E566" s="480"/>
      <c r="F566" s="480"/>
      <c r="G566" s="480"/>
      <c r="H566" s="480"/>
      <c r="I566" s="480"/>
      <c r="J566" s="480"/>
      <c r="K566" s="440"/>
      <c r="L566" s="441"/>
      <c r="M566" s="441"/>
      <c r="N566" s="441"/>
      <c r="O566" s="441"/>
      <c r="P566" s="441"/>
      <c r="Q566" s="441"/>
      <c r="R566" s="444"/>
      <c r="S566" s="445"/>
      <c r="T566" s="444"/>
      <c r="U566" s="445"/>
      <c r="V566" s="440"/>
      <c r="W566" s="441"/>
      <c r="X566" s="441"/>
      <c r="Y566" s="441"/>
      <c r="Z566" s="441"/>
      <c r="AA566" s="441"/>
      <c r="AB566" s="441"/>
      <c r="AC566" s="441"/>
      <c r="AD566" s="440"/>
      <c r="AE566" s="441"/>
      <c r="AF566" s="441"/>
      <c r="AG566" s="441"/>
      <c r="AH566" s="441"/>
      <c r="AI566" s="441"/>
      <c r="AJ566" s="441"/>
      <c r="AK566" s="450"/>
      <c r="AL566" s="440"/>
      <c r="AM566" s="441"/>
      <c r="AN566" s="441"/>
      <c r="AO566" s="441"/>
      <c r="AP566" s="441"/>
      <c r="AQ566" s="441"/>
      <c r="AR566" s="450"/>
      <c r="AS566" s="485"/>
      <c r="AT566" s="486"/>
      <c r="AU566" s="486"/>
      <c r="AV566" s="486"/>
      <c r="AW566" s="486"/>
      <c r="AX566" s="486"/>
      <c r="AY566" s="487"/>
      <c r="AZ566" s="462"/>
      <c r="BA566" s="463"/>
      <c r="BB566" s="61">
        <v>4</v>
      </c>
      <c r="BC566" s="418"/>
      <c r="BD566" s="419"/>
      <c r="BE566" s="419"/>
      <c r="BF566" s="420"/>
      <c r="BG566" s="421"/>
      <c r="BH566" s="422"/>
      <c r="BI566" s="195"/>
      <c r="BJ566" s="423"/>
      <c r="BK566" s="424"/>
      <c r="BL566" s="424"/>
      <c r="BM566" s="424"/>
      <c r="BN566" s="424"/>
      <c r="BO566" s="425"/>
      <c r="BP566" s="423"/>
      <c r="BQ566" s="424"/>
      <c r="BR566" s="424"/>
      <c r="BS566" s="424"/>
      <c r="BT566" s="424"/>
      <c r="BU566" s="425"/>
      <c r="BV566" s="423"/>
      <c r="BW566" s="424"/>
      <c r="BX566" s="424"/>
      <c r="BY566" s="424"/>
      <c r="BZ566" s="424"/>
      <c r="CA566" s="425"/>
      <c r="CB566" s="418"/>
      <c r="CC566" s="419"/>
      <c r="CD566" s="419"/>
      <c r="CE566" s="420"/>
      <c r="CF566" s="412"/>
      <c r="CG566" s="413"/>
      <c r="CH566" s="413"/>
      <c r="CI566" s="413"/>
      <c r="CJ566" s="414"/>
      <c r="CK566" s="412"/>
      <c r="CL566" s="413"/>
      <c r="CM566" s="413"/>
      <c r="CN566" s="413"/>
      <c r="CO566" s="414"/>
      <c r="CP566" s="412"/>
      <c r="CQ566" s="413"/>
      <c r="CR566" s="413"/>
      <c r="CS566" s="413"/>
      <c r="CT566" s="414"/>
      <c r="CU566" s="415"/>
      <c r="CV566" s="416"/>
      <c r="CW566" s="416"/>
      <c r="CX566" s="416"/>
      <c r="CY566" s="417"/>
    </row>
    <row r="567" spans="1:103" ht="16.5">
      <c r="A567" s="435"/>
      <c r="B567" s="36"/>
      <c r="C567" s="199" t="str">
        <f t="shared" ca="1" si="10"/>
        <v/>
      </c>
      <c r="D567" s="479"/>
      <c r="E567" s="480"/>
      <c r="F567" s="480"/>
      <c r="G567" s="480"/>
      <c r="H567" s="480"/>
      <c r="I567" s="480"/>
      <c r="J567" s="480"/>
      <c r="K567" s="440"/>
      <c r="L567" s="441"/>
      <c r="M567" s="441"/>
      <c r="N567" s="441"/>
      <c r="O567" s="441"/>
      <c r="P567" s="441"/>
      <c r="Q567" s="441"/>
      <c r="R567" s="444"/>
      <c r="S567" s="445"/>
      <c r="T567" s="444"/>
      <c r="U567" s="445"/>
      <c r="V567" s="440"/>
      <c r="W567" s="441"/>
      <c r="X567" s="441"/>
      <c r="Y567" s="441"/>
      <c r="Z567" s="441"/>
      <c r="AA567" s="441"/>
      <c r="AB567" s="441"/>
      <c r="AC567" s="441"/>
      <c r="AD567" s="440"/>
      <c r="AE567" s="441"/>
      <c r="AF567" s="441"/>
      <c r="AG567" s="441"/>
      <c r="AH567" s="441"/>
      <c r="AI567" s="441"/>
      <c r="AJ567" s="441"/>
      <c r="AK567" s="450"/>
      <c r="AL567" s="440"/>
      <c r="AM567" s="441"/>
      <c r="AN567" s="441"/>
      <c r="AO567" s="441"/>
      <c r="AP567" s="441"/>
      <c r="AQ567" s="441"/>
      <c r="AR567" s="450"/>
      <c r="AS567" s="485"/>
      <c r="AT567" s="486"/>
      <c r="AU567" s="486"/>
      <c r="AV567" s="486"/>
      <c r="AW567" s="486"/>
      <c r="AX567" s="486"/>
      <c r="AY567" s="487"/>
      <c r="AZ567" s="462"/>
      <c r="BA567" s="463"/>
      <c r="BB567" s="61">
        <v>5</v>
      </c>
      <c r="BC567" s="418"/>
      <c r="BD567" s="419"/>
      <c r="BE567" s="419"/>
      <c r="BF567" s="420"/>
      <c r="BG567" s="421"/>
      <c r="BH567" s="422"/>
      <c r="BI567" s="195"/>
      <c r="BJ567" s="423"/>
      <c r="BK567" s="424"/>
      <c r="BL567" s="424"/>
      <c r="BM567" s="424"/>
      <c r="BN567" s="424"/>
      <c r="BO567" s="425"/>
      <c r="BP567" s="423"/>
      <c r="BQ567" s="424"/>
      <c r="BR567" s="424"/>
      <c r="BS567" s="424"/>
      <c r="BT567" s="424"/>
      <c r="BU567" s="425"/>
      <c r="BV567" s="423"/>
      <c r="BW567" s="424"/>
      <c r="BX567" s="424"/>
      <c r="BY567" s="424"/>
      <c r="BZ567" s="424"/>
      <c r="CA567" s="425"/>
      <c r="CB567" s="418"/>
      <c r="CC567" s="419"/>
      <c r="CD567" s="419"/>
      <c r="CE567" s="420"/>
      <c r="CF567" s="412"/>
      <c r="CG567" s="413"/>
      <c r="CH567" s="413"/>
      <c r="CI567" s="413"/>
      <c r="CJ567" s="414"/>
      <c r="CK567" s="412"/>
      <c r="CL567" s="413"/>
      <c r="CM567" s="413"/>
      <c r="CN567" s="413"/>
      <c r="CO567" s="414"/>
      <c r="CP567" s="412"/>
      <c r="CQ567" s="413"/>
      <c r="CR567" s="413"/>
      <c r="CS567" s="413"/>
      <c r="CT567" s="414"/>
      <c r="CU567" s="415"/>
      <c r="CV567" s="416"/>
      <c r="CW567" s="416"/>
      <c r="CX567" s="416"/>
      <c r="CY567" s="417"/>
    </row>
    <row r="568" spans="1:103" ht="16.5">
      <c r="A568" s="436"/>
      <c r="B568" s="37"/>
      <c r="C568" s="200" t="str">
        <f t="shared" ca="1" si="10"/>
        <v/>
      </c>
      <c r="D568" s="481"/>
      <c r="E568" s="482"/>
      <c r="F568" s="482"/>
      <c r="G568" s="482"/>
      <c r="H568" s="482"/>
      <c r="I568" s="482"/>
      <c r="J568" s="482"/>
      <c r="K568" s="409"/>
      <c r="L568" s="410"/>
      <c r="M568" s="410"/>
      <c r="N568" s="410"/>
      <c r="O568" s="410"/>
      <c r="P568" s="410"/>
      <c r="Q568" s="410"/>
      <c r="R568" s="446"/>
      <c r="S568" s="447"/>
      <c r="T568" s="446"/>
      <c r="U568" s="447"/>
      <c r="V568" s="409"/>
      <c r="W568" s="410"/>
      <c r="X568" s="410"/>
      <c r="Y568" s="410"/>
      <c r="Z568" s="410"/>
      <c r="AA568" s="410"/>
      <c r="AB568" s="410"/>
      <c r="AC568" s="410"/>
      <c r="AD568" s="409"/>
      <c r="AE568" s="410"/>
      <c r="AF568" s="410"/>
      <c r="AG568" s="410"/>
      <c r="AH568" s="410"/>
      <c r="AI568" s="410"/>
      <c r="AJ568" s="410"/>
      <c r="AK568" s="411"/>
      <c r="AL568" s="409"/>
      <c r="AM568" s="410"/>
      <c r="AN568" s="410"/>
      <c r="AO568" s="410"/>
      <c r="AP568" s="410"/>
      <c r="AQ568" s="410"/>
      <c r="AR568" s="411"/>
      <c r="AS568" s="488"/>
      <c r="AT568" s="489"/>
      <c r="AU568" s="489"/>
      <c r="AV568" s="489"/>
      <c r="AW568" s="489"/>
      <c r="AX568" s="489"/>
      <c r="AY568" s="490"/>
      <c r="AZ568" s="464"/>
      <c r="BA568" s="465"/>
      <c r="BB568" s="62">
        <v>6</v>
      </c>
      <c r="BC568" s="426"/>
      <c r="BD568" s="427"/>
      <c r="BE568" s="427"/>
      <c r="BF568" s="428"/>
      <c r="BG568" s="429"/>
      <c r="BH568" s="430"/>
      <c r="BI568" s="196"/>
      <c r="BJ568" s="474"/>
      <c r="BK568" s="475"/>
      <c r="BL568" s="475"/>
      <c r="BM568" s="475"/>
      <c r="BN568" s="475"/>
      <c r="BO568" s="476"/>
      <c r="BP568" s="474"/>
      <c r="BQ568" s="475"/>
      <c r="BR568" s="475"/>
      <c r="BS568" s="475"/>
      <c r="BT568" s="475"/>
      <c r="BU568" s="476"/>
      <c r="BV568" s="474"/>
      <c r="BW568" s="475"/>
      <c r="BX568" s="475"/>
      <c r="BY568" s="475"/>
      <c r="BZ568" s="475"/>
      <c r="CA568" s="476"/>
      <c r="CB568" s="426"/>
      <c r="CC568" s="427"/>
      <c r="CD568" s="427"/>
      <c r="CE568" s="428"/>
      <c r="CF568" s="412"/>
      <c r="CG568" s="413"/>
      <c r="CH568" s="413"/>
      <c r="CI568" s="413"/>
      <c r="CJ568" s="414"/>
      <c r="CK568" s="412"/>
      <c r="CL568" s="413"/>
      <c r="CM568" s="413"/>
      <c r="CN568" s="413"/>
      <c r="CO568" s="414"/>
      <c r="CP568" s="412"/>
      <c r="CQ568" s="413"/>
      <c r="CR568" s="413"/>
      <c r="CS568" s="413"/>
      <c r="CT568" s="414"/>
      <c r="CU568" s="415"/>
      <c r="CV568" s="416"/>
      <c r="CW568" s="416"/>
      <c r="CX568" s="416"/>
      <c r="CY568" s="417"/>
    </row>
    <row r="569" spans="1:103" ht="16.5">
      <c r="A569" s="434">
        <v>94</v>
      </c>
      <c r="B569" s="36"/>
      <c r="C569" s="198" t="str">
        <f t="shared" ca="1" si="10"/>
        <v/>
      </c>
      <c r="D569" s="477" t="s">
        <v>446</v>
      </c>
      <c r="E569" s="478"/>
      <c r="F569" s="478"/>
      <c r="G569" s="478"/>
      <c r="H569" s="478"/>
      <c r="I569" s="478"/>
      <c r="J569" s="478"/>
      <c r="K569" s="438" t="s">
        <v>447</v>
      </c>
      <c r="L569" s="439"/>
      <c r="M569" s="439"/>
      <c r="N569" s="439"/>
      <c r="O569" s="439"/>
      <c r="P569" s="439"/>
      <c r="Q569" s="439"/>
      <c r="R569" s="442" t="s">
        <v>186</v>
      </c>
      <c r="S569" s="443"/>
      <c r="T569" s="442"/>
      <c r="U569" s="443"/>
      <c r="V569" s="438"/>
      <c r="W569" s="439"/>
      <c r="X569" s="439"/>
      <c r="Y569" s="439"/>
      <c r="Z569" s="439"/>
      <c r="AA569" s="439"/>
      <c r="AB569" s="439"/>
      <c r="AC569" s="439"/>
      <c r="AD569" s="438"/>
      <c r="AE569" s="439"/>
      <c r="AF569" s="439"/>
      <c r="AG569" s="439"/>
      <c r="AH569" s="439"/>
      <c r="AI569" s="439"/>
      <c r="AJ569" s="439"/>
      <c r="AK569" s="449"/>
      <c r="AL569" s="438"/>
      <c r="AM569" s="439"/>
      <c r="AN569" s="439"/>
      <c r="AO569" s="439"/>
      <c r="AP569" s="439"/>
      <c r="AQ569" s="439"/>
      <c r="AR569" s="449"/>
      <c r="AS569" s="500"/>
      <c r="AT569" s="483"/>
      <c r="AU569" s="483"/>
      <c r="AV569" s="483"/>
      <c r="AW569" s="483"/>
      <c r="AX569" s="483"/>
      <c r="AY569" s="484"/>
      <c r="AZ569" s="460"/>
      <c r="BA569" s="461"/>
      <c r="BB569" s="60">
        <v>1</v>
      </c>
      <c r="BC569" s="466"/>
      <c r="BD569" s="467"/>
      <c r="BE569" s="467"/>
      <c r="BF569" s="468"/>
      <c r="BG569" s="469"/>
      <c r="BH569" s="470"/>
      <c r="BI569" s="194"/>
      <c r="BJ569" s="471"/>
      <c r="BK569" s="472"/>
      <c r="BL569" s="472"/>
      <c r="BM569" s="472"/>
      <c r="BN569" s="472"/>
      <c r="BO569" s="473"/>
      <c r="BP569" s="471"/>
      <c r="BQ569" s="472"/>
      <c r="BR569" s="472"/>
      <c r="BS569" s="472"/>
      <c r="BT569" s="472"/>
      <c r="BU569" s="473"/>
      <c r="BV569" s="471"/>
      <c r="BW569" s="472"/>
      <c r="BX569" s="472"/>
      <c r="BY569" s="472"/>
      <c r="BZ569" s="472"/>
      <c r="CA569" s="473"/>
      <c r="CB569" s="466"/>
      <c r="CC569" s="467"/>
      <c r="CD569" s="467"/>
      <c r="CE569" s="468"/>
      <c r="CF569" s="409"/>
      <c r="CG569" s="410"/>
      <c r="CH569" s="410"/>
      <c r="CI569" s="410"/>
      <c r="CJ569" s="411"/>
      <c r="CK569" s="409"/>
      <c r="CL569" s="410"/>
      <c r="CM569" s="410"/>
      <c r="CN569" s="410"/>
      <c r="CO569" s="411"/>
      <c r="CP569" s="409"/>
      <c r="CQ569" s="410"/>
      <c r="CR569" s="410"/>
      <c r="CS569" s="410"/>
      <c r="CT569" s="411"/>
      <c r="CU569" s="415"/>
      <c r="CV569" s="416"/>
      <c r="CW569" s="416"/>
      <c r="CX569" s="416"/>
      <c r="CY569" s="417"/>
    </row>
    <row r="570" spans="1:103" ht="16.5">
      <c r="A570" s="435"/>
      <c r="B570" s="36"/>
      <c r="C570" s="199" t="str">
        <f t="shared" ca="1" si="10"/>
        <v/>
      </c>
      <c r="D570" s="479"/>
      <c r="E570" s="480"/>
      <c r="F570" s="480"/>
      <c r="G570" s="480"/>
      <c r="H570" s="480"/>
      <c r="I570" s="480"/>
      <c r="J570" s="480"/>
      <c r="K570" s="440"/>
      <c r="L570" s="441"/>
      <c r="M570" s="441"/>
      <c r="N570" s="441"/>
      <c r="O570" s="441"/>
      <c r="P570" s="441"/>
      <c r="Q570" s="441"/>
      <c r="R570" s="444"/>
      <c r="S570" s="445"/>
      <c r="T570" s="444"/>
      <c r="U570" s="445"/>
      <c r="V570" s="440"/>
      <c r="W570" s="441"/>
      <c r="X570" s="441"/>
      <c r="Y570" s="441"/>
      <c r="Z570" s="441"/>
      <c r="AA570" s="441"/>
      <c r="AB570" s="441"/>
      <c r="AC570" s="441"/>
      <c r="AD570" s="440"/>
      <c r="AE570" s="441"/>
      <c r="AF570" s="441"/>
      <c r="AG570" s="441"/>
      <c r="AH570" s="441"/>
      <c r="AI570" s="441"/>
      <c r="AJ570" s="441"/>
      <c r="AK570" s="450"/>
      <c r="AL570" s="440"/>
      <c r="AM570" s="441"/>
      <c r="AN570" s="441"/>
      <c r="AO570" s="441"/>
      <c r="AP570" s="441"/>
      <c r="AQ570" s="441"/>
      <c r="AR570" s="450"/>
      <c r="AS570" s="485"/>
      <c r="AT570" s="486"/>
      <c r="AU570" s="486"/>
      <c r="AV570" s="486"/>
      <c r="AW570" s="486"/>
      <c r="AX570" s="486"/>
      <c r="AY570" s="487"/>
      <c r="AZ570" s="462"/>
      <c r="BA570" s="463"/>
      <c r="BB570" s="61">
        <v>2</v>
      </c>
      <c r="BC570" s="418"/>
      <c r="BD570" s="419"/>
      <c r="BE570" s="419"/>
      <c r="BF570" s="420"/>
      <c r="BG570" s="421"/>
      <c r="BH570" s="422"/>
      <c r="BI570" s="195"/>
      <c r="BJ570" s="423"/>
      <c r="BK570" s="424"/>
      <c r="BL570" s="424"/>
      <c r="BM570" s="424"/>
      <c r="BN570" s="424"/>
      <c r="BO570" s="425"/>
      <c r="BP570" s="423"/>
      <c r="BQ570" s="424"/>
      <c r="BR570" s="424"/>
      <c r="BS570" s="424"/>
      <c r="BT570" s="424"/>
      <c r="BU570" s="425"/>
      <c r="BV570" s="423"/>
      <c r="BW570" s="424"/>
      <c r="BX570" s="424"/>
      <c r="BY570" s="424"/>
      <c r="BZ570" s="424"/>
      <c r="CA570" s="425"/>
      <c r="CB570" s="418"/>
      <c r="CC570" s="419"/>
      <c r="CD570" s="419"/>
      <c r="CE570" s="420"/>
      <c r="CF570" s="412"/>
      <c r="CG570" s="413"/>
      <c r="CH570" s="413"/>
      <c r="CI570" s="413"/>
      <c r="CJ570" s="414"/>
      <c r="CK570" s="412"/>
      <c r="CL570" s="413"/>
      <c r="CM570" s="413"/>
      <c r="CN570" s="413"/>
      <c r="CO570" s="414"/>
      <c r="CP570" s="412"/>
      <c r="CQ570" s="413"/>
      <c r="CR570" s="413"/>
      <c r="CS570" s="413"/>
      <c r="CT570" s="414"/>
      <c r="CU570" s="415"/>
      <c r="CV570" s="416"/>
      <c r="CW570" s="416"/>
      <c r="CX570" s="416"/>
      <c r="CY570" s="417"/>
    </row>
    <row r="571" spans="1:103" ht="16.5">
      <c r="A571" s="435"/>
      <c r="B571" s="36"/>
      <c r="C571" s="199" t="str">
        <f t="shared" ca="1" si="10"/>
        <v/>
      </c>
      <c r="D571" s="479"/>
      <c r="E571" s="480"/>
      <c r="F571" s="480"/>
      <c r="G571" s="480"/>
      <c r="H571" s="480"/>
      <c r="I571" s="480"/>
      <c r="J571" s="480"/>
      <c r="K571" s="440"/>
      <c r="L571" s="441"/>
      <c r="M571" s="441"/>
      <c r="N571" s="441"/>
      <c r="O571" s="441"/>
      <c r="P571" s="441"/>
      <c r="Q571" s="441"/>
      <c r="R571" s="444"/>
      <c r="S571" s="445"/>
      <c r="T571" s="444"/>
      <c r="U571" s="445"/>
      <c r="V571" s="440"/>
      <c r="W571" s="441"/>
      <c r="X571" s="441"/>
      <c r="Y571" s="441"/>
      <c r="Z571" s="441"/>
      <c r="AA571" s="441"/>
      <c r="AB571" s="441"/>
      <c r="AC571" s="441"/>
      <c r="AD571" s="440"/>
      <c r="AE571" s="441"/>
      <c r="AF571" s="441"/>
      <c r="AG571" s="441"/>
      <c r="AH571" s="441"/>
      <c r="AI571" s="441"/>
      <c r="AJ571" s="441"/>
      <c r="AK571" s="450"/>
      <c r="AL571" s="440"/>
      <c r="AM571" s="441"/>
      <c r="AN571" s="441"/>
      <c r="AO571" s="441"/>
      <c r="AP571" s="441"/>
      <c r="AQ571" s="441"/>
      <c r="AR571" s="450"/>
      <c r="AS571" s="485"/>
      <c r="AT571" s="486"/>
      <c r="AU571" s="486"/>
      <c r="AV571" s="486"/>
      <c r="AW571" s="486"/>
      <c r="AX571" s="486"/>
      <c r="AY571" s="487"/>
      <c r="AZ571" s="462"/>
      <c r="BA571" s="463"/>
      <c r="BB571" s="61">
        <v>3</v>
      </c>
      <c r="BC571" s="418"/>
      <c r="BD571" s="419"/>
      <c r="BE571" s="419"/>
      <c r="BF571" s="420"/>
      <c r="BG571" s="421"/>
      <c r="BH571" s="422"/>
      <c r="BI571" s="195"/>
      <c r="BJ571" s="423"/>
      <c r="BK571" s="424"/>
      <c r="BL571" s="424"/>
      <c r="BM571" s="424"/>
      <c r="BN571" s="424"/>
      <c r="BO571" s="425"/>
      <c r="BP571" s="423"/>
      <c r="BQ571" s="424"/>
      <c r="BR571" s="424"/>
      <c r="BS571" s="424"/>
      <c r="BT571" s="424"/>
      <c r="BU571" s="425"/>
      <c r="BV571" s="423"/>
      <c r="BW571" s="424"/>
      <c r="BX571" s="424"/>
      <c r="BY571" s="424"/>
      <c r="BZ571" s="424"/>
      <c r="CA571" s="425"/>
      <c r="CB571" s="418"/>
      <c r="CC571" s="419"/>
      <c r="CD571" s="419"/>
      <c r="CE571" s="420"/>
      <c r="CF571" s="412"/>
      <c r="CG571" s="413"/>
      <c r="CH571" s="413"/>
      <c r="CI571" s="413"/>
      <c r="CJ571" s="414"/>
      <c r="CK571" s="412"/>
      <c r="CL571" s="413"/>
      <c r="CM571" s="413"/>
      <c r="CN571" s="413"/>
      <c r="CO571" s="414"/>
      <c r="CP571" s="412"/>
      <c r="CQ571" s="413"/>
      <c r="CR571" s="413"/>
      <c r="CS571" s="413"/>
      <c r="CT571" s="414"/>
      <c r="CU571" s="415"/>
      <c r="CV571" s="416"/>
      <c r="CW571" s="416"/>
      <c r="CX571" s="416"/>
      <c r="CY571" s="417"/>
    </row>
    <row r="572" spans="1:103" ht="16.5">
      <c r="A572" s="435"/>
      <c r="B572" s="36"/>
      <c r="C572" s="199" t="str">
        <f t="shared" ca="1" si="10"/>
        <v/>
      </c>
      <c r="D572" s="479"/>
      <c r="E572" s="480"/>
      <c r="F572" s="480"/>
      <c r="G572" s="480"/>
      <c r="H572" s="480"/>
      <c r="I572" s="480"/>
      <c r="J572" s="480"/>
      <c r="K572" s="440"/>
      <c r="L572" s="441"/>
      <c r="M572" s="441"/>
      <c r="N572" s="441"/>
      <c r="O572" s="441"/>
      <c r="P572" s="441"/>
      <c r="Q572" s="441"/>
      <c r="R572" s="444"/>
      <c r="S572" s="445"/>
      <c r="T572" s="444"/>
      <c r="U572" s="445"/>
      <c r="V572" s="440"/>
      <c r="W572" s="441"/>
      <c r="X572" s="441"/>
      <c r="Y572" s="441"/>
      <c r="Z572" s="441"/>
      <c r="AA572" s="441"/>
      <c r="AB572" s="441"/>
      <c r="AC572" s="441"/>
      <c r="AD572" s="440"/>
      <c r="AE572" s="441"/>
      <c r="AF572" s="441"/>
      <c r="AG572" s="441"/>
      <c r="AH572" s="441"/>
      <c r="AI572" s="441"/>
      <c r="AJ572" s="441"/>
      <c r="AK572" s="450"/>
      <c r="AL572" s="440"/>
      <c r="AM572" s="441"/>
      <c r="AN572" s="441"/>
      <c r="AO572" s="441"/>
      <c r="AP572" s="441"/>
      <c r="AQ572" s="441"/>
      <c r="AR572" s="450"/>
      <c r="AS572" s="485"/>
      <c r="AT572" s="486"/>
      <c r="AU572" s="486"/>
      <c r="AV572" s="486"/>
      <c r="AW572" s="486"/>
      <c r="AX572" s="486"/>
      <c r="AY572" s="487"/>
      <c r="AZ572" s="462"/>
      <c r="BA572" s="463"/>
      <c r="BB572" s="61">
        <v>4</v>
      </c>
      <c r="BC572" s="418"/>
      <c r="BD572" s="419"/>
      <c r="BE572" s="419"/>
      <c r="BF572" s="420"/>
      <c r="BG572" s="421"/>
      <c r="BH572" s="422"/>
      <c r="BI572" s="195"/>
      <c r="BJ572" s="423"/>
      <c r="BK572" s="424"/>
      <c r="BL572" s="424"/>
      <c r="BM572" s="424"/>
      <c r="BN572" s="424"/>
      <c r="BO572" s="425"/>
      <c r="BP572" s="423"/>
      <c r="BQ572" s="424"/>
      <c r="BR572" s="424"/>
      <c r="BS572" s="424"/>
      <c r="BT572" s="424"/>
      <c r="BU572" s="425"/>
      <c r="BV572" s="423"/>
      <c r="BW572" s="424"/>
      <c r="BX572" s="424"/>
      <c r="BY572" s="424"/>
      <c r="BZ572" s="424"/>
      <c r="CA572" s="425"/>
      <c r="CB572" s="418"/>
      <c r="CC572" s="419"/>
      <c r="CD572" s="419"/>
      <c r="CE572" s="420"/>
      <c r="CF572" s="412"/>
      <c r="CG572" s="413"/>
      <c r="CH572" s="413"/>
      <c r="CI572" s="413"/>
      <c r="CJ572" s="414"/>
      <c r="CK572" s="412"/>
      <c r="CL572" s="413"/>
      <c r="CM572" s="413"/>
      <c r="CN572" s="413"/>
      <c r="CO572" s="414"/>
      <c r="CP572" s="412"/>
      <c r="CQ572" s="413"/>
      <c r="CR572" s="413"/>
      <c r="CS572" s="413"/>
      <c r="CT572" s="414"/>
      <c r="CU572" s="415"/>
      <c r="CV572" s="416"/>
      <c r="CW572" s="416"/>
      <c r="CX572" s="416"/>
      <c r="CY572" s="417"/>
    </row>
    <row r="573" spans="1:103" ht="16.5">
      <c r="A573" s="435"/>
      <c r="B573" s="36"/>
      <c r="C573" s="199" t="str">
        <f t="shared" ca="1" si="10"/>
        <v/>
      </c>
      <c r="D573" s="479"/>
      <c r="E573" s="480"/>
      <c r="F573" s="480"/>
      <c r="G573" s="480"/>
      <c r="H573" s="480"/>
      <c r="I573" s="480"/>
      <c r="J573" s="480"/>
      <c r="K573" s="440"/>
      <c r="L573" s="441"/>
      <c r="M573" s="441"/>
      <c r="N573" s="441"/>
      <c r="O573" s="441"/>
      <c r="P573" s="441"/>
      <c r="Q573" s="441"/>
      <c r="R573" s="444"/>
      <c r="S573" s="445"/>
      <c r="T573" s="444"/>
      <c r="U573" s="445"/>
      <c r="V573" s="440"/>
      <c r="W573" s="441"/>
      <c r="X573" s="441"/>
      <c r="Y573" s="441"/>
      <c r="Z573" s="441"/>
      <c r="AA573" s="441"/>
      <c r="AB573" s="441"/>
      <c r="AC573" s="441"/>
      <c r="AD573" s="440"/>
      <c r="AE573" s="441"/>
      <c r="AF573" s="441"/>
      <c r="AG573" s="441"/>
      <c r="AH573" s="441"/>
      <c r="AI573" s="441"/>
      <c r="AJ573" s="441"/>
      <c r="AK573" s="450"/>
      <c r="AL573" s="440"/>
      <c r="AM573" s="441"/>
      <c r="AN573" s="441"/>
      <c r="AO573" s="441"/>
      <c r="AP573" s="441"/>
      <c r="AQ573" s="441"/>
      <c r="AR573" s="450"/>
      <c r="AS573" s="485"/>
      <c r="AT573" s="486"/>
      <c r="AU573" s="486"/>
      <c r="AV573" s="486"/>
      <c r="AW573" s="486"/>
      <c r="AX573" s="486"/>
      <c r="AY573" s="487"/>
      <c r="AZ573" s="462"/>
      <c r="BA573" s="463"/>
      <c r="BB573" s="61">
        <v>5</v>
      </c>
      <c r="BC573" s="418"/>
      <c r="BD573" s="419"/>
      <c r="BE573" s="419"/>
      <c r="BF573" s="420"/>
      <c r="BG573" s="421"/>
      <c r="BH573" s="422"/>
      <c r="BI573" s="195"/>
      <c r="BJ573" s="423"/>
      <c r="BK573" s="424"/>
      <c r="BL573" s="424"/>
      <c r="BM573" s="424"/>
      <c r="BN573" s="424"/>
      <c r="BO573" s="425"/>
      <c r="BP573" s="423"/>
      <c r="BQ573" s="424"/>
      <c r="BR573" s="424"/>
      <c r="BS573" s="424"/>
      <c r="BT573" s="424"/>
      <c r="BU573" s="425"/>
      <c r="BV573" s="423"/>
      <c r="BW573" s="424"/>
      <c r="BX573" s="424"/>
      <c r="BY573" s="424"/>
      <c r="BZ573" s="424"/>
      <c r="CA573" s="425"/>
      <c r="CB573" s="418"/>
      <c r="CC573" s="419"/>
      <c r="CD573" s="419"/>
      <c r="CE573" s="420"/>
      <c r="CF573" s="412"/>
      <c r="CG573" s="413"/>
      <c r="CH573" s="413"/>
      <c r="CI573" s="413"/>
      <c r="CJ573" s="414"/>
      <c r="CK573" s="412"/>
      <c r="CL573" s="413"/>
      <c r="CM573" s="413"/>
      <c r="CN573" s="413"/>
      <c r="CO573" s="414"/>
      <c r="CP573" s="412"/>
      <c r="CQ573" s="413"/>
      <c r="CR573" s="413"/>
      <c r="CS573" s="413"/>
      <c r="CT573" s="414"/>
      <c r="CU573" s="415"/>
      <c r="CV573" s="416"/>
      <c r="CW573" s="416"/>
      <c r="CX573" s="416"/>
      <c r="CY573" s="417"/>
    </row>
    <row r="574" spans="1:103" ht="16.5">
      <c r="A574" s="436"/>
      <c r="B574" s="37"/>
      <c r="C574" s="200" t="str">
        <f t="shared" ca="1" si="10"/>
        <v/>
      </c>
      <c r="D574" s="481"/>
      <c r="E574" s="482"/>
      <c r="F574" s="482"/>
      <c r="G574" s="482"/>
      <c r="H574" s="482"/>
      <c r="I574" s="482"/>
      <c r="J574" s="482"/>
      <c r="K574" s="409"/>
      <c r="L574" s="410"/>
      <c r="M574" s="410"/>
      <c r="N574" s="410"/>
      <c r="O574" s="410"/>
      <c r="P574" s="410"/>
      <c r="Q574" s="410"/>
      <c r="R574" s="446"/>
      <c r="S574" s="447"/>
      <c r="T574" s="446"/>
      <c r="U574" s="447"/>
      <c r="V574" s="409"/>
      <c r="W574" s="410"/>
      <c r="X574" s="410"/>
      <c r="Y574" s="410"/>
      <c r="Z574" s="410"/>
      <c r="AA574" s="410"/>
      <c r="AB574" s="410"/>
      <c r="AC574" s="410"/>
      <c r="AD574" s="409"/>
      <c r="AE574" s="410"/>
      <c r="AF574" s="410"/>
      <c r="AG574" s="410"/>
      <c r="AH574" s="410"/>
      <c r="AI574" s="410"/>
      <c r="AJ574" s="410"/>
      <c r="AK574" s="411"/>
      <c r="AL574" s="409"/>
      <c r="AM574" s="410"/>
      <c r="AN574" s="410"/>
      <c r="AO574" s="410"/>
      <c r="AP574" s="410"/>
      <c r="AQ574" s="410"/>
      <c r="AR574" s="411"/>
      <c r="AS574" s="488"/>
      <c r="AT574" s="489"/>
      <c r="AU574" s="489"/>
      <c r="AV574" s="489"/>
      <c r="AW574" s="489"/>
      <c r="AX574" s="489"/>
      <c r="AY574" s="490"/>
      <c r="AZ574" s="464"/>
      <c r="BA574" s="465"/>
      <c r="BB574" s="62">
        <v>6</v>
      </c>
      <c r="BC574" s="426"/>
      <c r="BD574" s="427"/>
      <c r="BE574" s="427"/>
      <c r="BF574" s="428"/>
      <c r="BG574" s="429"/>
      <c r="BH574" s="430"/>
      <c r="BI574" s="196"/>
      <c r="BJ574" s="474"/>
      <c r="BK574" s="475"/>
      <c r="BL574" s="475"/>
      <c r="BM574" s="475"/>
      <c r="BN574" s="475"/>
      <c r="BO574" s="476"/>
      <c r="BP574" s="474"/>
      <c r="BQ574" s="475"/>
      <c r="BR574" s="475"/>
      <c r="BS574" s="475"/>
      <c r="BT574" s="475"/>
      <c r="BU574" s="476"/>
      <c r="BV574" s="474"/>
      <c r="BW574" s="475"/>
      <c r="BX574" s="475"/>
      <c r="BY574" s="475"/>
      <c r="BZ574" s="475"/>
      <c r="CA574" s="476"/>
      <c r="CB574" s="426"/>
      <c r="CC574" s="427"/>
      <c r="CD574" s="427"/>
      <c r="CE574" s="428"/>
      <c r="CF574" s="412"/>
      <c r="CG574" s="413"/>
      <c r="CH574" s="413"/>
      <c r="CI574" s="413"/>
      <c r="CJ574" s="414"/>
      <c r="CK574" s="412"/>
      <c r="CL574" s="413"/>
      <c r="CM574" s="413"/>
      <c r="CN574" s="413"/>
      <c r="CO574" s="414"/>
      <c r="CP574" s="412"/>
      <c r="CQ574" s="413"/>
      <c r="CR574" s="413"/>
      <c r="CS574" s="413"/>
      <c r="CT574" s="414"/>
      <c r="CU574" s="415"/>
      <c r="CV574" s="416"/>
      <c r="CW574" s="416"/>
      <c r="CX574" s="416"/>
      <c r="CY574" s="417"/>
    </row>
    <row r="575" spans="1:103" ht="16.5">
      <c r="A575" s="434">
        <v>95</v>
      </c>
      <c r="B575" s="36"/>
      <c r="C575" s="198" t="str">
        <f t="shared" ca="1" si="10"/>
        <v/>
      </c>
      <c r="D575" s="477"/>
      <c r="E575" s="478"/>
      <c r="F575" s="478"/>
      <c r="G575" s="478"/>
      <c r="H575" s="478"/>
      <c r="I575" s="478"/>
      <c r="J575" s="478"/>
      <c r="K575" s="438" t="s">
        <v>448</v>
      </c>
      <c r="L575" s="439"/>
      <c r="M575" s="439"/>
      <c r="N575" s="439"/>
      <c r="O575" s="439"/>
      <c r="P575" s="439"/>
      <c r="Q575" s="439"/>
      <c r="R575" s="442" t="s">
        <v>186</v>
      </c>
      <c r="S575" s="443"/>
      <c r="T575" s="442"/>
      <c r="U575" s="443"/>
      <c r="V575" s="438"/>
      <c r="W575" s="439"/>
      <c r="X575" s="439"/>
      <c r="Y575" s="439"/>
      <c r="Z575" s="439"/>
      <c r="AA575" s="439"/>
      <c r="AB575" s="439"/>
      <c r="AC575" s="439"/>
      <c r="AD575" s="438"/>
      <c r="AE575" s="439"/>
      <c r="AF575" s="439"/>
      <c r="AG575" s="439"/>
      <c r="AH575" s="439"/>
      <c r="AI575" s="439"/>
      <c r="AJ575" s="439"/>
      <c r="AK575" s="449"/>
      <c r="AL575" s="438"/>
      <c r="AM575" s="439"/>
      <c r="AN575" s="439"/>
      <c r="AO575" s="439"/>
      <c r="AP575" s="439"/>
      <c r="AQ575" s="439"/>
      <c r="AR575" s="449"/>
      <c r="AS575" s="500"/>
      <c r="AT575" s="483"/>
      <c r="AU575" s="483"/>
      <c r="AV575" s="483"/>
      <c r="AW575" s="483"/>
      <c r="AX575" s="483"/>
      <c r="AY575" s="484"/>
      <c r="AZ575" s="460"/>
      <c r="BA575" s="461"/>
      <c r="BB575" s="60">
        <v>1</v>
      </c>
      <c r="BC575" s="466"/>
      <c r="BD575" s="467"/>
      <c r="BE575" s="467"/>
      <c r="BF575" s="468"/>
      <c r="BG575" s="469"/>
      <c r="BH575" s="470"/>
      <c r="BI575" s="194"/>
      <c r="BJ575" s="471"/>
      <c r="BK575" s="472"/>
      <c r="BL575" s="472"/>
      <c r="BM575" s="472"/>
      <c r="BN575" s="472"/>
      <c r="BO575" s="473"/>
      <c r="BP575" s="471"/>
      <c r="BQ575" s="472"/>
      <c r="BR575" s="472"/>
      <c r="BS575" s="472"/>
      <c r="BT575" s="472"/>
      <c r="BU575" s="473"/>
      <c r="BV575" s="471"/>
      <c r="BW575" s="472"/>
      <c r="BX575" s="472"/>
      <c r="BY575" s="472"/>
      <c r="BZ575" s="472"/>
      <c r="CA575" s="473"/>
      <c r="CB575" s="466"/>
      <c r="CC575" s="467"/>
      <c r="CD575" s="467"/>
      <c r="CE575" s="468"/>
      <c r="CF575" s="409"/>
      <c r="CG575" s="410"/>
      <c r="CH575" s="410"/>
      <c r="CI575" s="410"/>
      <c r="CJ575" s="411"/>
      <c r="CK575" s="409"/>
      <c r="CL575" s="410"/>
      <c r="CM575" s="410"/>
      <c r="CN575" s="410"/>
      <c r="CO575" s="411"/>
      <c r="CP575" s="409"/>
      <c r="CQ575" s="410"/>
      <c r="CR575" s="410"/>
      <c r="CS575" s="410"/>
      <c r="CT575" s="411"/>
      <c r="CU575" s="415"/>
      <c r="CV575" s="416"/>
      <c r="CW575" s="416"/>
      <c r="CX575" s="416"/>
      <c r="CY575" s="417"/>
    </row>
    <row r="576" spans="1:103" ht="16.5">
      <c r="A576" s="435"/>
      <c r="B576" s="36"/>
      <c r="C576" s="199" t="str">
        <f t="shared" ca="1" si="10"/>
        <v/>
      </c>
      <c r="D576" s="479"/>
      <c r="E576" s="480"/>
      <c r="F576" s="480"/>
      <c r="G576" s="480"/>
      <c r="H576" s="480"/>
      <c r="I576" s="480"/>
      <c r="J576" s="480"/>
      <c r="K576" s="440"/>
      <c r="L576" s="441"/>
      <c r="M576" s="441"/>
      <c r="N576" s="441"/>
      <c r="O576" s="441"/>
      <c r="P576" s="441"/>
      <c r="Q576" s="441"/>
      <c r="R576" s="444"/>
      <c r="S576" s="445"/>
      <c r="T576" s="444"/>
      <c r="U576" s="445"/>
      <c r="V576" s="440"/>
      <c r="W576" s="441"/>
      <c r="X576" s="441"/>
      <c r="Y576" s="441"/>
      <c r="Z576" s="441"/>
      <c r="AA576" s="441"/>
      <c r="AB576" s="441"/>
      <c r="AC576" s="441"/>
      <c r="AD576" s="440"/>
      <c r="AE576" s="441"/>
      <c r="AF576" s="441"/>
      <c r="AG576" s="441"/>
      <c r="AH576" s="441"/>
      <c r="AI576" s="441"/>
      <c r="AJ576" s="441"/>
      <c r="AK576" s="450"/>
      <c r="AL576" s="440"/>
      <c r="AM576" s="441"/>
      <c r="AN576" s="441"/>
      <c r="AO576" s="441"/>
      <c r="AP576" s="441"/>
      <c r="AQ576" s="441"/>
      <c r="AR576" s="450"/>
      <c r="AS576" s="485"/>
      <c r="AT576" s="486"/>
      <c r="AU576" s="486"/>
      <c r="AV576" s="486"/>
      <c r="AW576" s="486"/>
      <c r="AX576" s="486"/>
      <c r="AY576" s="487"/>
      <c r="AZ576" s="462"/>
      <c r="BA576" s="463"/>
      <c r="BB576" s="61">
        <v>2</v>
      </c>
      <c r="BC576" s="418"/>
      <c r="BD576" s="419"/>
      <c r="BE576" s="419"/>
      <c r="BF576" s="420"/>
      <c r="BG576" s="421"/>
      <c r="BH576" s="422"/>
      <c r="BI576" s="195"/>
      <c r="BJ576" s="423"/>
      <c r="BK576" s="424"/>
      <c r="BL576" s="424"/>
      <c r="BM576" s="424"/>
      <c r="BN576" s="424"/>
      <c r="BO576" s="425"/>
      <c r="BP576" s="423"/>
      <c r="BQ576" s="424"/>
      <c r="BR576" s="424"/>
      <c r="BS576" s="424"/>
      <c r="BT576" s="424"/>
      <c r="BU576" s="425"/>
      <c r="BV576" s="423"/>
      <c r="BW576" s="424"/>
      <c r="BX576" s="424"/>
      <c r="BY576" s="424"/>
      <c r="BZ576" s="424"/>
      <c r="CA576" s="425"/>
      <c r="CB576" s="418"/>
      <c r="CC576" s="419"/>
      <c r="CD576" s="419"/>
      <c r="CE576" s="420"/>
      <c r="CF576" s="412"/>
      <c r="CG576" s="413"/>
      <c r="CH576" s="413"/>
      <c r="CI576" s="413"/>
      <c r="CJ576" s="414"/>
      <c r="CK576" s="412"/>
      <c r="CL576" s="413"/>
      <c r="CM576" s="413"/>
      <c r="CN576" s="413"/>
      <c r="CO576" s="414"/>
      <c r="CP576" s="412"/>
      <c r="CQ576" s="413"/>
      <c r="CR576" s="413"/>
      <c r="CS576" s="413"/>
      <c r="CT576" s="414"/>
      <c r="CU576" s="415"/>
      <c r="CV576" s="416"/>
      <c r="CW576" s="416"/>
      <c r="CX576" s="416"/>
      <c r="CY576" s="417"/>
    </row>
    <row r="577" spans="1:103" ht="16.5">
      <c r="A577" s="435"/>
      <c r="B577" s="36"/>
      <c r="C577" s="199" t="str">
        <f t="shared" ca="1" si="10"/>
        <v/>
      </c>
      <c r="D577" s="479"/>
      <c r="E577" s="480"/>
      <c r="F577" s="480"/>
      <c r="G577" s="480"/>
      <c r="H577" s="480"/>
      <c r="I577" s="480"/>
      <c r="J577" s="480"/>
      <c r="K577" s="440"/>
      <c r="L577" s="441"/>
      <c r="M577" s="441"/>
      <c r="N577" s="441"/>
      <c r="O577" s="441"/>
      <c r="P577" s="441"/>
      <c r="Q577" s="441"/>
      <c r="R577" s="444"/>
      <c r="S577" s="445"/>
      <c r="T577" s="444"/>
      <c r="U577" s="445"/>
      <c r="V577" s="440"/>
      <c r="W577" s="441"/>
      <c r="X577" s="441"/>
      <c r="Y577" s="441"/>
      <c r="Z577" s="441"/>
      <c r="AA577" s="441"/>
      <c r="AB577" s="441"/>
      <c r="AC577" s="441"/>
      <c r="AD577" s="440"/>
      <c r="AE577" s="441"/>
      <c r="AF577" s="441"/>
      <c r="AG577" s="441"/>
      <c r="AH577" s="441"/>
      <c r="AI577" s="441"/>
      <c r="AJ577" s="441"/>
      <c r="AK577" s="450"/>
      <c r="AL577" s="440"/>
      <c r="AM577" s="441"/>
      <c r="AN577" s="441"/>
      <c r="AO577" s="441"/>
      <c r="AP577" s="441"/>
      <c r="AQ577" s="441"/>
      <c r="AR577" s="450"/>
      <c r="AS577" s="485"/>
      <c r="AT577" s="486"/>
      <c r="AU577" s="486"/>
      <c r="AV577" s="486"/>
      <c r="AW577" s="486"/>
      <c r="AX577" s="486"/>
      <c r="AY577" s="487"/>
      <c r="AZ577" s="462"/>
      <c r="BA577" s="463"/>
      <c r="BB577" s="61">
        <v>3</v>
      </c>
      <c r="BC577" s="418"/>
      <c r="BD577" s="419"/>
      <c r="BE577" s="419"/>
      <c r="BF577" s="420"/>
      <c r="BG577" s="421"/>
      <c r="BH577" s="422"/>
      <c r="BI577" s="195"/>
      <c r="BJ577" s="423"/>
      <c r="BK577" s="424"/>
      <c r="BL577" s="424"/>
      <c r="BM577" s="424"/>
      <c r="BN577" s="424"/>
      <c r="BO577" s="425"/>
      <c r="BP577" s="423"/>
      <c r="BQ577" s="424"/>
      <c r="BR577" s="424"/>
      <c r="BS577" s="424"/>
      <c r="BT577" s="424"/>
      <c r="BU577" s="425"/>
      <c r="BV577" s="423"/>
      <c r="BW577" s="424"/>
      <c r="BX577" s="424"/>
      <c r="BY577" s="424"/>
      <c r="BZ577" s="424"/>
      <c r="CA577" s="425"/>
      <c r="CB577" s="418"/>
      <c r="CC577" s="419"/>
      <c r="CD577" s="419"/>
      <c r="CE577" s="420"/>
      <c r="CF577" s="412"/>
      <c r="CG577" s="413"/>
      <c r="CH577" s="413"/>
      <c r="CI577" s="413"/>
      <c r="CJ577" s="414"/>
      <c r="CK577" s="412"/>
      <c r="CL577" s="413"/>
      <c r="CM577" s="413"/>
      <c r="CN577" s="413"/>
      <c r="CO577" s="414"/>
      <c r="CP577" s="412"/>
      <c r="CQ577" s="413"/>
      <c r="CR577" s="413"/>
      <c r="CS577" s="413"/>
      <c r="CT577" s="414"/>
      <c r="CU577" s="415"/>
      <c r="CV577" s="416"/>
      <c r="CW577" s="416"/>
      <c r="CX577" s="416"/>
      <c r="CY577" s="417"/>
    </row>
    <row r="578" spans="1:103" ht="16.5">
      <c r="A578" s="435"/>
      <c r="B578" s="36"/>
      <c r="C578" s="199" t="str">
        <f t="shared" ca="1" si="10"/>
        <v/>
      </c>
      <c r="D578" s="479"/>
      <c r="E578" s="480"/>
      <c r="F578" s="480"/>
      <c r="G578" s="480"/>
      <c r="H578" s="480"/>
      <c r="I578" s="480"/>
      <c r="J578" s="480"/>
      <c r="K578" s="440"/>
      <c r="L578" s="441"/>
      <c r="M578" s="441"/>
      <c r="N578" s="441"/>
      <c r="O578" s="441"/>
      <c r="P578" s="441"/>
      <c r="Q578" s="441"/>
      <c r="R578" s="444"/>
      <c r="S578" s="445"/>
      <c r="T578" s="444"/>
      <c r="U578" s="445"/>
      <c r="V578" s="440"/>
      <c r="W578" s="441"/>
      <c r="X578" s="441"/>
      <c r="Y578" s="441"/>
      <c r="Z578" s="441"/>
      <c r="AA578" s="441"/>
      <c r="AB578" s="441"/>
      <c r="AC578" s="441"/>
      <c r="AD578" s="440"/>
      <c r="AE578" s="441"/>
      <c r="AF578" s="441"/>
      <c r="AG578" s="441"/>
      <c r="AH578" s="441"/>
      <c r="AI578" s="441"/>
      <c r="AJ578" s="441"/>
      <c r="AK578" s="450"/>
      <c r="AL578" s="440"/>
      <c r="AM578" s="441"/>
      <c r="AN578" s="441"/>
      <c r="AO578" s="441"/>
      <c r="AP578" s="441"/>
      <c r="AQ578" s="441"/>
      <c r="AR578" s="450"/>
      <c r="AS578" s="485"/>
      <c r="AT578" s="486"/>
      <c r="AU578" s="486"/>
      <c r="AV578" s="486"/>
      <c r="AW578" s="486"/>
      <c r="AX578" s="486"/>
      <c r="AY578" s="487"/>
      <c r="AZ578" s="462"/>
      <c r="BA578" s="463"/>
      <c r="BB578" s="61">
        <v>4</v>
      </c>
      <c r="BC578" s="418"/>
      <c r="BD578" s="419"/>
      <c r="BE578" s="419"/>
      <c r="BF578" s="420"/>
      <c r="BG578" s="421"/>
      <c r="BH578" s="422"/>
      <c r="BI578" s="195"/>
      <c r="BJ578" s="423"/>
      <c r="BK578" s="424"/>
      <c r="BL578" s="424"/>
      <c r="BM578" s="424"/>
      <c r="BN578" s="424"/>
      <c r="BO578" s="425"/>
      <c r="BP578" s="423"/>
      <c r="BQ578" s="424"/>
      <c r="BR578" s="424"/>
      <c r="BS578" s="424"/>
      <c r="BT578" s="424"/>
      <c r="BU578" s="425"/>
      <c r="BV578" s="423"/>
      <c r="BW578" s="424"/>
      <c r="BX578" s="424"/>
      <c r="BY578" s="424"/>
      <c r="BZ578" s="424"/>
      <c r="CA578" s="425"/>
      <c r="CB578" s="418"/>
      <c r="CC578" s="419"/>
      <c r="CD578" s="419"/>
      <c r="CE578" s="420"/>
      <c r="CF578" s="412"/>
      <c r="CG578" s="413"/>
      <c r="CH578" s="413"/>
      <c r="CI578" s="413"/>
      <c r="CJ578" s="414"/>
      <c r="CK578" s="412"/>
      <c r="CL578" s="413"/>
      <c r="CM578" s="413"/>
      <c r="CN578" s="413"/>
      <c r="CO578" s="414"/>
      <c r="CP578" s="412"/>
      <c r="CQ578" s="413"/>
      <c r="CR578" s="413"/>
      <c r="CS578" s="413"/>
      <c r="CT578" s="414"/>
      <c r="CU578" s="415"/>
      <c r="CV578" s="416"/>
      <c r="CW578" s="416"/>
      <c r="CX578" s="416"/>
      <c r="CY578" s="417"/>
    </row>
    <row r="579" spans="1:103" ht="16.5">
      <c r="A579" s="435"/>
      <c r="B579" s="36"/>
      <c r="C579" s="199" t="str">
        <f t="shared" ca="1" si="10"/>
        <v/>
      </c>
      <c r="D579" s="479"/>
      <c r="E579" s="480"/>
      <c r="F579" s="480"/>
      <c r="G579" s="480"/>
      <c r="H579" s="480"/>
      <c r="I579" s="480"/>
      <c r="J579" s="480"/>
      <c r="K579" s="440"/>
      <c r="L579" s="441"/>
      <c r="M579" s="441"/>
      <c r="N579" s="441"/>
      <c r="O579" s="441"/>
      <c r="P579" s="441"/>
      <c r="Q579" s="441"/>
      <c r="R579" s="444"/>
      <c r="S579" s="445"/>
      <c r="T579" s="444"/>
      <c r="U579" s="445"/>
      <c r="V579" s="440"/>
      <c r="W579" s="441"/>
      <c r="X579" s="441"/>
      <c r="Y579" s="441"/>
      <c r="Z579" s="441"/>
      <c r="AA579" s="441"/>
      <c r="AB579" s="441"/>
      <c r="AC579" s="441"/>
      <c r="AD579" s="440"/>
      <c r="AE579" s="441"/>
      <c r="AF579" s="441"/>
      <c r="AG579" s="441"/>
      <c r="AH579" s="441"/>
      <c r="AI579" s="441"/>
      <c r="AJ579" s="441"/>
      <c r="AK579" s="450"/>
      <c r="AL579" s="440"/>
      <c r="AM579" s="441"/>
      <c r="AN579" s="441"/>
      <c r="AO579" s="441"/>
      <c r="AP579" s="441"/>
      <c r="AQ579" s="441"/>
      <c r="AR579" s="450"/>
      <c r="AS579" s="485"/>
      <c r="AT579" s="486"/>
      <c r="AU579" s="486"/>
      <c r="AV579" s="486"/>
      <c r="AW579" s="486"/>
      <c r="AX579" s="486"/>
      <c r="AY579" s="487"/>
      <c r="AZ579" s="462"/>
      <c r="BA579" s="463"/>
      <c r="BB579" s="61">
        <v>5</v>
      </c>
      <c r="BC579" s="418"/>
      <c r="BD579" s="419"/>
      <c r="BE579" s="419"/>
      <c r="BF579" s="420"/>
      <c r="BG579" s="421"/>
      <c r="BH579" s="422"/>
      <c r="BI579" s="195"/>
      <c r="BJ579" s="423"/>
      <c r="BK579" s="424"/>
      <c r="BL579" s="424"/>
      <c r="BM579" s="424"/>
      <c r="BN579" s="424"/>
      <c r="BO579" s="425"/>
      <c r="BP579" s="423"/>
      <c r="BQ579" s="424"/>
      <c r="BR579" s="424"/>
      <c r="BS579" s="424"/>
      <c r="BT579" s="424"/>
      <c r="BU579" s="425"/>
      <c r="BV579" s="423"/>
      <c r="BW579" s="424"/>
      <c r="BX579" s="424"/>
      <c r="BY579" s="424"/>
      <c r="BZ579" s="424"/>
      <c r="CA579" s="425"/>
      <c r="CB579" s="418"/>
      <c r="CC579" s="419"/>
      <c r="CD579" s="419"/>
      <c r="CE579" s="420"/>
      <c r="CF579" s="412"/>
      <c r="CG579" s="413"/>
      <c r="CH579" s="413"/>
      <c r="CI579" s="413"/>
      <c r="CJ579" s="414"/>
      <c r="CK579" s="412"/>
      <c r="CL579" s="413"/>
      <c r="CM579" s="413"/>
      <c r="CN579" s="413"/>
      <c r="CO579" s="414"/>
      <c r="CP579" s="412"/>
      <c r="CQ579" s="413"/>
      <c r="CR579" s="413"/>
      <c r="CS579" s="413"/>
      <c r="CT579" s="414"/>
      <c r="CU579" s="415"/>
      <c r="CV579" s="416"/>
      <c r="CW579" s="416"/>
      <c r="CX579" s="416"/>
      <c r="CY579" s="417"/>
    </row>
    <row r="580" spans="1:103" ht="16.5">
      <c r="A580" s="436"/>
      <c r="B580" s="37"/>
      <c r="C580" s="200" t="str">
        <f t="shared" ca="1" si="10"/>
        <v/>
      </c>
      <c r="D580" s="481"/>
      <c r="E580" s="482"/>
      <c r="F580" s="482"/>
      <c r="G580" s="482"/>
      <c r="H580" s="482"/>
      <c r="I580" s="482"/>
      <c r="J580" s="482"/>
      <c r="K580" s="409"/>
      <c r="L580" s="410"/>
      <c r="M580" s="410"/>
      <c r="N580" s="410"/>
      <c r="O580" s="410"/>
      <c r="P580" s="410"/>
      <c r="Q580" s="410"/>
      <c r="R580" s="446"/>
      <c r="S580" s="447"/>
      <c r="T580" s="446"/>
      <c r="U580" s="447"/>
      <c r="V580" s="409"/>
      <c r="W580" s="410"/>
      <c r="X580" s="410"/>
      <c r="Y580" s="410"/>
      <c r="Z580" s="410"/>
      <c r="AA580" s="410"/>
      <c r="AB580" s="410"/>
      <c r="AC580" s="410"/>
      <c r="AD580" s="409"/>
      <c r="AE580" s="410"/>
      <c r="AF580" s="410"/>
      <c r="AG580" s="410"/>
      <c r="AH580" s="410"/>
      <c r="AI580" s="410"/>
      <c r="AJ580" s="410"/>
      <c r="AK580" s="411"/>
      <c r="AL580" s="409"/>
      <c r="AM580" s="410"/>
      <c r="AN580" s="410"/>
      <c r="AO580" s="410"/>
      <c r="AP580" s="410"/>
      <c r="AQ580" s="410"/>
      <c r="AR580" s="411"/>
      <c r="AS580" s="488"/>
      <c r="AT580" s="489"/>
      <c r="AU580" s="489"/>
      <c r="AV580" s="489"/>
      <c r="AW580" s="489"/>
      <c r="AX580" s="489"/>
      <c r="AY580" s="490"/>
      <c r="AZ580" s="464"/>
      <c r="BA580" s="465"/>
      <c r="BB580" s="62">
        <v>6</v>
      </c>
      <c r="BC580" s="426"/>
      <c r="BD580" s="427"/>
      <c r="BE580" s="427"/>
      <c r="BF580" s="428"/>
      <c r="BG580" s="429"/>
      <c r="BH580" s="430"/>
      <c r="BI580" s="196"/>
      <c r="BJ580" s="474"/>
      <c r="BK580" s="475"/>
      <c r="BL580" s="475"/>
      <c r="BM580" s="475"/>
      <c r="BN580" s="475"/>
      <c r="BO580" s="476"/>
      <c r="BP580" s="474"/>
      <c r="BQ580" s="475"/>
      <c r="BR580" s="475"/>
      <c r="BS580" s="475"/>
      <c r="BT580" s="475"/>
      <c r="BU580" s="476"/>
      <c r="BV580" s="474"/>
      <c r="BW580" s="475"/>
      <c r="BX580" s="475"/>
      <c r="BY580" s="475"/>
      <c r="BZ580" s="475"/>
      <c r="CA580" s="476"/>
      <c r="CB580" s="426"/>
      <c r="CC580" s="427"/>
      <c r="CD580" s="427"/>
      <c r="CE580" s="428"/>
      <c r="CF580" s="412"/>
      <c r="CG580" s="413"/>
      <c r="CH580" s="413"/>
      <c r="CI580" s="413"/>
      <c r="CJ580" s="414"/>
      <c r="CK580" s="412"/>
      <c r="CL580" s="413"/>
      <c r="CM580" s="413"/>
      <c r="CN580" s="413"/>
      <c r="CO580" s="414"/>
      <c r="CP580" s="412"/>
      <c r="CQ580" s="413"/>
      <c r="CR580" s="413"/>
      <c r="CS580" s="413"/>
      <c r="CT580" s="414"/>
      <c r="CU580" s="415"/>
      <c r="CV580" s="416"/>
      <c r="CW580" s="416"/>
      <c r="CX580" s="416"/>
      <c r="CY580" s="417"/>
    </row>
    <row r="581" spans="1:103" ht="16.5">
      <c r="A581" s="434">
        <v>96</v>
      </c>
      <c r="B581" s="36"/>
      <c r="C581" s="198" t="str">
        <f t="shared" ca="1" si="10"/>
        <v/>
      </c>
      <c r="D581" s="477"/>
      <c r="E581" s="478"/>
      <c r="F581" s="478"/>
      <c r="G581" s="478"/>
      <c r="H581" s="478"/>
      <c r="I581" s="478"/>
      <c r="J581" s="478"/>
      <c r="K581" s="438" t="s">
        <v>449</v>
      </c>
      <c r="L581" s="439"/>
      <c r="M581" s="439"/>
      <c r="N581" s="439"/>
      <c r="O581" s="439"/>
      <c r="P581" s="439"/>
      <c r="Q581" s="439"/>
      <c r="R581" s="442" t="s">
        <v>186</v>
      </c>
      <c r="S581" s="443"/>
      <c r="T581" s="442"/>
      <c r="U581" s="443"/>
      <c r="V581" s="438"/>
      <c r="W581" s="439"/>
      <c r="X581" s="439"/>
      <c r="Y581" s="439"/>
      <c r="Z581" s="439"/>
      <c r="AA581" s="439"/>
      <c r="AB581" s="439"/>
      <c r="AC581" s="439"/>
      <c r="AD581" s="438"/>
      <c r="AE581" s="439"/>
      <c r="AF581" s="439"/>
      <c r="AG581" s="439"/>
      <c r="AH581" s="439"/>
      <c r="AI581" s="439"/>
      <c r="AJ581" s="439"/>
      <c r="AK581" s="449"/>
      <c r="AL581" s="438"/>
      <c r="AM581" s="439"/>
      <c r="AN581" s="439"/>
      <c r="AO581" s="439"/>
      <c r="AP581" s="439"/>
      <c r="AQ581" s="439"/>
      <c r="AR581" s="449"/>
      <c r="AS581" s="500"/>
      <c r="AT581" s="483"/>
      <c r="AU581" s="483"/>
      <c r="AV581" s="483"/>
      <c r="AW581" s="483"/>
      <c r="AX581" s="483"/>
      <c r="AY581" s="484"/>
      <c r="AZ581" s="460"/>
      <c r="BA581" s="461"/>
      <c r="BB581" s="60">
        <v>1</v>
      </c>
      <c r="BC581" s="466"/>
      <c r="BD581" s="467"/>
      <c r="BE581" s="467"/>
      <c r="BF581" s="468"/>
      <c r="BG581" s="469"/>
      <c r="BH581" s="470"/>
      <c r="BI581" s="194"/>
      <c r="BJ581" s="471"/>
      <c r="BK581" s="472"/>
      <c r="BL581" s="472"/>
      <c r="BM581" s="472"/>
      <c r="BN581" s="472"/>
      <c r="BO581" s="473"/>
      <c r="BP581" s="471"/>
      <c r="BQ581" s="472"/>
      <c r="BR581" s="472"/>
      <c r="BS581" s="472"/>
      <c r="BT581" s="472"/>
      <c r="BU581" s="473"/>
      <c r="BV581" s="471"/>
      <c r="BW581" s="472"/>
      <c r="BX581" s="472"/>
      <c r="BY581" s="472"/>
      <c r="BZ581" s="472"/>
      <c r="CA581" s="473"/>
      <c r="CB581" s="466"/>
      <c r="CC581" s="467"/>
      <c r="CD581" s="467"/>
      <c r="CE581" s="468"/>
      <c r="CF581" s="409"/>
      <c r="CG581" s="410"/>
      <c r="CH581" s="410"/>
      <c r="CI581" s="410"/>
      <c r="CJ581" s="411"/>
      <c r="CK581" s="409"/>
      <c r="CL581" s="410"/>
      <c r="CM581" s="410"/>
      <c r="CN581" s="410"/>
      <c r="CO581" s="411"/>
      <c r="CP581" s="409"/>
      <c r="CQ581" s="410"/>
      <c r="CR581" s="410"/>
      <c r="CS581" s="410"/>
      <c r="CT581" s="411"/>
      <c r="CU581" s="415"/>
      <c r="CV581" s="416"/>
      <c r="CW581" s="416"/>
      <c r="CX581" s="416"/>
      <c r="CY581" s="417"/>
    </row>
    <row r="582" spans="1:103" ht="16.5">
      <c r="A582" s="435"/>
      <c r="B582" s="36"/>
      <c r="C582" s="199" t="str">
        <f t="shared" ca="1" si="10"/>
        <v/>
      </c>
      <c r="D582" s="479"/>
      <c r="E582" s="480"/>
      <c r="F582" s="480"/>
      <c r="G582" s="480"/>
      <c r="H582" s="480"/>
      <c r="I582" s="480"/>
      <c r="J582" s="480"/>
      <c r="K582" s="440"/>
      <c r="L582" s="441"/>
      <c r="M582" s="441"/>
      <c r="N582" s="441"/>
      <c r="O582" s="441"/>
      <c r="P582" s="441"/>
      <c r="Q582" s="441"/>
      <c r="R582" s="444"/>
      <c r="S582" s="445"/>
      <c r="T582" s="444"/>
      <c r="U582" s="445"/>
      <c r="V582" s="440"/>
      <c r="W582" s="441"/>
      <c r="X582" s="441"/>
      <c r="Y582" s="441"/>
      <c r="Z582" s="441"/>
      <c r="AA582" s="441"/>
      <c r="AB582" s="441"/>
      <c r="AC582" s="441"/>
      <c r="AD582" s="440"/>
      <c r="AE582" s="441"/>
      <c r="AF582" s="441"/>
      <c r="AG582" s="441"/>
      <c r="AH582" s="441"/>
      <c r="AI582" s="441"/>
      <c r="AJ582" s="441"/>
      <c r="AK582" s="450"/>
      <c r="AL582" s="440"/>
      <c r="AM582" s="441"/>
      <c r="AN582" s="441"/>
      <c r="AO582" s="441"/>
      <c r="AP582" s="441"/>
      <c r="AQ582" s="441"/>
      <c r="AR582" s="450"/>
      <c r="AS582" s="485"/>
      <c r="AT582" s="486"/>
      <c r="AU582" s="486"/>
      <c r="AV582" s="486"/>
      <c r="AW582" s="486"/>
      <c r="AX582" s="486"/>
      <c r="AY582" s="487"/>
      <c r="AZ582" s="462"/>
      <c r="BA582" s="463"/>
      <c r="BB582" s="61">
        <v>2</v>
      </c>
      <c r="BC582" s="418"/>
      <c r="BD582" s="419"/>
      <c r="BE582" s="419"/>
      <c r="BF582" s="420"/>
      <c r="BG582" s="421"/>
      <c r="BH582" s="422"/>
      <c r="BI582" s="195"/>
      <c r="BJ582" s="423"/>
      <c r="BK582" s="424"/>
      <c r="BL582" s="424"/>
      <c r="BM582" s="424"/>
      <c r="BN582" s="424"/>
      <c r="BO582" s="425"/>
      <c r="BP582" s="423"/>
      <c r="BQ582" s="424"/>
      <c r="BR582" s="424"/>
      <c r="BS582" s="424"/>
      <c r="BT582" s="424"/>
      <c r="BU582" s="425"/>
      <c r="BV582" s="423"/>
      <c r="BW582" s="424"/>
      <c r="BX582" s="424"/>
      <c r="BY582" s="424"/>
      <c r="BZ582" s="424"/>
      <c r="CA582" s="425"/>
      <c r="CB582" s="418"/>
      <c r="CC582" s="419"/>
      <c r="CD582" s="419"/>
      <c r="CE582" s="420"/>
      <c r="CF582" s="412"/>
      <c r="CG582" s="413"/>
      <c r="CH582" s="413"/>
      <c r="CI582" s="413"/>
      <c r="CJ582" s="414"/>
      <c r="CK582" s="412"/>
      <c r="CL582" s="413"/>
      <c r="CM582" s="413"/>
      <c r="CN582" s="413"/>
      <c r="CO582" s="414"/>
      <c r="CP582" s="412"/>
      <c r="CQ582" s="413"/>
      <c r="CR582" s="413"/>
      <c r="CS582" s="413"/>
      <c r="CT582" s="414"/>
      <c r="CU582" s="415"/>
      <c r="CV582" s="416"/>
      <c r="CW582" s="416"/>
      <c r="CX582" s="416"/>
      <c r="CY582" s="417"/>
    </row>
    <row r="583" spans="1:103" ht="16.5">
      <c r="A583" s="435"/>
      <c r="B583" s="36"/>
      <c r="C583" s="199" t="str">
        <f t="shared" ca="1" si="10"/>
        <v/>
      </c>
      <c r="D583" s="479"/>
      <c r="E583" s="480"/>
      <c r="F583" s="480"/>
      <c r="G583" s="480"/>
      <c r="H583" s="480"/>
      <c r="I583" s="480"/>
      <c r="J583" s="480"/>
      <c r="K583" s="440"/>
      <c r="L583" s="441"/>
      <c r="M583" s="441"/>
      <c r="N583" s="441"/>
      <c r="O583" s="441"/>
      <c r="P583" s="441"/>
      <c r="Q583" s="441"/>
      <c r="R583" s="444"/>
      <c r="S583" s="445"/>
      <c r="T583" s="444"/>
      <c r="U583" s="445"/>
      <c r="V583" s="440"/>
      <c r="W583" s="441"/>
      <c r="X583" s="441"/>
      <c r="Y583" s="441"/>
      <c r="Z583" s="441"/>
      <c r="AA583" s="441"/>
      <c r="AB583" s="441"/>
      <c r="AC583" s="441"/>
      <c r="AD583" s="440"/>
      <c r="AE583" s="441"/>
      <c r="AF583" s="441"/>
      <c r="AG583" s="441"/>
      <c r="AH583" s="441"/>
      <c r="AI583" s="441"/>
      <c r="AJ583" s="441"/>
      <c r="AK583" s="450"/>
      <c r="AL583" s="440"/>
      <c r="AM583" s="441"/>
      <c r="AN583" s="441"/>
      <c r="AO583" s="441"/>
      <c r="AP583" s="441"/>
      <c r="AQ583" s="441"/>
      <c r="AR583" s="450"/>
      <c r="AS583" s="485"/>
      <c r="AT583" s="486"/>
      <c r="AU583" s="486"/>
      <c r="AV583" s="486"/>
      <c r="AW583" s="486"/>
      <c r="AX583" s="486"/>
      <c r="AY583" s="487"/>
      <c r="AZ583" s="462"/>
      <c r="BA583" s="463"/>
      <c r="BB583" s="61">
        <v>3</v>
      </c>
      <c r="BC583" s="418"/>
      <c r="BD583" s="419"/>
      <c r="BE583" s="419"/>
      <c r="BF583" s="420"/>
      <c r="BG583" s="421"/>
      <c r="BH583" s="422"/>
      <c r="BI583" s="195"/>
      <c r="BJ583" s="423"/>
      <c r="BK583" s="424"/>
      <c r="BL583" s="424"/>
      <c r="BM583" s="424"/>
      <c r="BN583" s="424"/>
      <c r="BO583" s="425"/>
      <c r="BP583" s="423"/>
      <c r="BQ583" s="424"/>
      <c r="BR583" s="424"/>
      <c r="BS583" s="424"/>
      <c r="BT583" s="424"/>
      <c r="BU583" s="425"/>
      <c r="BV583" s="423"/>
      <c r="BW583" s="424"/>
      <c r="BX583" s="424"/>
      <c r="BY583" s="424"/>
      <c r="BZ583" s="424"/>
      <c r="CA583" s="425"/>
      <c r="CB583" s="418"/>
      <c r="CC583" s="419"/>
      <c r="CD583" s="419"/>
      <c r="CE583" s="420"/>
      <c r="CF583" s="412"/>
      <c r="CG583" s="413"/>
      <c r="CH583" s="413"/>
      <c r="CI583" s="413"/>
      <c r="CJ583" s="414"/>
      <c r="CK583" s="412"/>
      <c r="CL583" s="413"/>
      <c r="CM583" s="413"/>
      <c r="CN583" s="413"/>
      <c r="CO583" s="414"/>
      <c r="CP583" s="412"/>
      <c r="CQ583" s="413"/>
      <c r="CR583" s="413"/>
      <c r="CS583" s="413"/>
      <c r="CT583" s="414"/>
      <c r="CU583" s="415"/>
      <c r="CV583" s="416"/>
      <c r="CW583" s="416"/>
      <c r="CX583" s="416"/>
      <c r="CY583" s="417"/>
    </row>
    <row r="584" spans="1:103" ht="16.5">
      <c r="A584" s="435"/>
      <c r="B584" s="36"/>
      <c r="C584" s="199" t="str">
        <f t="shared" ca="1" si="10"/>
        <v/>
      </c>
      <c r="D584" s="479"/>
      <c r="E584" s="480"/>
      <c r="F584" s="480"/>
      <c r="G584" s="480"/>
      <c r="H584" s="480"/>
      <c r="I584" s="480"/>
      <c r="J584" s="480"/>
      <c r="K584" s="440"/>
      <c r="L584" s="441"/>
      <c r="M584" s="441"/>
      <c r="N584" s="441"/>
      <c r="O584" s="441"/>
      <c r="P584" s="441"/>
      <c r="Q584" s="441"/>
      <c r="R584" s="444"/>
      <c r="S584" s="445"/>
      <c r="T584" s="444"/>
      <c r="U584" s="445"/>
      <c r="V584" s="440"/>
      <c r="W584" s="441"/>
      <c r="X584" s="441"/>
      <c r="Y584" s="441"/>
      <c r="Z584" s="441"/>
      <c r="AA584" s="441"/>
      <c r="AB584" s="441"/>
      <c r="AC584" s="441"/>
      <c r="AD584" s="440"/>
      <c r="AE584" s="441"/>
      <c r="AF584" s="441"/>
      <c r="AG584" s="441"/>
      <c r="AH584" s="441"/>
      <c r="AI584" s="441"/>
      <c r="AJ584" s="441"/>
      <c r="AK584" s="450"/>
      <c r="AL584" s="440"/>
      <c r="AM584" s="441"/>
      <c r="AN584" s="441"/>
      <c r="AO584" s="441"/>
      <c r="AP584" s="441"/>
      <c r="AQ584" s="441"/>
      <c r="AR584" s="450"/>
      <c r="AS584" s="485"/>
      <c r="AT584" s="486"/>
      <c r="AU584" s="486"/>
      <c r="AV584" s="486"/>
      <c r="AW584" s="486"/>
      <c r="AX584" s="486"/>
      <c r="AY584" s="487"/>
      <c r="AZ584" s="462"/>
      <c r="BA584" s="463"/>
      <c r="BB584" s="61">
        <v>4</v>
      </c>
      <c r="BC584" s="418"/>
      <c r="BD584" s="419"/>
      <c r="BE584" s="419"/>
      <c r="BF584" s="420"/>
      <c r="BG584" s="421"/>
      <c r="BH584" s="422"/>
      <c r="BI584" s="195"/>
      <c r="BJ584" s="423"/>
      <c r="BK584" s="424"/>
      <c r="BL584" s="424"/>
      <c r="BM584" s="424"/>
      <c r="BN584" s="424"/>
      <c r="BO584" s="425"/>
      <c r="BP584" s="423"/>
      <c r="BQ584" s="424"/>
      <c r="BR584" s="424"/>
      <c r="BS584" s="424"/>
      <c r="BT584" s="424"/>
      <c r="BU584" s="425"/>
      <c r="BV584" s="423"/>
      <c r="BW584" s="424"/>
      <c r="BX584" s="424"/>
      <c r="BY584" s="424"/>
      <c r="BZ584" s="424"/>
      <c r="CA584" s="425"/>
      <c r="CB584" s="418"/>
      <c r="CC584" s="419"/>
      <c r="CD584" s="419"/>
      <c r="CE584" s="420"/>
      <c r="CF584" s="412"/>
      <c r="CG584" s="413"/>
      <c r="CH584" s="413"/>
      <c r="CI584" s="413"/>
      <c r="CJ584" s="414"/>
      <c r="CK584" s="412"/>
      <c r="CL584" s="413"/>
      <c r="CM584" s="413"/>
      <c r="CN584" s="413"/>
      <c r="CO584" s="414"/>
      <c r="CP584" s="412"/>
      <c r="CQ584" s="413"/>
      <c r="CR584" s="413"/>
      <c r="CS584" s="413"/>
      <c r="CT584" s="414"/>
      <c r="CU584" s="415"/>
      <c r="CV584" s="416"/>
      <c r="CW584" s="416"/>
      <c r="CX584" s="416"/>
      <c r="CY584" s="417"/>
    </row>
    <row r="585" spans="1:103" ht="16.5">
      <c r="A585" s="435"/>
      <c r="B585" s="36"/>
      <c r="C585" s="199" t="str">
        <f t="shared" ca="1" si="10"/>
        <v/>
      </c>
      <c r="D585" s="479"/>
      <c r="E585" s="480"/>
      <c r="F585" s="480"/>
      <c r="G585" s="480"/>
      <c r="H585" s="480"/>
      <c r="I585" s="480"/>
      <c r="J585" s="480"/>
      <c r="K585" s="440"/>
      <c r="L585" s="441"/>
      <c r="M585" s="441"/>
      <c r="N585" s="441"/>
      <c r="O585" s="441"/>
      <c r="P585" s="441"/>
      <c r="Q585" s="441"/>
      <c r="R585" s="444"/>
      <c r="S585" s="445"/>
      <c r="T585" s="444"/>
      <c r="U585" s="445"/>
      <c r="V585" s="440"/>
      <c r="W585" s="441"/>
      <c r="X585" s="441"/>
      <c r="Y585" s="441"/>
      <c r="Z585" s="441"/>
      <c r="AA585" s="441"/>
      <c r="AB585" s="441"/>
      <c r="AC585" s="441"/>
      <c r="AD585" s="440"/>
      <c r="AE585" s="441"/>
      <c r="AF585" s="441"/>
      <c r="AG585" s="441"/>
      <c r="AH585" s="441"/>
      <c r="AI585" s="441"/>
      <c r="AJ585" s="441"/>
      <c r="AK585" s="450"/>
      <c r="AL585" s="440"/>
      <c r="AM585" s="441"/>
      <c r="AN585" s="441"/>
      <c r="AO585" s="441"/>
      <c r="AP585" s="441"/>
      <c r="AQ585" s="441"/>
      <c r="AR585" s="450"/>
      <c r="AS585" s="485"/>
      <c r="AT585" s="486"/>
      <c r="AU585" s="486"/>
      <c r="AV585" s="486"/>
      <c r="AW585" s="486"/>
      <c r="AX585" s="486"/>
      <c r="AY585" s="487"/>
      <c r="AZ585" s="462"/>
      <c r="BA585" s="463"/>
      <c r="BB585" s="61">
        <v>5</v>
      </c>
      <c r="BC585" s="418"/>
      <c r="BD585" s="419"/>
      <c r="BE585" s="419"/>
      <c r="BF585" s="420"/>
      <c r="BG585" s="421"/>
      <c r="BH585" s="422"/>
      <c r="BI585" s="195"/>
      <c r="BJ585" s="423"/>
      <c r="BK585" s="424"/>
      <c r="BL585" s="424"/>
      <c r="BM585" s="424"/>
      <c r="BN585" s="424"/>
      <c r="BO585" s="425"/>
      <c r="BP585" s="423"/>
      <c r="BQ585" s="424"/>
      <c r="BR585" s="424"/>
      <c r="BS585" s="424"/>
      <c r="BT585" s="424"/>
      <c r="BU585" s="425"/>
      <c r="BV585" s="423"/>
      <c r="BW585" s="424"/>
      <c r="BX585" s="424"/>
      <c r="BY585" s="424"/>
      <c r="BZ585" s="424"/>
      <c r="CA585" s="425"/>
      <c r="CB585" s="418"/>
      <c r="CC585" s="419"/>
      <c r="CD585" s="419"/>
      <c r="CE585" s="420"/>
      <c r="CF585" s="412"/>
      <c r="CG585" s="413"/>
      <c r="CH585" s="413"/>
      <c r="CI585" s="413"/>
      <c r="CJ585" s="414"/>
      <c r="CK585" s="412"/>
      <c r="CL585" s="413"/>
      <c r="CM585" s="413"/>
      <c r="CN585" s="413"/>
      <c r="CO585" s="414"/>
      <c r="CP585" s="412"/>
      <c r="CQ585" s="413"/>
      <c r="CR585" s="413"/>
      <c r="CS585" s="413"/>
      <c r="CT585" s="414"/>
      <c r="CU585" s="415"/>
      <c r="CV585" s="416"/>
      <c r="CW585" s="416"/>
      <c r="CX585" s="416"/>
      <c r="CY585" s="417"/>
    </row>
    <row r="586" spans="1:103" ht="16.5">
      <c r="A586" s="436"/>
      <c r="B586" s="37"/>
      <c r="C586" s="200" t="str">
        <f t="shared" ca="1" si="10"/>
        <v/>
      </c>
      <c r="D586" s="481"/>
      <c r="E586" s="482"/>
      <c r="F586" s="482"/>
      <c r="G586" s="482"/>
      <c r="H586" s="482"/>
      <c r="I586" s="482"/>
      <c r="J586" s="482"/>
      <c r="K586" s="409"/>
      <c r="L586" s="410"/>
      <c r="M586" s="410"/>
      <c r="N586" s="410"/>
      <c r="O586" s="410"/>
      <c r="P586" s="410"/>
      <c r="Q586" s="410"/>
      <c r="R586" s="446"/>
      <c r="S586" s="447"/>
      <c r="T586" s="446"/>
      <c r="U586" s="447"/>
      <c r="V586" s="409"/>
      <c r="W586" s="410"/>
      <c r="X586" s="410"/>
      <c r="Y586" s="410"/>
      <c r="Z586" s="410"/>
      <c r="AA586" s="410"/>
      <c r="AB586" s="410"/>
      <c r="AC586" s="410"/>
      <c r="AD586" s="409"/>
      <c r="AE586" s="410"/>
      <c r="AF586" s="410"/>
      <c r="AG586" s="410"/>
      <c r="AH586" s="410"/>
      <c r="AI586" s="410"/>
      <c r="AJ586" s="410"/>
      <c r="AK586" s="411"/>
      <c r="AL586" s="409"/>
      <c r="AM586" s="410"/>
      <c r="AN586" s="410"/>
      <c r="AO586" s="410"/>
      <c r="AP586" s="410"/>
      <c r="AQ586" s="410"/>
      <c r="AR586" s="411"/>
      <c r="AS586" s="488"/>
      <c r="AT586" s="489"/>
      <c r="AU586" s="489"/>
      <c r="AV586" s="489"/>
      <c r="AW586" s="489"/>
      <c r="AX586" s="489"/>
      <c r="AY586" s="490"/>
      <c r="AZ586" s="464"/>
      <c r="BA586" s="465"/>
      <c r="BB586" s="62">
        <v>6</v>
      </c>
      <c r="BC586" s="426"/>
      <c r="BD586" s="427"/>
      <c r="BE586" s="427"/>
      <c r="BF586" s="428"/>
      <c r="BG586" s="429"/>
      <c r="BH586" s="430"/>
      <c r="BI586" s="196"/>
      <c r="BJ586" s="474"/>
      <c r="BK586" s="475"/>
      <c r="BL586" s="475"/>
      <c r="BM586" s="475"/>
      <c r="BN586" s="475"/>
      <c r="BO586" s="476"/>
      <c r="BP586" s="474"/>
      <c r="BQ586" s="475"/>
      <c r="BR586" s="475"/>
      <c r="BS586" s="475"/>
      <c r="BT586" s="475"/>
      <c r="BU586" s="476"/>
      <c r="BV586" s="474"/>
      <c r="BW586" s="475"/>
      <c r="BX586" s="475"/>
      <c r="BY586" s="475"/>
      <c r="BZ586" s="475"/>
      <c r="CA586" s="476"/>
      <c r="CB586" s="426"/>
      <c r="CC586" s="427"/>
      <c r="CD586" s="427"/>
      <c r="CE586" s="428"/>
      <c r="CF586" s="412"/>
      <c r="CG586" s="413"/>
      <c r="CH586" s="413"/>
      <c r="CI586" s="413"/>
      <c r="CJ586" s="414"/>
      <c r="CK586" s="412"/>
      <c r="CL586" s="413"/>
      <c r="CM586" s="413"/>
      <c r="CN586" s="413"/>
      <c r="CO586" s="414"/>
      <c r="CP586" s="412"/>
      <c r="CQ586" s="413"/>
      <c r="CR586" s="413"/>
      <c r="CS586" s="413"/>
      <c r="CT586" s="414"/>
      <c r="CU586" s="415"/>
      <c r="CV586" s="416"/>
      <c r="CW586" s="416"/>
      <c r="CX586" s="416"/>
      <c r="CY586" s="417"/>
    </row>
    <row r="587" spans="1:103" ht="16.5">
      <c r="A587" s="434">
        <v>97</v>
      </c>
      <c r="B587" s="36"/>
      <c r="C587" s="198" t="str">
        <f t="shared" ca="1" si="10"/>
        <v/>
      </c>
      <c r="D587" s="477" t="s">
        <v>450</v>
      </c>
      <c r="E587" s="478"/>
      <c r="F587" s="478"/>
      <c r="G587" s="478"/>
      <c r="H587" s="478"/>
      <c r="I587" s="478"/>
      <c r="J587" s="478"/>
      <c r="K587" s="438" t="s">
        <v>451</v>
      </c>
      <c r="L587" s="439"/>
      <c r="M587" s="439"/>
      <c r="N587" s="439"/>
      <c r="O587" s="439"/>
      <c r="P587" s="439"/>
      <c r="Q587" s="439"/>
      <c r="R587" s="442" t="s">
        <v>186</v>
      </c>
      <c r="S587" s="443"/>
      <c r="T587" s="442"/>
      <c r="U587" s="443"/>
      <c r="V587" s="438"/>
      <c r="W587" s="439"/>
      <c r="X587" s="439"/>
      <c r="Y587" s="439"/>
      <c r="Z587" s="439"/>
      <c r="AA587" s="439"/>
      <c r="AB587" s="439"/>
      <c r="AC587" s="439"/>
      <c r="AD587" s="438"/>
      <c r="AE587" s="439"/>
      <c r="AF587" s="439"/>
      <c r="AG587" s="439"/>
      <c r="AH587" s="439"/>
      <c r="AI587" s="439"/>
      <c r="AJ587" s="439"/>
      <c r="AK587" s="449"/>
      <c r="AL587" s="438"/>
      <c r="AM587" s="439"/>
      <c r="AN587" s="439"/>
      <c r="AO587" s="439"/>
      <c r="AP587" s="439"/>
      <c r="AQ587" s="439"/>
      <c r="AR587" s="449"/>
      <c r="AS587" s="500"/>
      <c r="AT587" s="483"/>
      <c r="AU587" s="483"/>
      <c r="AV587" s="483"/>
      <c r="AW587" s="483"/>
      <c r="AX587" s="483"/>
      <c r="AY587" s="484"/>
      <c r="AZ587" s="460"/>
      <c r="BA587" s="461"/>
      <c r="BB587" s="60">
        <v>1</v>
      </c>
      <c r="BC587" s="466"/>
      <c r="BD587" s="467"/>
      <c r="BE587" s="467"/>
      <c r="BF587" s="468"/>
      <c r="BG587" s="469"/>
      <c r="BH587" s="470"/>
      <c r="BI587" s="194"/>
      <c r="BJ587" s="471"/>
      <c r="BK587" s="472"/>
      <c r="BL587" s="472"/>
      <c r="BM587" s="472"/>
      <c r="BN587" s="472"/>
      <c r="BO587" s="473"/>
      <c r="BP587" s="471"/>
      <c r="BQ587" s="472"/>
      <c r="BR587" s="472"/>
      <c r="BS587" s="472"/>
      <c r="BT587" s="472"/>
      <c r="BU587" s="473"/>
      <c r="BV587" s="471"/>
      <c r="BW587" s="472"/>
      <c r="BX587" s="472"/>
      <c r="BY587" s="472"/>
      <c r="BZ587" s="472"/>
      <c r="CA587" s="473"/>
      <c r="CB587" s="466"/>
      <c r="CC587" s="467"/>
      <c r="CD587" s="467"/>
      <c r="CE587" s="468"/>
      <c r="CF587" s="409"/>
      <c r="CG587" s="410"/>
      <c r="CH587" s="410"/>
      <c r="CI587" s="410"/>
      <c r="CJ587" s="411"/>
      <c r="CK587" s="409"/>
      <c r="CL587" s="410"/>
      <c r="CM587" s="410"/>
      <c r="CN587" s="410"/>
      <c r="CO587" s="411"/>
      <c r="CP587" s="409"/>
      <c r="CQ587" s="410"/>
      <c r="CR587" s="410"/>
      <c r="CS587" s="410"/>
      <c r="CT587" s="411"/>
      <c r="CU587" s="415"/>
      <c r="CV587" s="416"/>
      <c r="CW587" s="416"/>
      <c r="CX587" s="416"/>
      <c r="CY587" s="417"/>
    </row>
    <row r="588" spans="1:103" ht="16.5">
      <c r="A588" s="435"/>
      <c r="B588" s="36"/>
      <c r="C588" s="199" t="str">
        <f t="shared" ref="C588:C676" ca="1" si="11">IF(AND(OFFSET($K588,-($BB588-1),0)&lt;&gt;"",OFFSET($R588,-($BB588-1),0)&lt;&gt;"x"),"●","")</f>
        <v/>
      </c>
      <c r="D588" s="479"/>
      <c r="E588" s="480"/>
      <c r="F588" s="480"/>
      <c r="G588" s="480"/>
      <c r="H588" s="480"/>
      <c r="I588" s="480"/>
      <c r="J588" s="480"/>
      <c r="K588" s="440"/>
      <c r="L588" s="441"/>
      <c r="M588" s="441"/>
      <c r="N588" s="441"/>
      <c r="O588" s="441"/>
      <c r="P588" s="441"/>
      <c r="Q588" s="441"/>
      <c r="R588" s="444"/>
      <c r="S588" s="445"/>
      <c r="T588" s="444"/>
      <c r="U588" s="445"/>
      <c r="V588" s="440"/>
      <c r="W588" s="441"/>
      <c r="X588" s="441"/>
      <c r="Y588" s="441"/>
      <c r="Z588" s="441"/>
      <c r="AA588" s="441"/>
      <c r="AB588" s="441"/>
      <c r="AC588" s="441"/>
      <c r="AD588" s="440"/>
      <c r="AE588" s="441"/>
      <c r="AF588" s="441"/>
      <c r="AG588" s="441"/>
      <c r="AH588" s="441"/>
      <c r="AI588" s="441"/>
      <c r="AJ588" s="441"/>
      <c r="AK588" s="450"/>
      <c r="AL588" s="440"/>
      <c r="AM588" s="441"/>
      <c r="AN588" s="441"/>
      <c r="AO588" s="441"/>
      <c r="AP588" s="441"/>
      <c r="AQ588" s="441"/>
      <c r="AR588" s="450"/>
      <c r="AS588" s="485"/>
      <c r="AT588" s="486"/>
      <c r="AU588" s="486"/>
      <c r="AV588" s="486"/>
      <c r="AW588" s="486"/>
      <c r="AX588" s="486"/>
      <c r="AY588" s="487"/>
      <c r="AZ588" s="462"/>
      <c r="BA588" s="463"/>
      <c r="BB588" s="61">
        <v>2</v>
      </c>
      <c r="BC588" s="418"/>
      <c r="BD588" s="419"/>
      <c r="BE588" s="419"/>
      <c r="BF588" s="420"/>
      <c r="BG588" s="421"/>
      <c r="BH588" s="422"/>
      <c r="BI588" s="195"/>
      <c r="BJ588" s="423"/>
      <c r="BK588" s="424"/>
      <c r="BL588" s="424"/>
      <c r="BM588" s="424"/>
      <c r="BN588" s="424"/>
      <c r="BO588" s="425"/>
      <c r="BP588" s="423"/>
      <c r="BQ588" s="424"/>
      <c r="BR588" s="424"/>
      <c r="BS588" s="424"/>
      <c r="BT588" s="424"/>
      <c r="BU588" s="425"/>
      <c r="BV588" s="423"/>
      <c r="BW588" s="424"/>
      <c r="BX588" s="424"/>
      <c r="BY588" s="424"/>
      <c r="BZ588" s="424"/>
      <c r="CA588" s="425"/>
      <c r="CB588" s="418"/>
      <c r="CC588" s="419"/>
      <c r="CD588" s="419"/>
      <c r="CE588" s="420"/>
      <c r="CF588" s="412"/>
      <c r="CG588" s="413"/>
      <c r="CH588" s="413"/>
      <c r="CI588" s="413"/>
      <c r="CJ588" s="414"/>
      <c r="CK588" s="412"/>
      <c r="CL588" s="413"/>
      <c r="CM588" s="413"/>
      <c r="CN588" s="413"/>
      <c r="CO588" s="414"/>
      <c r="CP588" s="412"/>
      <c r="CQ588" s="413"/>
      <c r="CR588" s="413"/>
      <c r="CS588" s="413"/>
      <c r="CT588" s="414"/>
      <c r="CU588" s="415"/>
      <c r="CV588" s="416"/>
      <c r="CW588" s="416"/>
      <c r="CX588" s="416"/>
      <c r="CY588" s="417"/>
    </row>
    <row r="589" spans="1:103" ht="16.5">
      <c r="A589" s="435"/>
      <c r="B589" s="36"/>
      <c r="C589" s="199" t="str">
        <f t="shared" ca="1" si="11"/>
        <v/>
      </c>
      <c r="D589" s="479"/>
      <c r="E589" s="480"/>
      <c r="F589" s="480"/>
      <c r="G589" s="480"/>
      <c r="H589" s="480"/>
      <c r="I589" s="480"/>
      <c r="J589" s="480"/>
      <c r="K589" s="440"/>
      <c r="L589" s="441"/>
      <c r="M589" s="441"/>
      <c r="N589" s="441"/>
      <c r="O589" s="441"/>
      <c r="P589" s="441"/>
      <c r="Q589" s="441"/>
      <c r="R589" s="444"/>
      <c r="S589" s="445"/>
      <c r="T589" s="444"/>
      <c r="U589" s="445"/>
      <c r="V589" s="440"/>
      <c r="W589" s="441"/>
      <c r="X589" s="441"/>
      <c r="Y589" s="441"/>
      <c r="Z589" s="441"/>
      <c r="AA589" s="441"/>
      <c r="AB589" s="441"/>
      <c r="AC589" s="441"/>
      <c r="AD589" s="440"/>
      <c r="AE589" s="441"/>
      <c r="AF589" s="441"/>
      <c r="AG589" s="441"/>
      <c r="AH589" s="441"/>
      <c r="AI589" s="441"/>
      <c r="AJ589" s="441"/>
      <c r="AK589" s="450"/>
      <c r="AL589" s="440"/>
      <c r="AM589" s="441"/>
      <c r="AN589" s="441"/>
      <c r="AO589" s="441"/>
      <c r="AP589" s="441"/>
      <c r="AQ589" s="441"/>
      <c r="AR589" s="450"/>
      <c r="AS589" s="485"/>
      <c r="AT589" s="486"/>
      <c r="AU589" s="486"/>
      <c r="AV589" s="486"/>
      <c r="AW589" s="486"/>
      <c r="AX589" s="486"/>
      <c r="AY589" s="487"/>
      <c r="AZ589" s="462"/>
      <c r="BA589" s="463"/>
      <c r="BB589" s="61">
        <v>3</v>
      </c>
      <c r="BC589" s="418"/>
      <c r="BD589" s="419"/>
      <c r="BE589" s="419"/>
      <c r="BF589" s="420"/>
      <c r="BG589" s="421"/>
      <c r="BH589" s="422"/>
      <c r="BI589" s="195"/>
      <c r="BJ589" s="423"/>
      <c r="BK589" s="424"/>
      <c r="BL589" s="424"/>
      <c r="BM589" s="424"/>
      <c r="BN589" s="424"/>
      <c r="BO589" s="425"/>
      <c r="BP589" s="423"/>
      <c r="BQ589" s="424"/>
      <c r="BR589" s="424"/>
      <c r="BS589" s="424"/>
      <c r="BT589" s="424"/>
      <c r="BU589" s="425"/>
      <c r="BV589" s="423"/>
      <c r="BW589" s="424"/>
      <c r="BX589" s="424"/>
      <c r="BY589" s="424"/>
      <c r="BZ589" s="424"/>
      <c r="CA589" s="425"/>
      <c r="CB589" s="418"/>
      <c r="CC589" s="419"/>
      <c r="CD589" s="419"/>
      <c r="CE589" s="420"/>
      <c r="CF589" s="412"/>
      <c r="CG589" s="413"/>
      <c r="CH589" s="413"/>
      <c r="CI589" s="413"/>
      <c r="CJ589" s="414"/>
      <c r="CK589" s="412"/>
      <c r="CL589" s="413"/>
      <c r="CM589" s="413"/>
      <c r="CN589" s="413"/>
      <c r="CO589" s="414"/>
      <c r="CP589" s="412"/>
      <c r="CQ589" s="413"/>
      <c r="CR589" s="413"/>
      <c r="CS589" s="413"/>
      <c r="CT589" s="414"/>
      <c r="CU589" s="415"/>
      <c r="CV589" s="416"/>
      <c r="CW589" s="416"/>
      <c r="CX589" s="416"/>
      <c r="CY589" s="417"/>
    </row>
    <row r="590" spans="1:103" ht="16.5">
      <c r="A590" s="435"/>
      <c r="B590" s="36"/>
      <c r="C590" s="199" t="str">
        <f t="shared" ca="1" si="11"/>
        <v/>
      </c>
      <c r="D590" s="479"/>
      <c r="E590" s="480"/>
      <c r="F590" s="480"/>
      <c r="G590" s="480"/>
      <c r="H590" s="480"/>
      <c r="I590" s="480"/>
      <c r="J590" s="480"/>
      <c r="K590" s="440"/>
      <c r="L590" s="441"/>
      <c r="M590" s="441"/>
      <c r="N590" s="441"/>
      <c r="O590" s="441"/>
      <c r="P590" s="441"/>
      <c r="Q590" s="441"/>
      <c r="R590" s="444"/>
      <c r="S590" s="445"/>
      <c r="T590" s="444"/>
      <c r="U590" s="445"/>
      <c r="V590" s="440"/>
      <c r="W590" s="441"/>
      <c r="X590" s="441"/>
      <c r="Y590" s="441"/>
      <c r="Z590" s="441"/>
      <c r="AA590" s="441"/>
      <c r="AB590" s="441"/>
      <c r="AC590" s="441"/>
      <c r="AD590" s="440"/>
      <c r="AE590" s="441"/>
      <c r="AF590" s="441"/>
      <c r="AG590" s="441"/>
      <c r="AH590" s="441"/>
      <c r="AI590" s="441"/>
      <c r="AJ590" s="441"/>
      <c r="AK590" s="450"/>
      <c r="AL590" s="440"/>
      <c r="AM590" s="441"/>
      <c r="AN590" s="441"/>
      <c r="AO590" s="441"/>
      <c r="AP590" s="441"/>
      <c r="AQ590" s="441"/>
      <c r="AR590" s="450"/>
      <c r="AS590" s="485"/>
      <c r="AT590" s="486"/>
      <c r="AU590" s="486"/>
      <c r="AV590" s="486"/>
      <c r="AW590" s="486"/>
      <c r="AX590" s="486"/>
      <c r="AY590" s="487"/>
      <c r="AZ590" s="462"/>
      <c r="BA590" s="463"/>
      <c r="BB590" s="61">
        <v>4</v>
      </c>
      <c r="BC590" s="418"/>
      <c r="BD590" s="419"/>
      <c r="BE590" s="419"/>
      <c r="BF590" s="420"/>
      <c r="BG590" s="421"/>
      <c r="BH590" s="422"/>
      <c r="BI590" s="195"/>
      <c r="BJ590" s="423"/>
      <c r="BK590" s="424"/>
      <c r="BL590" s="424"/>
      <c r="BM590" s="424"/>
      <c r="BN590" s="424"/>
      <c r="BO590" s="425"/>
      <c r="BP590" s="423"/>
      <c r="BQ590" s="424"/>
      <c r="BR590" s="424"/>
      <c r="BS590" s="424"/>
      <c r="BT590" s="424"/>
      <c r="BU590" s="425"/>
      <c r="BV590" s="423"/>
      <c r="BW590" s="424"/>
      <c r="BX590" s="424"/>
      <c r="BY590" s="424"/>
      <c r="BZ590" s="424"/>
      <c r="CA590" s="425"/>
      <c r="CB590" s="418"/>
      <c r="CC590" s="419"/>
      <c r="CD590" s="419"/>
      <c r="CE590" s="420"/>
      <c r="CF590" s="412"/>
      <c r="CG590" s="413"/>
      <c r="CH590" s="413"/>
      <c r="CI590" s="413"/>
      <c r="CJ590" s="414"/>
      <c r="CK590" s="412"/>
      <c r="CL590" s="413"/>
      <c r="CM590" s="413"/>
      <c r="CN590" s="413"/>
      <c r="CO590" s="414"/>
      <c r="CP590" s="412"/>
      <c r="CQ590" s="413"/>
      <c r="CR590" s="413"/>
      <c r="CS590" s="413"/>
      <c r="CT590" s="414"/>
      <c r="CU590" s="415"/>
      <c r="CV590" s="416"/>
      <c r="CW590" s="416"/>
      <c r="CX590" s="416"/>
      <c r="CY590" s="417"/>
    </row>
    <row r="591" spans="1:103" ht="16.5">
      <c r="A591" s="435"/>
      <c r="B591" s="36"/>
      <c r="C591" s="199" t="str">
        <f t="shared" ca="1" si="11"/>
        <v/>
      </c>
      <c r="D591" s="479"/>
      <c r="E591" s="480"/>
      <c r="F591" s="480"/>
      <c r="G591" s="480"/>
      <c r="H591" s="480"/>
      <c r="I591" s="480"/>
      <c r="J591" s="480"/>
      <c r="K591" s="440"/>
      <c r="L591" s="441"/>
      <c r="M591" s="441"/>
      <c r="N591" s="441"/>
      <c r="O591" s="441"/>
      <c r="P591" s="441"/>
      <c r="Q591" s="441"/>
      <c r="R591" s="444"/>
      <c r="S591" s="445"/>
      <c r="T591" s="444"/>
      <c r="U591" s="445"/>
      <c r="V591" s="440"/>
      <c r="W591" s="441"/>
      <c r="X591" s="441"/>
      <c r="Y591" s="441"/>
      <c r="Z591" s="441"/>
      <c r="AA591" s="441"/>
      <c r="AB591" s="441"/>
      <c r="AC591" s="441"/>
      <c r="AD591" s="440"/>
      <c r="AE591" s="441"/>
      <c r="AF591" s="441"/>
      <c r="AG591" s="441"/>
      <c r="AH591" s="441"/>
      <c r="AI591" s="441"/>
      <c r="AJ591" s="441"/>
      <c r="AK591" s="450"/>
      <c r="AL591" s="440"/>
      <c r="AM591" s="441"/>
      <c r="AN591" s="441"/>
      <c r="AO591" s="441"/>
      <c r="AP591" s="441"/>
      <c r="AQ591" s="441"/>
      <c r="AR591" s="450"/>
      <c r="AS591" s="485"/>
      <c r="AT591" s="486"/>
      <c r="AU591" s="486"/>
      <c r="AV591" s="486"/>
      <c r="AW591" s="486"/>
      <c r="AX591" s="486"/>
      <c r="AY591" s="487"/>
      <c r="AZ591" s="462"/>
      <c r="BA591" s="463"/>
      <c r="BB591" s="61">
        <v>5</v>
      </c>
      <c r="BC591" s="418"/>
      <c r="BD591" s="419"/>
      <c r="BE591" s="419"/>
      <c r="BF591" s="420"/>
      <c r="BG591" s="421"/>
      <c r="BH591" s="422"/>
      <c r="BI591" s="195"/>
      <c r="BJ591" s="423"/>
      <c r="BK591" s="424"/>
      <c r="BL591" s="424"/>
      <c r="BM591" s="424"/>
      <c r="BN591" s="424"/>
      <c r="BO591" s="425"/>
      <c r="BP591" s="423"/>
      <c r="BQ591" s="424"/>
      <c r="BR591" s="424"/>
      <c r="BS591" s="424"/>
      <c r="BT591" s="424"/>
      <c r="BU591" s="425"/>
      <c r="BV591" s="423"/>
      <c r="BW591" s="424"/>
      <c r="BX591" s="424"/>
      <c r="BY591" s="424"/>
      <c r="BZ591" s="424"/>
      <c r="CA591" s="425"/>
      <c r="CB591" s="418"/>
      <c r="CC591" s="419"/>
      <c r="CD591" s="419"/>
      <c r="CE591" s="420"/>
      <c r="CF591" s="412"/>
      <c r="CG591" s="413"/>
      <c r="CH591" s="413"/>
      <c r="CI591" s="413"/>
      <c r="CJ591" s="414"/>
      <c r="CK591" s="412"/>
      <c r="CL591" s="413"/>
      <c r="CM591" s="413"/>
      <c r="CN591" s="413"/>
      <c r="CO591" s="414"/>
      <c r="CP591" s="412"/>
      <c r="CQ591" s="413"/>
      <c r="CR591" s="413"/>
      <c r="CS591" s="413"/>
      <c r="CT591" s="414"/>
      <c r="CU591" s="415"/>
      <c r="CV591" s="416"/>
      <c r="CW591" s="416"/>
      <c r="CX591" s="416"/>
      <c r="CY591" s="417"/>
    </row>
    <row r="592" spans="1:103" ht="16.5">
      <c r="A592" s="436"/>
      <c r="B592" s="37"/>
      <c r="C592" s="200" t="str">
        <f t="shared" ca="1" si="11"/>
        <v/>
      </c>
      <c r="D592" s="481"/>
      <c r="E592" s="482"/>
      <c r="F592" s="482"/>
      <c r="G592" s="482"/>
      <c r="H592" s="482"/>
      <c r="I592" s="482"/>
      <c r="J592" s="482"/>
      <c r="K592" s="409"/>
      <c r="L592" s="410"/>
      <c r="M592" s="410"/>
      <c r="N592" s="410"/>
      <c r="O592" s="410"/>
      <c r="P592" s="410"/>
      <c r="Q592" s="410"/>
      <c r="R592" s="446"/>
      <c r="S592" s="447"/>
      <c r="T592" s="446"/>
      <c r="U592" s="447"/>
      <c r="V592" s="409"/>
      <c r="W592" s="410"/>
      <c r="X592" s="410"/>
      <c r="Y592" s="410"/>
      <c r="Z592" s="410"/>
      <c r="AA592" s="410"/>
      <c r="AB592" s="410"/>
      <c r="AC592" s="410"/>
      <c r="AD592" s="409"/>
      <c r="AE592" s="410"/>
      <c r="AF592" s="410"/>
      <c r="AG592" s="410"/>
      <c r="AH592" s="410"/>
      <c r="AI592" s="410"/>
      <c r="AJ592" s="410"/>
      <c r="AK592" s="411"/>
      <c r="AL592" s="409"/>
      <c r="AM592" s="410"/>
      <c r="AN592" s="410"/>
      <c r="AO592" s="410"/>
      <c r="AP592" s="410"/>
      <c r="AQ592" s="410"/>
      <c r="AR592" s="411"/>
      <c r="AS592" s="488"/>
      <c r="AT592" s="489"/>
      <c r="AU592" s="489"/>
      <c r="AV592" s="489"/>
      <c r="AW592" s="489"/>
      <c r="AX592" s="489"/>
      <c r="AY592" s="490"/>
      <c r="AZ592" s="464"/>
      <c r="BA592" s="465"/>
      <c r="BB592" s="62">
        <v>6</v>
      </c>
      <c r="BC592" s="426"/>
      <c r="BD592" s="427"/>
      <c r="BE592" s="427"/>
      <c r="BF592" s="428"/>
      <c r="BG592" s="429"/>
      <c r="BH592" s="430"/>
      <c r="BI592" s="196"/>
      <c r="BJ592" s="474"/>
      <c r="BK592" s="475"/>
      <c r="BL592" s="475"/>
      <c r="BM592" s="475"/>
      <c r="BN592" s="475"/>
      <c r="BO592" s="476"/>
      <c r="BP592" s="474"/>
      <c r="BQ592" s="475"/>
      <c r="BR592" s="475"/>
      <c r="BS592" s="475"/>
      <c r="BT592" s="475"/>
      <c r="BU592" s="476"/>
      <c r="BV592" s="474"/>
      <c r="BW592" s="475"/>
      <c r="BX592" s="475"/>
      <c r="BY592" s="475"/>
      <c r="BZ592" s="475"/>
      <c r="CA592" s="476"/>
      <c r="CB592" s="426"/>
      <c r="CC592" s="427"/>
      <c r="CD592" s="427"/>
      <c r="CE592" s="428"/>
      <c r="CF592" s="412"/>
      <c r="CG592" s="413"/>
      <c r="CH592" s="413"/>
      <c r="CI592" s="413"/>
      <c r="CJ592" s="414"/>
      <c r="CK592" s="412"/>
      <c r="CL592" s="413"/>
      <c r="CM592" s="413"/>
      <c r="CN592" s="413"/>
      <c r="CO592" s="414"/>
      <c r="CP592" s="412"/>
      <c r="CQ592" s="413"/>
      <c r="CR592" s="413"/>
      <c r="CS592" s="413"/>
      <c r="CT592" s="414"/>
      <c r="CU592" s="415"/>
      <c r="CV592" s="416"/>
      <c r="CW592" s="416"/>
      <c r="CX592" s="416"/>
      <c r="CY592" s="417"/>
    </row>
    <row r="593" spans="1:103" ht="16.5">
      <c r="A593" s="434">
        <v>98</v>
      </c>
      <c r="B593" s="36"/>
      <c r="C593" s="198" t="str">
        <f t="shared" ca="1" si="11"/>
        <v/>
      </c>
      <c r="D593" s="477" t="s">
        <v>452</v>
      </c>
      <c r="E593" s="478"/>
      <c r="F593" s="478"/>
      <c r="G593" s="478"/>
      <c r="H593" s="478"/>
      <c r="I593" s="478"/>
      <c r="J593" s="478"/>
      <c r="K593" s="438" t="s">
        <v>453</v>
      </c>
      <c r="L593" s="439"/>
      <c r="M593" s="439"/>
      <c r="N593" s="439"/>
      <c r="O593" s="439"/>
      <c r="P593" s="439"/>
      <c r="Q593" s="439"/>
      <c r="R593" s="442" t="s">
        <v>186</v>
      </c>
      <c r="S593" s="443"/>
      <c r="T593" s="442"/>
      <c r="U593" s="443"/>
      <c r="V593" s="438"/>
      <c r="W593" s="439"/>
      <c r="X593" s="439"/>
      <c r="Y593" s="439"/>
      <c r="Z593" s="439"/>
      <c r="AA593" s="439"/>
      <c r="AB593" s="439"/>
      <c r="AC593" s="439"/>
      <c r="AD593" s="438"/>
      <c r="AE593" s="439"/>
      <c r="AF593" s="439"/>
      <c r="AG593" s="439"/>
      <c r="AH593" s="439"/>
      <c r="AI593" s="439"/>
      <c r="AJ593" s="439"/>
      <c r="AK593" s="449"/>
      <c r="AL593" s="438"/>
      <c r="AM593" s="439"/>
      <c r="AN593" s="439"/>
      <c r="AO593" s="439"/>
      <c r="AP593" s="439"/>
      <c r="AQ593" s="439"/>
      <c r="AR593" s="449"/>
      <c r="AS593" s="500"/>
      <c r="AT593" s="483"/>
      <c r="AU593" s="483"/>
      <c r="AV593" s="483"/>
      <c r="AW593" s="483"/>
      <c r="AX593" s="483"/>
      <c r="AY593" s="484"/>
      <c r="AZ593" s="460"/>
      <c r="BA593" s="461"/>
      <c r="BB593" s="60">
        <v>1</v>
      </c>
      <c r="BC593" s="466"/>
      <c r="BD593" s="467"/>
      <c r="BE593" s="467"/>
      <c r="BF593" s="468"/>
      <c r="BG593" s="469"/>
      <c r="BH593" s="470"/>
      <c r="BI593" s="194"/>
      <c r="BJ593" s="471"/>
      <c r="BK593" s="472"/>
      <c r="BL593" s="472"/>
      <c r="BM593" s="472"/>
      <c r="BN593" s="472"/>
      <c r="BO593" s="473"/>
      <c r="BP593" s="471"/>
      <c r="BQ593" s="472"/>
      <c r="BR593" s="472"/>
      <c r="BS593" s="472"/>
      <c r="BT593" s="472"/>
      <c r="BU593" s="473"/>
      <c r="BV593" s="471"/>
      <c r="BW593" s="472"/>
      <c r="BX593" s="472"/>
      <c r="BY593" s="472"/>
      <c r="BZ593" s="472"/>
      <c r="CA593" s="473"/>
      <c r="CB593" s="466"/>
      <c r="CC593" s="467"/>
      <c r="CD593" s="467"/>
      <c r="CE593" s="468"/>
      <c r="CF593" s="409"/>
      <c r="CG593" s="410"/>
      <c r="CH593" s="410"/>
      <c r="CI593" s="410"/>
      <c r="CJ593" s="411"/>
      <c r="CK593" s="409"/>
      <c r="CL593" s="410"/>
      <c r="CM593" s="410"/>
      <c r="CN593" s="410"/>
      <c r="CO593" s="411"/>
      <c r="CP593" s="409"/>
      <c r="CQ593" s="410"/>
      <c r="CR593" s="410"/>
      <c r="CS593" s="410"/>
      <c r="CT593" s="411"/>
      <c r="CU593" s="415"/>
      <c r="CV593" s="416"/>
      <c r="CW593" s="416"/>
      <c r="CX593" s="416"/>
      <c r="CY593" s="417"/>
    </row>
    <row r="594" spans="1:103" ht="16.5">
      <c r="A594" s="435"/>
      <c r="B594" s="36"/>
      <c r="C594" s="199" t="str">
        <f t="shared" ca="1" si="11"/>
        <v/>
      </c>
      <c r="D594" s="479"/>
      <c r="E594" s="480"/>
      <c r="F594" s="480"/>
      <c r="G594" s="480"/>
      <c r="H594" s="480"/>
      <c r="I594" s="480"/>
      <c r="J594" s="480"/>
      <c r="K594" s="440"/>
      <c r="L594" s="441"/>
      <c r="M594" s="441"/>
      <c r="N594" s="441"/>
      <c r="O594" s="441"/>
      <c r="P594" s="441"/>
      <c r="Q594" s="441"/>
      <c r="R594" s="444"/>
      <c r="S594" s="445"/>
      <c r="T594" s="444"/>
      <c r="U594" s="445"/>
      <c r="V594" s="440"/>
      <c r="W594" s="441"/>
      <c r="X594" s="441"/>
      <c r="Y594" s="441"/>
      <c r="Z594" s="441"/>
      <c r="AA594" s="441"/>
      <c r="AB594" s="441"/>
      <c r="AC594" s="441"/>
      <c r="AD594" s="440"/>
      <c r="AE594" s="441"/>
      <c r="AF594" s="441"/>
      <c r="AG594" s="441"/>
      <c r="AH594" s="441"/>
      <c r="AI594" s="441"/>
      <c r="AJ594" s="441"/>
      <c r="AK594" s="450"/>
      <c r="AL594" s="440"/>
      <c r="AM594" s="441"/>
      <c r="AN594" s="441"/>
      <c r="AO594" s="441"/>
      <c r="AP594" s="441"/>
      <c r="AQ594" s="441"/>
      <c r="AR594" s="450"/>
      <c r="AS594" s="485"/>
      <c r="AT594" s="486"/>
      <c r="AU594" s="486"/>
      <c r="AV594" s="486"/>
      <c r="AW594" s="486"/>
      <c r="AX594" s="486"/>
      <c r="AY594" s="487"/>
      <c r="AZ594" s="462"/>
      <c r="BA594" s="463"/>
      <c r="BB594" s="61">
        <v>2</v>
      </c>
      <c r="BC594" s="418"/>
      <c r="BD594" s="419"/>
      <c r="BE594" s="419"/>
      <c r="BF594" s="420"/>
      <c r="BG594" s="421"/>
      <c r="BH594" s="422"/>
      <c r="BI594" s="195"/>
      <c r="BJ594" s="423"/>
      <c r="BK594" s="424"/>
      <c r="BL594" s="424"/>
      <c r="BM594" s="424"/>
      <c r="BN594" s="424"/>
      <c r="BO594" s="425"/>
      <c r="BP594" s="423"/>
      <c r="BQ594" s="424"/>
      <c r="BR594" s="424"/>
      <c r="BS594" s="424"/>
      <c r="BT594" s="424"/>
      <c r="BU594" s="425"/>
      <c r="BV594" s="423"/>
      <c r="BW594" s="424"/>
      <c r="BX594" s="424"/>
      <c r="BY594" s="424"/>
      <c r="BZ594" s="424"/>
      <c r="CA594" s="425"/>
      <c r="CB594" s="418"/>
      <c r="CC594" s="419"/>
      <c r="CD594" s="419"/>
      <c r="CE594" s="420"/>
      <c r="CF594" s="412"/>
      <c r="CG594" s="413"/>
      <c r="CH594" s="413"/>
      <c r="CI594" s="413"/>
      <c r="CJ594" s="414"/>
      <c r="CK594" s="412"/>
      <c r="CL594" s="413"/>
      <c r="CM594" s="413"/>
      <c r="CN594" s="413"/>
      <c r="CO594" s="414"/>
      <c r="CP594" s="412"/>
      <c r="CQ594" s="413"/>
      <c r="CR594" s="413"/>
      <c r="CS594" s="413"/>
      <c r="CT594" s="414"/>
      <c r="CU594" s="415"/>
      <c r="CV594" s="416"/>
      <c r="CW594" s="416"/>
      <c r="CX594" s="416"/>
      <c r="CY594" s="417"/>
    </row>
    <row r="595" spans="1:103" ht="16.5">
      <c r="A595" s="435"/>
      <c r="B595" s="36"/>
      <c r="C595" s="199" t="str">
        <f t="shared" ca="1" si="11"/>
        <v/>
      </c>
      <c r="D595" s="479"/>
      <c r="E595" s="480"/>
      <c r="F595" s="480"/>
      <c r="G595" s="480"/>
      <c r="H595" s="480"/>
      <c r="I595" s="480"/>
      <c r="J595" s="480"/>
      <c r="K595" s="440"/>
      <c r="L595" s="441"/>
      <c r="M595" s="441"/>
      <c r="N595" s="441"/>
      <c r="O595" s="441"/>
      <c r="P595" s="441"/>
      <c r="Q595" s="441"/>
      <c r="R595" s="444"/>
      <c r="S595" s="445"/>
      <c r="T595" s="444"/>
      <c r="U595" s="445"/>
      <c r="V595" s="440"/>
      <c r="W595" s="441"/>
      <c r="X595" s="441"/>
      <c r="Y595" s="441"/>
      <c r="Z595" s="441"/>
      <c r="AA595" s="441"/>
      <c r="AB595" s="441"/>
      <c r="AC595" s="441"/>
      <c r="AD595" s="440"/>
      <c r="AE595" s="441"/>
      <c r="AF595" s="441"/>
      <c r="AG595" s="441"/>
      <c r="AH595" s="441"/>
      <c r="AI595" s="441"/>
      <c r="AJ595" s="441"/>
      <c r="AK595" s="450"/>
      <c r="AL595" s="440"/>
      <c r="AM595" s="441"/>
      <c r="AN595" s="441"/>
      <c r="AO595" s="441"/>
      <c r="AP595" s="441"/>
      <c r="AQ595" s="441"/>
      <c r="AR595" s="450"/>
      <c r="AS595" s="485"/>
      <c r="AT595" s="486"/>
      <c r="AU595" s="486"/>
      <c r="AV595" s="486"/>
      <c r="AW595" s="486"/>
      <c r="AX595" s="486"/>
      <c r="AY595" s="487"/>
      <c r="AZ595" s="462"/>
      <c r="BA595" s="463"/>
      <c r="BB595" s="61">
        <v>3</v>
      </c>
      <c r="BC595" s="418"/>
      <c r="BD595" s="419"/>
      <c r="BE595" s="419"/>
      <c r="BF595" s="420"/>
      <c r="BG595" s="421"/>
      <c r="BH595" s="422"/>
      <c r="BI595" s="195"/>
      <c r="BJ595" s="423"/>
      <c r="BK595" s="424"/>
      <c r="BL595" s="424"/>
      <c r="BM595" s="424"/>
      <c r="BN595" s="424"/>
      <c r="BO595" s="425"/>
      <c r="BP595" s="423"/>
      <c r="BQ595" s="424"/>
      <c r="BR595" s="424"/>
      <c r="BS595" s="424"/>
      <c r="BT595" s="424"/>
      <c r="BU595" s="425"/>
      <c r="BV595" s="423"/>
      <c r="BW595" s="424"/>
      <c r="BX595" s="424"/>
      <c r="BY595" s="424"/>
      <c r="BZ595" s="424"/>
      <c r="CA595" s="425"/>
      <c r="CB595" s="418"/>
      <c r="CC595" s="419"/>
      <c r="CD595" s="419"/>
      <c r="CE595" s="420"/>
      <c r="CF595" s="412"/>
      <c r="CG595" s="413"/>
      <c r="CH595" s="413"/>
      <c r="CI595" s="413"/>
      <c r="CJ595" s="414"/>
      <c r="CK595" s="412"/>
      <c r="CL595" s="413"/>
      <c r="CM595" s="413"/>
      <c r="CN595" s="413"/>
      <c r="CO595" s="414"/>
      <c r="CP595" s="412"/>
      <c r="CQ595" s="413"/>
      <c r="CR595" s="413"/>
      <c r="CS595" s="413"/>
      <c r="CT595" s="414"/>
      <c r="CU595" s="415"/>
      <c r="CV595" s="416"/>
      <c r="CW595" s="416"/>
      <c r="CX595" s="416"/>
      <c r="CY595" s="417"/>
    </row>
    <row r="596" spans="1:103" ht="16.5">
      <c r="A596" s="435"/>
      <c r="B596" s="36"/>
      <c r="C596" s="199" t="str">
        <f t="shared" ca="1" si="11"/>
        <v/>
      </c>
      <c r="D596" s="479"/>
      <c r="E596" s="480"/>
      <c r="F596" s="480"/>
      <c r="G596" s="480"/>
      <c r="H596" s="480"/>
      <c r="I596" s="480"/>
      <c r="J596" s="480"/>
      <c r="K596" s="440"/>
      <c r="L596" s="441"/>
      <c r="M596" s="441"/>
      <c r="N596" s="441"/>
      <c r="O596" s="441"/>
      <c r="P596" s="441"/>
      <c r="Q596" s="441"/>
      <c r="R596" s="444"/>
      <c r="S596" s="445"/>
      <c r="T596" s="444"/>
      <c r="U596" s="445"/>
      <c r="V596" s="440"/>
      <c r="W596" s="441"/>
      <c r="X596" s="441"/>
      <c r="Y596" s="441"/>
      <c r="Z596" s="441"/>
      <c r="AA596" s="441"/>
      <c r="AB596" s="441"/>
      <c r="AC596" s="441"/>
      <c r="AD596" s="440"/>
      <c r="AE596" s="441"/>
      <c r="AF596" s="441"/>
      <c r="AG596" s="441"/>
      <c r="AH596" s="441"/>
      <c r="AI596" s="441"/>
      <c r="AJ596" s="441"/>
      <c r="AK596" s="450"/>
      <c r="AL596" s="440"/>
      <c r="AM596" s="441"/>
      <c r="AN596" s="441"/>
      <c r="AO596" s="441"/>
      <c r="AP596" s="441"/>
      <c r="AQ596" s="441"/>
      <c r="AR596" s="450"/>
      <c r="AS596" s="485"/>
      <c r="AT596" s="486"/>
      <c r="AU596" s="486"/>
      <c r="AV596" s="486"/>
      <c r="AW596" s="486"/>
      <c r="AX596" s="486"/>
      <c r="AY596" s="487"/>
      <c r="AZ596" s="462"/>
      <c r="BA596" s="463"/>
      <c r="BB596" s="61">
        <v>4</v>
      </c>
      <c r="BC596" s="418"/>
      <c r="BD596" s="419"/>
      <c r="BE596" s="419"/>
      <c r="BF596" s="420"/>
      <c r="BG596" s="421"/>
      <c r="BH596" s="422"/>
      <c r="BI596" s="195"/>
      <c r="BJ596" s="423"/>
      <c r="BK596" s="424"/>
      <c r="BL596" s="424"/>
      <c r="BM596" s="424"/>
      <c r="BN596" s="424"/>
      <c r="BO596" s="425"/>
      <c r="BP596" s="423"/>
      <c r="BQ596" s="424"/>
      <c r="BR596" s="424"/>
      <c r="BS596" s="424"/>
      <c r="BT596" s="424"/>
      <c r="BU596" s="425"/>
      <c r="BV596" s="423"/>
      <c r="BW596" s="424"/>
      <c r="BX596" s="424"/>
      <c r="BY596" s="424"/>
      <c r="BZ596" s="424"/>
      <c r="CA596" s="425"/>
      <c r="CB596" s="418"/>
      <c r="CC596" s="419"/>
      <c r="CD596" s="419"/>
      <c r="CE596" s="420"/>
      <c r="CF596" s="412"/>
      <c r="CG596" s="413"/>
      <c r="CH596" s="413"/>
      <c r="CI596" s="413"/>
      <c r="CJ596" s="414"/>
      <c r="CK596" s="412"/>
      <c r="CL596" s="413"/>
      <c r="CM596" s="413"/>
      <c r="CN596" s="413"/>
      <c r="CO596" s="414"/>
      <c r="CP596" s="412"/>
      <c r="CQ596" s="413"/>
      <c r="CR596" s="413"/>
      <c r="CS596" s="413"/>
      <c r="CT596" s="414"/>
      <c r="CU596" s="415"/>
      <c r="CV596" s="416"/>
      <c r="CW596" s="416"/>
      <c r="CX596" s="416"/>
      <c r="CY596" s="417"/>
    </row>
    <row r="597" spans="1:103" ht="16.5">
      <c r="A597" s="435"/>
      <c r="B597" s="36"/>
      <c r="C597" s="199" t="str">
        <f t="shared" ca="1" si="11"/>
        <v/>
      </c>
      <c r="D597" s="479"/>
      <c r="E597" s="480"/>
      <c r="F597" s="480"/>
      <c r="G597" s="480"/>
      <c r="H597" s="480"/>
      <c r="I597" s="480"/>
      <c r="J597" s="480"/>
      <c r="K597" s="440"/>
      <c r="L597" s="441"/>
      <c r="M597" s="441"/>
      <c r="N597" s="441"/>
      <c r="O597" s="441"/>
      <c r="P597" s="441"/>
      <c r="Q597" s="441"/>
      <c r="R597" s="444"/>
      <c r="S597" s="445"/>
      <c r="T597" s="444"/>
      <c r="U597" s="445"/>
      <c r="V597" s="440"/>
      <c r="W597" s="441"/>
      <c r="X597" s="441"/>
      <c r="Y597" s="441"/>
      <c r="Z597" s="441"/>
      <c r="AA597" s="441"/>
      <c r="AB597" s="441"/>
      <c r="AC597" s="441"/>
      <c r="AD597" s="440"/>
      <c r="AE597" s="441"/>
      <c r="AF597" s="441"/>
      <c r="AG597" s="441"/>
      <c r="AH597" s="441"/>
      <c r="AI597" s="441"/>
      <c r="AJ597" s="441"/>
      <c r="AK597" s="450"/>
      <c r="AL597" s="440"/>
      <c r="AM597" s="441"/>
      <c r="AN597" s="441"/>
      <c r="AO597" s="441"/>
      <c r="AP597" s="441"/>
      <c r="AQ597" s="441"/>
      <c r="AR597" s="450"/>
      <c r="AS597" s="485"/>
      <c r="AT597" s="486"/>
      <c r="AU597" s="486"/>
      <c r="AV597" s="486"/>
      <c r="AW597" s="486"/>
      <c r="AX597" s="486"/>
      <c r="AY597" s="487"/>
      <c r="AZ597" s="462"/>
      <c r="BA597" s="463"/>
      <c r="BB597" s="61">
        <v>5</v>
      </c>
      <c r="BC597" s="418"/>
      <c r="BD597" s="419"/>
      <c r="BE597" s="419"/>
      <c r="BF597" s="420"/>
      <c r="BG597" s="421"/>
      <c r="BH597" s="422"/>
      <c r="BI597" s="195"/>
      <c r="BJ597" s="423"/>
      <c r="BK597" s="424"/>
      <c r="BL597" s="424"/>
      <c r="BM597" s="424"/>
      <c r="BN597" s="424"/>
      <c r="BO597" s="425"/>
      <c r="BP597" s="423"/>
      <c r="BQ597" s="424"/>
      <c r="BR597" s="424"/>
      <c r="BS597" s="424"/>
      <c r="BT597" s="424"/>
      <c r="BU597" s="425"/>
      <c r="BV597" s="423"/>
      <c r="BW597" s="424"/>
      <c r="BX597" s="424"/>
      <c r="BY597" s="424"/>
      <c r="BZ597" s="424"/>
      <c r="CA597" s="425"/>
      <c r="CB597" s="418"/>
      <c r="CC597" s="419"/>
      <c r="CD597" s="419"/>
      <c r="CE597" s="420"/>
      <c r="CF597" s="412"/>
      <c r="CG597" s="413"/>
      <c r="CH597" s="413"/>
      <c r="CI597" s="413"/>
      <c r="CJ597" s="414"/>
      <c r="CK597" s="412"/>
      <c r="CL597" s="413"/>
      <c r="CM597" s="413"/>
      <c r="CN597" s="413"/>
      <c r="CO597" s="414"/>
      <c r="CP597" s="412"/>
      <c r="CQ597" s="413"/>
      <c r="CR597" s="413"/>
      <c r="CS597" s="413"/>
      <c r="CT597" s="414"/>
      <c r="CU597" s="415"/>
      <c r="CV597" s="416"/>
      <c r="CW597" s="416"/>
      <c r="CX597" s="416"/>
      <c r="CY597" s="417"/>
    </row>
    <row r="598" spans="1:103" ht="16.5">
      <c r="A598" s="436"/>
      <c r="B598" s="37"/>
      <c r="C598" s="200" t="str">
        <f t="shared" ca="1" si="11"/>
        <v/>
      </c>
      <c r="D598" s="481"/>
      <c r="E598" s="482"/>
      <c r="F598" s="482"/>
      <c r="G598" s="482"/>
      <c r="H598" s="482"/>
      <c r="I598" s="482"/>
      <c r="J598" s="482"/>
      <c r="K598" s="409"/>
      <c r="L598" s="410"/>
      <c r="M598" s="410"/>
      <c r="N598" s="410"/>
      <c r="O598" s="410"/>
      <c r="P598" s="410"/>
      <c r="Q598" s="410"/>
      <c r="R598" s="446"/>
      <c r="S598" s="447"/>
      <c r="T598" s="446"/>
      <c r="U598" s="447"/>
      <c r="V598" s="409"/>
      <c r="W598" s="410"/>
      <c r="X598" s="410"/>
      <c r="Y598" s="410"/>
      <c r="Z598" s="410"/>
      <c r="AA598" s="410"/>
      <c r="AB598" s="410"/>
      <c r="AC598" s="410"/>
      <c r="AD598" s="409"/>
      <c r="AE598" s="410"/>
      <c r="AF598" s="410"/>
      <c r="AG598" s="410"/>
      <c r="AH598" s="410"/>
      <c r="AI598" s="410"/>
      <c r="AJ598" s="410"/>
      <c r="AK598" s="411"/>
      <c r="AL598" s="409"/>
      <c r="AM598" s="410"/>
      <c r="AN598" s="410"/>
      <c r="AO598" s="410"/>
      <c r="AP598" s="410"/>
      <c r="AQ598" s="410"/>
      <c r="AR598" s="411"/>
      <c r="AS598" s="488"/>
      <c r="AT598" s="489"/>
      <c r="AU598" s="489"/>
      <c r="AV598" s="489"/>
      <c r="AW598" s="489"/>
      <c r="AX598" s="489"/>
      <c r="AY598" s="490"/>
      <c r="AZ598" s="464"/>
      <c r="BA598" s="465"/>
      <c r="BB598" s="62">
        <v>6</v>
      </c>
      <c r="BC598" s="426"/>
      <c r="BD598" s="427"/>
      <c r="BE598" s="427"/>
      <c r="BF598" s="428"/>
      <c r="BG598" s="429"/>
      <c r="BH598" s="430"/>
      <c r="BI598" s="196"/>
      <c r="BJ598" s="474"/>
      <c r="BK598" s="475"/>
      <c r="BL598" s="475"/>
      <c r="BM598" s="475"/>
      <c r="BN598" s="475"/>
      <c r="BO598" s="476"/>
      <c r="BP598" s="474"/>
      <c r="BQ598" s="475"/>
      <c r="BR598" s="475"/>
      <c r="BS598" s="475"/>
      <c r="BT598" s="475"/>
      <c r="BU598" s="476"/>
      <c r="BV598" s="474"/>
      <c r="BW598" s="475"/>
      <c r="BX598" s="475"/>
      <c r="BY598" s="475"/>
      <c r="BZ598" s="475"/>
      <c r="CA598" s="476"/>
      <c r="CB598" s="426"/>
      <c r="CC598" s="427"/>
      <c r="CD598" s="427"/>
      <c r="CE598" s="428"/>
      <c r="CF598" s="412"/>
      <c r="CG598" s="413"/>
      <c r="CH598" s="413"/>
      <c r="CI598" s="413"/>
      <c r="CJ598" s="414"/>
      <c r="CK598" s="412"/>
      <c r="CL598" s="413"/>
      <c r="CM598" s="413"/>
      <c r="CN598" s="413"/>
      <c r="CO598" s="414"/>
      <c r="CP598" s="412"/>
      <c r="CQ598" s="413"/>
      <c r="CR598" s="413"/>
      <c r="CS598" s="413"/>
      <c r="CT598" s="414"/>
      <c r="CU598" s="415"/>
      <c r="CV598" s="416"/>
      <c r="CW598" s="416"/>
      <c r="CX598" s="416"/>
      <c r="CY598" s="417"/>
    </row>
    <row r="599" spans="1:103" ht="16.5">
      <c r="A599" s="434">
        <v>99</v>
      </c>
      <c r="B599" s="36"/>
      <c r="C599" s="198" t="str">
        <f t="shared" ca="1" si="11"/>
        <v/>
      </c>
      <c r="D599" s="477" t="s">
        <v>454</v>
      </c>
      <c r="E599" s="478"/>
      <c r="F599" s="478"/>
      <c r="G599" s="478"/>
      <c r="H599" s="478"/>
      <c r="I599" s="478"/>
      <c r="J599" s="478"/>
      <c r="K599" s="438" t="s">
        <v>455</v>
      </c>
      <c r="L599" s="439"/>
      <c r="M599" s="439"/>
      <c r="N599" s="439"/>
      <c r="O599" s="439"/>
      <c r="P599" s="439"/>
      <c r="Q599" s="439"/>
      <c r="R599" s="442" t="s">
        <v>186</v>
      </c>
      <c r="S599" s="443"/>
      <c r="T599" s="442"/>
      <c r="U599" s="443"/>
      <c r="V599" s="438"/>
      <c r="W599" s="439"/>
      <c r="X599" s="439"/>
      <c r="Y599" s="439"/>
      <c r="Z599" s="439"/>
      <c r="AA599" s="439"/>
      <c r="AB599" s="439"/>
      <c r="AC599" s="439"/>
      <c r="AD599" s="438"/>
      <c r="AE599" s="439"/>
      <c r="AF599" s="439"/>
      <c r="AG599" s="439"/>
      <c r="AH599" s="439"/>
      <c r="AI599" s="439"/>
      <c r="AJ599" s="439"/>
      <c r="AK599" s="449"/>
      <c r="AL599" s="438"/>
      <c r="AM599" s="439"/>
      <c r="AN599" s="439"/>
      <c r="AO599" s="439"/>
      <c r="AP599" s="439"/>
      <c r="AQ599" s="439"/>
      <c r="AR599" s="449"/>
      <c r="AS599" s="500"/>
      <c r="AT599" s="483"/>
      <c r="AU599" s="483"/>
      <c r="AV599" s="483"/>
      <c r="AW599" s="483"/>
      <c r="AX599" s="483"/>
      <c r="AY599" s="484"/>
      <c r="AZ599" s="460"/>
      <c r="BA599" s="461"/>
      <c r="BB599" s="60">
        <v>1</v>
      </c>
      <c r="BC599" s="466"/>
      <c r="BD599" s="467"/>
      <c r="BE599" s="467"/>
      <c r="BF599" s="468"/>
      <c r="BG599" s="469"/>
      <c r="BH599" s="470"/>
      <c r="BI599" s="194"/>
      <c r="BJ599" s="471"/>
      <c r="BK599" s="472"/>
      <c r="BL599" s="472"/>
      <c r="BM599" s="472"/>
      <c r="BN599" s="472"/>
      <c r="BO599" s="473"/>
      <c r="BP599" s="471"/>
      <c r="BQ599" s="472"/>
      <c r="BR599" s="472"/>
      <c r="BS599" s="472"/>
      <c r="BT599" s="472"/>
      <c r="BU599" s="473"/>
      <c r="BV599" s="471"/>
      <c r="BW599" s="472"/>
      <c r="BX599" s="472"/>
      <c r="BY599" s="472"/>
      <c r="BZ599" s="472"/>
      <c r="CA599" s="473"/>
      <c r="CB599" s="466"/>
      <c r="CC599" s="467"/>
      <c r="CD599" s="467"/>
      <c r="CE599" s="468"/>
      <c r="CF599" s="409"/>
      <c r="CG599" s="410"/>
      <c r="CH599" s="410"/>
      <c r="CI599" s="410"/>
      <c r="CJ599" s="411"/>
      <c r="CK599" s="409"/>
      <c r="CL599" s="410"/>
      <c r="CM599" s="410"/>
      <c r="CN599" s="410"/>
      <c r="CO599" s="411"/>
      <c r="CP599" s="409"/>
      <c r="CQ599" s="410"/>
      <c r="CR599" s="410"/>
      <c r="CS599" s="410"/>
      <c r="CT599" s="411"/>
      <c r="CU599" s="415"/>
      <c r="CV599" s="416"/>
      <c r="CW599" s="416"/>
      <c r="CX599" s="416"/>
      <c r="CY599" s="417"/>
    </row>
    <row r="600" spans="1:103" ht="16.5">
      <c r="A600" s="435"/>
      <c r="B600" s="36"/>
      <c r="C600" s="199" t="str">
        <f t="shared" ca="1" si="11"/>
        <v/>
      </c>
      <c r="D600" s="479"/>
      <c r="E600" s="480"/>
      <c r="F600" s="480"/>
      <c r="G600" s="480"/>
      <c r="H600" s="480"/>
      <c r="I600" s="480"/>
      <c r="J600" s="480"/>
      <c r="K600" s="440"/>
      <c r="L600" s="441"/>
      <c r="M600" s="441"/>
      <c r="N600" s="441"/>
      <c r="O600" s="441"/>
      <c r="P600" s="441"/>
      <c r="Q600" s="441"/>
      <c r="R600" s="444"/>
      <c r="S600" s="445"/>
      <c r="T600" s="444"/>
      <c r="U600" s="445"/>
      <c r="V600" s="440"/>
      <c r="W600" s="441"/>
      <c r="X600" s="441"/>
      <c r="Y600" s="441"/>
      <c r="Z600" s="441"/>
      <c r="AA600" s="441"/>
      <c r="AB600" s="441"/>
      <c r="AC600" s="441"/>
      <c r="AD600" s="440"/>
      <c r="AE600" s="441"/>
      <c r="AF600" s="441"/>
      <c r="AG600" s="441"/>
      <c r="AH600" s="441"/>
      <c r="AI600" s="441"/>
      <c r="AJ600" s="441"/>
      <c r="AK600" s="450"/>
      <c r="AL600" s="440"/>
      <c r="AM600" s="441"/>
      <c r="AN600" s="441"/>
      <c r="AO600" s="441"/>
      <c r="AP600" s="441"/>
      <c r="AQ600" s="441"/>
      <c r="AR600" s="450"/>
      <c r="AS600" s="485"/>
      <c r="AT600" s="486"/>
      <c r="AU600" s="486"/>
      <c r="AV600" s="486"/>
      <c r="AW600" s="486"/>
      <c r="AX600" s="486"/>
      <c r="AY600" s="487"/>
      <c r="AZ600" s="462"/>
      <c r="BA600" s="463"/>
      <c r="BB600" s="61">
        <v>2</v>
      </c>
      <c r="BC600" s="418"/>
      <c r="BD600" s="419"/>
      <c r="BE600" s="419"/>
      <c r="BF600" s="420"/>
      <c r="BG600" s="421"/>
      <c r="BH600" s="422"/>
      <c r="BI600" s="195"/>
      <c r="BJ600" s="423"/>
      <c r="BK600" s="424"/>
      <c r="BL600" s="424"/>
      <c r="BM600" s="424"/>
      <c r="BN600" s="424"/>
      <c r="BO600" s="425"/>
      <c r="BP600" s="423"/>
      <c r="BQ600" s="424"/>
      <c r="BR600" s="424"/>
      <c r="BS600" s="424"/>
      <c r="BT600" s="424"/>
      <c r="BU600" s="425"/>
      <c r="BV600" s="423"/>
      <c r="BW600" s="424"/>
      <c r="BX600" s="424"/>
      <c r="BY600" s="424"/>
      <c r="BZ600" s="424"/>
      <c r="CA600" s="425"/>
      <c r="CB600" s="418"/>
      <c r="CC600" s="419"/>
      <c r="CD600" s="419"/>
      <c r="CE600" s="420"/>
      <c r="CF600" s="412"/>
      <c r="CG600" s="413"/>
      <c r="CH600" s="413"/>
      <c r="CI600" s="413"/>
      <c r="CJ600" s="414"/>
      <c r="CK600" s="412"/>
      <c r="CL600" s="413"/>
      <c r="CM600" s="413"/>
      <c r="CN600" s="413"/>
      <c r="CO600" s="414"/>
      <c r="CP600" s="412"/>
      <c r="CQ600" s="413"/>
      <c r="CR600" s="413"/>
      <c r="CS600" s="413"/>
      <c r="CT600" s="414"/>
      <c r="CU600" s="415"/>
      <c r="CV600" s="416"/>
      <c r="CW600" s="416"/>
      <c r="CX600" s="416"/>
      <c r="CY600" s="417"/>
    </row>
    <row r="601" spans="1:103" ht="16.5">
      <c r="A601" s="435"/>
      <c r="B601" s="36"/>
      <c r="C601" s="199" t="str">
        <f t="shared" ca="1" si="11"/>
        <v/>
      </c>
      <c r="D601" s="479"/>
      <c r="E601" s="480"/>
      <c r="F601" s="480"/>
      <c r="G601" s="480"/>
      <c r="H601" s="480"/>
      <c r="I601" s="480"/>
      <c r="J601" s="480"/>
      <c r="K601" s="440"/>
      <c r="L601" s="441"/>
      <c r="M601" s="441"/>
      <c r="N601" s="441"/>
      <c r="O601" s="441"/>
      <c r="P601" s="441"/>
      <c r="Q601" s="441"/>
      <c r="R601" s="444"/>
      <c r="S601" s="445"/>
      <c r="T601" s="444"/>
      <c r="U601" s="445"/>
      <c r="V601" s="440"/>
      <c r="W601" s="441"/>
      <c r="X601" s="441"/>
      <c r="Y601" s="441"/>
      <c r="Z601" s="441"/>
      <c r="AA601" s="441"/>
      <c r="AB601" s="441"/>
      <c r="AC601" s="441"/>
      <c r="AD601" s="440"/>
      <c r="AE601" s="441"/>
      <c r="AF601" s="441"/>
      <c r="AG601" s="441"/>
      <c r="AH601" s="441"/>
      <c r="AI601" s="441"/>
      <c r="AJ601" s="441"/>
      <c r="AK601" s="450"/>
      <c r="AL601" s="440"/>
      <c r="AM601" s="441"/>
      <c r="AN601" s="441"/>
      <c r="AO601" s="441"/>
      <c r="AP601" s="441"/>
      <c r="AQ601" s="441"/>
      <c r="AR601" s="450"/>
      <c r="AS601" s="485"/>
      <c r="AT601" s="486"/>
      <c r="AU601" s="486"/>
      <c r="AV601" s="486"/>
      <c r="AW601" s="486"/>
      <c r="AX601" s="486"/>
      <c r="AY601" s="487"/>
      <c r="AZ601" s="462"/>
      <c r="BA601" s="463"/>
      <c r="BB601" s="61">
        <v>3</v>
      </c>
      <c r="BC601" s="418"/>
      <c r="BD601" s="419"/>
      <c r="BE601" s="419"/>
      <c r="BF601" s="420"/>
      <c r="BG601" s="421"/>
      <c r="BH601" s="422"/>
      <c r="BI601" s="195"/>
      <c r="BJ601" s="423"/>
      <c r="BK601" s="424"/>
      <c r="BL601" s="424"/>
      <c r="BM601" s="424"/>
      <c r="BN601" s="424"/>
      <c r="BO601" s="425"/>
      <c r="BP601" s="423"/>
      <c r="BQ601" s="424"/>
      <c r="BR601" s="424"/>
      <c r="BS601" s="424"/>
      <c r="BT601" s="424"/>
      <c r="BU601" s="425"/>
      <c r="BV601" s="423"/>
      <c r="BW601" s="424"/>
      <c r="BX601" s="424"/>
      <c r="BY601" s="424"/>
      <c r="BZ601" s="424"/>
      <c r="CA601" s="425"/>
      <c r="CB601" s="418"/>
      <c r="CC601" s="419"/>
      <c r="CD601" s="419"/>
      <c r="CE601" s="420"/>
      <c r="CF601" s="412"/>
      <c r="CG601" s="413"/>
      <c r="CH601" s="413"/>
      <c r="CI601" s="413"/>
      <c r="CJ601" s="414"/>
      <c r="CK601" s="412"/>
      <c r="CL601" s="413"/>
      <c r="CM601" s="413"/>
      <c r="CN601" s="413"/>
      <c r="CO601" s="414"/>
      <c r="CP601" s="412"/>
      <c r="CQ601" s="413"/>
      <c r="CR601" s="413"/>
      <c r="CS601" s="413"/>
      <c r="CT601" s="414"/>
      <c r="CU601" s="415"/>
      <c r="CV601" s="416"/>
      <c r="CW601" s="416"/>
      <c r="CX601" s="416"/>
      <c r="CY601" s="417"/>
    </row>
    <row r="602" spans="1:103" ht="16.5">
      <c r="A602" s="435"/>
      <c r="B602" s="36"/>
      <c r="C602" s="199" t="str">
        <f t="shared" ca="1" si="11"/>
        <v/>
      </c>
      <c r="D602" s="479"/>
      <c r="E602" s="480"/>
      <c r="F602" s="480"/>
      <c r="G602" s="480"/>
      <c r="H602" s="480"/>
      <c r="I602" s="480"/>
      <c r="J602" s="480"/>
      <c r="K602" s="440"/>
      <c r="L602" s="441"/>
      <c r="M602" s="441"/>
      <c r="N602" s="441"/>
      <c r="O602" s="441"/>
      <c r="P602" s="441"/>
      <c r="Q602" s="441"/>
      <c r="R602" s="444"/>
      <c r="S602" s="445"/>
      <c r="T602" s="444"/>
      <c r="U602" s="445"/>
      <c r="V602" s="440"/>
      <c r="W602" s="441"/>
      <c r="X602" s="441"/>
      <c r="Y602" s="441"/>
      <c r="Z602" s="441"/>
      <c r="AA602" s="441"/>
      <c r="AB602" s="441"/>
      <c r="AC602" s="441"/>
      <c r="AD602" s="440"/>
      <c r="AE602" s="441"/>
      <c r="AF602" s="441"/>
      <c r="AG602" s="441"/>
      <c r="AH602" s="441"/>
      <c r="AI602" s="441"/>
      <c r="AJ602" s="441"/>
      <c r="AK602" s="450"/>
      <c r="AL602" s="440"/>
      <c r="AM602" s="441"/>
      <c r="AN602" s="441"/>
      <c r="AO602" s="441"/>
      <c r="AP602" s="441"/>
      <c r="AQ602" s="441"/>
      <c r="AR602" s="450"/>
      <c r="AS602" s="485"/>
      <c r="AT602" s="486"/>
      <c r="AU602" s="486"/>
      <c r="AV602" s="486"/>
      <c r="AW602" s="486"/>
      <c r="AX602" s="486"/>
      <c r="AY602" s="487"/>
      <c r="AZ602" s="462"/>
      <c r="BA602" s="463"/>
      <c r="BB602" s="61">
        <v>4</v>
      </c>
      <c r="BC602" s="418"/>
      <c r="BD602" s="419"/>
      <c r="BE602" s="419"/>
      <c r="BF602" s="420"/>
      <c r="BG602" s="421"/>
      <c r="BH602" s="422"/>
      <c r="BI602" s="195"/>
      <c r="BJ602" s="423"/>
      <c r="BK602" s="424"/>
      <c r="BL602" s="424"/>
      <c r="BM602" s="424"/>
      <c r="BN602" s="424"/>
      <c r="BO602" s="425"/>
      <c r="BP602" s="423"/>
      <c r="BQ602" s="424"/>
      <c r="BR602" s="424"/>
      <c r="BS602" s="424"/>
      <c r="BT602" s="424"/>
      <c r="BU602" s="425"/>
      <c r="BV602" s="423"/>
      <c r="BW602" s="424"/>
      <c r="BX602" s="424"/>
      <c r="BY602" s="424"/>
      <c r="BZ602" s="424"/>
      <c r="CA602" s="425"/>
      <c r="CB602" s="418"/>
      <c r="CC602" s="419"/>
      <c r="CD602" s="419"/>
      <c r="CE602" s="420"/>
      <c r="CF602" s="412"/>
      <c r="CG602" s="413"/>
      <c r="CH602" s="413"/>
      <c r="CI602" s="413"/>
      <c r="CJ602" s="414"/>
      <c r="CK602" s="412"/>
      <c r="CL602" s="413"/>
      <c r="CM602" s="413"/>
      <c r="CN602" s="413"/>
      <c r="CO602" s="414"/>
      <c r="CP602" s="412"/>
      <c r="CQ602" s="413"/>
      <c r="CR602" s="413"/>
      <c r="CS602" s="413"/>
      <c r="CT602" s="414"/>
      <c r="CU602" s="415"/>
      <c r="CV602" s="416"/>
      <c r="CW602" s="416"/>
      <c r="CX602" s="416"/>
      <c r="CY602" s="417"/>
    </row>
    <row r="603" spans="1:103" ht="16.5">
      <c r="A603" s="435"/>
      <c r="B603" s="36"/>
      <c r="C603" s="199" t="str">
        <f t="shared" ca="1" si="11"/>
        <v/>
      </c>
      <c r="D603" s="479"/>
      <c r="E603" s="480"/>
      <c r="F603" s="480"/>
      <c r="G603" s="480"/>
      <c r="H603" s="480"/>
      <c r="I603" s="480"/>
      <c r="J603" s="480"/>
      <c r="K603" s="440"/>
      <c r="L603" s="441"/>
      <c r="M603" s="441"/>
      <c r="N603" s="441"/>
      <c r="O603" s="441"/>
      <c r="P603" s="441"/>
      <c r="Q603" s="441"/>
      <c r="R603" s="444"/>
      <c r="S603" s="445"/>
      <c r="T603" s="444"/>
      <c r="U603" s="445"/>
      <c r="V603" s="440"/>
      <c r="W603" s="441"/>
      <c r="X603" s="441"/>
      <c r="Y603" s="441"/>
      <c r="Z603" s="441"/>
      <c r="AA603" s="441"/>
      <c r="AB603" s="441"/>
      <c r="AC603" s="441"/>
      <c r="AD603" s="440"/>
      <c r="AE603" s="441"/>
      <c r="AF603" s="441"/>
      <c r="AG603" s="441"/>
      <c r="AH603" s="441"/>
      <c r="AI603" s="441"/>
      <c r="AJ603" s="441"/>
      <c r="AK603" s="450"/>
      <c r="AL603" s="440"/>
      <c r="AM603" s="441"/>
      <c r="AN603" s="441"/>
      <c r="AO603" s="441"/>
      <c r="AP603" s="441"/>
      <c r="AQ603" s="441"/>
      <c r="AR603" s="450"/>
      <c r="AS603" s="485"/>
      <c r="AT603" s="486"/>
      <c r="AU603" s="486"/>
      <c r="AV603" s="486"/>
      <c r="AW603" s="486"/>
      <c r="AX603" s="486"/>
      <c r="AY603" s="487"/>
      <c r="AZ603" s="462"/>
      <c r="BA603" s="463"/>
      <c r="BB603" s="61">
        <v>5</v>
      </c>
      <c r="BC603" s="418"/>
      <c r="BD603" s="419"/>
      <c r="BE603" s="419"/>
      <c r="BF603" s="420"/>
      <c r="BG603" s="421"/>
      <c r="BH603" s="422"/>
      <c r="BI603" s="195"/>
      <c r="BJ603" s="423"/>
      <c r="BK603" s="424"/>
      <c r="BL603" s="424"/>
      <c r="BM603" s="424"/>
      <c r="BN603" s="424"/>
      <c r="BO603" s="425"/>
      <c r="BP603" s="423"/>
      <c r="BQ603" s="424"/>
      <c r="BR603" s="424"/>
      <c r="BS603" s="424"/>
      <c r="BT603" s="424"/>
      <c r="BU603" s="425"/>
      <c r="BV603" s="423"/>
      <c r="BW603" s="424"/>
      <c r="BX603" s="424"/>
      <c r="BY603" s="424"/>
      <c r="BZ603" s="424"/>
      <c r="CA603" s="425"/>
      <c r="CB603" s="418"/>
      <c r="CC603" s="419"/>
      <c r="CD603" s="419"/>
      <c r="CE603" s="420"/>
      <c r="CF603" s="412"/>
      <c r="CG603" s="413"/>
      <c r="CH603" s="413"/>
      <c r="CI603" s="413"/>
      <c r="CJ603" s="414"/>
      <c r="CK603" s="412"/>
      <c r="CL603" s="413"/>
      <c r="CM603" s="413"/>
      <c r="CN603" s="413"/>
      <c r="CO603" s="414"/>
      <c r="CP603" s="412"/>
      <c r="CQ603" s="413"/>
      <c r="CR603" s="413"/>
      <c r="CS603" s="413"/>
      <c r="CT603" s="414"/>
      <c r="CU603" s="415"/>
      <c r="CV603" s="416"/>
      <c r="CW603" s="416"/>
      <c r="CX603" s="416"/>
      <c r="CY603" s="417"/>
    </row>
    <row r="604" spans="1:103" ht="16.5">
      <c r="A604" s="436"/>
      <c r="B604" s="37"/>
      <c r="C604" s="200" t="str">
        <f t="shared" ca="1" si="11"/>
        <v/>
      </c>
      <c r="D604" s="481"/>
      <c r="E604" s="482"/>
      <c r="F604" s="482"/>
      <c r="G604" s="482"/>
      <c r="H604" s="482"/>
      <c r="I604" s="482"/>
      <c r="J604" s="482"/>
      <c r="K604" s="409"/>
      <c r="L604" s="410"/>
      <c r="M604" s="410"/>
      <c r="N604" s="410"/>
      <c r="O604" s="410"/>
      <c r="P604" s="410"/>
      <c r="Q604" s="410"/>
      <c r="R604" s="446"/>
      <c r="S604" s="447"/>
      <c r="T604" s="446"/>
      <c r="U604" s="447"/>
      <c r="V604" s="409"/>
      <c r="W604" s="410"/>
      <c r="X604" s="410"/>
      <c r="Y604" s="410"/>
      <c r="Z604" s="410"/>
      <c r="AA604" s="410"/>
      <c r="AB604" s="410"/>
      <c r="AC604" s="410"/>
      <c r="AD604" s="409"/>
      <c r="AE604" s="410"/>
      <c r="AF604" s="410"/>
      <c r="AG604" s="410"/>
      <c r="AH604" s="410"/>
      <c r="AI604" s="410"/>
      <c r="AJ604" s="410"/>
      <c r="AK604" s="411"/>
      <c r="AL604" s="409"/>
      <c r="AM604" s="410"/>
      <c r="AN604" s="410"/>
      <c r="AO604" s="410"/>
      <c r="AP604" s="410"/>
      <c r="AQ604" s="410"/>
      <c r="AR604" s="411"/>
      <c r="AS604" s="488"/>
      <c r="AT604" s="489"/>
      <c r="AU604" s="489"/>
      <c r="AV604" s="489"/>
      <c r="AW604" s="489"/>
      <c r="AX604" s="489"/>
      <c r="AY604" s="490"/>
      <c r="AZ604" s="464"/>
      <c r="BA604" s="465"/>
      <c r="BB604" s="62">
        <v>6</v>
      </c>
      <c r="BC604" s="426"/>
      <c r="BD604" s="427"/>
      <c r="BE604" s="427"/>
      <c r="BF604" s="428"/>
      <c r="BG604" s="429"/>
      <c r="BH604" s="430"/>
      <c r="BI604" s="196"/>
      <c r="BJ604" s="474"/>
      <c r="BK604" s="475"/>
      <c r="BL604" s="475"/>
      <c r="BM604" s="475"/>
      <c r="BN604" s="475"/>
      <c r="BO604" s="476"/>
      <c r="BP604" s="474"/>
      <c r="BQ604" s="475"/>
      <c r="BR604" s="475"/>
      <c r="BS604" s="475"/>
      <c r="BT604" s="475"/>
      <c r="BU604" s="476"/>
      <c r="BV604" s="474"/>
      <c r="BW604" s="475"/>
      <c r="BX604" s="475"/>
      <c r="BY604" s="475"/>
      <c r="BZ604" s="475"/>
      <c r="CA604" s="476"/>
      <c r="CB604" s="426"/>
      <c r="CC604" s="427"/>
      <c r="CD604" s="427"/>
      <c r="CE604" s="428"/>
      <c r="CF604" s="412"/>
      <c r="CG604" s="413"/>
      <c r="CH604" s="413"/>
      <c r="CI604" s="413"/>
      <c r="CJ604" s="414"/>
      <c r="CK604" s="412"/>
      <c r="CL604" s="413"/>
      <c r="CM604" s="413"/>
      <c r="CN604" s="413"/>
      <c r="CO604" s="414"/>
      <c r="CP604" s="412"/>
      <c r="CQ604" s="413"/>
      <c r="CR604" s="413"/>
      <c r="CS604" s="413"/>
      <c r="CT604" s="414"/>
      <c r="CU604" s="415"/>
      <c r="CV604" s="416"/>
      <c r="CW604" s="416"/>
      <c r="CX604" s="416"/>
      <c r="CY604" s="417"/>
    </row>
    <row r="605" spans="1:103" ht="16.5">
      <c r="A605" s="434">
        <v>100</v>
      </c>
      <c r="B605" s="36"/>
      <c r="C605" s="198" t="str">
        <f t="shared" ca="1" si="11"/>
        <v/>
      </c>
      <c r="D605" s="477" t="s">
        <v>456</v>
      </c>
      <c r="E605" s="478"/>
      <c r="F605" s="478"/>
      <c r="G605" s="478"/>
      <c r="H605" s="478"/>
      <c r="I605" s="478"/>
      <c r="J605" s="478"/>
      <c r="K605" s="438" t="s">
        <v>457</v>
      </c>
      <c r="L605" s="439"/>
      <c r="M605" s="439"/>
      <c r="N605" s="439"/>
      <c r="O605" s="439"/>
      <c r="P605" s="439"/>
      <c r="Q605" s="439"/>
      <c r="R605" s="442" t="s">
        <v>186</v>
      </c>
      <c r="S605" s="443"/>
      <c r="T605" s="442"/>
      <c r="U605" s="443"/>
      <c r="V605" s="438"/>
      <c r="W605" s="439"/>
      <c r="X605" s="439"/>
      <c r="Y605" s="439"/>
      <c r="Z605" s="439"/>
      <c r="AA605" s="439"/>
      <c r="AB605" s="439"/>
      <c r="AC605" s="439"/>
      <c r="AD605" s="438"/>
      <c r="AE605" s="439"/>
      <c r="AF605" s="439"/>
      <c r="AG605" s="439"/>
      <c r="AH605" s="439"/>
      <c r="AI605" s="439"/>
      <c r="AJ605" s="439"/>
      <c r="AK605" s="449"/>
      <c r="AL605" s="438"/>
      <c r="AM605" s="439"/>
      <c r="AN605" s="439"/>
      <c r="AO605" s="439"/>
      <c r="AP605" s="439"/>
      <c r="AQ605" s="439"/>
      <c r="AR605" s="449"/>
      <c r="AS605" s="500"/>
      <c r="AT605" s="483"/>
      <c r="AU605" s="483"/>
      <c r="AV605" s="483"/>
      <c r="AW605" s="483"/>
      <c r="AX605" s="483"/>
      <c r="AY605" s="484"/>
      <c r="AZ605" s="460"/>
      <c r="BA605" s="461"/>
      <c r="BB605" s="60">
        <v>1</v>
      </c>
      <c r="BC605" s="466"/>
      <c r="BD605" s="467"/>
      <c r="BE605" s="467"/>
      <c r="BF605" s="468"/>
      <c r="BG605" s="469"/>
      <c r="BH605" s="470"/>
      <c r="BI605" s="194"/>
      <c r="BJ605" s="471"/>
      <c r="BK605" s="472"/>
      <c r="BL605" s="472"/>
      <c r="BM605" s="472"/>
      <c r="BN605" s="472"/>
      <c r="BO605" s="473"/>
      <c r="BP605" s="471"/>
      <c r="BQ605" s="472"/>
      <c r="BR605" s="472"/>
      <c r="BS605" s="472"/>
      <c r="BT605" s="472"/>
      <c r="BU605" s="473"/>
      <c r="BV605" s="471"/>
      <c r="BW605" s="472"/>
      <c r="BX605" s="472"/>
      <c r="BY605" s="472"/>
      <c r="BZ605" s="472"/>
      <c r="CA605" s="473"/>
      <c r="CB605" s="466"/>
      <c r="CC605" s="467"/>
      <c r="CD605" s="467"/>
      <c r="CE605" s="468"/>
      <c r="CF605" s="409"/>
      <c r="CG605" s="410"/>
      <c r="CH605" s="410"/>
      <c r="CI605" s="410"/>
      <c r="CJ605" s="411"/>
      <c r="CK605" s="409"/>
      <c r="CL605" s="410"/>
      <c r="CM605" s="410"/>
      <c r="CN605" s="410"/>
      <c r="CO605" s="411"/>
      <c r="CP605" s="409"/>
      <c r="CQ605" s="410"/>
      <c r="CR605" s="410"/>
      <c r="CS605" s="410"/>
      <c r="CT605" s="411"/>
      <c r="CU605" s="415"/>
      <c r="CV605" s="416"/>
      <c r="CW605" s="416"/>
      <c r="CX605" s="416"/>
      <c r="CY605" s="417"/>
    </row>
    <row r="606" spans="1:103" ht="16.5">
      <c r="A606" s="435"/>
      <c r="B606" s="36"/>
      <c r="C606" s="199" t="str">
        <f t="shared" ca="1" si="11"/>
        <v/>
      </c>
      <c r="D606" s="479"/>
      <c r="E606" s="480"/>
      <c r="F606" s="480"/>
      <c r="G606" s="480"/>
      <c r="H606" s="480"/>
      <c r="I606" s="480"/>
      <c r="J606" s="480"/>
      <c r="K606" s="440"/>
      <c r="L606" s="441"/>
      <c r="M606" s="441"/>
      <c r="N606" s="441"/>
      <c r="O606" s="441"/>
      <c r="P606" s="441"/>
      <c r="Q606" s="441"/>
      <c r="R606" s="444"/>
      <c r="S606" s="445"/>
      <c r="T606" s="444"/>
      <c r="U606" s="445"/>
      <c r="V606" s="440"/>
      <c r="W606" s="441"/>
      <c r="X606" s="441"/>
      <c r="Y606" s="441"/>
      <c r="Z606" s="441"/>
      <c r="AA606" s="441"/>
      <c r="AB606" s="441"/>
      <c r="AC606" s="441"/>
      <c r="AD606" s="440"/>
      <c r="AE606" s="441"/>
      <c r="AF606" s="441"/>
      <c r="AG606" s="441"/>
      <c r="AH606" s="441"/>
      <c r="AI606" s="441"/>
      <c r="AJ606" s="441"/>
      <c r="AK606" s="450"/>
      <c r="AL606" s="440"/>
      <c r="AM606" s="441"/>
      <c r="AN606" s="441"/>
      <c r="AO606" s="441"/>
      <c r="AP606" s="441"/>
      <c r="AQ606" s="441"/>
      <c r="AR606" s="450"/>
      <c r="AS606" s="485"/>
      <c r="AT606" s="486"/>
      <c r="AU606" s="486"/>
      <c r="AV606" s="486"/>
      <c r="AW606" s="486"/>
      <c r="AX606" s="486"/>
      <c r="AY606" s="487"/>
      <c r="AZ606" s="462"/>
      <c r="BA606" s="463"/>
      <c r="BB606" s="61">
        <v>2</v>
      </c>
      <c r="BC606" s="418"/>
      <c r="BD606" s="419"/>
      <c r="BE606" s="419"/>
      <c r="BF606" s="420"/>
      <c r="BG606" s="421"/>
      <c r="BH606" s="422"/>
      <c r="BI606" s="195"/>
      <c r="BJ606" s="423"/>
      <c r="BK606" s="424"/>
      <c r="BL606" s="424"/>
      <c r="BM606" s="424"/>
      <c r="BN606" s="424"/>
      <c r="BO606" s="425"/>
      <c r="BP606" s="423"/>
      <c r="BQ606" s="424"/>
      <c r="BR606" s="424"/>
      <c r="BS606" s="424"/>
      <c r="BT606" s="424"/>
      <c r="BU606" s="425"/>
      <c r="BV606" s="423"/>
      <c r="BW606" s="424"/>
      <c r="BX606" s="424"/>
      <c r="BY606" s="424"/>
      <c r="BZ606" s="424"/>
      <c r="CA606" s="425"/>
      <c r="CB606" s="418"/>
      <c r="CC606" s="419"/>
      <c r="CD606" s="419"/>
      <c r="CE606" s="420"/>
      <c r="CF606" s="412"/>
      <c r="CG606" s="413"/>
      <c r="CH606" s="413"/>
      <c r="CI606" s="413"/>
      <c r="CJ606" s="414"/>
      <c r="CK606" s="412"/>
      <c r="CL606" s="413"/>
      <c r="CM606" s="413"/>
      <c r="CN606" s="413"/>
      <c r="CO606" s="414"/>
      <c r="CP606" s="412"/>
      <c r="CQ606" s="413"/>
      <c r="CR606" s="413"/>
      <c r="CS606" s="413"/>
      <c r="CT606" s="414"/>
      <c r="CU606" s="415"/>
      <c r="CV606" s="416"/>
      <c r="CW606" s="416"/>
      <c r="CX606" s="416"/>
      <c r="CY606" s="417"/>
    </row>
    <row r="607" spans="1:103" ht="16.5">
      <c r="A607" s="435"/>
      <c r="B607" s="36"/>
      <c r="C607" s="199" t="str">
        <f t="shared" ca="1" si="11"/>
        <v/>
      </c>
      <c r="D607" s="479"/>
      <c r="E607" s="480"/>
      <c r="F607" s="480"/>
      <c r="G607" s="480"/>
      <c r="H607" s="480"/>
      <c r="I607" s="480"/>
      <c r="J607" s="480"/>
      <c r="K607" s="440"/>
      <c r="L607" s="441"/>
      <c r="M607" s="441"/>
      <c r="N607" s="441"/>
      <c r="O607" s="441"/>
      <c r="P607" s="441"/>
      <c r="Q607" s="441"/>
      <c r="R607" s="444"/>
      <c r="S607" s="445"/>
      <c r="T607" s="444"/>
      <c r="U607" s="445"/>
      <c r="V607" s="440"/>
      <c r="W607" s="441"/>
      <c r="X607" s="441"/>
      <c r="Y607" s="441"/>
      <c r="Z607" s="441"/>
      <c r="AA607" s="441"/>
      <c r="AB607" s="441"/>
      <c r="AC607" s="441"/>
      <c r="AD607" s="440"/>
      <c r="AE607" s="441"/>
      <c r="AF607" s="441"/>
      <c r="AG607" s="441"/>
      <c r="AH607" s="441"/>
      <c r="AI607" s="441"/>
      <c r="AJ607" s="441"/>
      <c r="AK607" s="450"/>
      <c r="AL607" s="440"/>
      <c r="AM607" s="441"/>
      <c r="AN607" s="441"/>
      <c r="AO607" s="441"/>
      <c r="AP607" s="441"/>
      <c r="AQ607" s="441"/>
      <c r="AR607" s="450"/>
      <c r="AS607" s="485"/>
      <c r="AT607" s="486"/>
      <c r="AU607" s="486"/>
      <c r="AV607" s="486"/>
      <c r="AW607" s="486"/>
      <c r="AX607" s="486"/>
      <c r="AY607" s="487"/>
      <c r="AZ607" s="462"/>
      <c r="BA607" s="463"/>
      <c r="BB607" s="61">
        <v>3</v>
      </c>
      <c r="BC607" s="418"/>
      <c r="BD607" s="419"/>
      <c r="BE607" s="419"/>
      <c r="BF607" s="420"/>
      <c r="BG607" s="421"/>
      <c r="BH607" s="422"/>
      <c r="BI607" s="195"/>
      <c r="BJ607" s="423"/>
      <c r="BK607" s="424"/>
      <c r="BL607" s="424"/>
      <c r="BM607" s="424"/>
      <c r="BN607" s="424"/>
      <c r="BO607" s="425"/>
      <c r="BP607" s="423"/>
      <c r="BQ607" s="424"/>
      <c r="BR607" s="424"/>
      <c r="BS607" s="424"/>
      <c r="BT607" s="424"/>
      <c r="BU607" s="425"/>
      <c r="BV607" s="423"/>
      <c r="BW607" s="424"/>
      <c r="BX607" s="424"/>
      <c r="BY607" s="424"/>
      <c r="BZ607" s="424"/>
      <c r="CA607" s="425"/>
      <c r="CB607" s="418"/>
      <c r="CC607" s="419"/>
      <c r="CD607" s="419"/>
      <c r="CE607" s="420"/>
      <c r="CF607" s="412"/>
      <c r="CG607" s="413"/>
      <c r="CH607" s="413"/>
      <c r="CI607" s="413"/>
      <c r="CJ607" s="414"/>
      <c r="CK607" s="412"/>
      <c r="CL607" s="413"/>
      <c r="CM607" s="413"/>
      <c r="CN607" s="413"/>
      <c r="CO607" s="414"/>
      <c r="CP607" s="412"/>
      <c r="CQ607" s="413"/>
      <c r="CR607" s="413"/>
      <c r="CS607" s="413"/>
      <c r="CT607" s="414"/>
      <c r="CU607" s="415"/>
      <c r="CV607" s="416"/>
      <c r="CW607" s="416"/>
      <c r="CX607" s="416"/>
      <c r="CY607" s="417"/>
    </row>
    <row r="608" spans="1:103" ht="16.5">
      <c r="A608" s="435"/>
      <c r="B608" s="36"/>
      <c r="C608" s="199" t="str">
        <f t="shared" ca="1" si="11"/>
        <v/>
      </c>
      <c r="D608" s="479"/>
      <c r="E608" s="480"/>
      <c r="F608" s="480"/>
      <c r="G608" s="480"/>
      <c r="H608" s="480"/>
      <c r="I608" s="480"/>
      <c r="J608" s="480"/>
      <c r="K608" s="440"/>
      <c r="L608" s="441"/>
      <c r="M608" s="441"/>
      <c r="N608" s="441"/>
      <c r="O608" s="441"/>
      <c r="P608" s="441"/>
      <c r="Q608" s="441"/>
      <c r="R608" s="444"/>
      <c r="S608" s="445"/>
      <c r="T608" s="444"/>
      <c r="U608" s="445"/>
      <c r="V608" s="440"/>
      <c r="W608" s="441"/>
      <c r="X608" s="441"/>
      <c r="Y608" s="441"/>
      <c r="Z608" s="441"/>
      <c r="AA608" s="441"/>
      <c r="AB608" s="441"/>
      <c r="AC608" s="441"/>
      <c r="AD608" s="440"/>
      <c r="AE608" s="441"/>
      <c r="AF608" s="441"/>
      <c r="AG608" s="441"/>
      <c r="AH608" s="441"/>
      <c r="AI608" s="441"/>
      <c r="AJ608" s="441"/>
      <c r="AK608" s="450"/>
      <c r="AL608" s="440"/>
      <c r="AM608" s="441"/>
      <c r="AN608" s="441"/>
      <c r="AO608" s="441"/>
      <c r="AP608" s="441"/>
      <c r="AQ608" s="441"/>
      <c r="AR608" s="450"/>
      <c r="AS608" s="485"/>
      <c r="AT608" s="486"/>
      <c r="AU608" s="486"/>
      <c r="AV608" s="486"/>
      <c r="AW608" s="486"/>
      <c r="AX608" s="486"/>
      <c r="AY608" s="487"/>
      <c r="AZ608" s="462"/>
      <c r="BA608" s="463"/>
      <c r="BB608" s="61">
        <v>4</v>
      </c>
      <c r="BC608" s="418"/>
      <c r="BD608" s="419"/>
      <c r="BE608" s="419"/>
      <c r="BF608" s="420"/>
      <c r="BG608" s="421"/>
      <c r="BH608" s="422"/>
      <c r="BI608" s="195"/>
      <c r="BJ608" s="423"/>
      <c r="BK608" s="424"/>
      <c r="BL608" s="424"/>
      <c r="BM608" s="424"/>
      <c r="BN608" s="424"/>
      <c r="BO608" s="425"/>
      <c r="BP608" s="423"/>
      <c r="BQ608" s="424"/>
      <c r="BR608" s="424"/>
      <c r="BS608" s="424"/>
      <c r="BT608" s="424"/>
      <c r="BU608" s="425"/>
      <c r="BV608" s="423"/>
      <c r="BW608" s="424"/>
      <c r="BX608" s="424"/>
      <c r="BY608" s="424"/>
      <c r="BZ608" s="424"/>
      <c r="CA608" s="425"/>
      <c r="CB608" s="418"/>
      <c r="CC608" s="419"/>
      <c r="CD608" s="419"/>
      <c r="CE608" s="420"/>
      <c r="CF608" s="412"/>
      <c r="CG608" s="413"/>
      <c r="CH608" s="413"/>
      <c r="CI608" s="413"/>
      <c r="CJ608" s="414"/>
      <c r="CK608" s="412"/>
      <c r="CL608" s="413"/>
      <c r="CM608" s="413"/>
      <c r="CN608" s="413"/>
      <c r="CO608" s="414"/>
      <c r="CP608" s="412"/>
      <c r="CQ608" s="413"/>
      <c r="CR608" s="413"/>
      <c r="CS608" s="413"/>
      <c r="CT608" s="414"/>
      <c r="CU608" s="415"/>
      <c r="CV608" s="416"/>
      <c r="CW608" s="416"/>
      <c r="CX608" s="416"/>
      <c r="CY608" s="417"/>
    </row>
    <row r="609" spans="1:103" ht="16.5">
      <c r="A609" s="435"/>
      <c r="B609" s="36"/>
      <c r="C609" s="199" t="str">
        <f t="shared" ca="1" si="11"/>
        <v/>
      </c>
      <c r="D609" s="479"/>
      <c r="E609" s="480"/>
      <c r="F609" s="480"/>
      <c r="G609" s="480"/>
      <c r="H609" s="480"/>
      <c r="I609" s="480"/>
      <c r="J609" s="480"/>
      <c r="K609" s="440"/>
      <c r="L609" s="441"/>
      <c r="M609" s="441"/>
      <c r="N609" s="441"/>
      <c r="O609" s="441"/>
      <c r="P609" s="441"/>
      <c r="Q609" s="441"/>
      <c r="R609" s="444"/>
      <c r="S609" s="445"/>
      <c r="T609" s="444"/>
      <c r="U609" s="445"/>
      <c r="V609" s="440"/>
      <c r="W609" s="441"/>
      <c r="X609" s="441"/>
      <c r="Y609" s="441"/>
      <c r="Z609" s="441"/>
      <c r="AA609" s="441"/>
      <c r="AB609" s="441"/>
      <c r="AC609" s="441"/>
      <c r="AD609" s="440"/>
      <c r="AE609" s="441"/>
      <c r="AF609" s="441"/>
      <c r="AG609" s="441"/>
      <c r="AH609" s="441"/>
      <c r="AI609" s="441"/>
      <c r="AJ609" s="441"/>
      <c r="AK609" s="450"/>
      <c r="AL609" s="440"/>
      <c r="AM609" s="441"/>
      <c r="AN609" s="441"/>
      <c r="AO609" s="441"/>
      <c r="AP609" s="441"/>
      <c r="AQ609" s="441"/>
      <c r="AR609" s="450"/>
      <c r="AS609" s="485"/>
      <c r="AT609" s="486"/>
      <c r="AU609" s="486"/>
      <c r="AV609" s="486"/>
      <c r="AW609" s="486"/>
      <c r="AX609" s="486"/>
      <c r="AY609" s="487"/>
      <c r="AZ609" s="462"/>
      <c r="BA609" s="463"/>
      <c r="BB609" s="61">
        <v>5</v>
      </c>
      <c r="BC609" s="418"/>
      <c r="BD609" s="419"/>
      <c r="BE609" s="419"/>
      <c r="BF609" s="420"/>
      <c r="BG609" s="421"/>
      <c r="BH609" s="422"/>
      <c r="BI609" s="195"/>
      <c r="BJ609" s="423"/>
      <c r="BK609" s="424"/>
      <c r="BL609" s="424"/>
      <c r="BM609" s="424"/>
      <c r="BN609" s="424"/>
      <c r="BO609" s="425"/>
      <c r="BP609" s="423"/>
      <c r="BQ609" s="424"/>
      <c r="BR609" s="424"/>
      <c r="BS609" s="424"/>
      <c r="BT609" s="424"/>
      <c r="BU609" s="425"/>
      <c r="BV609" s="423"/>
      <c r="BW609" s="424"/>
      <c r="BX609" s="424"/>
      <c r="BY609" s="424"/>
      <c r="BZ609" s="424"/>
      <c r="CA609" s="425"/>
      <c r="CB609" s="418"/>
      <c r="CC609" s="419"/>
      <c r="CD609" s="419"/>
      <c r="CE609" s="420"/>
      <c r="CF609" s="412"/>
      <c r="CG609" s="413"/>
      <c r="CH609" s="413"/>
      <c r="CI609" s="413"/>
      <c r="CJ609" s="414"/>
      <c r="CK609" s="412"/>
      <c r="CL609" s="413"/>
      <c r="CM609" s="413"/>
      <c r="CN609" s="413"/>
      <c r="CO609" s="414"/>
      <c r="CP609" s="412"/>
      <c r="CQ609" s="413"/>
      <c r="CR609" s="413"/>
      <c r="CS609" s="413"/>
      <c r="CT609" s="414"/>
      <c r="CU609" s="415"/>
      <c r="CV609" s="416"/>
      <c r="CW609" s="416"/>
      <c r="CX609" s="416"/>
      <c r="CY609" s="417"/>
    </row>
    <row r="610" spans="1:103" ht="16.5">
      <c r="A610" s="436"/>
      <c r="B610" s="37"/>
      <c r="C610" s="200" t="str">
        <f t="shared" ca="1" si="11"/>
        <v/>
      </c>
      <c r="D610" s="481"/>
      <c r="E610" s="482"/>
      <c r="F610" s="482"/>
      <c r="G610" s="482"/>
      <c r="H610" s="482"/>
      <c r="I610" s="482"/>
      <c r="J610" s="482"/>
      <c r="K610" s="409"/>
      <c r="L610" s="410"/>
      <c r="M610" s="410"/>
      <c r="N610" s="410"/>
      <c r="O610" s="410"/>
      <c r="P610" s="410"/>
      <c r="Q610" s="410"/>
      <c r="R610" s="446"/>
      <c r="S610" s="447"/>
      <c r="T610" s="446"/>
      <c r="U610" s="447"/>
      <c r="V610" s="409"/>
      <c r="W610" s="410"/>
      <c r="X610" s="410"/>
      <c r="Y610" s="410"/>
      <c r="Z610" s="410"/>
      <c r="AA610" s="410"/>
      <c r="AB610" s="410"/>
      <c r="AC610" s="410"/>
      <c r="AD610" s="409"/>
      <c r="AE610" s="410"/>
      <c r="AF610" s="410"/>
      <c r="AG610" s="410"/>
      <c r="AH610" s="410"/>
      <c r="AI610" s="410"/>
      <c r="AJ610" s="410"/>
      <c r="AK610" s="411"/>
      <c r="AL610" s="409"/>
      <c r="AM610" s="410"/>
      <c r="AN610" s="410"/>
      <c r="AO610" s="410"/>
      <c r="AP610" s="410"/>
      <c r="AQ610" s="410"/>
      <c r="AR610" s="411"/>
      <c r="AS610" s="488"/>
      <c r="AT610" s="489"/>
      <c r="AU610" s="489"/>
      <c r="AV610" s="489"/>
      <c r="AW610" s="489"/>
      <c r="AX610" s="489"/>
      <c r="AY610" s="490"/>
      <c r="AZ610" s="464"/>
      <c r="BA610" s="465"/>
      <c r="BB610" s="62">
        <v>6</v>
      </c>
      <c r="BC610" s="426"/>
      <c r="BD610" s="427"/>
      <c r="BE610" s="427"/>
      <c r="BF610" s="428"/>
      <c r="BG610" s="429"/>
      <c r="BH610" s="430"/>
      <c r="BI610" s="196"/>
      <c r="BJ610" s="474"/>
      <c r="BK610" s="475"/>
      <c r="BL610" s="475"/>
      <c r="BM610" s="475"/>
      <c r="BN610" s="475"/>
      <c r="BO610" s="476"/>
      <c r="BP610" s="474"/>
      <c r="BQ610" s="475"/>
      <c r="BR610" s="475"/>
      <c r="BS610" s="475"/>
      <c r="BT610" s="475"/>
      <c r="BU610" s="476"/>
      <c r="BV610" s="474"/>
      <c r="BW610" s="475"/>
      <c r="BX610" s="475"/>
      <c r="BY610" s="475"/>
      <c r="BZ610" s="475"/>
      <c r="CA610" s="476"/>
      <c r="CB610" s="426"/>
      <c r="CC610" s="427"/>
      <c r="CD610" s="427"/>
      <c r="CE610" s="428"/>
      <c r="CF610" s="412"/>
      <c r="CG610" s="413"/>
      <c r="CH610" s="413"/>
      <c r="CI610" s="413"/>
      <c r="CJ610" s="414"/>
      <c r="CK610" s="412"/>
      <c r="CL610" s="413"/>
      <c r="CM610" s="413"/>
      <c r="CN610" s="413"/>
      <c r="CO610" s="414"/>
      <c r="CP610" s="412"/>
      <c r="CQ610" s="413"/>
      <c r="CR610" s="413"/>
      <c r="CS610" s="413"/>
      <c r="CT610" s="414"/>
      <c r="CU610" s="415"/>
      <c r="CV610" s="416"/>
      <c r="CW610" s="416"/>
      <c r="CX610" s="416"/>
      <c r="CY610" s="417"/>
    </row>
    <row r="611" spans="1:103" ht="16.5">
      <c r="A611" s="434">
        <v>101</v>
      </c>
      <c r="B611" s="36"/>
      <c r="C611" s="198" t="str">
        <f t="shared" ca="1" si="11"/>
        <v/>
      </c>
      <c r="D611" s="477" t="s">
        <v>458</v>
      </c>
      <c r="E611" s="478"/>
      <c r="F611" s="478"/>
      <c r="G611" s="478"/>
      <c r="H611" s="478"/>
      <c r="I611" s="478"/>
      <c r="J611" s="478"/>
      <c r="K611" s="438" t="s">
        <v>459</v>
      </c>
      <c r="L611" s="439"/>
      <c r="M611" s="439"/>
      <c r="N611" s="439"/>
      <c r="O611" s="439"/>
      <c r="P611" s="439"/>
      <c r="Q611" s="439"/>
      <c r="R611" s="442" t="s">
        <v>186</v>
      </c>
      <c r="S611" s="443"/>
      <c r="T611" s="442"/>
      <c r="U611" s="443"/>
      <c r="V611" s="438"/>
      <c r="W611" s="439"/>
      <c r="X611" s="439"/>
      <c r="Y611" s="439"/>
      <c r="Z611" s="439"/>
      <c r="AA611" s="439"/>
      <c r="AB611" s="439"/>
      <c r="AC611" s="439"/>
      <c r="AD611" s="438"/>
      <c r="AE611" s="439"/>
      <c r="AF611" s="439"/>
      <c r="AG611" s="439"/>
      <c r="AH611" s="439"/>
      <c r="AI611" s="439"/>
      <c r="AJ611" s="439"/>
      <c r="AK611" s="449"/>
      <c r="AL611" s="438"/>
      <c r="AM611" s="439"/>
      <c r="AN611" s="439"/>
      <c r="AO611" s="439"/>
      <c r="AP611" s="439"/>
      <c r="AQ611" s="439"/>
      <c r="AR611" s="449"/>
      <c r="AS611" s="500"/>
      <c r="AT611" s="483"/>
      <c r="AU611" s="483"/>
      <c r="AV611" s="483"/>
      <c r="AW611" s="483"/>
      <c r="AX611" s="483"/>
      <c r="AY611" s="484"/>
      <c r="AZ611" s="460"/>
      <c r="BA611" s="461"/>
      <c r="BB611" s="60">
        <v>1</v>
      </c>
      <c r="BC611" s="466"/>
      <c r="BD611" s="467"/>
      <c r="BE611" s="467"/>
      <c r="BF611" s="468"/>
      <c r="BG611" s="469"/>
      <c r="BH611" s="470"/>
      <c r="BI611" s="194"/>
      <c r="BJ611" s="471"/>
      <c r="BK611" s="472"/>
      <c r="BL611" s="472"/>
      <c r="BM611" s="472"/>
      <c r="BN611" s="472"/>
      <c r="BO611" s="473"/>
      <c r="BP611" s="471"/>
      <c r="BQ611" s="472"/>
      <c r="BR611" s="472"/>
      <c r="BS611" s="472"/>
      <c r="BT611" s="472"/>
      <c r="BU611" s="473"/>
      <c r="BV611" s="471"/>
      <c r="BW611" s="472"/>
      <c r="BX611" s="472"/>
      <c r="BY611" s="472"/>
      <c r="BZ611" s="472"/>
      <c r="CA611" s="473"/>
      <c r="CB611" s="466"/>
      <c r="CC611" s="467"/>
      <c r="CD611" s="467"/>
      <c r="CE611" s="468"/>
      <c r="CF611" s="409"/>
      <c r="CG611" s="410"/>
      <c r="CH611" s="410"/>
      <c r="CI611" s="410"/>
      <c r="CJ611" s="411"/>
      <c r="CK611" s="409"/>
      <c r="CL611" s="410"/>
      <c r="CM611" s="410"/>
      <c r="CN611" s="410"/>
      <c r="CO611" s="411"/>
      <c r="CP611" s="409"/>
      <c r="CQ611" s="410"/>
      <c r="CR611" s="410"/>
      <c r="CS611" s="410"/>
      <c r="CT611" s="411"/>
      <c r="CU611" s="415"/>
      <c r="CV611" s="416"/>
      <c r="CW611" s="416"/>
      <c r="CX611" s="416"/>
      <c r="CY611" s="417"/>
    </row>
    <row r="612" spans="1:103" ht="16.5">
      <c r="A612" s="435"/>
      <c r="B612" s="36"/>
      <c r="C612" s="199" t="str">
        <f t="shared" ca="1" si="11"/>
        <v/>
      </c>
      <c r="D612" s="479"/>
      <c r="E612" s="480"/>
      <c r="F612" s="480"/>
      <c r="G612" s="480"/>
      <c r="H612" s="480"/>
      <c r="I612" s="480"/>
      <c r="J612" s="480"/>
      <c r="K612" s="440"/>
      <c r="L612" s="441"/>
      <c r="M612" s="441"/>
      <c r="N612" s="441"/>
      <c r="O612" s="441"/>
      <c r="P612" s="441"/>
      <c r="Q612" s="441"/>
      <c r="R612" s="444"/>
      <c r="S612" s="445"/>
      <c r="T612" s="444"/>
      <c r="U612" s="445"/>
      <c r="V612" s="440"/>
      <c r="W612" s="441"/>
      <c r="X612" s="441"/>
      <c r="Y612" s="441"/>
      <c r="Z612" s="441"/>
      <c r="AA612" s="441"/>
      <c r="AB612" s="441"/>
      <c r="AC612" s="441"/>
      <c r="AD612" s="440"/>
      <c r="AE612" s="441"/>
      <c r="AF612" s="441"/>
      <c r="AG612" s="441"/>
      <c r="AH612" s="441"/>
      <c r="AI612" s="441"/>
      <c r="AJ612" s="441"/>
      <c r="AK612" s="450"/>
      <c r="AL612" s="440"/>
      <c r="AM612" s="441"/>
      <c r="AN612" s="441"/>
      <c r="AO612" s="441"/>
      <c r="AP612" s="441"/>
      <c r="AQ612" s="441"/>
      <c r="AR612" s="450"/>
      <c r="AS612" s="485"/>
      <c r="AT612" s="486"/>
      <c r="AU612" s="486"/>
      <c r="AV612" s="486"/>
      <c r="AW612" s="486"/>
      <c r="AX612" s="486"/>
      <c r="AY612" s="487"/>
      <c r="AZ612" s="462"/>
      <c r="BA612" s="463"/>
      <c r="BB612" s="61">
        <v>2</v>
      </c>
      <c r="BC612" s="418"/>
      <c r="BD612" s="419"/>
      <c r="BE612" s="419"/>
      <c r="BF612" s="420"/>
      <c r="BG612" s="421"/>
      <c r="BH612" s="422"/>
      <c r="BI612" s="195"/>
      <c r="BJ612" s="423"/>
      <c r="BK612" s="424"/>
      <c r="BL612" s="424"/>
      <c r="BM612" s="424"/>
      <c r="BN612" s="424"/>
      <c r="BO612" s="425"/>
      <c r="BP612" s="423"/>
      <c r="BQ612" s="424"/>
      <c r="BR612" s="424"/>
      <c r="BS612" s="424"/>
      <c r="BT612" s="424"/>
      <c r="BU612" s="425"/>
      <c r="BV612" s="423"/>
      <c r="BW612" s="424"/>
      <c r="BX612" s="424"/>
      <c r="BY612" s="424"/>
      <c r="BZ612" s="424"/>
      <c r="CA612" s="425"/>
      <c r="CB612" s="418"/>
      <c r="CC612" s="419"/>
      <c r="CD612" s="419"/>
      <c r="CE612" s="420"/>
      <c r="CF612" s="412"/>
      <c r="CG612" s="413"/>
      <c r="CH612" s="413"/>
      <c r="CI612" s="413"/>
      <c r="CJ612" s="414"/>
      <c r="CK612" s="412"/>
      <c r="CL612" s="413"/>
      <c r="CM612" s="413"/>
      <c r="CN612" s="413"/>
      <c r="CO612" s="414"/>
      <c r="CP612" s="412"/>
      <c r="CQ612" s="413"/>
      <c r="CR612" s="413"/>
      <c r="CS612" s="413"/>
      <c r="CT612" s="414"/>
      <c r="CU612" s="415"/>
      <c r="CV612" s="416"/>
      <c r="CW612" s="416"/>
      <c r="CX612" s="416"/>
      <c r="CY612" s="417"/>
    </row>
    <row r="613" spans="1:103" ht="16.5">
      <c r="A613" s="435"/>
      <c r="B613" s="36"/>
      <c r="C613" s="199" t="str">
        <f t="shared" ca="1" si="11"/>
        <v/>
      </c>
      <c r="D613" s="479"/>
      <c r="E613" s="480"/>
      <c r="F613" s="480"/>
      <c r="G613" s="480"/>
      <c r="H613" s="480"/>
      <c r="I613" s="480"/>
      <c r="J613" s="480"/>
      <c r="K613" s="440"/>
      <c r="L613" s="441"/>
      <c r="M613" s="441"/>
      <c r="N613" s="441"/>
      <c r="O613" s="441"/>
      <c r="P613" s="441"/>
      <c r="Q613" s="441"/>
      <c r="R613" s="444"/>
      <c r="S613" s="445"/>
      <c r="T613" s="444"/>
      <c r="U613" s="445"/>
      <c r="V613" s="440"/>
      <c r="W613" s="441"/>
      <c r="X613" s="441"/>
      <c r="Y613" s="441"/>
      <c r="Z613" s="441"/>
      <c r="AA613" s="441"/>
      <c r="AB613" s="441"/>
      <c r="AC613" s="441"/>
      <c r="AD613" s="440"/>
      <c r="AE613" s="441"/>
      <c r="AF613" s="441"/>
      <c r="AG613" s="441"/>
      <c r="AH613" s="441"/>
      <c r="AI613" s="441"/>
      <c r="AJ613" s="441"/>
      <c r="AK613" s="450"/>
      <c r="AL613" s="440"/>
      <c r="AM613" s="441"/>
      <c r="AN613" s="441"/>
      <c r="AO613" s="441"/>
      <c r="AP613" s="441"/>
      <c r="AQ613" s="441"/>
      <c r="AR613" s="450"/>
      <c r="AS613" s="485"/>
      <c r="AT613" s="486"/>
      <c r="AU613" s="486"/>
      <c r="AV613" s="486"/>
      <c r="AW613" s="486"/>
      <c r="AX613" s="486"/>
      <c r="AY613" s="487"/>
      <c r="AZ613" s="462"/>
      <c r="BA613" s="463"/>
      <c r="BB613" s="61">
        <v>3</v>
      </c>
      <c r="BC613" s="418"/>
      <c r="BD613" s="419"/>
      <c r="BE613" s="419"/>
      <c r="BF613" s="420"/>
      <c r="BG613" s="421"/>
      <c r="BH613" s="422"/>
      <c r="BI613" s="195"/>
      <c r="BJ613" s="423"/>
      <c r="BK613" s="424"/>
      <c r="BL613" s="424"/>
      <c r="BM613" s="424"/>
      <c r="BN613" s="424"/>
      <c r="BO613" s="425"/>
      <c r="BP613" s="423"/>
      <c r="BQ613" s="424"/>
      <c r="BR613" s="424"/>
      <c r="BS613" s="424"/>
      <c r="BT613" s="424"/>
      <c r="BU613" s="425"/>
      <c r="BV613" s="423"/>
      <c r="BW613" s="424"/>
      <c r="BX613" s="424"/>
      <c r="BY613" s="424"/>
      <c r="BZ613" s="424"/>
      <c r="CA613" s="425"/>
      <c r="CB613" s="418"/>
      <c r="CC613" s="419"/>
      <c r="CD613" s="419"/>
      <c r="CE613" s="420"/>
      <c r="CF613" s="412"/>
      <c r="CG613" s="413"/>
      <c r="CH613" s="413"/>
      <c r="CI613" s="413"/>
      <c r="CJ613" s="414"/>
      <c r="CK613" s="412"/>
      <c r="CL613" s="413"/>
      <c r="CM613" s="413"/>
      <c r="CN613" s="413"/>
      <c r="CO613" s="414"/>
      <c r="CP613" s="412"/>
      <c r="CQ613" s="413"/>
      <c r="CR613" s="413"/>
      <c r="CS613" s="413"/>
      <c r="CT613" s="414"/>
      <c r="CU613" s="415"/>
      <c r="CV613" s="416"/>
      <c r="CW613" s="416"/>
      <c r="CX613" s="416"/>
      <c r="CY613" s="417"/>
    </row>
    <row r="614" spans="1:103" ht="16.5">
      <c r="A614" s="435"/>
      <c r="B614" s="36"/>
      <c r="C614" s="199" t="str">
        <f t="shared" ca="1" si="11"/>
        <v/>
      </c>
      <c r="D614" s="479"/>
      <c r="E614" s="480"/>
      <c r="F614" s="480"/>
      <c r="G614" s="480"/>
      <c r="H614" s="480"/>
      <c r="I614" s="480"/>
      <c r="J614" s="480"/>
      <c r="K614" s="440"/>
      <c r="L614" s="441"/>
      <c r="M614" s="441"/>
      <c r="N614" s="441"/>
      <c r="O614" s="441"/>
      <c r="P614" s="441"/>
      <c r="Q614" s="441"/>
      <c r="R614" s="444"/>
      <c r="S614" s="445"/>
      <c r="T614" s="444"/>
      <c r="U614" s="445"/>
      <c r="V614" s="440"/>
      <c r="W614" s="441"/>
      <c r="X614" s="441"/>
      <c r="Y614" s="441"/>
      <c r="Z614" s="441"/>
      <c r="AA614" s="441"/>
      <c r="AB614" s="441"/>
      <c r="AC614" s="441"/>
      <c r="AD614" s="440"/>
      <c r="AE614" s="441"/>
      <c r="AF614" s="441"/>
      <c r="AG614" s="441"/>
      <c r="AH614" s="441"/>
      <c r="AI614" s="441"/>
      <c r="AJ614" s="441"/>
      <c r="AK614" s="450"/>
      <c r="AL614" s="440"/>
      <c r="AM614" s="441"/>
      <c r="AN614" s="441"/>
      <c r="AO614" s="441"/>
      <c r="AP614" s="441"/>
      <c r="AQ614" s="441"/>
      <c r="AR614" s="450"/>
      <c r="AS614" s="485"/>
      <c r="AT614" s="486"/>
      <c r="AU614" s="486"/>
      <c r="AV614" s="486"/>
      <c r="AW614" s="486"/>
      <c r="AX614" s="486"/>
      <c r="AY614" s="487"/>
      <c r="AZ614" s="462"/>
      <c r="BA614" s="463"/>
      <c r="BB614" s="61">
        <v>4</v>
      </c>
      <c r="BC614" s="418"/>
      <c r="BD614" s="419"/>
      <c r="BE614" s="419"/>
      <c r="BF614" s="420"/>
      <c r="BG614" s="421"/>
      <c r="BH614" s="422"/>
      <c r="BI614" s="195"/>
      <c r="BJ614" s="423"/>
      <c r="BK614" s="424"/>
      <c r="BL614" s="424"/>
      <c r="BM614" s="424"/>
      <c r="BN614" s="424"/>
      <c r="BO614" s="425"/>
      <c r="BP614" s="423"/>
      <c r="BQ614" s="424"/>
      <c r="BR614" s="424"/>
      <c r="BS614" s="424"/>
      <c r="BT614" s="424"/>
      <c r="BU614" s="425"/>
      <c r="BV614" s="423"/>
      <c r="BW614" s="424"/>
      <c r="BX614" s="424"/>
      <c r="BY614" s="424"/>
      <c r="BZ614" s="424"/>
      <c r="CA614" s="425"/>
      <c r="CB614" s="418"/>
      <c r="CC614" s="419"/>
      <c r="CD614" s="419"/>
      <c r="CE614" s="420"/>
      <c r="CF614" s="412"/>
      <c r="CG614" s="413"/>
      <c r="CH614" s="413"/>
      <c r="CI614" s="413"/>
      <c r="CJ614" s="414"/>
      <c r="CK614" s="412"/>
      <c r="CL614" s="413"/>
      <c r="CM614" s="413"/>
      <c r="CN614" s="413"/>
      <c r="CO614" s="414"/>
      <c r="CP614" s="412"/>
      <c r="CQ614" s="413"/>
      <c r="CR614" s="413"/>
      <c r="CS614" s="413"/>
      <c r="CT614" s="414"/>
      <c r="CU614" s="415"/>
      <c r="CV614" s="416"/>
      <c r="CW614" s="416"/>
      <c r="CX614" s="416"/>
      <c r="CY614" s="417"/>
    </row>
    <row r="615" spans="1:103" ht="16.5">
      <c r="A615" s="435"/>
      <c r="B615" s="36"/>
      <c r="C615" s="199" t="str">
        <f t="shared" ca="1" si="11"/>
        <v/>
      </c>
      <c r="D615" s="479"/>
      <c r="E615" s="480"/>
      <c r="F615" s="480"/>
      <c r="G615" s="480"/>
      <c r="H615" s="480"/>
      <c r="I615" s="480"/>
      <c r="J615" s="480"/>
      <c r="K615" s="440"/>
      <c r="L615" s="441"/>
      <c r="M615" s="441"/>
      <c r="N615" s="441"/>
      <c r="O615" s="441"/>
      <c r="P615" s="441"/>
      <c r="Q615" s="441"/>
      <c r="R615" s="444"/>
      <c r="S615" s="445"/>
      <c r="T615" s="444"/>
      <c r="U615" s="445"/>
      <c r="V615" s="440"/>
      <c r="W615" s="441"/>
      <c r="X615" s="441"/>
      <c r="Y615" s="441"/>
      <c r="Z615" s="441"/>
      <c r="AA615" s="441"/>
      <c r="AB615" s="441"/>
      <c r="AC615" s="441"/>
      <c r="AD615" s="440"/>
      <c r="AE615" s="441"/>
      <c r="AF615" s="441"/>
      <c r="AG615" s="441"/>
      <c r="AH615" s="441"/>
      <c r="AI615" s="441"/>
      <c r="AJ615" s="441"/>
      <c r="AK615" s="450"/>
      <c r="AL615" s="440"/>
      <c r="AM615" s="441"/>
      <c r="AN615" s="441"/>
      <c r="AO615" s="441"/>
      <c r="AP615" s="441"/>
      <c r="AQ615" s="441"/>
      <c r="AR615" s="450"/>
      <c r="AS615" s="485"/>
      <c r="AT615" s="486"/>
      <c r="AU615" s="486"/>
      <c r="AV615" s="486"/>
      <c r="AW615" s="486"/>
      <c r="AX615" s="486"/>
      <c r="AY615" s="487"/>
      <c r="AZ615" s="462"/>
      <c r="BA615" s="463"/>
      <c r="BB615" s="61">
        <v>5</v>
      </c>
      <c r="BC615" s="418"/>
      <c r="BD615" s="419"/>
      <c r="BE615" s="419"/>
      <c r="BF615" s="420"/>
      <c r="BG615" s="421"/>
      <c r="BH615" s="422"/>
      <c r="BI615" s="195"/>
      <c r="BJ615" s="423"/>
      <c r="BK615" s="424"/>
      <c r="BL615" s="424"/>
      <c r="BM615" s="424"/>
      <c r="BN615" s="424"/>
      <c r="BO615" s="425"/>
      <c r="BP615" s="423"/>
      <c r="BQ615" s="424"/>
      <c r="BR615" s="424"/>
      <c r="BS615" s="424"/>
      <c r="BT615" s="424"/>
      <c r="BU615" s="425"/>
      <c r="BV615" s="423"/>
      <c r="BW615" s="424"/>
      <c r="BX615" s="424"/>
      <c r="BY615" s="424"/>
      <c r="BZ615" s="424"/>
      <c r="CA615" s="425"/>
      <c r="CB615" s="418"/>
      <c r="CC615" s="419"/>
      <c r="CD615" s="419"/>
      <c r="CE615" s="420"/>
      <c r="CF615" s="412"/>
      <c r="CG615" s="413"/>
      <c r="CH615" s="413"/>
      <c r="CI615" s="413"/>
      <c r="CJ615" s="414"/>
      <c r="CK615" s="412"/>
      <c r="CL615" s="413"/>
      <c r="CM615" s="413"/>
      <c r="CN615" s="413"/>
      <c r="CO615" s="414"/>
      <c r="CP615" s="412"/>
      <c r="CQ615" s="413"/>
      <c r="CR615" s="413"/>
      <c r="CS615" s="413"/>
      <c r="CT615" s="414"/>
      <c r="CU615" s="415"/>
      <c r="CV615" s="416"/>
      <c r="CW615" s="416"/>
      <c r="CX615" s="416"/>
      <c r="CY615" s="417"/>
    </row>
    <row r="616" spans="1:103" ht="16.5">
      <c r="A616" s="436"/>
      <c r="B616" s="37"/>
      <c r="C616" s="200" t="str">
        <f t="shared" ca="1" si="11"/>
        <v/>
      </c>
      <c r="D616" s="481"/>
      <c r="E616" s="482"/>
      <c r="F616" s="482"/>
      <c r="G616" s="482"/>
      <c r="H616" s="482"/>
      <c r="I616" s="482"/>
      <c r="J616" s="482"/>
      <c r="K616" s="409"/>
      <c r="L616" s="410"/>
      <c r="M616" s="410"/>
      <c r="N616" s="410"/>
      <c r="O616" s="410"/>
      <c r="P616" s="410"/>
      <c r="Q616" s="410"/>
      <c r="R616" s="446"/>
      <c r="S616" s="447"/>
      <c r="T616" s="446"/>
      <c r="U616" s="447"/>
      <c r="V616" s="409"/>
      <c r="W616" s="410"/>
      <c r="X616" s="410"/>
      <c r="Y616" s="410"/>
      <c r="Z616" s="410"/>
      <c r="AA616" s="410"/>
      <c r="AB616" s="410"/>
      <c r="AC616" s="410"/>
      <c r="AD616" s="409"/>
      <c r="AE616" s="410"/>
      <c r="AF616" s="410"/>
      <c r="AG616" s="410"/>
      <c r="AH616" s="410"/>
      <c r="AI616" s="410"/>
      <c r="AJ616" s="410"/>
      <c r="AK616" s="411"/>
      <c r="AL616" s="409"/>
      <c r="AM616" s="410"/>
      <c r="AN616" s="410"/>
      <c r="AO616" s="410"/>
      <c r="AP616" s="410"/>
      <c r="AQ616" s="410"/>
      <c r="AR616" s="411"/>
      <c r="AS616" s="488"/>
      <c r="AT616" s="489"/>
      <c r="AU616" s="489"/>
      <c r="AV616" s="489"/>
      <c r="AW616" s="489"/>
      <c r="AX616" s="489"/>
      <c r="AY616" s="490"/>
      <c r="AZ616" s="464"/>
      <c r="BA616" s="465"/>
      <c r="BB616" s="62">
        <v>6</v>
      </c>
      <c r="BC616" s="426"/>
      <c r="BD616" s="427"/>
      <c r="BE616" s="427"/>
      <c r="BF616" s="428"/>
      <c r="BG616" s="429"/>
      <c r="BH616" s="430"/>
      <c r="BI616" s="196"/>
      <c r="BJ616" s="474"/>
      <c r="BK616" s="475"/>
      <c r="BL616" s="475"/>
      <c r="BM616" s="475"/>
      <c r="BN616" s="475"/>
      <c r="BO616" s="476"/>
      <c r="BP616" s="474"/>
      <c r="BQ616" s="475"/>
      <c r="BR616" s="475"/>
      <c r="BS616" s="475"/>
      <c r="BT616" s="475"/>
      <c r="BU616" s="476"/>
      <c r="BV616" s="474"/>
      <c r="BW616" s="475"/>
      <c r="BX616" s="475"/>
      <c r="BY616" s="475"/>
      <c r="BZ616" s="475"/>
      <c r="CA616" s="476"/>
      <c r="CB616" s="426"/>
      <c r="CC616" s="427"/>
      <c r="CD616" s="427"/>
      <c r="CE616" s="428"/>
      <c r="CF616" s="412"/>
      <c r="CG616" s="413"/>
      <c r="CH616" s="413"/>
      <c r="CI616" s="413"/>
      <c r="CJ616" s="414"/>
      <c r="CK616" s="412"/>
      <c r="CL616" s="413"/>
      <c r="CM616" s="413"/>
      <c r="CN616" s="413"/>
      <c r="CO616" s="414"/>
      <c r="CP616" s="412"/>
      <c r="CQ616" s="413"/>
      <c r="CR616" s="413"/>
      <c r="CS616" s="413"/>
      <c r="CT616" s="414"/>
      <c r="CU616" s="415"/>
      <c r="CV616" s="416"/>
      <c r="CW616" s="416"/>
      <c r="CX616" s="416"/>
      <c r="CY616" s="417"/>
    </row>
    <row r="617" spans="1:103" ht="16.5">
      <c r="A617" s="434">
        <v>102</v>
      </c>
      <c r="B617" s="36"/>
      <c r="C617" s="198" t="str">
        <f t="shared" ca="1" si="11"/>
        <v/>
      </c>
      <c r="D617" s="477" t="s">
        <v>460</v>
      </c>
      <c r="E617" s="478"/>
      <c r="F617" s="478"/>
      <c r="G617" s="478"/>
      <c r="H617" s="478"/>
      <c r="I617" s="478"/>
      <c r="J617" s="478"/>
      <c r="K617" s="438" t="s">
        <v>461</v>
      </c>
      <c r="L617" s="439"/>
      <c r="M617" s="439"/>
      <c r="N617" s="439"/>
      <c r="O617" s="439"/>
      <c r="P617" s="439"/>
      <c r="Q617" s="439"/>
      <c r="R617" s="442" t="s">
        <v>186</v>
      </c>
      <c r="S617" s="443"/>
      <c r="T617" s="442"/>
      <c r="U617" s="443"/>
      <c r="V617" s="438"/>
      <c r="W617" s="439"/>
      <c r="X617" s="439"/>
      <c r="Y617" s="439"/>
      <c r="Z617" s="439"/>
      <c r="AA617" s="439"/>
      <c r="AB617" s="439"/>
      <c r="AC617" s="439"/>
      <c r="AD617" s="438"/>
      <c r="AE617" s="439"/>
      <c r="AF617" s="439"/>
      <c r="AG617" s="439"/>
      <c r="AH617" s="439"/>
      <c r="AI617" s="439"/>
      <c r="AJ617" s="439"/>
      <c r="AK617" s="449"/>
      <c r="AL617" s="438"/>
      <c r="AM617" s="439"/>
      <c r="AN617" s="439"/>
      <c r="AO617" s="439"/>
      <c r="AP617" s="439"/>
      <c r="AQ617" s="439"/>
      <c r="AR617" s="449"/>
      <c r="AS617" s="500"/>
      <c r="AT617" s="483"/>
      <c r="AU617" s="483"/>
      <c r="AV617" s="483"/>
      <c r="AW617" s="483"/>
      <c r="AX617" s="483"/>
      <c r="AY617" s="484"/>
      <c r="AZ617" s="460"/>
      <c r="BA617" s="461"/>
      <c r="BB617" s="60">
        <v>1</v>
      </c>
      <c r="BC617" s="466"/>
      <c r="BD617" s="467"/>
      <c r="BE617" s="467"/>
      <c r="BF617" s="468"/>
      <c r="BG617" s="469"/>
      <c r="BH617" s="470"/>
      <c r="BI617" s="194"/>
      <c r="BJ617" s="471"/>
      <c r="BK617" s="472"/>
      <c r="BL617" s="472"/>
      <c r="BM617" s="472"/>
      <c r="BN617" s="472"/>
      <c r="BO617" s="473"/>
      <c r="BP617" s="471"/>
      <c r="BQ617" s="472"/>
      <c r="BR617" s="472"/>
      <c r="BS617" s="472"/>
      <c r="BT617" s="472"/>
      <c r="BU617" s="473"/>
      <c r="BV617" s="471"/>
      <c r="BW617" s="472"/>
      <c r="BX617" s="472"/>
      <c r="BY617" s="472"/>
      <c r="BZ617" s="472"/>
      <c r="CA617" s="473"/>
      <c r="CB617" s="466"/>
      <c r="CC617" s="467"/>
      <c r="CD617" s="467"/>
      <c r="CE617" s="468"/>
      <c r="CF617" s="409"/>
      <c r="CG617" s="410"/>
      <c r="CH617" s="410"/>
      <c r="CI617" s="410"/>
      <c r="CJ617" s="411"/>
      <c r="CK617" s="409"/>
      <c r="CL617" s="410"/>
      <c r="CM617" s="410"/>
      <c r="CN617" s="410"/>
      <c r="CO617" s="411"/>
      <c r="CP617" s="409"/>
      <c r="CQ617" s="410"/>
      <c r="CR617" s="410"/>
      <c r="CS617" s="410"/>
      <c r="CT617" s="411"/>
      <c r="CU617" s="415"/>
      <c r="CV617" s="416"/>
      <c r="CW617" s="416"/>
      <c r="CX617" s="416"/>
      <c r="CY617" s="417"/>
    </row>
    <row r="618" spans="1:103" ht="16.5">
      <c r="A618" s="435"/>
      <c r="B618" s="36"/>
      <c r="C618" s="199" t="str">
        <f t="shared" ca="1" si="11"/>
        <v/>
      </c>
      <c r="D618" s="479"/>
      <c r="E618" s="480"/>
      <c r="F618" s="480"/>
      <c r="G618" s="480"/>
      <c r="H618" s="480"/>
      <c r="I618" s="480"/>
      <c r="J618" s="480"/>
      <c r="K618" s="440"/>
      <c r="L618" s="441"/>
      <c r="M618" s="441"/>
      <c r="N618" s="441"/>
      <c r="O618" s="441"/>
      <c r="P618" s="441"/>
      <c r="Q618" s="441"/>
      <c r="R618" s="444"/>
      <c r="S618" s="445"/>
      <c r="T618" s="444"/>
      <c r="U618" s="445"/>
      <c r="V618" s="440"/>
      <c r="W618" s="441"/>
      <c r="X618" s="441"/>
      <c r="Y618" s="441"/>
      <c r="Z618" s="441"/>
      <c r="AA618" s="441"/>
      <c r="AB618" s="441"/>
      <c r="AC618" s="441"/>
      <c r="AD618" s="440"/>
      <c r="AE618" s="441"/>
      <c r="AF618" s="441"/>
      <c r="AG618" s="441"/>
      <c r="AH618" s="441"/>
      <c r="AI618" s="441"/>
      <c r="AJ618" s="441"/>
      <c r="AK618" s="450"/>
      <c r="AL618" s="440"/>
      <c r="AM618" s="441"/>
      <c r="AN618" s="441"/>
      <c r="AO618" s="441"/>
      <c r="AP618" s="441"/>
      <c r="AQ618" s="441"/>
      <c r="AR618" s="450"/>
      <c r="AS618" s="485"/>
      <c r="AT618" s="486"/>
      <c r="AU618" s="486"/>
      <c r="AV618" s="486"/>
      <c r="AW618" s="486"/>
      <c r="AX618" s="486"/>
      <c r="AY618" s="487"/>
      <c r="AZ618" s="462"/>
      <c r="BA618" s="463"/>
      <c r="BB618" s="61">
        <v>2</v>
      </c>
      <c r="BC618" s="418"/>
      <c r="BD618" s="419"/>
      <c r="BE618" s="419"/>
      <c r="BF618" s="420"/>
      <c r="BG618" s="421"/>
      <c r="BH618" s="422"/>
      <c r="BI618" s="195"/>
      <c r="BJ618" s="423"/>
      <c r="BK618" s="424"/>
      <c r="BL618" s="424"/>
      <c r="BM618" s="424"/>
      <c r="BN618" s="424"/>
      <c r="BO618" s="425"/>
      <c r="BP618" s="423"/>
      <c r="BQ618" s="424"/>
      <c r="BR618" s="424"/>
      <c r="BS618" s="424"/>
      <c r="BT618" s="424"/>
      <c r="BU618" s="425"/>
      <c r="BV618" s="423"/>
      <c r="BW618" s="424"/>
      <c r="BX618" s="424"/>
      <c r="BY618" s="424"/>
      <c r="BZ618" s="424"/>
      <c r="CA618" s="425"/>
      <c r="CB618" s="418"/>
      <c r="CC618" s="419"/>
      <c r="CD618" s="419"/>
      <c r="CE618" s="420"/>
      <c r="CF618" s="412"/>
      <c r="CG618" s="413"/>
      <c r="CH618" s="413"/>
      <c r="CI618" s="413"/>
      <c r="CJ618" s="414"/>
      <c r="CK618" s="412"/>
      <c r="CL618" s="413"/>
      <c r="CM618" s="413"/>
      <c r="CN618" s="413"/>
      <c r="CO618" s="414"/>
      <c r="CP618" s="412"/>
      <c r="CQ618" s="413"/>
      <c r="CR618" s="413"/>
      <c r="CS618" s="413"/>
      <c r="CT618" s="414"/>
      <c r="CU618" s="415"/>
      <c r="CV618" s="416"/>
      <c r="CW618" s="416"/>
      <c r="CX618" s="416"/>
      <c r="CY618" s="417"/>
    </row>
    <row r="619" spans="1:103" ht="16.5">
      <c r="A619" s="435"/>
      <c r="B619" s="36"/>
      <c r="C619" s="199" t="str">
        <f t="shared" ca="1" si="11"/>
        <v/>
      </c>
      <c r="D619" s="479"/>
      <c r="E619" s="480"/>
      <c r="F619" s="480"/>
      <c r="G619" s="480"/>
      <c r="H619" s="480"/>
      <c r="I619" s="480"/>
      <c r="J619" s="480"/>
      <c r="K619" s="440"/>
      <c r="L619" s="441"/>
      <c r="M619" s="441"/>
      <c r="N619" s="441"/>
      <c r="O619" s="441"/>
      <c r="P619" s="441"/>
      <c r="Q619" s="441"/>
      <c r="R619" s="444"/>
      <c r="S619" s="445"/>
      <c r="T619" s="444"/>
      <c r="U619" s="445"/>
      <c r="V619" s="440"/>
      <c r="W619" s="441"/>
      <c r="X619" s="441"/>
      <c r="Y619" s="441"/>
      <c r="Z619" s="441"/>
      <c r="AA619" s="441"/>
      <c r="AB619" s="441"/>
      <c r="AC619" s="441"/>
      <c r="AD619" s="440"/>
      <c r="AE619" s="441"/>
      <c r="AF619" s="441"/>
      <c r="AG619" s="441"/>
      <c r="AH619" s="441"/>
      <c r="AI619" s="441"/>
      <c r="AJ619" s="441"/>
      <c r="AK619" s="450"/>
      <c r="AL619" s="440"/>
      <c r="AM619" s="441"/>
      <c r="AN619" s="441"/>
      <c r="AO619" s="441"/>
      <c r="AP619" s="441"/>
      <c r="AQ619" s="441"/>
      <c r="AR619" s="450"/>
      <c r="AS619" s="485"/>
      <c r="AT619" s="486"/>
      <c r="AU619" s="486"/>
      <c r="AV619" s="486"/>
      <c r="AW619" s="486"/>
      <c r="AX619" s="486"/>
      <c r="AY619" s="487"/>
      <c r="AZ619" s="462"/>
      <c r="BA619" s="463"/>
      <c r="BB619" s="61">
        <v>3</v>
      </c>
      <c r="BC619" s="418"/>
      <c r="BD619" s="419"/>
      <c r="BE619" s="419"/>
      <c r="BF619" s="420"/>
      <c r="BG619" s="421"/>
      <c r="BH619" s="422"/>
      <c r="BI619" s="195"/>
      <c r="BJ619" s="423"/>
      <c r="BK619" s="424"/>
      <c r="BL619" s="424"/>
      <c r="BM619" s="424"/>
      <c r="BN619" s="424"/>
      <c r="BO619" s="425"/>
      <c r="BP619" s="423"/>
      <c r="BQ619" s="424"/>
      <c r="BR619" s="424"/>
      <c r="BS619" s="424"/>
      <c r="BT619" s="424"/>
      <c r="BU619" s="425"/>
      <c r="BV619" s="423"/>
      <c r="BW619" s="424"/>
      <c r="BX619" s="424"/>
      <c r="BY619" s="424"/>
      <c r="BZ619" s="424"/>
      <c r="CA619" s="425"/>
      <c r="CB619" s="418"/>
      <c r="CC619" s="419"/>
      <c r="CD619" s="419"/>
      <c r="CE619" s="420"/>
      <c r="CF619" s="412"/>
      <c r="CG619" s="413"/>
      <c r="CH619" s="413"/>
      <c r="CI619" s="413"/>
      <c r="CJ619" s="414"/>
      <c r="CK619" s="412"/>
      <c r="CL619" s="413"/>
      <c r="CM619" s="413"/>
      <c r="CN619" s="413"/>
      <c r="CO619" s="414"/>
      <c r="CP619" s="412"/>
      <c r="CQ619" s="413"/>
      <c r="CR619" s="413"/>
      <c r="CS619" s="413"/>
      <c r="CT619" s="414"/>
      <c r="CU619" s="415"/>
      <c r="CV619" s="416"/>
      <c r="CW619" s="416"/>
      <c r="CX619" s="416"/>
      <c r="CY619" s="417"/>
    </row>
    <row r="620" spans="1:103" ht="16.5">
      <c r="A620" s="435"/>
      <c r="B620" s="36"/>
      <c r="C620" s="199" t="str">
        <f t="shared" ca="1" si="11"/>
        <v/>
      </c>
      <c r="D620" s="479"/>
      <c r="E620" s="480"/>
      <c r="F620" s="480"/>
      <c r="G620" s="480"/>
      <c r="H620" s="480"/>
      <c r="I620" s="480"/>
      <c r="J620" s="480"/>
      <c r="K620" s="440"/>
      <c r="L620" s="441"/>
      <c r="M620" s="441"/>
      <c r="N620" s="441"/>
      <c r="O620" s="441"/>
      <c r="P620" s="441"/>
      <c r="Q620" s="441"/>
      <c r="R620" s="444"/>
      <c r="S620" s="445"/>
      <c r="T620" s="444"/>
      <c r="U620" s="445"/>
      <c r="V620" s="440"/>
      <c r="W620" s="441"/>
      <c r="X620" s="441"/>
      <c r="Y620" s="441"/>
      <c r="Z620" s="441"/>
      <c r="AA620" s="441"/>
      <c r="AB620" s="441"/>
      <c r="AC620" s="441"/>
      <c r="AD620" s="440"/>
      <c r="AE620" s="441"/>
      <c r="AF620" s="441"/>
      <c r="AG620" s="441"/>
      <c r="AH620" s="441"/>
      <c r="AI620" s="441"/>
      <c r="AJ620" s="441"/>
      <c r="AK620" s="450"/>
      <c r="AL620" s="440"/>
      <c r="AM620" s="441"/>
      <c r="AN620" s="441"/>
      <c r="AO620" s="441"/>
      <c r="AP620" s="441"/>
      <c r="AQ620" s="441"/>
      <c r="AR620" s="450"/>
      <c r="AS620" s="485"/>
      <c r="AT620" s="486"/>
      <c r="AU620" s="486"/>
      <c r="AV620" s="486"/>
      <c r="AW620" s="486"/>
      <c r="AX620" s="486"/>
      <c r="AY620" s="487"/>
      <c r="AZ620" s="462"/>
      <c r="BA620" s="463"/>
      <c r="BB620" s="61">
        <v>4</v>
      </c>
      <c r="BC620" s="418"/>
      <c r="BD620" s="419"/>
      <c r="BE620" s="419"/>
      <c r="BF620" s="420"/>
      <c r="BG620" s="421"/>
      <c r="BH620" s="422"/>
      <c r="BI620" s="195"/>
      <c r="BJ620" s="423"/>
      <c r="BK620" s="424"/>
      <c r="BL620" s="424"/>
      <c r="BM620" s="424"/>
      <c r="BN620" s="424"/>
      <c r="BO620" s="425"/>
      <c r="BP620" s="423"/>
      <c r="BQ620" s="424"/>
      <c r="BR620" s="424"/>
      <c r="BS620" s="424"/>
      <c r="BT620" s="424"/>
      <c r="BU620" s="425"/>
      <c r="BV620" s="423"/>
      <c r="BW620" s="424"/>
      <c r="BX620" s="424"/>
      <c r="BY620" s="424"/>
      <c r="BZ620" s="424"/>
      <c r="CA620" s="425"/>
      <c r="CB620" s="418"/>
      <c r="CC620" s="419"/>
      <c r="CD620" s="419"/>
      <c r="CE620" s="420"/>
      <c r="CF620" s="412"/>
      <c r="CG620" s="413"/>
      <c r="CH620" s="413"/>
      <c r="CI620" s="413"/>
      <c r="CJ620" s="414"/>
      <c r="CK620" s="412"/>
      <c r="CL620" s="413"/>
      <c r="CM620" s="413"/>
      <c r="CN620" s="413"/>
      <c r="CO620" s="414"/>
      <c r="CP620" s="412"/>
      <c r="CQ620" s="413"/>
      <c r="CR620" s="413"/>
      <c r="CS620" s="413"/>
      <c r="CT620" s="414"/>
      <c r="CU620" s="415"/>
      <c r="CV620" s="416"/>
      <c r="CW620" s="416"/>
      <c r="CX620" s="416"/>
      <c r="CY620" s="417"/>
    </row>
    <row r="621" spans="1:103" ht="16.5">
      <c r="A621" s="435"/>
      <c r="B621" s="36"/>
      <c r="C621" s="199" t="str">
        <f t="shared" ca="1" si="11"/>
        <v/>
      </c>
      <c r="D621" s="479"/>
      <c r="E621" s="480"/>
      <c r="F621" s="480"/>
      <c r="G621" s="480"/>
      <c r="H621" s="480"/>
      <c r="I621" s="480"/>
      <c r="J621" s="480"/>
      <c r="K621" s="440"/>
      <c r="L621" s="441"/>
      <c r="M621" s="441"/>
      <c r="N621" s="441"/>
      <c r="O621" s="441"/>
      <c r="P621" s="441"/>
      <c r="Q621" s="441"/>
      <c r="R621" s="444"/>
      <c r="S621" s="445"/>
      <c r="T621" s="444"/>
      <c r="U621" s="445"/>
      <c r="V621" s="440"/>
      <c r="W621" s="441"/>
      <c r="X621" s="441"/>
      <c r="Y621" s="441"/>
      <c r="Z621" s="441"/>
      <c r="AA621" s="441"/>
      <c r="AB621" s="441"/>
      <c r="AC621" s="441"/>
      <c r="AD621" s="440"/>
      <c r="AE621" s="441"/>
      <c r="AF621" s="441"/>
      <c r="AG621" s="441"/>
      <c r="AH621" s="441"/>
      <c r="AI621" s="441"/>
      <c r="AJ621" s="441"/>
      <c r="AK621" s="450"/>
      <c r="AL621" s="440"/>
      <c r="AM621" s="441"/>
      <c r="AN621" s="441"/>
      <c r="AO621" s="441"/>
      <c r="AP621" s="441"/>
      <c r="AQ621" s="441"/>
      <c r="AR621" s="450"/>
      <c r="AS621" s="485"/>
      <c r="AT621" s="486"/>
      <c r="AU621" s="486"/>
      <c r="AV621" s="486"/>
      <c r="AW621" s="486"/>
      <c r="AX621" s="486"/>
      <c r="AY621" s="487"/>
      <c r="AZ621" s="462"/>
      <c r="BA621" s="463"/>
      <c r="BB621" s="61">
        <v>5</v>
      </c>
      <c r="BC621" s="418"/>
      <c r="BD621" s="419"/>
      <c r="BE621" s="419"/>
      <c r="BF621" s="420"/>
      <c r="BG621" s="421"/>
      <c r="BH621" s="422"/>
      <c r="BI621" s="195"/>
      <c r="BJ621" s="423"/>
      <c r="BK621" s="424"/>
      <c r="BL621" s="424"/>
      <c r="BM621" s="424"/>
      <c r="BN621" s="424"/>
      <c r="BO621" s="425"/>
      <c r="BP621" s="423"/>
      <c r="BQ621" s="424"/>
      <c r="BR621" s="424"/>
      <c r="BS621" s="424"/>
      <c r="BT621" s="424"/>
      <c r="BU621" s="425"/>
      <c r="BV621" s="423"/>
      <c r="BW621" s="424"/>
      <c r="BX621" s="424"/>
      <c r="BY621" s="424"/>
      <c r="BZ621" s="424"/>
      <c r="CA621" s="425"/>
      <c r="CB621" s="418"/>
      <c r="CC621" s="419"/>
      <c r="CD621" s="419"/>
      <c r="CE621" s="420"/>
      <c r="CF621" s="412"/>
      <c r="CG621" s="413"/>
      <c r="CH621" s="413"/>
      <c r="CI621" s="413"/>
      <c r="CJ621" s="414"/>
      <c r="CK621" s="412"/>
      <c r="CL621" s="413"/>
      <c r="CM621" s="413"/>
      <c r="CN621" s="413"/>
      <c r="CO621" s="414"/>
      <c r="CP621" s="412"/>
      <c r="CQ621" s="413"/>
      <c r="CR621" s="413"/>
      <c r="CS621" s="413"/>
      <c r="CT621" s="414"/>
      <c r="CU621" s="415"/>
      <c r="CV621" s="416"/>
      <c r="CW621" s="416"/>
      <c r="CX621" s="416"/>
      <c r="CY621" s="417"/>
    </row>
    <row r="622" spans="1:103" ht="16.5">
      <c r="A622" s="436"/>
      <c r="B622" s="37"/>
      <c r="C622" s="200" t="str">
        <f t="shared" ca="1" si="11"/>
        <v/>
      </c>
      <c r="D622" s="481"/>
      <c r="E622" s="482"/>
      <c r="F622" s="482"/>
      <c r="G622" s="482"/>
      <c r="H622" s="482"/>
      <c r="I622" s="482"/>
      <c r="J622" s="482"/>
      <c r="K622" s="409"/>
      <c r="L622" s="410"/>
      <c r="M622" s="410"/>
      <c r="N622" s="410"/>
      <c r="O622" s="410"/>
      <c r="P622" s="410"/>
      <c r="Q622" s="410"/>
      <c r="R622" s="446"/>
      <c r="S622" s="447"/>
      <c r="T622" s="446"/>
      <c r="U622" s="447"/>
      <c r="V622" s="409"/>
      <c r="W622" s="410"/>
      <c r="X622" s="410"/>
      <c r="Y622" s="410"/>
      <c r="Z622" s="410"/>
      <c r="AA622" s="410"/>
      <c r="AB622" s="410"/>
      <c r="AC622" s="410"/>
      <c r="AD622" s="409"/>
      <c r="AE622" s="410"/>
      <c r="AF622" s="410"/>
      <c r="AG622" s="410"/>
      <c r="AH622" s="410"/>
      <c r="AI622" s="410"/>
      <c r="AJ622" s="410"/>
      <c r="AK622" s="411"/>
      <c r="AL622" s="409"/>
      <c r="AM622" s="410"/>
      <c r="AN622" s="410"/>
      <c r="AO622" s="410"/>
      <c r="AP622" s="410"/>
      <c r="AQ622" s="410"/>
      <c r="AR622" s="411"/>
      <c r="AS622" s="488"/>
      <c r="AT622" s="489"/>
      <c r="AU622" s="489"/>
      <c r="AV622" s="489"/>
      <c r="AW622" s="489"/>
      <c r="AX622" s="489"/>
      <c r="AY622" s="490"/>
      <c r="AZ622" s="464"/>
      <c r="BA622" s="465"/>
      <c r="BB622" s="62">
        <v>6</v>
      </c>
      <c r="BC622" s="426"/>
      <c r="BD622" s="427"/>
      <c r="BE622" s="427"/>
      <c r="BF622" s="428"/>
      <c r="BG622" s="429"/>
      <c r="BH622" s="430"/>
      <c r="BI622" s="196"/>
      <c r="BJ622" s="474"/>
      <c r="BK622" s="475"/>
      <c r="BL622" s="475"/>
      <c r="BM622" s="475"/>
      <c r="BN622" s="475"/>
      <c r="BO622" s="476"/>
      <c r="BP622" s="474"/>
      <c r="BQ622" s="475"/>
      <c r="BR622" s="475"/>
      <c r="BS622" s="475"/>
      <c r="BT622" s="475"/>
      <c r="BU622" s="476"/>
      <c r="BV622" s="474"/>
      <c r="BW622" s="475"/>
      <c r="BX622" s="475"/>
      <c r="BY622" s="475"/>
      <c r="BZ622" s="475"/>
      <c r="CA622" s="476"/>
      <c r="CB622" s="426"/>
      <c r="CC622" s="427"/>
      <c r="CD622" s="427"/>
      <c r="CE622" s="428"/>
      <c r="CF622" s="412"/>
      <c r="CG622" s="413"/>
      <c r="CH622" s="413"/>
      <c r="CI622" s="413"/>
      <c r="CJ622" s="414"/>
      <c r="CK622" s="412"/>
      <c r="CL622" s="413"/>
      <c r="CM622" s="413"/>
      <c r="CN622" s="413"/>
      <c r="CO622" s="414"/>
      <c r="CP622" s="412"/>
      <c r="CQ622" s="413"/>
      <c r="CR622" s="413"/>
      <c r="CS622" s="413"/>
      <c r="CT622" s="414"/>
      <c r="CU622" s="415"/>
      <c r="CV622" s="416"/>
      <c r="CW622" s="416"/>
      <c r="CX622" s="416"/>
      <c r="CY622" s="417"/>
    </row>
    <row r="623" spans="1:103" ht="16.5">
      <c r="A623" s="434">
        <v>103</v>
      </c>
      <c r="B623" s="36"/>
      <c r="C623" s="198" t="str">
        <f t="shared" ca="1" si="11"/>
        <v/>
      </c>
      <c r="D623" s="477"/>
      <c r="E623" s="478"/>
      <c r="F623" s="478"/>
      <c r="G623" s="478"/>
      <c r="H623" s="478"/>
      <c r="I623" s="478"/>
      <c r="J623" s="478"/>
      <c r="K623" s="438" t="s">
        <v>462</v>
      </c>
      <c r="L623" s="439"/>
      <c r="M623" s="439"/>
      <c r="N623" s="439"/>
      <c r="O623" s="439"/>
      <c r="P623" s="439"/>
      <c r="Q623" s="439"/>
      <c r="R623" s="442" t="s">
        <v>186</v>
      </c>
      <c r="S623" s="443"/>
      <c r="T623" s="442"/>
      <c r="U623" s="443"/>
      <c r="V623" s="438"/>
      <c r="W623" s="439"/>
      <c r="X623" s="439"/>
      <c r="Y623" s="439"/>
      <c r="Z623" s="439"/>
      <c r="AA623" s="439"/>
      <c r="AB623" s="439"/>
      <c r="AC623" s="439"/>
      <c r="AD623" s="438"/>
      <c r="AE623" s="439"/>
      <c r="AF623" s="439"/>
      <c r="AG623" s="439"/>
      <c r="AH623" s="439"/>
      <c r="AI623" s="439"/>
      <c r="AJ623" s="439"/>
      <c r="AK623" s="449"/>
      <c r="AL623" s="438"/>
      <c r="AM623" s="439"/>
      <c r="AN623" s="439"/>
      <c r="AO623" s="439"/>
      <c r="AP623" s="439"/>
      <c r="AQ623" s="439"/>
      <c r="AR623" s="449"/>
      <c r="AS623" s="500"/>
      <c r="AT623" s="483"/>
      <c r="AU623" s="483"/>
      <c r="AV623" s="483"/>
      <c r="AW623" s="483"/>
      <c r="AX623" s="483"/>
      <c r="AY623" s="484"/>
      <c r="AZ623" s="460"/>
      <c r="BA623" s="461"/>
      <c r="BB623" s="60">
        <v>1</v>
      </c>
      <c r="BC623" s="466"/>
      <c r="BD623" s="467"/>
      <c r="BE623" s="467"/>
      <c r="BF623" s="468"/>
      <c r="BG623" s="469"/>
      <c r="BH623" s="470"/>
      <c r="BI623" s="194"/>
      <c r="BJ623" s="471"/>
      <c r="BK623" s="472"/>
      <c r="BL623" s="472"/>
      <c r="BM623" s="472"/>
      <c r="BN623" s="472"/>
      <c r="BO623" s="473"/>
      <c r="BP623" s="471"/>
      <c r="BQ623" s="472"/>
      <c r="BR623" s="472"/>
      <c r="BS623" s="472"/>
      <c r="BT623" s="472"/>
      <c r="BU623" s="473"/>
      <c r="BV623" s="471"/>
      <c r="BW623" s="472"/>
      <c r="BX623" s="472"/>
      <c r="BY623" s="472"/>
      <c r="BZ623" s="472"/>
      <c r="CA623" s="473"/>
      <c r="CB623" s="466"/>
      <c r="CC623" s="467"/>
      <c r="CD623" s="467"/>
      <c r="CE623" s="468"/>
      <c r="CF623" s="409"/>
      <c r="CG623" s="410"/>
      <c r="CH623" s="410"/>
      <c r="CI623" s="410"/>
      <c r="CJ623" s="411"/>
      <c r="CK623" s="409"/>
      <c r="CL623" s="410"/>
      <c r="CM623" s="410"/>
      <c r="CN623" s="410"/>
      <c r="CO623" s="411"/>
      <c r="CP623" s="409"/>
      <c r="CQ623" s="410"/>
      <c r="CR623" s="410"/>
      <c r="CS623" s="410"/>
      <c r="CT623" s="411"/>
      <c r="CU623" s="415"/>
      <c r="CV623" s="416"/>
      <c r="CW623" s="416"/>
      <c r="CX623" s="416"/>
      <c r="CY623" s="417"/>
    </row>
    <row r="624" spans="1:103" ht="16.5">
      <c r="A624" s="435"/>
      <c r="B624" s="36"/>
      <c r="C624" s="199" t="str">
        <f t="shared" ca="1" si="11"/>
        <v/>
      </c>
      <c r="D624" s="479"/>
      <c r="E624" s="480"/>
      <c r="F624" s="480"/>
      <c r="G624" s="480"/>
      <c r="H624" s="480"/>
      <c r="I624" s="480"/>
      <c r="J624" s="480"/>
      <c r="K624" s="440"/>
      <c r="L624" s="441"/>
      <c r="M624" s="441"/>
      <c r="N624" s="441"/>
      <c r="O624" s="441"/>
      <c r="P624" s="441"/>
      <c r="Q624" s="441"/>
      <c r="R624" s="444"/>
      <c r="S624" s="445"/>
      <c r="T624" s="444"/>
      <c r="U624" s="445"/>
      <c r="V624" s="440"/>
      <c r="W624" s="441"/>
      <c r="X624" s="441"/>
      <c r="Y624" s="441"/>
      <c r="Z624" s="441"/>
      <c r="AA624" s="441"/>
      <c r="AB624" s="441"/>
      <c r="AC624" s="441"/>
      <c r="AD624" s="440"/>
      <c r="AE624" s="441"/>
      <c r="AF624" s="441"/>
      <c r="AG624" s="441"/>
      <c r="AH624" s="441"/>
      <c r="AI624" s="441"/>
      <c r="AJ624" s="441"/>
      <c r="AK624" s="450"/>
      <c r="AL624" s="440"/>
      <c r="AM624" s="441"/>
      <c r="AN624" s="441"/>
      <c r="AO624" s="441"/>
      <c r="AP624" s="441"/>
      <c r="AQ624" s="441"/>
      <c r="AR624" s="450"/>
      <c r="AS624" s="485"/>
      <c r="AT624" s="486"/>
      <c r="AU624" s="486"/>
      <c r="AV624" s="486"/>
      <c r="AW624" s="486"/>
      <c r="AX624" s="486"/>
      <c r="AY624" s="487"/>
      <c r="AZ624" s="462"/>
      <c r="BA624" s="463"/>
      <c r="BB624" s="61">
        <v>2</v>
      </c>
      <c r="BC624" s="418"/>
      <c r="BD624" s="419"/>
      <c r="BE624" s="419"/>
      <c r="BF624" s="420"/>
      <c r="BG624" s="421"/>
      <c r="BH624" s="422"/>
      <c r="BI624" s="195"/>
      <c r="BJ624" s="423"/>
      <c r="BK624" s="424"/>
      <c r="BL624" s="424"/>
      <c r="BM624" s="424"/>
      <c r="BN624" s="424"/>
      <c r="BO624" s="425"/>
      <c r="BP624" s="423"/>
      <c r="BQ624" s="424"/>
      <c r="BR624" s="424"/>
      <c r="BS624" s="424"/>
      <c r="BT624" s="424"/>
      <c r="BU624" s="425"/>
      <c r="BV624" s="423"/>
      <c r="BW624" s="424"/>
      <c r="BX624" s="424"/>
      <c r="BY624" s="424"/>
      <c r="BZ624" s="424"/>
      <c r="CA624" s="425"/>
      <c r="CB624" s="418"/>
      <c r="CC624" s="419"/>
      <c r="CD624" s="419"/>
      <c r="CE624" s="420"/>
      <c r="CF624" s="412"/>
      <c r="CG624" s="413"/>
      <c r="CH624" s="413"/>
      <c r="CI624" s="413"/>
      <c r="CJ624" s="414"/>
      <c r="CK624" s="412"/>
      <c r="CL624" s="413"/>
      <c r="CM624" s="413"/>
      <c r="CN624" s="413"/>
      <c r="CO624" s="414"/>
      <c r="CP624" s="412"/>
      <c r="CQ624" s="413"/>
      <c r="CR624" s="413"/>
      <c r="CS624" s="413"/>
      <c r="CT624" s="414"/>
      <c r="CU624" s="415"/>
      <c r="CV624" s="416"/>
      <c r="CW624" s="416"/>
      <c r="CX624" s="416"/>
      <c r="CY624" s="417"/>
    </row>
    <row r="625" spans="1:103" ht="16.5">
      <c r="A625" s="435"/>
      <c r="B625" s="36"/>
      <c r="C625" s="199" t="str">
        <f t="shared" ca="1" si="11"/>
        <v/>
      </c>
      <c r="D625" s="479"/>
      <c r="E625" s="480"/>
      <c r="F625" s="480"/>
      <c r="G625" s="480"/>
      <c r="H625" s="480"/>
      <c r="I625" s="480"/>
      <c r="J625" s="480"/>
      <c r="K625" s="440"/>
      <c r="L625" s="441"/>
      <c r="M625" s="441"/>
      <c r="N625" s="441"/>
      <c r="O625" s="441"/>
      <c r="P625" s="441"/>
      <c r="Q625" s="441"/>
      <c r="R625" s="444"/>
      <c r="S625" s="445"/>
      <c r="T625" s="444"/>
      <c r="U625" s="445"/>
      <c r="V625" s="440"/>
      <c r="W625" s="441"/>
      <c r="X625" s="441"/>
      <c r="Y625" s="441"/>
      <c r="Z625" s="441"/>
      <c r="AA625" s="441"/>
      <c r="AB625" s="441"/>
      <c r="AC625" s="441"/>
      <c r="AD625" s="440"/>
      <c r="AE625" s="441"/>
      <c r="AF625" s="441"/>
      <c r="AG625" s="441"/>
      <c r="AH625" s="441"/>
      <c r="AI625" s="441"/>
      <c r="AJ625" s="441"/>
      <c r="AK625" s="450"/>
      <c r="AL625" s="440"/>
      <c r="AM625" s="441"/>
      <c r="AN625" s="441"/>
      <c r="AO625" s="441"/>
      <c r="AP625" s="441"/>
      <c r="AQ625" s="441"/>
      <c r="AR625" s="450"/>
      <c r="AS625" s="485"/>
      <c r="AT625" s="486"/>
      <c r="AU625" s="486"/>
      <c r="AV625" s="486"/>
      <c r="AW625" s="486"/>
      <c r="AX625" s="486"/>
      <c r="AY625" s="487"/>
      <c r="AZ625" s="462"/>
      <c r="BA625" s="463"/>
      <c r="BB625" s="61">
        <v>3</v>
      </c>
      <c r="BC625" s="418"/>
      <c r="BD625" s="419"/>
      <c r="BE625" s="419"/>
      <c r="BF625" s="420"/>
      <c r="BG625" s="421"/>
      <c r="BH625" s="422"/>
      <c r="BI625" s="195"/>
      <c r="BJ625" s="423"/>
      <c r="BK625" s="424"/>
      <c r="BL625" s="424"/>
      <c r="BM625" s="424"/>
      <c r="BN625" s="424"/>
      <c r="BO625" s="425"/>
      <c r="BP625" s="423"/>
      <c r="BQ625" s="424"/>
      <c r="BR625" s="424"/>
      <c r="BS625" s="424"/>
      <c r="BT625" s="424"/>
      <c r="BU625" s="425"/>
      <c r="BV625" s="423"/>
      <c r="BW625" s="424"/>
      <c r="BX625" s="424"/>
      <c r="BY625" s="424"/>
      <c r="BZ625" s="424"/>
      <c r="CA625" s="425"/>
      <c r="CB625" s="418"/>
      <c r="CC625" s="419"/>
      <c r="CD625" s="419"/>
      <c r="CE625" s="420"/>
      <c r="CF625" s="412"/>
      <c r="CG625" s="413"/>
      <c r="CH625" s="413"/>
      <c r="CI625" s="413"/>
      <c r="CJ625" s="414"/>
      <c r="CK625" s="412"/>
      <c r="CL625" s="413"/>
      <c r="CM625" s="413"/>
      <c r="CN625" s="413"/>
      <c r="CO625" s="414"/>
      <c r="CP625" s="412"/>
      <c r="CQ625" s="413"/>
      <c r="CR625" s="413"/>
      <c r="CS625" s="413"/>
      <c r="CT625" s="414"/>
      <c r="CU625" s="415"/>
      <c r="CV625" s="416"/>
      <c r="CW625" s="416"/>
      <c r="CX625" s="416"/>
      <c r="CY625" s="417"/>
    </row>
    <row r="626" spans="1:103" ht="16.5">
      <c r="A626" s="435"/>
      <c r="B626" s="36"/>
      <c r="C626" s="199" t="str">
        <f t="shared" ca="1" si="11"/>
        <v/>
      </c>
      <c r="D626" s="479"/>
      <c r="E626" s="480"/>
      <c r="F626" s="480"/>
      <c r="G626" s="480"/>
      <c r="H626" s="480"/>
      <c r="I626" s="480"/>
      <c r="J626" s="480"/>
      <c r="K626" s="440"/>
      <c r="L626" s="441"/>
      <c r="M626" s="441"/>
      <c r="N626" s="441"/>
      <c r="O626" s="441"/>
      <c r="P626" s="441"/>
      <c r="Q626" s="441"/>
      <c r="R626" s="444"/>
      <c r="S626" s="445"/>
      <c r="T626" s="444"/>
      <c r="U626" s="445"/>
      <c r="V626" s="440"/>
      <c r="W626" s="441"/>
      <c r="X626" s="441"/>
      <c r="Y626" s="441"/>
      <c r="Z626" s="441"/>
      <c r="AA626" s="441"/>
      <c r="AB626" s="441"/>
      <c r="AC626" s="441"/>
      <c r="AD626" s="440"/>
      <c r="AE626" s="441"/>
      <c r="AF626" s="441"/>
      <c r="AG626" s="441"/>
      <c r="AH626" s="441"/>
      <c r="AI626" s="441"/>
      <c r="AJ626" s="441"/>
      <c r="AK626" s="450"/>
      <c r="AL626" s="440"/>
      <c r="AM626" s="441"/>
      <c r="AN626" s="441"/>
      <c r="AO626" s="441"/>
      <c r="AP626" s="441"/>
      <c r="AQ626" s="441"/>
      <c r="AR626" s="450"/>
      <c r="AS626" s="485"/>
      <c r="AT626" s="486"/>
      <c r="AU626" s="486"/>
      <c r="AV626" s="486"/>
      <c r="AW626" s="486"/>
      <c r="AX626" s="486"/>
      <c r="AY626" s="487"/>
      <c r="AZ626" s="462"/>
      <c r="BA626" s="463"/>
      <c r="BB626" s="61">
        <v>4</v>
      </c>
      <c r="BC626" s="418"/>
      <c r="BD626" s="419"/>
      <c r="BE626" s="419"/>
      <c r="BF626" s="420"/>
      <c r="BG626" s="421"/>
      <c r="BH626" s="422"/>
      <c r="BI626" s="195"/>
      <c r="BJ626" s="423"/>
      <c r="BK626" s="424"/>
      <c r="BL626" s="424"/>
      <c r="BM626" s="424"/>
      <c r="BN626" s="424"/>
      <c r="BO626" s="425"/>
      <c r="BP626" s="423"/>
      <c r="BQ626" s="424"/>
      <c r="BR626" s="424"/>
      <c r="BS626" s="424"/>
      <c r="BT626" s="424"/>
      <c r="BU626" s="425"/>
      <c r="BV626" s="423"/>
      <c r="BW626" s="424"/>
      <c r="BX626" s="424"/>
      <c r="BY626" s="424"/>
      <c r="BZ626" s="424"/>
      <c r="CA626" s="425"/>
      <c r="CB626" s="418"/>
      <c r="CC626" s="419"/>
      <c r="CD626" s="419"/>
      <c r="CE626" s="420"/>
      <c r="CF626" s="412"/>
      <c r="CG626" s="413"/>
      <c r="CH626" s="413"/>
      <c r="CI626" s="413"/>
      <c r="CJ626" s="414"/>
      <c r="CK626" s="412"/>
      <c r="CL626" s="413"/>
      <c r="CM626" s="413"/>
      <c r="CN626" s="413"/>
      <c r="CO626" s="414"/>
      <c r="CP626" s="412"/>
      <c r="CQ626" s="413"/>
      <c r="CR626" s="413"/>
      <c r="CS626" s="413"/>
      <c r="CT626" s="414"/>
      <c r="CU626" s="415"/>
      <c r="CV626" s="416"/>
      <c r="CW626" s="416"/>
      <c r="CX626" s="416"/>
      <c r="CY626" s="417"/>
    </row>
    <row r="627" spans="1:103" ht="16.5">
      <c r="A627" s="435"/>
      <c r="B627" s="36"/>
      <c r="C627" s="199" t="str">
        <f t="shared" ca="1" si="11"/>
        <v/>
      </c>
      <c r="D627" s="479"/>
      <c r="E627" s="480"/>
      <c r="F627" s="480"/>
      <c r="G627" s="480"/>
      <c r="H627" s="480"/>
      <c r="I627" s="480"/>
      <c r="J627" s="480"/>
      <c r="K627" s="440"/>
      <c r="L627" s="441"/>
      <c r="M627" s="441"/>
      <c r="N627" s="441"/>
      <c r="O627" s="441"/>
      <c r="P627" s="441"/>
      <c r="Q627" s="441"/>
      <c r="R627" s="444"/>
      <c r="S627" s="445"/>
      <c r="T627" s="444"/>
      <c r="U627" s="445"/>
      <c r="V627" s="440"/>
      <c r="W627" s="441"/>
      <c r="X627" s="441"/>
      <c r="Y627" s="441"/>
      <c r="Z627" s="441"/>
      <c r="AA627" s="441"/>
      <c r="AB627" s="441"/>
      <c r="AC627" s="441"/>
      <c r="AD627" s="440"/>
      <c r="AE627" s="441"/>
      <c r="AF627" s="441"/>
      <c r="AG627" s="441"/>
      <c r="AH627" s="441"/>
      <c r="AI627" s="441"/>
      <c r="AJ627" s="441"/>
      <c r="AK627" s="450"/>
      <c r="AL627" s="440"/>
      <c r="AM627" s="441"/>
      <c r="AN627" s="441"/>
      <c r="AO627" s="441"/>
      <c r="AP627" s="441"/>
      <c r="AQ627" s="441"/>
      <c r="AR627" s="450"/>
      <c r="AS627" s="485"/>
      <c r="AT627" s="486"/>
      <c r="AU627" s="486"/>
      <c r="AV627" s="486"/>
      <c r="AW627" s="486"/>
      <c r="AX627" s="486"/>
      <c r="AY627" s="487"/>
      <c r="AZ627" s="462"/>
      <c r="BA627" s="463"/>
      <c r="BB627" s="61">
        <v>5</v>
      </c>
      <c r="BC627" s="418"/>
      <c r="BD627" s="419"/>
      <c r="BE627" s="419"/>
      <c r="BF627" s="420"/>
      <c r="BG627" s="421"/>
      <c r="BH627" s="422"/>
      <c r="BI627" s="195"/>
      <c r="BJ627" s="423"/>
      <c r="BK627" s="424"/>
      <c r="BL627" s="424"/>
      <c r="BM627" s="424"/>
      <c r="BN627" s="424"/>
      <c r="BO627" s="425"/>
      <c r="BP627" s="423"/>
      <c r="BQ627" s="424"/>
      <c r="BR627" s="424"/>
      <c r="BS627" s="424"/>
      <c r="BT627" s="424"/>
      <c r="BU627" s="425"/>
      <c r="BV627" s="423"/>
      <c r="BW627" s="424"/>
      <c r="BX627" s="424"/>
      <c r="BY627" s="424"/>
      <c r="BZ627" s="424"/>
      <c r="CA627" s="425"/>
      <c r="CB627" s="418"/>
      <c r="CC627" s="419"/>
      <c r="CD627" s="419"/>
      <c r="CE627" s="420"/>
      <c r="CF627" s="412"/>
      <c r="CG627" s="413"/>
      <c r="CH627" s="413"/>
      <c r="CI627" s="413"/>
      <c r="CJ627" s="414"/>
      <c r="CK627" s="412"/>
      <c r="CL627" s="413"/>
      <c r="CM627" s="413"/>
      <c r="CN627" s="413"/>
      <c r="CO627" s="414"/>
      <c r="CP627" s="412"/>
      <c r="CQ627" s="413"/>
      <c r="CR627" s="413"/>
      <c r="CS627" s="413"/>
      <c r="CT627" s="414"/>
      <c r="CU627" s="415"/>
      <c r="CV627" s="416"/>
      <c r="CW627" s="416"/>
      <c r="CX627" s="416"/>
      <c r="CY627" s="417"/>
    </row>
    <row r="628" spans="1:103" ht="16.5">
      <c r="A628" s="436"/>
      <c r="B628" s="37"/>
      <c r="C628" s="200" t="str">
        <f t="shared" ca="1" si="11"/>
        <v/>
      </c>
      <c r="D628" s="481"/>
      <c r="E628" s="482"/>
      <c r="F628" s="482"/>
      <c r="G628" s="482"/>
      <c r="H628" s="482"/>
      <c r="I628" s="482"/>
      <c r="J628" s="482"/>
      <c r="K628" s="409"/>
      <c r="L628" s="410"/>
      <c r="M628" s="410"/>
      <c r="N628" s="410"/>
      <c r="O628" s="410"/>
      <c r="P628" s="410"/>
      <c r="Q628" s="410"/>
      <c r="R628" s="446"/>
      <c r="S628" s="447"/>
      <c r="T628" s="446"/>
      <c r="U628" s="447"/>
      <c r="V628" s="409"/>
      <c r="W628" s="410"/>
      <c r="X628" s="410"/>
      <c r="Y628" s="410"/>
      <c r="Z628" s="410"/>
      <c r="AA628" s="410"/>
      <c r="AB628" s="410"/>
      <c r="AC628" s="410"/>
      <c r="AD628" s="409"/>
      <c r="AE628" s="410"/>
      <c r="AF628" s="410"/>
      <c r="AG628" s="410"/>
      <c r="AH628" s="410"/>
      <c r="AI628" s="410"/>
      <c r="AJ628" s="410"/>
      <c r="AK628" s="411"/>
      <c r="AL628" s="409"/>
      <c r="AM628" s="410"/>
      <c r="AN628" s="410"/>
      <c r="AO628" s="410"/>
      <c r="AP628" s="410"/>
      <c r="AQ628" s="410"/>
      <c r="AR628" s="411"/>
      <c r="AS628" s="488"/>
      <c r="AT628" s="489"/>
      <c r="AU628" s="489"/>
      <c r="AV628" s="489"/>
      <c r="AW628" s="489"/>
      <c r="AX628" s="489"/>
      <c r="AY628" s="490"/>
      <c r="AZ628" s="464"/>
      <c r="BA628" s="465"/>
      <c r="BB628" s="62">
        <v>6</v>
      </c>
      <c r="BC628" s="426"/>
      <c r="BD628" s="427"/>
      <c r="BE628" s="427"/>
      <c r="BF628" s="428"/>
      <c r="BG628" s="429"/>
      <c r="BH628" s="430"/>
      <c r="BI628" s="196"/>
      <c r="BJ628" s="474"/>
      <c r="BK628" s="475"/>
      <c r="BL628" s="475"/>
      <c r="BM628" s="475"/>
      <c r="BN628" s="475"/>
      <c r="BO628" s="476"/>
      <c r="BP628" s="474"/>
      <c r="BQ628" s="475"/>
      <c r="BR628" s="475"/>
      <c r="BS628" s="475"/>
      <c r="BT628" s="475"/>
      <c r="BU628" s="476"/>
      <c r="BV628" s="474"/>
      <c r="BW628" s="475"/>
      <c r="BX628" s="475"/>
      <c r="BY628" s="475"/>
      <c r="BZ628" s="475"/>
      <c r="CA628" s="476"/>
      <c r="CB628" s="426"/>
      <c r="CC628" s="427"/>
      <c r="CD628" s="427"/>
      <c r="CE628" s="428"/>
      <c r="CF628" s="412"/>
      <c r="CG628" s="413"/>
      <c r="CH628" s="413"/>
      <c r="CI628" s="413"/>
      <c r="CJ628" s="414"/>
      <c r="CK628" s="412"/>
      <c r="CL628" s="413"/>
      <c r="CM628" s="413"/>
      <c r="CN628" s="413"/>
      <c r="CO628" s="414"/>
      <c r="CP628" s="412"/>
      <c r="CQ628" s="413"/>
      <c r="CR628" s="413"/>
      <c r="CS628" s="413"/>
      <c r="CT628" s="414"/>
      <c r="CU628" s="415"/>
      <c r="CV628" s="416"/>
      <c r="CW628" s="416"/>
      <c r="CX628" s="416"/>
      <c r="CY628" s="417"/>
    </row>
    <row r="629" spans="1:103" ht="16.5">
      <c r="A629" s="434">
        <v>104</v>
      </c>
      <c r="B629" s="36"/>
      <c r="C629" s="198" t="str">
        <f t="shared" ca="1" si="11"/>
        <v/>
      </c>
      <c r="D629" s="477"/>
      <c r="E629" s="478"/>
      <c r="F629" s="478"/>
      <c r="G629" s="478"/>
      <c r="H629" s="478"/>
      <c r="I629" s="478"/>
      <c r="J629" s="478"/>
      <c r="K629" s="438" t="s">
        <v>463</v>
      </c>
      <c r="L629" s="439"/>
      <c r="M629" s="439"/>
      <c r="N629" s="439"/>
      <c r="O629" s="439"/>
      <c r="P629" s="439"/>
      <c r="Q629" s="439"/>
      <c r="R629" s="442" t="s">
        <v>186</v>
      </c>
      <c r="S629" s="443"/>
      <c r="T629" s="442"/>
      <c r="U629" s="443"/>
      <c r="V629" s="438"/>
      <c r="W629" s="439"/>
      <c r="X629" s="439"/>
      <c r="Y629" s="439"/>
      <c r="Z629" s="439"/>
      <c r="AA629" s="439"/>
      <c r="AB629" s="439"/>
      <c r="AC629" s="439"/>
      <c r="AD629" s="438"/>
      <c r="AE629" s="439"/>
      <c r="AF629" s="439"/>
      <c r="AG629" s="439"/>
      <c r="AH629" s="439"/>
      <c r="AI629" s="439"/>
      <c r="AJ629" s="439"/>
      <c r="AK629" s="449"/>
      <c r="AL629" s="438"/>
      <c r="AM629" s="439"/>
      <c r="AN629" s="439"/>
      <c r="AO629" s="439"/>
      <c r="AP629" s="439"/>
      <c r="AQ629" s="439"/>
      <c r="AR629" s="449"/>
      <c r="AS629" s="500"/>
      <c r="AT629" s="483"/>
      <c r="AU629" s="483"/>
      <c r="AV629" s="483"/>
      <c r="AW629" s="483"/>
      <c r="AX629" s="483"/>
      <c r="AY629" s="484"/>
      <c r="AZ629" s="460"/>
      <c r="BA629" s="461"/>
      <c r="BB629" s="60">
        <v>1</v>
      </c>
      <c r="BC629" s="466"/>
      <c r="BD629" s="467"/>
      <c r="BE629" s="467"/>
      <c r="BF629" s="468"/>
      <c r="BG629" s="469"/>
      <c r="BH629" s="470"/>
      <c r="BI629" s="194"/>
      <c r="BJ629" s="471"/>
      <c r="BK629" s="472"/>
      <c r="BL629" s="472"/>
      <c r="BM629" s="472"/>
      <c r="BN629" s="472"/>
      <c r="BO629" s="473"/>
      <c r="BP629" s="471"/>
      <c r="BQ629" s="472"/>
      <c r="BR629" s="472"/>
      <c r="BS629" s="472"/>
      <c r="BT629" s="472"/>
      <c r="BU629" s="473"/>
      <c r="BV629" s="471"/>
      <c r="BW629" s="472"/>
      <c r="BX629" s="472"/>
      <c r="BY629" s="472"/>
      <c r="BZ629" s="472"/>
      <c r="CA629" s="473"/>
      <c r="CB629" s="466"/>
      <c r="CC629" s="467"/>
      <c r="CD629" s="467"/>
      <c r="CE629" s="468"/>
      <c r="CF629" s="409"/>
      <c r="CG629" s="410"/>
      <c r="CH629" s="410"/>
      <c r="CI629" s="410"/>
      <c r="CJ629" s="411"/>
      <c r="CK629" s="409"/>
      <c r="CL629" s="410"/>
      <c r="CM629" s="410"/>
      <c r="CN629" s="410"/>
      <c r="CO629" s="411"/>
      <c r="CP629" s="409"/>
      <c r="CQ629" s="410"/>
      <c r="CR629" s="410"/>
      <c r="CS629" s="410"/>
      <c r="CT629" s="411"/>
      <c r="CU629" s="415"/>
      <c r="CV629" s="416"/>
      <c r="CW629" s="416"/>
      <c r="CX629" s="416"/>
      <c r="CY629" s="417"/>
    </row>
    <row r="630" spans="1:103" ht="16.5">
      <c r="A630" s="435"/>
      <c r="B630" s="36"/>
      <c r="C630" s="199" t="str">
        <f t="shared" ca="1" si="11"/>
        <v/>
      </c>
      <c r="D630" s="479"/>
      <c r="E630" s="480"/>
      <c r="F630" s="480"/>
      <c r="G630" s="480"/>
      <c r="H630" s="480"/>
      <c r="I630" s="480"/>
      <c r="J630" s="480"/>
      <c r="K630" s="440"/>
      <c r="L630" s="441"/>
      <c r="M630" s="441"/>
      <c r="N630" s="441"/>
      <c r="O630" s="441"/>
      <c r="P630" s="441"/>
      <c r="Q630" s="441"/>
      <c r="R630" s="444"/>
      <c r="S630" s="445"/>
      <c r="T630" s="444"/>
      <c r="U630" s="445"/>
      <c r="V630" s="440"/>
      <c r="W630" s="441"/>
      <c r="X630" s="441"/>
      <c r="Y630" s="441"/>
      <c r="Z630" s="441"/>
      <c r="AA630" s="441"/>
      <c r="AB630" s="441"/>
      <c r="AC630" s="441"/>
      <c r="AD630" s="440"/>
      <c r="AE630" s="441"/>
      <c r="AF630" s="441"/>
      <c r="AG630" s="441"/>
      <c r="AH630" s="441"/>
      <c r="AI630" s="441"/>
      <c r="AJ630" s="441"/>
      <c r="AK630" s="450"/>
      <c r="AL630" s="440"/>
      <c r="AM630" s="441"/>
      <c r="AN630" s="441"/>
      <c r="AO630" s="441"/>
      <c r="AP630" s="441"/>
      <c r="AQ630" s="441"/>
      <c r="AR630" s="450"/>
      <c r="AS630" s="485"/>
      <c r="AT630" s="486"/>
      <c r="AU630" s="486"/>
      <c r="AV630" s="486"/>
      <c r="AW630" s="486"/>
      <c r="AX630" s="486"/>
      <c r="AY630" s="487"/>
      <c r="AZ630" s="462"/>
      <c r="BA630" s="463"/>
      <c r="BB630" s="61">
        <v>2</v>
      </c>
      <c r="BC630" s="418"/>
      <c r="BD630" s="419"/>
      <c r="BE630" s="419"/>
      <c r="BF630" s="420"/>
      <c r="BG630" s="421"/>
      <c r="BH630" s="422"/>
      <c r="BI630" s="195"/>
      <c r="BJ630" s="423"/>
      <c r="BK630" s="424"/>
      <c r="BL630" s="424"/>
      <c r="BM630" s="424"/>
      <c r="BN630" s="424"/>
      <c r="BO630" s="425"/>
      <c r="BP630" s="423"/>
      <c r="BQ630" s="424"/>
      <c r="BR630" s="424"/>
      <c r="BS630" s="424"/>
      <c r="BT630" s="424"/>
      <c r="BU630" s="425"/>
      <c r="BV630" s="423"/>
      <c r="BW630" s="424"/>
      <c r="BX630" s="424"/>
      <c r="BY630" s="424"/>
      <c r="BZ630" s="424"/>
      <c r="CA630" s="425"/>
      <c r="CB630" s="418"/>
      <c r="CC630" s="419"/>
      <c r="CD630" s="419"/>
      <c r="CE630" s="420"/>
      <c r="CF630" s="412"/>
      <c r="CG630" s="413"/>
      <c r="CH630" s="413"/>
      <c r="CI630" s="413"/>
      <c r="CJ630" s="414"/>
      <c r="CK630" s="412"/>
      <c r="CL630" s="413"/>
      <c r="CM630" s="413"/>
      <c r="CN630" s="413"/>
      <c r="CO630" s="414"/>
      <c r="CP630" s="412"/>
      <c r="CQ630" s="413"/>
      <c r="CR630" s="413"/>
      <c r="CS630" s="413"/>
      <c r="CT630" s="414"/>
      <c r="CU630" s="415"/>
      <c r="CV630" s="416"/>
      <c r="CW630" s="416"/>
      <c r="CX630" s="416"/>
      <c r="CY630" s="417"/>
    </row>
    <row r="631" spans="1:103" ht="16.5">
      <c r="A631" s="435"/>
      <c r="B631" s="36"/>
      <c r="C631" s="199" t="str">
        <f t="shared" ca="1" si="11"/>
        <v/>
      </c>
      <c r="D631" s="479"/>
      <c r="E631" s="480"/>
      <c r="F631" s="480"/>
      <c r="G631" s="480"/>
      <c r="H631" s="480"/>
      <c r="I631" s="480"/>
      <c r="J631" s="480"/>
      <c r="K631" s="440"/>
      <c r="L631" s="441"/>
      <c r="M631" s="441"/>
      <c r="N631" s="441"/>
      <c r="O631" s="441"/>
      <c r="P631" s="441"/>
      <c r="Q631" s="441"/>
      <c r="R631" s="444"/>
      <c r="S631" s="445"/>
      <c r="T631" s="444"/>
      <c r="U631" s="445"/>
      <c r="V631" s="440"/>
      <c r="W631" s="441"/>
      <c r="X631" s="441"/>
      <c r="Y631" s="441"/>
      <c r="Z631" s="441"/>
      <c r="AA631" s="441"/>
      <c r="AB631" s="441"/>
      <c r="AC631" s="441"/>
      <c r="AD631" s="440"/>
      <c r="AE631" s="441"/>
      <c r="AF631" s="441"/>
      <c r="AG631" s="441"/>
      <c r="AH631" s="441"/>
      <c r="AI631" s="441"/>
      <c r="AJ631" s="441"/>
      <c r="AK631" s="450"/>
      <c r="AL631" s="440"/>
      <c r="AM631" s="441"/>
      <c r="AN631" s="441"/>
      <c r="AO631" s="441"/>
      <c r="AP631" s="441"/>
      <c r="AQ631" s="441"/>
      <c r="AR631" s="450"/>
      <c r="AS631" s="485"/>
      <c r="AT631" s="486"/>
      <c r="AU631" s="486"/>
      <c r="AV631" s="486"/>
      <c r="AW631" s="486"/>
      <c r="AX631" s="486"/>
      <c r="AY631" s="487"/>
      <c r="AZ631" s="462"/>
      <c r="BA631" s="463"/>
      <c r="BB631" s="61">
        <v>3</v>
      </c>
      <c r="BC631" s="418"/>
      <c r="BD631" s="419"/>
      <c r="BE631" s="419"/>
      <c r="BF631" s="420"/>
      <c r="BG631" s="421"/>
      <c r="BH631" s="422"/>
      <c r="BI631" s="195"/>
      <c r="BJ631" s="423"/>
      <c r="BK631" s="424"/>
      <c r="BL631" s="424"/>
      <c r="BM631" s="424"/>
      <c r="BN631" s="424"/>
      <c r="BO631" s="425"/>
      <c r="BP631" s="423"/>
      <c r="BQ631" s="424"/>
      <c r="BR631" s="424"/>
      <c r="BS631" s="424"/>
      <c r="BT631" s="424"/>
      <c r="BU631" s="425"/>
      <c r="BV631" s="423"/>
      <c r="BW631" s="424"/>
      <c r="BX631" s="424"/>
      <c r="BY631" s="424"/>
      <c r="BZ631" s="424"/>
      <c r="CA631" s="425"/>
      <c r="CB631" s="418"/>
      <c r="CC631" s="419"/>
      <c r="CD631" s="419"/>
      <c r="CE631" s="420"/>
      <c r="CF631" s="412"/>
      <c r="CG631" s="413"/>
      <c r="CH631" s="413"/>
      <c r="CI631" s="413"/>
      <c r="CJ631" s="414"/>
      <c r="CK631" s="412"/>
      <c r="CL631" s="413"/>
      <c r="CM631" s="413"/>
      <c r="CN631" s="413"/>
      <c r="CO631" s="414"/>
      <c r="CP631" s="412"/>
      <c r="CQ631" s="413"/>
      <c r="CR631" s="413"/>
      <c r="CS631" s="413"/>
      <c r="CT631" s="414"/>
      <c r="CU631" s="415"/>
      <c r="CV631" s="416"/>
      <c r="CW631" s="416"/>
      <c r="CX631" s="416"/>
      <c r="CY631" s="417"/>
    </row>
    <row r="632" spans="1:103" ht="16.5">
      <c r="A632" s="435"/>
      <c r="B632" s="36"/>
      <c r="C632" s="199" t="str">
        <f t="shared" ca="1" si="11"/>
        <v/>
      </c>
      <c r="D632" s="479"/>
      <c r="E632" s="480"/>
      <c r="F632" s="480"/>
      <c r="G632" s="480"/>
      <c r="H632" s="480"/>
      <c r="I632" s="480"/>
      <c r="J632" s="480"/>
      <c r="K632" s="440"/>
      <c r="L632" s="441"/>
      <c r="M632" s="441"/>
      <c r="N632" s="441"/>
      <c r="O632" s="441"/>
      <c r="P632" s="441"/>
      <c r="Q632" s="441"/>
      <c r="R632" s="444"/>
      <c r="S632" s="445"/>
      <c r="T632" s="444"/>
      <c r="U632" s="445"/>
      <c r="V632" s="440"/>
      <c r="W632" s="441"/>
      <c r="X632" s="441"/>
      <c r="Y632" s="441"/>
      <c r="Z632" s="441"/>
      <c r="AA632" s="441"/>
      <c r="AB632" s="441"/>
      <c r="AC632" s="441"/>
      <c r="AD632" s="440"/>
      <c r="AE632" s="441"/>
      <c r="AF632" s="441"/>
      <c r="AG632" s="441"/>
      <c r="AH632" s="441"/>
      <c r="AI632" s="441"/>
      <c r="AJ632" s="441"/>
      <c r="AK632" s="450"/>
      <c r="AL632" s="440"/>
      <c r="AM632" s="441"/>
      <c r="AN632" s="441"/>
      <c r="AO632" s="441"/>
      <c r="AP632" s="441"/>
      <c r="AQ632" s="441"/>
      <c r="AR632" s="450"/>
      <c r="AS632" s="485"/>
      <c r="AT632" s="486"/>
      <c r="AU632" s="486"/>
      <c r="AV632" s="486"/>
      <c r="AW632" s="486"/>
      <c r="AX632" s="486"/>
      <c r="AY632" s="487"/>
      <c r="AZ632" s="462"/>
      <c r="BA632" s="463"/>
      <c r="BB632" s="61">
        <v>4</v>
      </c>
      <c r="BC632" s="418"/>
      <c r="BD632" s="419"/>
      <c r="BE632" s="419"/>
      <c r="BF632" s="420"/>
      <c r="BG632" s="421"/>
      <c r="BH632" s="422"/>
      <c r="BI632" s="195"/>
      <c r="BJ632" s="423"/>
      <c r="BK632" s="424"/>
      <c r="BL632" s="424"/>
      <c r="BM632" s="424"/>
      <c r="BN632" s="424"/>
      <c r="BO632" s="425"/>
      <c r="BP632" s="423"/>
      <c r="BQ632" s="424"/>
      <c r="BR632" s="424"/>
      <c r="BS632" s="424"/>
      <c r="BT632" s="424"/>
      <c r="BU632" s="425"/>
      <c r="BV632" s="423"/>
      <c r="BW632" s="424"/>
      <c r="BX632" s="424"/>
      <c r="BY632" s="424"/>
      <c r="BZ632" s="424"/>
      <c r="CA632" s="425"/>
      <c r="CB632" s="418"/>
      <c r="CC632" s="419"/>
      <c r="CD632" s="419"/>
      <c r="CE632" s="420"/>
      <c r="CF632" s="412"/>
      <c r="CG632" s="413"/>
      <c r="CH632" s="413"/>
      <c r="CI632" s="413"/>
      <c r="CJ632" s="414"/>
      <c r="CK632" s="412"/>
      <c r="CL632" s="413"/>
      <c r="CM632" s="413"/>
      <c r="CN632" s="413"/>
      <c r="CO632" s="414"/>
      <c r="CP632" s="412"/>
      <c r="CQ632" s="413"/>
      <c r="CR632" s="413"/>
      <c r="CS632" s="413"/>
      <c r="CT632" s="414"/>
      <c r="CU632" s="415"/>
      <c r="CV632" s="416"/>
      <c r="CW632" s="416"/>
      <c r="CX632" s="416"/>
      <c r="CY632" s="417"/>
    </row>
    <row r="633" spans="1:103" ht="16.5">
      <c r="A633" s="435"/>
      <c r="B633" s="36"/>
      <c r="C633" s="199" t="str">
        <f t="shared" ca="1" si="11"/>
        <v/>
      </c>
      <c r="D633" s="479"/>
      <c r="E633" s="480"/>
      <c r="F633" s="480"/>
      <c r="G633" s="480"/>
      <c r="H633" s="480"/>
      <c r="I633" s="480"/>
      <c r="J633" s="480"/>
      <c r="K633" s="440"/>
      <c r="L633" s="441"/>
      <c r="M633" s="441"/>
      <c r="N633" s="441"/>
      <c r="O633" s="441"/>
      <c r="P633" s="441"/>
      <c r="Q633" s="441"/>
      <c r="R633" s="444"/>
      <c r="S633" s="445"/>
      <c r="T633" s="444"/>
      <c r="U633" s="445"/>
      <c r="V633" s="440"/>
      <c r="W633" s="441"/>
      <c r="X633" s="441"/>
      <c r="Y633" s="441"/>
      <c r="Z633" s="441"/>
      <c r="AA633" s="441"/>
      <c r="AB633" s="441"/>
      <c r="AC633" s="441"/>
      <c r="AD633" s="440"/>
      <c r="AE633" s="441"/>
      <c r="AF633" s="441"/>
      <c r="AG633" s="441"/>
      <c r="AH633" s="441"/>
      <c r="AI633" s="441"/>
      <c r="AJ633" s="441"/>
      <c r="AK633" s="450"/>
      <c r="AL633" s="440"/>
      <c r="AM633" s="441"/>
      <c r="AN633" s="441"/>
      <c r="AO633" s="441"/>
      <c r="AP633" s="441"/>
      <c r="AQ633" s="441"/>
      <c r="AR633" s="450"/>
      <c r="AS633" s="485"/>
      <c r="AT633" s="486"/>
      <c r="AU633" s="486"/>
      <c r="AV633" s="486"/>
      <c r="AW633" s="486"/>
      <c r="AX633" s="486"/>
      <c r="AY633" s="487"/>
      <c r="AZ633" s="462"/>
      <c r="BA633" s="463"/>
      <c r="BB633" s="61">
        <v>5</v>
      </c>
      <c r="BC633" s="418"/>
      <c r="BD633" s="419"/>
      <c r="BE633" s="419"/>
      <c r="BF633" s="420"/>
      <c r="BG633" s="421"/>
      <c r="BH633" s="422"/>
      <c r="BI633" s="195"/>
      <c r="BJ633" s="423"/>
      <c r="BK633" s="424"/>
      <c r="BL633" s="424"/>
      <c r="BM633" s="424"/>
      <c r="BN633" s="424"/>
      <c r="BO633" s="425"/>
      <c r="BP633" s="423"/>
      <c r="BQ633" s="424"/>
      <c r="BR633" s="424"/>
      <c r="BS633" s="424"/>
      <c r="BT633" s="424"/>
      <c r="BU633" s="425"/>
      <c r="BV633" s="423"/>
      <c r="BW633" s="424"/>
      <c r="BX633" s="424"/>
      <c r="BY633" s="424"/>
      <c r="BZ633" s="424"/>
      <c r="CA633" s="425"/>
      <c r="CB633" s="418"/>
      <c r="CC633" s="419"/>
      <c r="CD633" s="419"/>
      <c r="CE633" s="420"/>
      <c r="CF633" s="412"/>
      <c r="CG633" s="413"/>
      <c r="CH633" s="413"/>
      <c r="CI633" s="413"/>
      <c r="CJ633" s="414"/>
      <c r="CK633" s="412"/>
      <c r="CL633" s="413"/>
      <c r="CM633" s="413"/>
      <c r="CN633" s="413"/>
      <c r="CO633" s="414"/>
      <c r="CP633" s="412"/>
      <c r="CQ633" s="413"/>
      <c r="CR633" s="413"/>
      <c r="CS633" s="413"/>
      <c r="CT633" s="414"/>
      <c r="CU633" s="415"/>
      <c r="CV633" s="416"/>
      <c r="CW633" s="416"/>
      <c r="CX633" s="416"/>
      <c r="CY633" s="417"/>
    </row>
    <row r="634" spans="1:103" ht="16.5">
      <c r="A634" s="436"/>
      <c r="B634" s="37"/>
      <c r="C634" s="200" t="str">
        <f t="shared" ca="1" si="11"/>
        <v/>
      </c>
      <c r="D634" s="481"/>
      <c r="E634" s="482"/>
      <c r="F634" s="482"/>
      <c r="G634" s="482"/>
      <c r="H634" s="482"/>
      <c r="I634" s="482"/>
      <c r="J634" s="482"/>
      <c r="K634" s="409"/>
      <c r="L634" s="410"/>
      <c r="M634" s="410"/>
      <c r="N634" s="410"/>
      <c r="O634" s="410"/>
      <c r="P634" s="410"/>
      <c r="Q634" s="410"/>
      <c r="R634" s="446"/>
      <c r="S634" s="447"/>
      <c r="T634" s="446"/>
      <c r="U634" s="447"/>
      <c r="V634" s="409"/>
      <c r="W634" s="410"/>
      <c r="X634" s="410"/>
      <c r="Y634" s="410"/>
      <c r="Z634" s="410"/>
      <c r="AA634" s="410"/>
      <c r="AB634" s="410"/>
      <c r="AC634" s="410"/>
      <c r="AD634" s="409"/>
      <c r="AE634" s="410"/>
      <c r="AF634" s="410"/>
      <c r="AG634" s="410"/>
      <c r="AH634" s="410"/>
      <c r="AI634" s="410"/>
      <c r="AJ634" s="410"/>
      <c r="AK634" s="411"/>
      <c r="AL634" s="409"/>
      <c r="AM634" s="410"/>
      <c r="AN634" s="410"/>
      <c r="AO634" s="410"/>
      <c r="AP634" s="410"/>
      <c r="AQ634" s="410"/>
      <c r="AR634" s="411"/>
      <c r="AS634" s="488"/>
      <c r="AT634" s="489"/>
      <c r="AU634" s="489"/>
      <c r="AV634" s="489"/>
      <c r="AW634" s="489"/>
      <c r="AX634" s="489"/>
      <c r="AY634" s="490"/>
      <c r="AZ634" s="464"/>
      <c r="BA634" s="465"/>
      <c r="BB634" s="62">
        <v>6</v>
      </c>
      <c r="BC634" s="426"/>
      <c r="BD634" s="427"/>
      <c r="BE634" s="427"/>
      <c r="BF634" s="428"/>
      <c r="BG634" s="429"/>
      <c r="BH634" s="430"/>
      <c r="BI634" s="196"/>
      <c r="BJ634" s="474"/>
      <c r="BK634" s="475"/>
      <c r="BL634" s="475"/>
      <c r="BM634" s="475"/>
      <c r="BN634" s="475"/>
      <c r="BO634" s="476"/>
      <c r="BP634" s="474"/>
      <c r="BQ634" s="475"/>
      <c r="BR634" s="475"/>
      <c r="BS634" s="475"/>
      <c r="BT634" s="475"/>
      <c r="BU634" s="476"/>
      <c r="BV634" s="474"/>
      <c r="BW634" s="475"/>
      <c r="BX634" s="475"/>
      <c r="BY634" s="475"/>
      <c r="BZ634" s="475"/>
      <c r="CA634" s="476"/>
      <c r="CB634" s="426"/>
      <c r="CC634" s="427"/>
      <c r="CD634" s="427"/>
      <c r="CE634" s="428"/>
      <c r="CF634" s="412"/>
      <c r="CG634" s="413"/>
      <c r="CH634" s="413"/>
      <c r="CI634" s="413"/>
      <c r="CJ634" s="414"/>
      <c r="CK634" s="412"/>
      <c r="CL634" s="413"/>
      <c r="CM634" s="413"/>
      <c r="CN634" s="413"/>
      <c r="CO634" s="414"/>
      <c r="CP634" s="412"/>
      <c r="CQ634" s="413"/>
      <c r="CR634" s="413"/>
      <c r="CS634" s="413"/>
      <c r="CT634" s="414"/>
      <c r="CU634" s="415"/>
      <c r="CV634" s="416"/>
      <c r="CW634" s="416"/>
      <c r="CX634" s="416"/>
      <c r="CY634" s="417"/>
    </row>
    <row r="635" spans="1:103" ht="16.5">
      <c r="A635" s="434">
        <v>105</v>
      </c>
      <c r="B635" s="36"/>
      <c r="C635" s="198" t="str">
        <f t="shared" ca="1" si="11"/>
        <v/>
      </c>
      <c r="D635" s="477"/>
      <c r="E635" s="478"/>
      <c r="F635" s="478"/>
      <c r="G635" s="478"/>
      <c r="H635" s="478"/>
      <c r="I635" s="478"/>
      <c r="J635" s="478"/>
      <c r="K635" s="438" t="s">
        <v>464</v>
      </c>
      <c r="L635" s="439"/>
      <c r="M635" s="439"/>
      <c r="N635" s="439"/>
      <c r="O635" s="439"/>
      <c r="P635" s="439"/>
      <c r="Q635" s="439"/>
      <c r="R635" s="442" t="s">
        <v>186</v>
      </c>
      <c r="S635" s="443"/>
      <c r="T635" s="442"/>
      <c r="U635" s="443"/>
      <c r="V635" s="438"/>
      <c r="W635" s="439"/>
      <c r="X635" s="439"/>
      <c r="Y635" s="439"/>
      <c r="Z635" s="439"/>
      <c r="AA635" s="439"/>
      <c r="AB635" s="439"/>
      <c r="AC635" s="439"/>
      <c r="AD635" s="438"/>
      <c r="AE635" s="439"/>
      <c r="AF635" s="439"/>
      <c r="AG635" s="439"/>
      <c r="AH635" s="439"/>
      <c r="AI635" s="439"/>
      <c r="AJ635" s="439"/>
      <c r="AK635" s="449"/>
      <c r="AL635" s="438"/>
      <c r="AM635" s="439"/>
      <c r="AN635" s="439"/>
      <c r="AO635" s="439"/>
      <c r="AP635" s="439"/>
      <c r="AQ635" s="439"/>
      <c r="AR635" s="449"/>
      <c r="AS635" s="500"/>
      <c r="AT635" s="483"/>
      <c r="AU635" s="483"/>
      <c r="AV635" s="483"/>
      <c r="AW635" s="483"/>
      <c r="AX635" s="483"/>
      <c r="AY635" s="484"/>
      <c r="AZ635" s="460"/>
      <c r="BA635" s="461"/>
      <c r="BB635" s="60">
        <v>1</v>
      </c>
      <c r="BC635" s="466"/>
      <c r="BD635" s="467"/>
      <c r="BE635" s="467"/>
      <c r="BF635" s="468"/>
      <c r="BG635" s="469"/>
      <c r="BH635" s="470"/>
      <c r="BI635" s="194"/>
      <c r="BJ635" s="471"/>
      <c r="BK635" s="472"/>
      <c r="BL635" s="472"/>
      <c r="BM635" s="472"/>
      <c r="BN635" s="472"/>
      <c r="BO635" s="473"/>
      <c r="BP635" s="471"/>
      <c r="BQ635" s="472"/>
      <c r="BR635" s="472"/>
      <c r="BS635" s="472"/>
      <c r="BT635" s="472"/>
      <c r="BU635" s="473"/>
      <c r="BV635" s="471"/>
      <c r="BW635" s="472"/>
      <c r="BX635" s="472"/>
      <c r="BY635" s="472"/>
      <c r="BZ635" s="472"/>
      <c r="CA635" s="473"/>
      <c r="CB635" s="466"/>
      <c r="CC635" s="467"/>
      <c r="CD635" s="467"/>
      <c r="CE635" s="468"/>
      <c r="CF635" s="409"/>
      <c r="CG635" s="410"/>
      <c r="CH635" s="410"/>
      <c r="CI635" s="410"/>
      <c r="CJ635" s="411"/>
      <c r="CK635" s="409"/>
      <c r="CL635" s="410"/>
      <c r="CM635" s="410"/>
      <c r="CN635" s="410"/>
      <c r="CO635" s="411"/>
      <c r="CP635" s="409"/>
      <c r="CQ635" s="410"/>
      <c r="CR635" s="410"/>
      <c r="CS635" s="410"/>
      <c r="CT635" s="411"/>
      <c r="CU635" s="415"/>
      <c r="CV635" s="416"/>
      <c r="CW635" s="416"/>
      <c r="CX635" s="416"/>
      <c r="CY635" s="417"/>
    </row>
    <row r="636" spans="1:103" ht="16.5">
      <c r="A636" s="435"/>
      <c r="B636" s="36"/>
      <c r="C636" s="199" t="str">
        <f t="shared" ca="1" si="11"/>
        <v/>
      </c>
      <c r="D636" s="479"/>
      <c r="E636" s="480"/>
      <c r="F636" s="480"/>
      <c r="G636" s="480"/>
      <c r="H636" s="480"/>
      <c r="I636" s="480"/>
      <c r="J636" s="480"/>
      <c r="K636" s="440"/>
      <c r="L636" s="441"/>
      <c r="M636" s="441"/>
      <c r="N636" s="441"/>
      <c r="O636" s="441"/>
      <c r="P636" s="441"/>
      <c r="Q636" s="441"/>
      <c r="R636" s="444"/>
      <c r="S636" s="445"/>
      <c r="T636" s="444"/>
      <c r="U636" s="445"/>
      <c r="V636" s="440"/>
      <c r="W636" s="441"/>
      <c r="X636" s="441"/>
      <c r="Y636" s="441"/>
      <c r="Z636" s="441"/>
      <c r="AA636" s="441"/>
      <c r="AB636" s="441"/>
      <c r="AC636" s="441"/>
      <c r="AD636" s="440"/>
      <c r="AE636" s="441"/>
      <c r="AF636" s="441"/>
      <c r="AG636" s="441"/>
      <c r="AH636" s="441"/>
      <c r="AI636" s="441"/>
      <c r="AJ636" s="441"/>
      <c r="AK636" s="450"/>
      <c r="AL636" s="440"/>
      <c r="AM636" s="441"/>
      <c r="AN636" s="441"/>
      <c r="AO636" s="441"/>
      <c r="AP636" s="441"/>
      <c r="AQ636" s="441"/>
      <c r="AR636" s="450"/>
      <c r="AS636" s="485"/>
      <c r="AT636" s="486"/>
      <c r="AU636" s="486"/>
      <c r="AV636" s="486"/>
      <c r="AW636" s="486"/>
      <c r="AX636" s="486"/>
      <c r="AY636" s="487"/>
      <c r="AZ636" s="462"/>
      <c r="BA636" s="463"/>
      <c r="BB636" s="61">
        <v>2</v>
      </c>
      <c r="BC636" s="418"/>
      <c r="BD636" s="419"/>
      <c r="BE636" s="419"/>
      <c r="BF636" s="420"/>
      <c r="BG636" s="421"/>
      <c r="BH636" s="422"/>
      <c r="BI636" s="195"/>
      <c r="BJ636" s="423"/>
      <c r="BK636" s="424"/>
      <c r="BL636" s="424"/>
      <c r="BM636" s="424"/>
      <c r="BN636" s="424"/>
      <c r="BO636" s="425"/>
      <c r="BP636" s="423"/>
      <c r="BQ636" s="424"/>
      <c r="BR636" s="424"/>
      <c r="BS636" s="424"/>
      <c r="BT636" s="424"/>
      <c r="BU636" s="425"/>
      <c r="BV636" s="423"/>
      <c r="BW636" s="424"/>
      <c r="BX636" s="424"/>
      <c r="BY636" s="424"/>
      <c r="BZ636" s="424"/>
      <c r="CA636" s="425"/>
      <c r="CB636" s="418"/>
      <c r="CC636" s="419"/>
      <c r="CD636" s="419"/>
      <c r="CE636" s="420"/>
      <c r="CF636" s="412"/>
      <c r="CG636" s="413"/>
      <c r="CH636" s="413"/>
      <c r="CI636" s="413"/>
      <c r="CJ636" s="414"/>
      <c r="CK636" s="412"/>
      <c r="CL636" s="413"/>
      <c r="CM636" s="413"/>
      <c r="CN636" s="413"/>
      <c r="CO636" s="414"/>
      <c r="CP636" s="412"/>
      <c r="CQ636" s="413"/>
      <c r="CR636" s="413"/>
      <c r="CS636" s="413"/>
      <c r="CT636" s="414"/>
      <c r="CU636" s="415"/>
      <c r="CV636" s="416"/>
      <c r="CW636" s="416"/>
      <c r="CX636" s="416"/>
      <c r="CY636" s="417"/>
    </row>
    <row r="637" spans="1:103" ht="16.5">
      <c r="A637" s="435"/>
      <c r="B637" s="36"/>
      <c r="C637" s="199" t="str">
        <f t="shared" ca="1" si="11"/>
        <v/>
      </c>
      <c r="D637" s="479"/>
      <c r="E637" s="480"/>
      <c r="F637" s="480"/>
      <c r="G637" s="480"/>
      <c r="H637" s="480"/>
      <c r="I637" s="480"/>
      <c r="J637" s="480"/>
      <c r="K637" s="440"/>
      <c r="L637" s="441"/>
      <c r="M637" s="441"/>
      <c r="N637" s="441"/>
      <c r="O637" s="441"/>
      <c r="P637" s="441"/>
      <c r="Q637" s="441"/>
      <c r="R637" s="444"/>
      <c r="S637" s="445"/>
      <c r="T637" s="444"/>
      <c r="U637" s="445"/>
      <c r="V637" s="440"/>
      <c r="W637" s="441"/>
      <c r="X637" s="441"/>
      <c r="Y637" s="441"/>
      <c r="Z637" s="441"/>
      <c r="AA637" s="441"/>
      <c r="AB637" s="441"/>
      <c r="AC637" s="441"/>
      <c r="AD637" s="440"/>
      <c r="AE637" s="441"/>
      <c r="AF637" s="441"/>
      <c r="AG637" s="441"/>
      <c r="AH637" s="441"/>
      <c r="AI637" s="441"/>
      <c r="AJ637" s="441"/>
      <c r="AK637" s="450"/>
      <c r="AL637" s="440"/>
      <c r="AM637" s="441"/>
      <c r="AN637" s="441"/>
      <c r="AO637" s="441"/>
      <c r="AP637" s="441"/>
      <c r="AQ637" s="441"/>
      <c r="AR637" s="450"/>
      <c r="AS637" s="485"/>
      <c r="AT637" s="486"/>
      <c r="AU637" s="486"/>
      <c r="AV637" s="486"/>
      <c r="AW637" s="486"/>
      <c r="AX637" s="486"/>
      <c r="AY637" s="487"/>
      <c r="AZ637" s="462"/>
      <c r="BA637" s="463"/>
      <c r="BB637" s="61">
        <v>3</v>
      </c>
      <c r="BC637" s="418"/>
      <c r="BD637" s="419"/>
      <c r="BE637" s="419"/>
      <c r="BF637" s="420"/>
      <c r="BG637" s="421"/>
      <c r="BH637" s="422"/>
      <c r="BI637" s="195"/>
      <c r="BJ637" s="423"/>
      <c r="BK637" s="424"/>
      <c r="BL637" s="424"/>
      <c r="BM637" s="424"/>
      <c r="BN637" s="424"/>
      <c r="BO637" s="425"/>
      <c r="BP637" s="423"/>
      <c r="BQ637" s="424"/>
      <c r="BR637" s="424"/>
      <c r="BS637" s="424"/>
      <c r="BT637" s="424"/>
      <c r="BU637" s="425"/>
      <c r="BV637" s="423"/>
      <c r="BW637" s="424"/>
      <c r="BX637" s="424"/>
      <c r="BY637" s="424"/>
      <c r="BZ637" s="424"/>
      <c r="CA637" s="425"/>
      <c r="CB637" s="418"/>
      <c r="CC637" s="419"/>
      <c r="CD637" s="419"/>
      <c r="CE637" s="420"/>
      <c r="CF637" s="412"/>
      <c r="CG637" s="413"/>
      <c r="CH637" s="413"/>
      <c r="CI637" s="413"/>
      <c r="CJ637" s="414"/>
      <c r="CK637" s="412"/>
      <c r="CL637" s="413"/>
      <c r="CM637" s="413"/>
      <c r="CN637" s="413"/>
      <c r="CO637" s="414"/>
      <c r="CP637" s="412"/>
      <c r="CQ637" s="413"/>
      <c r="CR637" s="413"/>
      <c r="CS637" s="413"/>
      <c r="CT637" s="414"/>
      <c r="CU637" s="415"/>
      <c r="CV637" s="416"/>
      <c r="CW637" s="416"/>
      <c r="CX637" s="416"/>
      <c r="CY637" s="417"/>
    </row>
    <row r="638" spans="1:103" ht="16.5">
      <c r="A638" s="435"/>
      <c r="B638" s="36"/>
      <c r="C638" s="199" t="str">
        <f t="shared" ca="1" si="11"/>
        <v/>
      </c>
      <c r="D638" s="479"/>
      <c r="E638" s="480"/>
      <c r="F638" s="480"/>
      <c r="G638" s="480"/>
      <c r="H638" s="480"/>
      <c r="I638" s="480"/>
      <c r="J638" s="480"/>
      <c r="K638" s="440"/>
      <c r="L638" s="441"/>
      <c r="M638" s="441"/>
      <c r="N638" s="441"/>
      <c r="O638" s="441"/>
      <c r="P638" s="441"/>
      <c r="Q638" s="441"/>
      <c r="R638" s="444"/>
      <c r="S638" s="445"/>
      <c r="T638" s="444"/>
      <c r="U638" s="445"/>
      <c r="V638" s="440"/>
      <c r="W638" s="441"/>
      <c r="X638" s="441"/>
      <c r="Y638" s="441"/>
      <c r="Z638" s="441"/>
      <c r="AA638" s="441"/>
      <c r="AB638" s="441"/>
      <c r="AC638" s="441"/>
      <c r="AD638" s="440"/>
      <c r="AE638" s="441"/>
      <c r="AF638" s="441"/>
      <c r="AG638" s="441"/>
      <c r="AH638" s="441"/>
      <c r="AI638" s="441"/>
      <c r="AJ638" s="441"/>
      <c r="AK638" s="450"/>
      <c r="AL638" s="440"/>
      <c r="AM638" s="441"/>
      <c r="AN638" s="441"/>
      <c r="AO638" s="441"/>
      <c r="AP638" s="441"/>
      <c r="AQ638" s="441"/>
      <c r="AR638" s="450"/>
      <c r="AS638" s="485"/>
      <c r="AT638" s="486"/>
      <c r="AU638" s="486"/>
      <c r="AV638" s="486"/>
      <c r="AW638" s="486"/>
      <c r="AX638" s="486"/>
      <c r="AY638" s="487"/>
      <c r="AZ638" s="462"/>
      <c r="BA638" s="463"/>
      <c r="BB638" s="61">
        <v>4</v>
      </c>
      <c r="BC638" s="418"/>
      <c r="BD638" s="419"/>
      <c r="BE638" s="419"/>
      <c r="BF638" s="420"/>
      <c r="BG638" s="421"/>
      <c r="BH638" s="422"/>
      <c r="BI638" s="195"/>
      <c r="BJ638" s="423"/>
      <c r="BK638" s="424"/>
      <c r="BL638" s="424"/>
      <c r="BM638" s="424"/>
      <c r="BN638" s="424"/>
      <c r="BO638" s="425"/>
      <c r="BP638" s="423"/>
      <c r="BQ638" s="424"/>
      <c r="BR638" s="424"/>
      <c r="BS638" s="424"/>
      <c r="BT638" s="424"/>
      <c r="BU638" s="425"/>
      <c r="BV638" s="423"/>
      <c r="BW638" s="424"/>
      <c r="BX638" s="424"/>
      <c r="BY638" s="424"/>
      <c r="BZ638" s="424"/>
      <c r="CA638" s="425"/>
      <c r="CB638" s="418"/>
      <c r="CC638" s="419"/>
      <c r="CD638" s="419"/>
      <c r="CE638" s="420"/>
      <c r="CF638" s="412"/>
      <c r="CG638" s="413"/>
      <c r="CH638" s="413"/>
      <c r="CI638" s="413"/>
      <c r="CJ638" s="414"/>
      <c r="CK638" s="412"/>
      <c r="CL638" s="413"/>
      <c r="CM638" s="413"/>
      <c r="CN638" s="413"/>
      <c r="CO638" s="414"/>
      <c r="CP638" s="412"/>
      <c r="CQ638" s="413"/>
      <c r="CR638" s="413"/>
      <c r="CS638" s="413"/>
      <c r="CT638" s="414"/>
      <c r="CU638" s="415"/>
      <c r="CV638" s="416"/>
      <c r="CW638" s="416"/>
      <c r="CX638" s="416"/>
      <c r="CY638" s="417"/>
    </row>
    <row r="639" spans="1:103" ht="16.5">
      <c r="A639" s="435"/>
      <c r="B639" s="36"/>
      <c r="C639" s="199" t="str">
        <f t="shared" ca="1" si="11"/>
        <v/>
      </c>
      <c r="D639" s="479"/>
      <c r="E639" s="480"/>
      <c r="F639" s="480"/>
      <c r="G639" s="480"/>
      <c r="H639" s="480"/>
      <c r="I639" s="480"/>
      <c r="J639" s="480"/>
      <c r="K639" s="440"/>
      <c r="L639" s="441"/>
      <c r="M639" s="441"/>
      <c r="N639" s="441"/>
      <c r="O639" s="441"/>
      <c r="P639" s="441"/>
      <c r="Q639" s="441"/>
      <c r="R639" s="444"/>
      <c r="S639" s="445"/>
      <c r="T639" s="444"/>
      <c r="U639" s="445"/>
      <c r="V639" s="440"/>
      <c r="W639" s="441"/>
      <c r="X639" s="441"/>
      <c r="Y639" s="441"/>
      <c r="Z639" s="441"/>
      <c r="AA639" s="441"/>
      <c r="AB639" s="441"/>
      <c r="AC639" s="441"/>
      <c r="AD639" s="440"/>
      <c r="AE639" s="441"/>
      <c r="AF639" s="441"/>
      <c r="AG639" s="441"/>
      <c r="AH639" s="441"/>
      <c r="AI639" s="441"/>
      <c r="AJ639" s="441"/>
      <c r="AK639" s="450"/>
      <c r="AL639" s="440"/>
      <c r="AM639" s="441"/>
      <c r="AN639" s="441"/>
      <c r="AO639" s="441"/>
      <c r="AP639" s="441"/>
      <c r="AQ639" s="441"/>
      <c r="AR639" s="450"/>
      <c r="AS639" s="485"/>
      <c r="AT639" s="486"/>
      <c r="AU639" s="486"/>
      <c r="AV639" s="486"/>
      <c r="AW639" s="486"/>
      <c r="AX639" s="486"/>
      <c r="AY639" s="487"/>
      <c r="AZ639" s="462"/>
      <c r="BA639" s="463"/>
      <c r="BB639" s="61">
        <v>5</v>
      </c>
      <c r="BC639" s="418"/>
      <c r="BD639" s="419"/>
      <c r="BE639" s="419"/>
      <c r="BF639" s="420"/>
      <c r="BG639" s="421"/>
      <c r="BH639" s="422"/>
      <c r="BI639" s="195"/>
      <c r="BJ639" s="423"/>
      <c r="BK639" s="424"/>
      <c r="BL639" s="424"/>
      <c r="BM639" s="424"/>
      <c r="BN639" s="424"/>
      <c r="BO639" s="425"/>
      <c r="BP639" s="423"/>
      <c r="BQ639" s="424"/>
      <c r="BR639" s="424"/>
      <c r="BS639" s="424"/>
      <c r="BT639" s="424"/>
      <c r="BU639" s="425"/>
      <c r="BV639" s="423"/>
      <c r="BW639" s="424"/>
      <c r="BX639" s="424"/>
      <c r="BY639" s="424"/>
      <c r="BZ639" s="424"/>
      <c r="CA639" s="425"/>
      <c r="CB639" s="418"/>
      <c r="CC639" s="419"/>
      <c r="CD639" s="419"/>
      <c r="CE639" s="420"/>
      <c r="CF639" s="412"/>
      <c r="CG639" s="413"/>
      <c r="CH639" s="413"/>
      <c r="CI639" s="413"/>
      <c r="CJ639" s="414"/>
      <c r="CK639" s="412"/>
      <c r="CL639" s="413"/>
      <c r="CM639" s="413"/>
      <c r="CN639" s="413"/>
      <c r="CO639" s="414"/>
      <c r="CP639" s="412"/>
      <c r="CQ639" s="413"/>
      <c r="CR639" s="413"/>
      <c r="CS639" s="413"/>
      <c r="CT639" s="414"/>
      <c r="CU639" s="415"/>
      <c r="CV639" s="416"/>
      <c r="CW639" s="416"/>
      <c r="CX639" s="416"/>
      <c r="CY639" s="417"/>
    </row>
    <row r="640" spans="1:103" ht="16.5">
      <c r="A640" s="436"/>
      <c r="B640" s="37"/>
      <c r="C640" s="200" t="str">
        <f t="shared" ca="1" si="11"/>
        <v/>
      </c>
      <c r="D640" s="481"/>
      <c r="E640" s="482"/>
      <c r="F640" s="482"/>
      <c r="G640" s="482"/>
      <c r="H640" s="482"/>
      <c r="I640" s="482"/>
      <c r="J640" s="482"/>
      <c r="K640" s="409"/>
      <c r="L640" s="410"/>
      <c r="M640" s="410"/>
      <c r="N640" s="410"/>
      <c r="O640" s="410"/>
      <c r="P640" s="410"/>
      <c r="Q640" s="410"/>
      <c r="R640" s="446"/>
      <c r="S640" s="447"/>
      <c r="T640" s="446"/>
      <c r="U640" s="447"/>
      <c r="V640" s="409"/>
      <c r="W640" s="410"/>
      <c r="X640" s="410"/>
      <c r="Y640" s="410"/>
      <c r="Z640" s="410"/>
      <c r="AA640" s="410"/>
      <c r="AB640" s="410"/>
      <c r="AC640" s="410"/>
      <c r="AD640" s="409"/>
      <c r="AE640" s="410"/>
      <c r="AF640" s="410"/>
      <c r="AG640" s="410"/>
      <c r="AH640" s="410"/>
      <c r="AI640" s="410"/>
      <c r="AJ640" s="410"/>
      <c r="AK640" s="411"/>
      <c r="AL640" s="409"/>
      <c r="AM640" s="410"/>
      <c r="AN640" s="410"/>
      <c r="AO640" s="410"/>
      <c r="AP640" s="410"/>
      <c r="AQ640" s="410"/>
      <c r="AR640" s="411"/>
      <c r="AS640" s="488"/>
      <c r="AT640" s="489"/>
      <c r="AU640" s="489"/>
      <c r="AV640" s="489"/>
      <c r="AW640" s="489"/>
      <c r="AX640" s="489"/>
      <c r="AY640" s="490"/>
      <c r="AZ640" s="464"/>
      <c r="BA640" s="465"/>
      <c r="BB640" s="62">
        <v>6</v>
      </c>
      <c r="BC640" s="426"/>
      <c r="BD640" s="427"/>
      <c r="BE640" s="427"/>
      <c r="BF640" s="428"/>
      <c r="BG640" s="429"/>
      <c r="BH640" s="430"/>
      <c r="BI640" s="196"/>
      <c r="BJ640" s="474"/>
      <c r="BK640" s="475"/>
      <c r="BL640" s="475"/>
      <c r="BM640" s="475"/>
      <c r="BN640" s="475"/>
      <c r="BO640" s="476"/>
      <c r="BP640" s="474"/>
      <c r="BQ640" s="475"/>
      <c r="BR640" s="475"/>
      <c r="BS640" s="475"/>
      <c r="BT640" s="475"/>
      <c r="BU640" s="476"/>
      <c r="BV640" s="474"/>
      <c r="BW640" s="475"/>
      <c r="BX640" s="475"/>
      <c r="BY640" s="475"/>
      <c r="BZ640" s="475"/>
      <c r="CA640" s="476"/>
      <c r="CB640" s="426"/>
      <c r="CC640" s="427"/>
      <c r="CD640" s="427"/>
      <c r="CE640" s="428"/>
      <c r="CF640" s="412"/>
      <c r="CG640" s="413"/>
      <c r="CH640" s="413"/>
      <c r="CI640" s="413"/>
      <c r="CJ640" s="414"/>
      <c r="CK640" s="412"/>
      <c r="CL640" s="413"/>
      <c r="CM640" s="413"/>
      <c r="CN640" s="413"/>
      <c r="CO640" s="414"/>
      <c r="CP640" s="412"/>
      <c r="CQ640" s="413"/>
      <c r="CR640" s="413"/>
      <c r="CS640" s="413"/>
      <c r="CT640" s="414"/>
      <c r="CU640" s="415"/>
      <c r="CV640" s="416"/>
      <c r="CW640" s="416"/>
      <c r="CX640" s="416"/>
      <c r="CY640" s="417"/>
    </row>
    <row r="641" spans="1:103" ht="16.5">
      <c r="A641" s="434">
        <v>106</v>
      </c>
      <c r="B641" s="36"/>
      <c r="C641" s="198" t="str">
        <f t="shared" ca="1" si="11"/>
        <v/>
      </c>
      <c r="D641" s="477"/>
      <c r="E641" s="478"/>
      <c r="F641" s="478"/>
      <c r="G641" s="478"/>
      <c r="H641" s="478"/>
      <c r="I641" s="478"/>
      <c r="J641" s="478"/>
      <c r="K641" s="438" t="s">
        <v>465</v>
      </c>
      <c r="L641" s="439"/>
      <c r="M641" s="439"/>
      <c r="N641" s="439"/>
      <c r="O641" s="439"/>
      <c r="P641" s="439"/>
      <c r="Q641" s="439"/>
      <c r="R641" s="442" t="s">
        <v>186</v>
      </c>
      <c r="S641" s="443"/>
      <c r="T641" s="442"/>
      <c r="U641" s="443"/>
      <c r="V641" s="438"/>
      <c r="W641" s="439"/>
      <c r="X641" s="439"/>
      <c r="Y641" s="439"/>
      <c r="Z641" s="439"/>
      <c r="AA641" s="439"/>
      <c r="AB641" s="439"/>
      <c r="AC641" s="439"/>
      <c r="AD641" s="438"/>
      <c r="AE641" s="439"/>
      <c r="AF641" s="439"/>
      <c r="AG641" s="439"/>
      <c r="AH641" s="439"/>
      <c r="AI641" s="439"/>
      <c r="AJ641" s="439"/>
      <c r="AK641" s="449"/>
      <c r="AL641" s="438"/>
      <c r="AM641" s="439"/>
      <c r="AN641" s="439"/>
      <c r="AO641" s="439"/>
      <c r="AP641" s="439"/>
      <c r="AQ641" s="439"/>
      <c r="AR641" s="449"/>
      <c r="AS641" s="500"/>
      <c r="AT641" s="483"/>
      <c r="AU641" s="483"/>
      <c r="AV641" s="483"/>
      <c r="AW641" s="483"/>
      <c r="AX641" s="483"/>
      <c r="AY641" s="484"/>
      <c r="AZ641" s="460"/>
      <c r="BA641" s="461"/>
      <c r="BB641" s="60">
        <v>1</v>
      </c>
      <c r="BC641" s="466"/>
      <c r="BD641" s="467"/>
      <c r="BE641" s="467"/>
      <c r="BF641" s="468"/>
      <c r="BG641" s="469"/>
      <c r="BH641" s="470"/>
      <c r="BI641" s="194"/>
      <c r="BJ641" s="471"/>
      <c r="BK641" s="472"/>
      <c r="BL641" s="472"/>
      <c r="BM641" s="472"/>
      <c r="BN641" s="472"/>
      <c r="BO641" s="473"/>
      <c r="BP641" s="471"/>
      <c r="BQ641" s="472"/>
      <c r="BR641" s="472"/>
      <c r="BS641" s="472"/>
      <c r="BT641" s="472"/>
      <c r="BU641" s="473"/>
      <c r="BV641" s="471"/>
      <c r="BW641" s="472"/>
      <c r="BX641" s="472"/>
      <c r="BY641" s="472"/>
      <c r="BZ641" s="472"/>
      <c r="CA641" s="473"/>
      <c r="CB641" s="466"/>
      <c r="CC641" s="467"/>
      <c r="CD641" s="467"/>
      <c r="CE641" s="468"/>
      <c r="CF641" s="409"/>
      <c r="CG641" s="410"/>
      <c r="CH641" s="410"/>
      <c r="CI641" s="410"/>
      <c r="CJ641" s="411"/>
      <c r="CK641" s="409"/>
      <c r="CL641" s="410"/>
      <c r="CM641" s="410"/>
      <c r="CN641" s="410"/>
      <c r="CO641" s="411"/>
      <c r="CP641" s="409"/>
      <c r="CQ641" s="410"/>
      <c r="CR641" s="410"/>
      <c r="CS641" s="410"/>
      <c r="CT641" s="411"/>
      <c r="CU641" s="415"/>
      <c r="CV641" s="416"/>
      <c r="CW641" s="416"/>
      <c r="CX641" s="416"/>
      <c r="CY641" s="417"/>
    </row>
    <row r="642" spans="1:103" ht="16.5">
      <c r="A642" s="435"/>
      <c r="B642" s="36"/>
      <c r="C642" s="199" t="str">
        <f t="shared" ca="1" si="11"/>
        <v/>
      </c>
      <c r="D642" s="479"/>
      <c r="E642" s="480"/>
      <c r="F642" s="480"/>
      <c r="G642" s="480"/>
      <c r="H642" s="480"/>
      <c r="I642" s="480"/>
      <c r="J642" s="480"/>
      <c r="K642" s="440"/>
      <c r="L642" s="441"/>
      <c r="M642" s="441"/>
      <c r="N642" s="441"/>
      <c r="O642" s="441"/>
      <c r="P642" s="441"/>
      <c r="Q642" s="441"/>
      <c r="R642" s="444"/>
      <c r="S642" s="445"/>
      <c r="T642" s="444"/>
      <c r="U642" s="445"/>
      <c r="V642" s="440"/>
      <c r="W642" s="441"/>
      <c r="X642" s="441"/>
      <c r="Y642" s="441"/>
      <c r="Z642" s="441"/>
      <c r="AA642" s="441"/>
      <c r="AB642" s="441"/>
      <c r="AC642" s="441"/>
      <c r="AD642" s="440"/>
      <c r="AE642" s="441"/>
      <c r="AF642" s="441"/>
      <c r="AG642" s="441"/>
      <c r="AH642" s="441"/>
      <c r="AI642" s="441"/>
      <c r="AJ642" s="441"/>
      <c r="AK642" s="450"/>
      <c r="AL642" s="440"/>
      <c r="AM642" s="441"/>
      <c r="AN642" s="441"/>
      <c r="AO642" s="441"/>
      <c r="AP642" s="441"/>
      <c r="AQ642" s="441"/>
      <c r="AR642" s="450"/>
      <c r="AS642" s="485"/>
      <c r="AT642" s="486"/>
      <c r="AU642" s="486"/>
      <c r="AV642" s="486"/>
      <c r="AW642" s="486"/>
      <c r="AX642" s="486"/>
      <c r="AY642" s="487"/>
      <c r="AZ642" s="462"/>
      <c r="BA642" s="463"/>
      <c r="BB642" s="61">
        <v>2</v>
      </c>
      <c r="BC642" s="418"/>
      <c r="BD642" s="419"/>
      <c r="BE642" s="419"/>
      <c r="BF642" s="420"/>
      <c r="BG642" s="421"/>
      <c r="BH642" s="422"/>
      <c r="BI642" s="195"/>
      <c r="BJ642" s="423"/>
      <c r="BK642" s="424"/>
      <c r="BL642" s="424"/>
      <c r="BM642" s="424"/>
      <c r="BN642" s="424"/>
      <c r="BO642" s="425"/>
      <c r="BP642" s="423"/>
      <c r="BQ642" s="424"/>
      <c r="BR642" s="424"/>
      <c r="BS642" s="424"/>
      <c r="BT642" s="424"/>
      <c r="BU642" s="425"/>
      <c r="BV642" s="423"/>
      <c r="BW642" s="424"/>
      <c r="BX642" s="424"/>
      <c r="BY642" s="424"/>
      <c r="BZ642" s="424"/>
      <c r="CA642" s="425"/>
      <c r="CB642" s="418"/>
      <c r="CC642" s="419"/>
      <c r="CD642" s="419"/>
      <c r="CE642" s="420"/>
      <c r="CF642" s="412"/>
      <c r="CG642" s="413"/>
      <c r="CH642" s="413"/>
      <c r="CI642" s="413"/>
      <c r="CJ642" s="414"/>
      <c r="CK642" s="412"/>
      <c r="CL642" s="413"/>
      <c r="CM642" s="413"/>
      <c r="CN642" s="413"/>
      <c r="CO642" s="414"/>
      <c r="CP642" s="412"/>
      <c r="CQ642" s="413"/>
      <c r="CR642" s="413"/>
      <c r="CS642" s="413"/>
      <c r="CT642" s="414"/>
      <c r="CU642" s="415"/>
      <c r="CV642" s="416"/>
      <c r="CW642" s="416"/>
      <c r="CX642" s="416"/>
      <c r="CY642" s="417"/>
    </row>
    <row r="643" spans="1:103" ht="16.5">
      <c r="A643" s="435"/>
      <c r="B643" s="36"/>
      <c r="C643" s="199" t="str">
        <f t="shared" ca="1" si="11"/>
        <v/>
      </c>
      <c r="D643" s="479"/>
      <c r="E643" s="480"/>
      <c r="F643" s="480"/>
      <c r="G643" s="480"/>
      <c r="H643" s="480"/>
      <c r="I643" s="480"/>
      <c r="J643" s="480"/>
      <c r="K643" s="440"/>
      <c r="L643" s="441"/>
      <c r="M643" s="441"/>
      <c r="N643" s="441"/>
      <c r="O643" s="441"/>
      <c r="P643" s="441"/>
      <c r="Q643" s="441"/>
      <c r="R643" s="444"/>
      <c r="S643" s="445"/>
      <c r="T643" s="444"/>
      <c r="U643" s="445"/>
      <c r="V643" s="440"/>
      <c r="W643" s="441"/>
      <c r="X643" s="441"/>
      <c r="Y643" s="441"/>
      <c r="Z643" s="441"/>
      <c r="AA643" s="441"/>
      <c r="AB643" s="441"/>
      <c r="AC643" s="441"/>
      <c r="AD643" s="440"/>
      <c r="AE643" s="441"/>
      <c r="AF643" s="441"/>
      <c r="AG643" s="441"/>
      <c r="AH643" s="441"/>
      <c r="AI643" s="441"/>
      <c r="AJ643" s="441"/>
      <c r="AK643" s="450"/>
      <c r="AL643" s="440"/>
      <c r="AM643" s="441"/>
      <c r="AN643" s="441"/>
      <c r="AO643" s="441"/>
      <c r="AP643" s="441"/>
      <c r="AQ643" s="441"/>
      <c r="AR643" s="450"/>
      <c r="AS643" s="485"/>
      <c r="AT643" s="486"/>
      <c r="AU643" s="486"/>
      <c r="AV643" s="486"/>
      <c r="AW643" s="486"/>
      <c r="AX643" s="486"/>
      <c r="AY643" s="487"/>
      <c r="AZ643" s="462"/>
      <c r="BA643" s="463"/>
      <c r="BB643" s="61">
        <v>3</v>
      </c>
      <c r="BC643" s="418"/>
      <c r="BD643" s="419"/>
      <c r="BE643" s="419"/>
      <c r="BF643" s="420"/>
      <c r="BG643" s="421"/>
      <c r="BH643" s="422"/>
      <c r="BI643" s="195"/>
      <c r="BJ643" s="423"/>
      <c r="BK643" s="424"/>
      <c r="BL643" s="424"/>
      <c r="BM643" s="424"/>
      <c r="BN643" s="424"/>
      <c r="BO643" s="425"/>
      <c r="BP643" s="423"/>
      <c r="BQ643" s="424"/>
      <c r="BR643" s="424"/>
      <c r="BS643" s="424"/>
      <c r="BT643" s="424"/>
      <c r="BU643" s="425"/>
      <c r="BV643" s="423"/>
      <c r="BW643" s="424"/>
      <c r="BX643" s="424"/>
      <c r="BY643" s="424"/>
      <c r="BZ643" s="424"/>
      <c r="CA643" s="425"/>
      <c r="CB643" s="418"/>
      <c r="CC643" s="419"/>
      <c r="CD643" s="419"/>
      <c r="CE643" s="420"/>
      <c r="CF643" s="412"/>
      <c r="CG643" s="413"/>
      <c r="CH643" s="413"/>
      <c r="CI643" s="413"/>
      <c r="CJ643" s="414"/>
      <c r="CK643" s="412"/>
      <c r="CL643" s="413"/>
      <c r="CM643" s="413"/>
      <c r="CN643" s="413"/>
      <c r="CO643" s="414"/>
      <c r="CP643" s="412"/>
      <c r="CQ643" s="413"/>
      <c r="CR643" s="413"/>
      <c r="CS643" s="413"/>
      <c r="CT643" s="414"/>
      <c r="CU643" s="415"/>
      <c r="CV643" s="416"/>
      <c r="CW643" s="416"/>
      <c r="CX643" s="416"/>
      <c r="CY643" s="417"/>
    </row>
    <row r="644" spans="1:103" ht="16.5">
      <c r="A644" s="435"/>
      <c r="B644" s="36"/>
      <c r="C644" s="199" t="str">
        <f t="shared" ca="1" si="11"/>
        <v/>
      </c>
      <c r="D644" s="479"/>
      <c r="E644" s="480"/>
      <c r="F644" s="480"/>
      <c r="G644" s="480"/>
      <c r="H644" s="480"/>
      <c r="I644" s="480"/>
      <c r="J644" s="480"/>
      <c r="K644" s="440"/>
      <c r="L644" s="441"/>
      <c r="M644" s="441"/>
      <c r="N644" s="441"/>
      <c r="O644" s="441"/>
      <c r="P644" s="441"/>
      <c r="Q644" s="441"/>
      <c r="R644" s="444"/>
      <c r="S644" s="445"/>
      <c r="T644" s="444"/>
      <c r="U644" s="445"/>
      <c r="V644" s="440"/>
      <c r="W644" s="441"/>
      <c r="X644" s="441"/>
      <c r="Y644" s="441"/>
      <c r="Z644" s="441"/>
      <c r="AA644" s="441"/>
      <c r="AB644" s="441"/>
      <c r="AC644" s="441"/>
      <c r="AD644" s="440"/>
      <c r="AE644" s="441"/>
      <c r="AF644" s="441"/>
      <c r="AG644" s="441"/>
      <c r="AH644" s="441"/>
      <c r="AI644" s="441"/>
      <c r="AJ644" s="441"/>
      <c r="AK644" s="450"/>
      <c r="AL644" s="440"/>
      <c r="AM644" s="441"/>
      <c r="AN644" s="441"/>
      <c r="AO644" s="441"/>
      <c r="AP644" s="441"/>
      <c r="AQ644" s="441"/>
      <c r="AR644" s="450"/>
      <c r="AS644" s="485"/>
      <c r="AT644" s="486"/>
      <c r="AU644" s="486"/>
      <c r="AV644" s="486"/>
      <c r="AW644" s="486"/>
      <c r="AX644" s="486"/>
      <c r="AY644" s="487"/>
      <c r="AZ644" s="462"/>
      <c r="BA644" s="463"/>
      <c r="BB644" s="61">
        <v>4</v>
      </c>
      <c r="BC644" s="418"/>
      <c r="BD644" s="419"/>
      <c r="BE644" s="419"/>
      <c r="BF644" s="420"/>
      <c r="BG644" s="421"/>
      <c r="BH644" s="422"/>
      <c r="BI644" s="195"/>
      <c r="BJ644" s="423"/>
      <c r="BK644" s="424"/>
      <c r="BL644" s="424"/>
      <c r="BM644" s="424"/>
      <c r="BN644" s="424"/>
      <c r="BO644" s="425"/>
      <c r="BP644" s="423"/>
      <c r="BQ644" s="424"/>
      <c r="BR644" s="424"/>
      <c r="BS644" s="424"/>
      <c r="BT644" s="424"/>
      <c r="BU644" s="425"/>
      <c r="BV644" s="423"/>
      <c r="BW644" s="424"/>
      <c r="BX644" s="424"/>
      <c r="BY644" s="424"/>
      <c r="BZ644" s="424"/>
      <c r="CA644" s="425"/>
      <c r="CB644" s="418"/>
      <c r="CC644" s="419"/>
      <c r="CD644" s="419"/>
      <c r="CE644" s="420"/>
      <c r="CF644" s="412"/>
      <c r="CG644" s="413"/>
      <c r="CH644" s="413"/>
      <c r="CI644" s="413"/>
      <c r="CJ644" s="414"/>
      <c r="CK644" s="412"/>
      <c r="CL644" s="413"/>
      <c r="CM644" s="413"/>
      <c r="CN644" s="413"/>
      <c r="CO644" s="414"/>
      <c r="CP644" s="412"/>
      <c r="CQ644" s="413"/>
      <c r="CR644" s="413"/>
      <c r="CS644" s="413"/>
      <c r="CT644" s="414"/>
      <c r="CU644" s="415"/>
      <c r="CV644" s="416"/>
      <c r="CW644" s="416"/>
      <c r="CX644" s="416"/>
      <c r="CY644" s="417"/>
    </row>
    <row r="645" spans="1:103" ht="16.5">
      <c r="A645" s="435"/>
      <c r="B645" s="36"/>
      <c r="C645" s="199" t="str">
        <f t="shared" ca="1" si="11"/>
        <v/>
      </c>
      <c r="D645" s="479"/>
      <c r="E645" s="480"/>
      <c r="F645" s="480"/>
      <c r="G645" s="480"/>
      <c r="H645" s="480"/>
      <c r="I645" s="480"/>
      <c r="J645" s="480"/>
      <c r="K645" s="440"/>
      <c r="L645" s="441"/>
      <c r="M645" s="441"/>
      <c r="N645" s="441"/>
      <c r="O645" s="441"/>
      <c r="P645" s="441"/>
      <c r="Q645" s="441"/>
      <c r="R645" s="444"/>
      <c r="S645" s="445"/>
      <c r="T645" s="444"/>
      <c r="U645" s="445"/>
      <c r="V645" s="440"/>
      <c r="W645" s="441"/>
      <c r="X645" s="441"/>
      <c r="Y645" s="441"/>
      <c r="Z645" s="441"/>
      <c r="AA645" s="441"/>
      <c r="AB645" s="441"/>
      <c r="AC645" s="441"/>
      <c r="AD645" s="440"/>
      <c r="AE645" s="441"/>
      <c r="AF645" s="441"/>
      <c r="AG645" s="441"/>
      <c r="AH645" s="441"/>
      <c r="AI645" s="441"/>
      <c r="AJ645" s="441"/>
      <c r="AK645" s="450"/>
      <c r="AL645" s="440"/>
      <c r="AM645" s="441"/>
      <c r="AN645" s="441"/>
      <c r="AO645" s="441"/>
      <c r="AP645" s="441"/>
      <c r="AQ645" s="441"/>
      <c r="AR645" s="450"/>
      <c r="AS645" s="485"/>
      <c r="AT645" s="486"/>
      <c r="AU645" s="486"/>
      <c r="AV645" s="486"/>
      <c r="AW645" s="486"/>
      <c r="AX645" s="486"/>
      <c r="AY645" s="487"/>
      <c r="AZ645" s="462"/>
      <c r="BA645" s="463"/>
      <c r="BB645" s="61">
        <v>5</v>
      </c>
      <c r="BC645" s="418"/>
      <c r="BD645" s="419"/>
      <c r="BE645" s="419"/>
      <c r="BF645" s="420"/>
      <c r="BG645" s="421"/>
      <c r="BH645" s="422"/>
      <c r="BI645" s="195"/>
      <c r="BJ645" s="423"/>
      <c r="BK645" s="424"/>
      <c r="BL645" s="424"/>
      <c r="BM645" s="424"/>
      <c r="BN645" s="424"/>
      <c r="BO645" s="425"/>
      <c r="BP645" s="423"/>
      <c r="BQ645" s="424"/>
      <c r="BR645" s="424"/>
      <c r="BS645" s="424"/>
      <c r="BT645" s="424"/>
      <c r="BU645" s="425"/>
      <c r="BV645" s="423"/>
      <c r="BW645" s="424"/>
      <c r="BX645" s="424"/>
      <c r="BY645" s="424"/>
      <c r="BZ645" s="424"/>
      <c r="CA645" s="425"/>
      <c r="CB645" s="418"/>
      <c r="CC645" s="419"/>
      <c r="CD645" s="419"/>
      <c r="CE645" s="420"/>
      <c r="CF645" s="412"/>
      <c r="CG645" s="413"/>
      <c r="CH645" s="413"/>
      <c r="CI645" s="413"/>
      <c r="CJ645" s="414"/>
      <c r="CK645" s="412"/>
      <c r="CL645" s="413"/>
      <c r="CM645" s="413"/>
      <c r="CN645" s="413"/>
      <c r="CO645" s="414"/>
      <c r="CP645" s="412"/>
      <c r="CQ645" s="413"/>
      <c r="CR645" s="413"/>
      <c r="CS645" s="413"/>
      <c r="CT645" s="414"/>
      <c r="CU645" s="415"/>
      <c r="CV645" s="416"/>
      <c r="CW645" s="416"/>
      <c r="CX645" s="416"/>
      <c r="CY645" s="417"/>
    </row>
    <row r="646" spans="1:103" ht="16.5">
      <c r="A646" s="436"/>
      <c r="B646" s="37"/>
      <c r="C646" s="200" t="str">
        <f t="shared" ca="1" si="11"/>
        <v/>
      </c>
      <c r="D646" s="481"/>
      <c r="E646" s="482"/>
      <c r="F646" s="482"/>
      <c r="G646" s="482"/>
      <c r="H646" s="482"/>
      <c r="I646" s="482"/>
      <c r="J646" s="482"/>
      <c r="K646" s="409"/>
      <c r="L646" s="410"/>
      <c r="M646" s="410"/>
      <c r="N646" s="410"/>
      <c r="O646" s="410"/>
      <c r="P646" s="410"/>
      <c r="Q646" s="410"/>
      <c r="R646" s="446"/>
      <c r="S646" s="447"/>
      <c r="T646" s="446"/>
      <c r="U646" s="447"/>
      <c r="V646" s="409"/>
      <c r="W646" s="410"/>
      <c r="X646" s="410"/>
      <c r="Y646" s="410"/>
      <c r="Z646" s="410"/>
      <c r="AA646" s="410"/>
      <c r="AB646" s="410"/>
      <c r="AC646" s="410"/>
      <c r="AD646" s="409"/>
      <c r="AE646" s="410"/>
      <c r="AF646" s="410"/>
      <c r="AG646" s="410"/>
      <c r="AH646" s="410"/>
      <c r="AI646" s="410"/>
      <c r="AJ646" s="410"/>
      <c r="AK646" s="411"/>
      <c r="AL646" s="409"/>
      <c r="AM646" s="410"/>
      <c r="AN646" s="410"/>
      <c r="AO646" s="410"/>
      <c r="AP646" s="410"/>
      <c r="AQ646" s="410"/>
      <c r="AR646" s="411"/>
      <c r="AS646" s="488"/>
      <c r="AT646" s="489"/>
      <c r="AU646" s="489"/>
      <c r="AV646" s="489"/>
      <c r="AW646" s="489"/>
      <c r="AX646" s="489"/>
      <c r="AY646" s="490"/>
      <c r="AZ646" s="464"/>
      <c r="BA646" s="465"/>
      <c r="BB646" s="62">
        <v>6</v>
      </c>
      <c r="BC646" s="426"/>
      <c r="BD646" s="427"/>
      <c r="BE646" s="427"/>
      <c r="BF646" s="428"/>
      <c r="BG646" s="429"/>
      <c r="BH646" s="430"/>
      <c r="BI646" s="196"/>
      <c r="BJ646" s="474"/>
      <c r="BK646" s="475"/>
      <c r="BL646" s="475"/>
      <c r="BM646" s="475"/>
      <c r="BN646" s="475"/>
      <c r="BO646" s="476"/>
      <c r="BP646" s="474"/>
      <c r="BQ646" s="475"/>
      <c r="BR646" s="475"/>
      <c r="BS646" s="475"/>
      <c r="BT646" s="475"/>
      <c r="BU646" s="476"/>
      <c r="BV646" s="474"/>
      <c r="BW646" s="475"/>
      <c r="BX646" s="475"/>
      <c r="BY646" s="475"/>
      <c r="BZ646" s="475"/>
      <c r="CA646" s="476"/>
      <c r="CB646" s="426"/>
      <c r="CC646" s="427"/>
      <c r="CD646" s="427"/>
      <c r="CE646" s="428"/>
      <c r="CF646" s="412"/>
      <c r="CG646" s="413"/>
      <c r="CH646" s="413"/>
      <c r="CI646" s="413"/>
      <c r="CJ646" s="414"/>
      <c r="CK646" s="412"/>
      <c r="CL646" s="413"/>
      <c r="CM646" s="413"/>
      <c r="CN646" s="413"/>
      <c r="CO646" s="414"/>
      <c r="CP646" s="412"/>
      <c r="CQ646" s="413"/>
      <c r="CR646" s="413"/>
      <c r="CS646" s="413"/>
      <c r="CT646" s="414"/>
      <c r="CU646" s="415"/>
      <c r="CV646" s="416"/>
      <c r="CW646" s="416"/>
      <c r="CX646" s="416"/>
      <c r="CY646" s="417"/>
    </row>
    <row r="647" spans="1:103" ht="16.5">
      <c r="A647" s="434">
        <v>107</v>
      </c>
      <c r="B647" s="36"/>
      <c r="C647" s="198" t="str">
        <f t="shared" ca="1" si="11"/>
        <v/>
      </c>
      <c r="D647" s="477" t="s">
        <v>466</v>
      </c>
      <c r="E647" s="478"/>
      <c r="F647" s="478"/>
      <c r="G647" s="478"/>
      <c r="H647" s="478"/>
      <c r="I647" s="478"/>
      <c r="J647" s="478"/>
      <c r="K647" s="438" t="s">
        <v>467</v>
      </c>
      <c r="L647" s="439"/>
      <c r="M647" s="439"/>
      <c r="N647" s="439"/>
      <c r="O647" s="439"/>
      <c r="P647" s="439"/>
      <c r="Q647" s="439"/>
      <c r="R647" s="442" t="s">
        <v>186</v>
      </c>
      <c r="S647" s="443"/>
      <c r="T647" s="442"/>
      <c r="U647" s="443"/>
      <c r="V647" s="438"/>
      <c r="W647" s="439"/>
      <c r="X647" s="439"/>
      <c r="Y647" s="439"/>
      <c r="Z647" s="439"/>
      <c r="AA647" s="439"/>
      <c r="AB647" s="439"/>
      <c r="AC647" s="439"/>
      <c r="AD647" s="438"/>
      <c r="AE647" s="439"/>
      <c r="AF647" s="439"/>
      <c r="AG647" s="439"/>
      <c r="AH647" s="439"/>
      <c r="AI647" s="439"/>
      <c r="AJ647" s="439"/>
      <c r="AK647" s="449"/>
      <c r="AL647" s="438"/>
      <c r="AM647" s="439"/>
      <c r="AN647" s="439"/>
      <c r="AO647" s="439"/>
      <c r="AP647" s="439"/>
      <c r="AQ647" s="439"/>
      <c r="AR647" s="449"/>
      <c r="AS647" s="500"/>
      <c r="AT647" s="483"/>
      <c r="AU647" s="483"/>
      <c r="AV647" s="483"/>
      <c r="AW647" s="483"/>
      <c r="AX647" s="483"/>
      <c r="AY647" s="484"/>
      <c r="AZ647" s="460"/>
      <c r="BA647" s="461"/>
      <c r="BB647" s="60">
        <v>1</v>
      </c>
      <c r="BC647" s="466"/>
      <c r="BD647" s="467"/>
      <c r="BE647" s="467"/>
      <c r="BF647" s="468"/>
      <c r="BG647" s="469"/>
      <c r="BH647" s="470"/>
      <c r="BI647" s="194"/>
      <c r="BJ647" s="471"/>
      <c r="BK647" s="472"/>
      <c r="BL647" s="472"/>
      <c r="BM647" s="472"/>
      <c r="BN647" s="472"/>
      <c r="BO647" s="473"/>
      <c r="BP647" s="471"/>
      <c r="BQ647" s="472"/>
      <c r="BR647" s="472"/>
      <c r="BS647" s="472"/>
      <c r="BT647" s="472"/>
      <c r="BU647" s="473"/>
      <c r="BV647" s="471"/>
      <c r="BW647" s="472"/>
      <c r="BX647" s="472"/>
      <c r="BY647" s="472"/>
      <c r="BZ647" s="472"/>
      <c r="CA647" s="473"/>
      <c r="CB647" s="466"/>
      <c r="CC647" s="467"/>
      <c r="CD647" s="467"/>
      <c r="CE647" s="468"/>
      <c r="CF647" s="409"/>
      <c r="CG647" s="410"/>
      <c r="CH647" s="410"/>
      <c r="CI647" s="410"/>
      <c r="CJ647" s="411"/>
      <c r="CK647" s="409"/>
      <c r="CL647" s="410"/>
      <c r="CM647" s="410"/>
      <c r="CN647" s="410"/>
      <c r="CO647" s="411"/>
      <c r="CP647" s="409"/>
      <c r="CQ647" s="410"/>
      <c r="CR647" s="410"/>
      <c r="CS647" s="410"/>
      <c r="CT647" s="411"/>
      <c r="CU647" s="415"/>
      <c r="CV647" s="416"/>
      <c r="CW647" s="416"/>
      <c r="CX647" s="416"/>
      <c r="CY647" s="417"/>
    </row>
    <row r="648" spans="1:103" ht="16.5">
      <c r="A648" s="435"/>
      <c r="B648" s="36"/>
      <c r="C648" s="199" t="str">
        <f t="shared" ca="1" si="11"/>
        <v/>
      </c>
      <c r="D648" s="479"/>
      <c r="E648" s="480"/>
      <c r="F648" s="480"/>
      <c r="G648" s="480"/>
      <c r="H648" s="480"/>
      <c r="I648" s="480"/>
      <c r="J648" s="480"/>
      <c r="K648" s="440"/>
      <c r="L648" s="441"/>
      <c r="M648" s="441"/>
      <c r="N648" s="441"/>
      <c r="O648" s="441"/>
      <c r="P648" s="441"/>
      <c r="Q648" s="441"/>
      <c r="R648" s="444"/>
      <c r="S648" s="445"/>
      <c r="T648" s="444"/>
      <c r="U648" s="445"/>
      <c r="V648" s="440"/>
      <c r="W648" s="441"/>
      <c r="X648" s="441"/>
      <c r="Y648" s="441"/>
      <c r="Z648" s="441"/>
      <c r="AA648" s="441"/>
      <c r="AB648" s="441"/>
      <c r="AC648" s="441"/>
      <c r="AD648" s="440"/>
      <c r="AE648" s="441"/>
      <c r="AF648" s="441"/>
      <c r="AG648" s="441"/>
      <c r="AH648" s="441"/>
      <c r="AI648" s="441"/>
      <c r="AJ648" s="441"/>
      <c r="AK648" s="450"/>
      <c r="AL648" s="440"/>
      <c r="AM648" s="441"/>
      <c r="AN648" s="441"/>
      <c r="AO648" s="441"/>
      <c r="AP648" s="441"/>
      <c r="AQ648" s="441"/>
      <c r="AR648" s="450"/>
      <c r="AS648" s="485"/>
      <c r="AT648" s="486"/>
      <c r="AU648" s="486"/>
      <c r="AV648" s="486"/>
      <c r="AW648" s="486"/>
      <c r="AX648" s="486"/>
      <c r="AY648" s="487"/>
      <c r="AZ648" s="462"/>
      <c r="BA648" s="463"/>
      <c r="BB648" s="61">
        <v>2</v>
      </c>
      <c r="BC648" s="418"/>
      <c r="BD648" s="419"/>
      <c r="BE648" s="419"/>
      <c r="BF648" s="420"/>
      <c r="BG648" s="421"/>
      <c r="BH648" s="422"/>
      <c r="BI648" s="195"/>
      <c r="BJ648" s="423"/>
      <c r="BK648" s="424"/>
      <c r="BL648" s="424"/>
      <c r="BM648" s="424"/>
      <c r="BN648" s="424"/>
      <c r="BO648" s="425"/>
      <c r="BP648" s="423"/>
      <c r="BQ648" s="424"/>
      <c r="BR648" s="424"/>
      <c r="BS648" s="424"/>
      <c r="BT648" s="424"/>
      <c r="BU648" s="425"/>
      <c r="BV648" s="423"/>
      <c r="BW648" s="424"/>
      <c r="BX648" s="424"/>
      <c r="BY648" s="424"/>
      <c r="BZ648" s="424"/>
      <c r="CA648" s="425"/>
      <c r="CB648" s="418"/>
      <c r="CC648" s="419"/>
      <c r="CD648" s="419"/>
      <c r="CE648" s="420"/>
      <c r="CF648" s="412"/>
      <c r="CG648" s="413"/>
      <c r="CH648" s="413"/>
      <c r="CI648" s="413"/>
      <c r="CJ648" s="414"/>
      <c r="CK648" s="412"/>
      <c r="CL648" s="413"/>
      <c r="CM648" s="413"/>
      <c r="CN648" s="413"/>
      <c r="CO648" s="414"/>
      <c r="CP648" s="412"/>
      <c r="CQ648" s="413"/>
      <c r="CR648" s="413"/>
      <c r="CS648" s="413"/>
      <c r="CT648" s="414"/>
      <c r="CU648" s="415"/>
      <c r="CV648" s="416"/>
      <c r="CW648" s="416"/>
      <c r="CX648" s="416"/>
      <c r="CY648" s="417"/>
    </row>
    <row r="649" spans="1:103" ht="16.5">
      <c r="A649" s="435"/>
      <c r="B649" s="36"/>
      <c r="C649" s="199" t="str">
        <f t="shared" ca="1" si="11"/>
        <v/>
      </c>
      <c r="D649" s="479"/>
      <c r="E649" s="480"/>
      <c r="F649" s="480"/>
      <c r="G649" s="480"/>
      <c r="H649" s="480"/>
      <c r="I649" s="480"/>
      <c r="J649" s="480"/>
      <c r="K649" s="440"/>
      <c r="L649" s="441"/>
      <c r="M649" s="441"/>
      <c r="N649" s="441"/>
      <c r="O649" s="441"/>
      <c r="P649" s="441"/>
      <c r="Q649" s="441"/>
      <c r="R649" s="444"/>
      <c r="S649" s="445"/>
      <c r="T649" s="444"/>
      <c r="U649" s="445"/>
      <c r="V649" s="440"/>
      <c r="W649" s="441"/>
      <c r="X649" s="441"/>
      <c r="Y649" s="441"/>
      <c r="Z649" s="441"/>
      <c r="AA649" s="441"/>
      <c r="AB649" s="441"/>
      <c r="AC649" s="441"/>
      <c r="AD649" s="440"/>
      <c r="AE649" s="441"/>
      <c r="AF649" s="441"/>
      <c r="AG649" s="441"/>
      <c r="AH649" s="441"/>
      <c r="AI649" s="441"/>
      <c r="AJ649" s="441"/>
      <c r="AK649" s="450"/>
      <c r="AL649" s="440"/>
      <c r="AM649" s="441"/>
      <c r="AN649" s="441"/>
      <c r="AO649" s="441"/>
      <c r="AP649" s="441"/>
      <c r="AQ649" s="441"/>
      <c r="AR649" s="450"/>
      <c r="AS649" s="485"/>
      <c r="AT649" s="486"/>
      <c r="AU649" s="486"/>
      <c r="AV649" s="486"/>
      <c r="AW649" s="486"/>
      <c r="AX649" s="486"/>
      <c r="AY649" s="487"/>
      <c r="AZ649" s="462"/>
      <c r="BA649" s="463"/>
      <c r="BB649" s="61">
        <v>3</v>
      </c>
      <c r="BC649" s="418"/>
      <c r="BD649" s="419"/>
      <c r="BE649" s="419"/>
      <c r="BF649" s="420"/>
      <c r="BG649" s="421"/>
      <c r="BH649" s="422"/>
      <c r="BI649" s="195"/>
      <c r="BJ649" s="423"/>
      <c r="BK649" s="424"/>
      <c r="BL649" s="424"/>
      <c r="BM649" s="424"/>
      <c r="BN649" s="424"/>
      <c r="BO649" s="425"/>
      <c r="BP649" s="423"/>
      <c r="BQ649" s="424"/>
      <c r="BR649" s="424"/>
      <c r="BS649" s="424"/>
      <c r="BT649" s="424"/>
      <c r="BU649" s="425"/>
      <c r="BV649" s="423"/>
      <c r="BW649" s="424"/>
      <c r="BX649" s="424"/>
      <c r="BY649" s="424"/>
      <c r="BZ649" s="424"/>
      <c r="CA649" s="425"/>
      <c r="CB649" s="418"/>
      <c r="CC649" s="419"/>
      <c r="CD649" s="419"/>
      <c r="CE649" s="420"/>
      <c r="CF649" s="412"/>
      <c r="CG649" s="413"/>
      <c r="CH649" s="413"/>
      <c r="CI649" s="413"/>
      <c r="CJ649" s="414"/>
      <c r="CK649" s="412"/>
      <c r="CL649" s="413"/>
      <c r="CM649" s="413"/>
      <c r="CN649" s="413"/>
      <c r="CO649" s="414"/>
      <c r="CP649" s="412"/>
      <c r="CQ649" s="413"/>
      <c r="CR649" s="413"/>
      <c r="CS649" s="413"/>
      <c r="CT649" s="414"/>
      <c r="CU649" s="415"/>
      <c r="CV649" s="416"/>
      <c r="CW649" s="416"/>
      <c r="CX649" s="416"/>
      <c r="CY649" s="417"/>
    </row>
    <row r="650" spans="1:103" ht="16.5">
      <c r="A650" s="435"/>
      <c r="B650" s="36"/>
      <c r="C650" s="199" t="str">
        <f t="shared" ca="1" si="11"/>
        <v/>
      </c>
      <c r="D650" s="479"/>
      <c r="E650" s="480"/>
      <c r="F650" s="480"/>
      <c r="G650" s="480"/>
      <c r="H650" s="480"/>
      <c r="I650" s="480"/>
      <c r="J650" s="480"/>
      <c r="K650" s="440"/>
      <c r="L650" s="441"/>
      <c r="M650" s="441"/>
      <c r="N650" s="441"/>
      <c r="O650" s="441"/>
      <c r="P650" s="441"/>
      <c r="Q650" s="441"/>
      <c r="R650" s="444"/>
      <c r="S650" s="445"/>
      <c r="T650" s="444"/>
      <c r="U650" s="445"/>
      <c r="V650" s="440"/>
      <c r="W650" s="441"/>
      <c r="X650" s="441"/>
      <c r="Y650" s="441"/>
      <c r="Z650" s="441"/>
      <c r="AA650" s="441"/>
      <c r="AB650" s="441"/>
      <c r="AC650" s="441"/>
      <c r="AD650" s="440"/>
      <c r="AE650" s="441"/>
      <c r="AF650" s="441"/>
      <c r="AG650" s="441"/>
      <c r="AH650" s="441"/>
      <c r="AI650" s="441"/>
      <c r="AJ650" s="441"/>
      <c r="AK650" s="450"/>
      <c r="AL650" s="440"/>
      <c r="AM650" s="441"/>
      <c r="AN650" s="441"/>
      <c r="AO650" s="441"/>
      <c r="AP650" s="441"/>
      <c r="AQ650" s="441"/>
      <c r="AR650" s="450"/>
      <c r="AS650" s="485"/>
      <c r="AT650" s="486"/>
      <c r="AU650" s="486"/>
      <c r="AV650" s="486"/>
      <c r="AW650" s="486"/>
      <c r="AX650" s="486"/>
      <c r="AY650" s="487"/>
      <c r="AZ650" s="462"/>
      <c r="BA650" s="463"/>
      <c r="BB650" s="61">
        <v>4</v>
      </c>
      <c r="BC650" s="418"/>
      <c r="BD650" s="419"/>
      <c r="BE650" s="419"/>
      <c r="BF650" s="420"/>
      <c r="BG650" s="421"/>
      <c r="BH650" s="422"/>
      <c r="BI650" s="195"/>
      <c r="BJ650" s="423"/>
      <c r="BK650" s="424"/>
      <c r="BL650" s="424"/>
      <c r="BM650" s="424"/>
      <c r="BN650" s="424"/>
      <c r="BO650" s="425"/>
      <c r="BP650" s="423"/>
      <c r="BQ650" s="424"/>
      <c r="BR650" s="424"/>
      <c r="BS650" s="424"/>
      <c r="BT650" s="424"/>
      <c r="BU650" s="425"/>
      <c r="BV650" s="423"/>
      <c r="BW650" s="424"/>
      <c r="BX650" s="424"/>
      <c r="BY650" s="424"/>
      <c r="BZ650" s="424"/>
      <c r="CA650" s="425"/>
      <c r="CB650" s="418"/>
      <c r="CC650" s="419"/>
      <c r="CD650" s="419"/>
      <c r="CE650" s="420"/>
      <c r="CF650" s="412"/>
      <c r="CG650" s="413"/>
      <c r="CH650" s="413"/>
      <c r="CI650" s="413"/>
      <c r="CJ650" s="414"/>
      <c r="CK650" s="412"/>
      <c r="CL650" s="413"/>
      <c r="CM650" s="413"/>
      <c r="CN650" s="413"/>
      <c r="CO650" s="414"/>
      <c r="CP650" s="412"/>
      <c r="CQ650" s="413"/>
      <c r="CR650" s="413"/>
      <c r="CS650" s="413"/>
      <c r="CT650" s="414"/>
      <c r="CU650" s="415"/>
      <c r="CV650" s="416"/>
      <c r="CW650" s="416"/>
      <c r="CX650" s="416"/>
      <c r="CY650" s="417"/>
    </row>
    <row r="651" spans="1:103" ht="16.5">
      <c r="A651" s="435"/>
      <c r="B651" s="36"/>
      <c r="C651" s="199" t="str">
        <f t="shared" ca="1" si="11"/>
        <v/>
      </c>
      <c r="D651" s="479"/>
      <c r="E651" s="480"/>
      <c r="F651" s="480"/>
      <c r="G651" s="480"/>
      <c r="H651" s="480"/>
      <c r="I651" s="480"/>
      <c r="J651" s="480"/>
      <c r="K651" s="440"/>
      <c r="L651" s="441"/>
      <c r="M651" s="441"/>
      <c r="N651" s="441"/>
      <c r="O651" s="441"/>
      <c r="P651" s="441"/>
      <c r="Q651" s="441"/>
      <c r="R651" s="444"/>
      <c r="S651" s="445"/>
      <c r="T651" s="444"/>
      <c r="U651" s="445"/>
      <c r="V651" s="440"/>
      <c r="W651" s="441"/>
      <c r="X651" s="441"/>
      <c r="Y651" s="441"/>
      <c r="Z651" s="441"/>
      <c r="AA651" s="441"/>
      <c r="AB651" s="441"/>
      <c r="AC651" s="441"/>
      <c r="AD651" s="440"/>
      <c r="AE651" s="441"/>
      <c r="AF651" s="441"/>
      <c r="AG651" s="441"/>
      <c r="AH651" s="441"/>
      <c r="AI651" s="441"/>
      <c r="AJ651" s="441"/>
      <c r="AK651" s="450"/>
      <c r="AL651" s="440"/>
      <c r="AM651" s="441"/>
      <c r="AN651" s="441"/>
      <c r="AO651" s="441"/>
      <c r="AP651" s="441"/>
      <c r="AQ651" s="441"/>
      <c r="AR651" s="450"/>
      <c r="AS651" s="485"/>
      <c r="AT651" s="486"/>
      <c r="AU651" s="486"/>
      <c r="AV651" s="486"/>
      <c r="AW651" s="486"/>
      <c r="AX651" s="486"/>
      <c r="AY651" s="487"/>
      <c r="AZ651" s="462"/>
      <c r="BA651" s="463"/>
      <c r="BB651" s="61">
        <v>5</v>
      </c>
      <c r="BC651" s="418"/>
      <c r="BD651" s="419"/>
      <c r="BE651" s="419"/>
      <c r="BF651" s="420"/>
      <c r="BG651" s="421"/>
      <c r="BH651" s="422"/>
      <c r="BI651" s="195"/>
      <c r="BJ651" s="423"/>
      <c r="BK651" s="424"/>
      <c r="BL651" s="424"/>
      <c r="BM651" s="424"/>
      <c r="BN651" s="424"/>
      <c r="BO651" s="425"/>
      <c r="BP651" s="423"/>
      <c r="BQ651" s="424"/>
      <c r="BR651" s="424"/>
      <c r="BS651" s="424"/>
      <c r="BT651" s="424"/>
      <c r="BU651" s="425"/>
      <c r="BV651" s="423"/>
      <c r="BW651" s="424"/>
      <c r="BX651" s="424"/>
      <c r="BY651" s="424"/>
      <c r="BZ651" s="424"/>
      <c r="CA651" s="425"/>
      <c r="CB651" s="418"/>
      <c r="CC651" s="419"/>
      <c r="CD651" s="419"/>
      <c r="CE651" s="420"/>
      <c r="CF651" s="412"/>
      <c r="CG651" s="413"/>
      <c r="CH651" s="413"/>
      <c r="CI651" s="413"/>
      <c r="CJ651" s="414"/>
      <c r="CK651" s="412"/>
      <c r="CL651" s="413"/>
      <c r="CM651" s="413"/>
      <c r="CN651" s="413"/>
      <c r="CO651" s="414"/>
      <c r="CP651" s="412"/>
      <c r="CQ651" s="413"/>
      <c r="CR651" s="413"/>
      <c r="CS651" s="413"/>
      <c r="CT651" s="414"/>
      <c r="CU651" s="415"/>
      <c r="CV651" s="416"/>
      <c r="CW651" s="416"/>
      <c r="CX651" s="416"/>
      <c r="CY651" s="417"/>
    </row>
    <row r="652" spans="1:103" ht="16.5">
      <c r="A652" s="436"/>
      <c r="B652" s="37"/>
      <c r="C652" s="200" t="str">
        <f t="shared" ca="1" si="11"/>
        <v/>
      </c>
      <c r="D652" s="481"/>
      <c r="E652" s="482"/>
      <c r="F652" s="482"/>
      <c r="G652" s="482"/>
      <c r="H652" s="482"/>
      <c r="I652" s="482"/>
      <c r="J652" s="482"/>
      <c r="K652" s="409"/>
      <c r="L652" s="410"/>
      <c r="M652" s="410"/>
      <c r="N652" s="410"/>
      <c r="O652" s="410"/>
      <c r="P652" s="410"/>
      <c r="Q652" s="410"/>
      <c r="R652" s="446"/>
      <c r="S652" s="447"/>
      <c r="T652" s="446"/>
      <c r="U652" s="447"/>
      <c r="V652" s="409"/>
      <c r="W652" s="410"/>
      <c r="X652" s="410"/>
      <c r="Y652" s="410"/>
      <c r="Z652" s="410"/>
      <c r="AA652" s="410"/>
      <c r="AB652" s="410"/>
      <c r="AC652" s="410"/>
      <c r="AD652" s="409"/>
      <c r="AE652" s="410"/>
      <c r="AF652" s="410"/>
      <c r="AG652" s="410"/>
      <c r="AH652" s="410"/>
      <c r="AI652" s="410"/>
      <c r="AJ652" s="410"/>
      <c r="AK652" s="411"/>
      <c r="AL652" s="409"/>
      <c r="AM652" s="410"/>
      <c r="AN652" s="410"/>
      <c r="AO652" s="410"/>
      <c r="AP652" s="410"/>
      <c r="AQ652" s="410"/>
      <c r="AR652" s="411"/>
      <c r="AS652" s="488"/>
      <c r="AT652" s="489"/>
      <c r="AU652" s="489"/>
      <c r="AV652" s="489"/>
      <c r="AW652" s="489"/>
      <c r="AX652" s="489"/>
      <c r="AY652" s="490"/>
      <c r="AZ652" s="464"/>
      <c r="BA652" s="465"/>
      <c r="BB652" s="62">
        <v>6</v>
      </c>
      <c r="BC652" s="426"/>
      <c r="BD652" s="427"/>
      <c r="BE652" s="427"/>
      <c r="BF652" s="428"/>
      <c r="BG652" s="429"/>
      <c r="BH652" s="430"/>
      <c r="BI652" s="196"/>
      <c r="BJ652" s="474"/>
      <c r="BK652" s="475"/>
      <c r="BL652" s="475"/>
      <c r="BM652" s="475"/>
      <c r="BN652" s="475"/>
      <c r="BO652" s="476"/>
      <c r="BP652" s="474"/>
      <c r="BQ652" s="475"/>
      <c r="BR652" s="475"/>
      <c r="BS652" s="475"/>
      <c r="BT652" s="475"/>
      <c r="BU652" s="476"/>
      <c r="BV652" s="474"/>
      <c r="BW652" s="475"/>
      <c r="BX652" s="475"/>
      <c r="BY652" s="475"/>
      <c r="BZ652" s="475"/>
      <c r="CA652" s="476"/>
      <c r="CB652" s="426"/>
      <c r="CC652" s="427"/>
      <c r="CD652" s="427"/>
      <c r="CE652" s="428"/>
      <c r="CF652" s="412"/>
      <c r="CG652" s="413"/>
      <c r="CH652" s="413"/>
      <c r="CI652" s="413"/>
      <c r="CJ652" s="414"/>
      <c r="CK652" s="412"/>
      <c r="CL652" s="413"/>
      <c r="CM652" s="413"/>
      <c r="CN652" s="413"/>
      <c r="CO652" s="414"/>
      <c r="CP652" s="412"/>
      <c r="CQ652" s="413"/>
      <c r="CR652" s="413"/>
      <c r="CS652" s="413"/>
      <c r="CT652" s="414"/>
      <c r="CU652" s="415"/>
      <c r="CV652" s="416"/>
      <c r="CW652" s="416"/>
      <c r="CX652" s="416"/>
      <c r="CY652" s="417"/>
    </row>
    <row r="653" spans="1:103" ht="16.5">
      <c r="A653" s="434">
        <v>108</v>
      </c>
      <c r="B653" s="36"/>
      <c r="C653" s="198" t="str">
        <f t="shared" ca="1" si="11"/>
        <v/>
      </c>
      <c r="D653" s="477"/>
      <c r="E653" s="478"/>
      <c r="F653" s="478"/>
      <c r="G653" s="478"/>
      <c r="H653" s="478"/>
      <c r="I653" s="478"/>
      <c r="J653" s="478"/>
      <c r="K653" s="438" t="s">
        <v>468</v>
      </c>
      <c r="L653" s="439"/>
      <c r="M653" s="439"/>
      <c r="N653" s="439"/>
      <c r="O653" s="439"/>
      <c r="P653" s="439"/>
      <c r="Q653" s="439"/>
      <c r="R653" s="442" t="s">
        <v>186</v>
      </c>
      <c r="S653" s="443"/>
      <c r="T653" s="442"/>
      <c r="U653" s="443"/>
      <c r="V653" s="438"/>
      <c r="W653" s="439"/>
      <c r="X653" s="439"/>
      <c r="Y653" s="439"/>
      <c r="Z653" s="439"/>
      <c r="AA653" s="439"/>
      <c r="AB653" s="439"/>
      <c r="AC653" s="439"/>
      <c r="AD653" s="438"/>
      <c r="AE653" s="439"/>
      <c r="AF653" s="439"/>
      <c r="AG653" s="439"/>
      <c r="AH653" s="439"/>
      <c r="AI653" s="439"/>
      <c r="AJ653" s="439"/>
      <c r="AK653" s="449"/>
      <c r="AL653" s="438"/>
      <c r="AM653" s="439"/>
      <c r="AN653" s="439"/>
      <c r="AO653" s="439"/>
      <c r="AP653" s="439"/>
      <c r="AQ653" s="439"/>
      <c r="AR653" s="449"/>
      <c r="AS653" s="500"/>
      <c r="AT653" s="483"/>
      <c r="AU653" s="483"/>
      <c r="AV653" s="483"/>
      <c r="AW653" s="483"/>
      <c r="AX653" s="483"/>
      <c r="AY653" s="484"/>
      <c r="AZ653" s="460"/>
      <c r="BA653" s="461"/>
      <c r="BB653" s="60">
        <v>1</v>
      </c>
      <c r="BC653" s="466"/>
      <c r="BD653" s="467"/>
      <c r="BE653" s="467"/>
      <c r="BF653" s="468"/>
      <c r="BG653" s="469"/>
      <c r="BH653" s="470"/>
      <c r="BI653" s="194"/>
      <c r="BJ653" s="471"/>
      <c r="BK653" s="472"/>
      <c r="BL653" s="472"/>
      <c r="BM653" s="472"/>
      <c r="BN653" s="472"/>
      <c r="BO653" s="473"/>
      <c r="BP653" s="471"/>
      <c r="BQ653" s="472"/>
      <c r="BR653" s="472"/>
      <c r="BS653" s="472"/>
      <c r="BT653" s="472"/>
      <c r="BU653" s="473"/>
      <c r="BV653" s="471"/>
      <c r="BW653" s="472"/>
      <c r="BX653" s="472"/>
      <c r="BY653" s="472"/>
      <c r="BZ653" s="472"/>
      <c r="CA653" s="473"/>
      <c r="CB653" s="466"/>
      <c r="CC653" s="467"/>
      <c r="CD653" s="467"/>
      <c r="CE653" s="468"/>
      <c r="CF653" s="409"/>
      <c r="CG653" s="410"/>
      <c r="CH653" s="410"/>
      <c r="CI653" s="410"/>
      <c r="CJ653" s="411"/>
      <c r="CK653" s="409"/>
      <c r="CL653" s="410"/>
      <c r="CM653" s="410"/>
      <c r="CN653" s="410"/>
      <c r="CO653" s="411"/>
      <c r="CP653" s="409"/>
      <c r="CQ653" s="410"/>
      <c r="CR653" s="410"/>
      <c r="CS653" s="410"/>
      <c r="CT653" s="411"/>
      <c r="CU653" s="415"/>
      <c r="CV653" s="416"/>
      <c r="CW653" s="416"/>
      <c r="CX653" s="416"/>
      <c r="CY653" s="417"/>
    </row>
    <row r="654" spans="1:103" ht="16.5">
      <c r="A654" s="435"/>
      <c r="B654" s="36"/>
      <c r="C654" s="199" t="str">
        <f t="shared" ca="1" si="11"/>
        <v/>
      </c>
      <c r="D654" s="479"/>
      <c r="E654" s="480"/>
      <c r="F654" s="480"/>
      <c r="G654" s="480"/>
      <c r="H654" s="480"/>
      <c r="I654" s="480"/>
      <c r="J654" s="480"/>
      <c r="K654" s="440"/>
      <c r="L654" s="441"/>
      <c r="M654" s="441"/>
      <c r="N654" s="441"/>
      <c r="O654" s="441"/>
      <c r="P654" s="441"/>
      <c r="Q654" s="441"/>
      <c r="R654" s="444"/>
      <c r="S654" s="445"/>
      <c r="T654" s="444"/>
      <c r="U654" s="445"/>
      <c r="V654" s="440"/>
      <c r="W654" s="441"/>
      <c r="X654" s="441"/>
      <c r="Y654" s="441"/>
      <c r="Z654" s="441"/>
      <c r="AA654" s="441"/>
      <c r="AB654" s="441"/>
      <c r="AC654" s="441"/>
      <c r="AD654" s="440"/>
      <c r="AE654" s="441"/>
      <c r="AF654" s="441"/>
      <c r="AG654" s="441"/>
      <c r="AH654" s="441"/>
      <c r="AI654" s="441"/>
      <c r="AJ654" s="441"/>
      <c r="AK654" s="450"/>
      <c r="AL654" s="440"/>
      <c r="AM654" s="441"/>
      <c r="AN654" s="441"/>
      <c r="AO654" s="441"/>
      <c r="AP654" s="441"/>
      <c r="AQ654" s="441"/>
      <c r="AR654" s="450"/>
      <c r="AS654" s="485"/>
      <c r="AT654" s="486"/>
      <c r="AU654" s="486"/>
      <c r="AV654" s="486"/>
      <c r="AW654" s="486"/>
      <c r="AX654" s="486"/>
      <c r="AY654" s="487"/>
      <c r="AZ654" s="462"/>
      <c r="BA654" s="463"/>
      <c r="BB654" s="61">
        <v>2</v>
      </c>
      <c r="BC654" s="418"/>
      <c r="BD654" s="419"/>
      <c r="BE654" s="419"/>
      <c r="BF654" s="420"/>
      <c r="BG654" s="421"/>
      <c r="BH654" s="422"/>
      <c r="BI654" s="195"/>
      <c r="BJ654" s="423"/>
      <c r="BK654" s="424"/>
      <c r="BL654" s="424"/>
      <c r="BM654" s="424"/>
      <c r="BN654" s="424"/>
      <c r="BO654" s="425"/>
      <c r="BP654" s="423"/>
      <c r="BQ654" s="424"/>
      <c r="BR654" s="424"/>
      <c r="BS654" s="424"/>
      <c r="BT654" s="424"/>
      <c r="BU654" s="425"/>
      <c r="BV654" s="423"/>
      <c r="BW654" s="424"/>
      <c r="BX654" s="424"/>
      <c r="BY654" s="424"/>
      <c r="BZ654" s="424"/>
      <c r="CA654" s="425"/>
      <c r="CB654" s="418"/>
      <c r="CC654" s="419"/>
      <c r="CD654" s="419"/>
      <c r="CE654" s="420"/>
      <c r="CF654" s="412"/>
      <c r="CG654" s="413"/>
      <c r="CH654" s="413"/>
      <c r="CI654" s="413"/>
      <c r="CJ654" s="414"/>
      <c r="CK654" s="412"/>
      <c r="CL654" s="413"/>
      <c r="CM654" s="413"/>
      <c r="CN654" s="413"/>
      <c r="CO654" s="414"/>
      <c r="CP654" s="412"/>
      <c r="CQ654" s="413"/>
      <c r="CR654" s="413"/>
      <c r="CS654" s="413"/>
      <c r="CT654" s="414"/>
      <c r="CU654" s="415"/>
      <c r="CV654" s="416"/>
      <c r="CW654" s="416"/>
      <c r="CX654" s="416"/>
      <c r="CY654" s="417"/>
    </row>
    <row r="655" spans="1:103" ht="16.5">
      <c r="A655" s="435"/>
      <c r="B655" s="36"/>
      <c r="C655" s="199" t="str">
        <f t="shared" ca="1" si="11"/>
        <v/>
      </c>
      <c r="D655" s="479"/>
      <c r="E655" s="480"/>
      <c r="F655" s="480"/>
      <c r="G655" s="480"/>
      <c r="H655" s="480"/>
      <c r="I655" s="480"/>
      <c r="J655" s="480"/>
      <c r="K655" s="440"/>
      <c r="L655" s="441"/>
      <c r="M655" s="441"/>
      <c r="N655" s="441"/>
      <c r="O655" s="441"/>
      <c r="P655" s="441"/>
      <c r="Q655" s="441"/>
      <c r="R655" s="444"/>
      <c r="S655" s="445"/>
      <c r="T655" s="444"/>
      <c r="U655" s="445"/>
      <c r="V655" s="440"/>
      <c r="W655" s="441"/>
      <c r="X655" s="441"/>
      <c r="Y655" s="441"/>
      <c r="Z655" s="441"/>
      <c r="AA655" s="441"/>
      <c r="AB655" s="441"/>
      <c r="AC655" s="441"/>
      <c r="AD655" s="440"/>
      <c r="AE655" s="441"/>
      <c r="AF655" s="441"/>
      <c r="AG655" s="441"/>
      <c r="AH655" s="441"/>
      <c r="AI655" s="441"/>
      <c r="AJ655" s="441"/>
      <c r="AK655" s="450"/>
      <c r="AL655" s="440"/>
      <c r="AM655" s="441"/>
      <c r="AN655" s="441"/>
      <c r="AO655" s="441"/>
      <c r="AP655" s="441"/>
      <c r="AQ655" s="441"/>
      <c r="AR655" s="450"/>
      <c r="AS655" s="485"/>
      <c r="AT655" s="486"/>
      <c r="AU655" s="486"/>
      <c r="AV655" s="486"/>
      <c r="AW655" s="486"/>
      <c r="AX655" s="486"/>
      <c r="AY655" s="487"/>
      <c r="AZ655" s="462"/>
      <c r="BA655" s="463"/>
      <c r="BB655" s="61">
        <v>3</v>
      </c>
      <c r="BC655" s="418"/>
      <c r="BD655" s="419"/>
      <c r="BE655" s="419"/>
      <c r="BF655" s="420"/>
      <c r="BG655" s="421"/>
      <c r="BH655" s="422"/>
      <c r="BI655" s="195"/>
      <c r="BJ655" s="423"/>
      <c r="BK655" s="424"/>
      <c r="BL655" s="424"/>
      <c r="BM655" s="424"/>
      <c r="BN655" s="424"/>
      <c r="BO655" s="425"/>
      <c r="BP655" s="423"/>
      <c r="BQ655" s="424"/>
      <c r="BR655" s="424"/>
      <c r="BS655" s="424"/>
      <c r="BT655" s="424"/>
      <c r="BU655" s="425"/>
      <c r="BV655" s="423"/>
      <c r="BW655" s="424"/>
      <c r="BX655" s="424"/>
      <c r="BY655" s="424"/>
      <c r="BZ655" s="424"/>
      <c r="CA655" s="425"/>
      <c r="CB655" s="418"/>
      <c r="CC655" s="419"/>
      <c r="CD655" s="419"/>
      <c r="CE655" s="420"/>
      <c r="CF655" s="412"/>
      <c r="CG655" s="413"/>
      <c r="CH655" s="413"/>
      <c r="CI655" s="413"/>
      <c r="CJ655" s="414"/>
      <c r="CK655" s="412"/>
      <c r="CL655" s="413"/>
      <c r="CM655" s="413"/>
      <c r="CN655" s="413"/>
      <c r="CO655" s="414"/>
      <c r="CP655" s="412"/>
      <c r="CQ655" s="413"/>
      <c r="CR655" s="413"/>
      <c r="CS655" s="413"/>
      <c r="CT655" s="414"/>
      <c r="CU655" s="415"/>
      <c r="CV655" s="416"/>
      <c r="CW655" s="416"/>
      <c r="CX655" s="416"/>
      <c r="CY655" s="417"/>
    </row>
    <row r="656" spans="1:103" ht="16.5">
      <c r="A656" s="435"/>
      <c r="B656" s="36"/>
      <c r="C656" s="199" t="str">
        <f t="shared" ca="1" si="11"/>
        <v/>
      </c>
      <c r="D656" s="479"/>
      <c r="E656" s="480"/>
      <c r="F656" s="480"/>
      <c r="G656" s="480"/>
      <c r="H656" s="480"/>
      <c r="I656" s="480"/>
      <c r="J656" s="480"/>
      <c r="K656" s="440"/>
      <c r="L656" s="441"/>
      <c r="M656" s="441"/>
      <c r="N656" s="441"/>
      <c r="O656" s="441"/>
      <c r="P656" s="441"/>
      <c r="Q656" s="441"/>
      <c r="R656" s="444"/>
      <c r="S656" s="445"/>
      <c r="T656" s="444"/>
      <c r="U656" s="445"/>
      <c r="V656" s="440"/>
      <c r="W656" s="441"/>
      <c r="X656" s="441"/>
      <c r="Y656" s="441"/>
      <c r="Z656" s="441"/>
      <c r="AA656" s="441"/>
      <c r="AB656" s="441"/>
      <c r="AC656" s="441"/>
      <c r="AD656" s="440"/>
      <c r="AE656" s="441"/>
      <c r="AF656" s="441"/>
      <c r="AG656" s="441"/>
      <c r="AH656" s="441"/>
      <c r="AI656" s="441"/>
      <c r="AJ656" s="441"/>
      <c r="AK656" s="450"/>
      <c r="AL656" s="440"/>
      <c r="AM656" s="441"/>
      <c r="AN656" s="441"/>
      <c r="AO656" s="441"/>
      <c r="AP656" s="441"/>
      <c r="AQ656" s="441"/>
      <c r="AR656" s="450"/>
      <c r="AS656" s="485"/>
      <c r="AT656" s="486"/>
      <c r="AU656" s="486"/>
      <c r="AV656" s="486"/>
      <c r="AW656" s="486"/>
      <c r="AX656" s="486"/>
      <c r="AY656" s="487"/>
      <c r="AZ656" s="462"/>
      <c r="BA656" s="463"/>
      <c r="BB656" s="61">
        <v>4</v>
      </c>
      <c r="BC656" s="418"/>
      <c r="BD656" s="419"/>
      <c r="BE656" s="419"/>
      <c r="BF656" s="420"/>
      <c r="BG656" s="421"/>
      <c r="BH656" s="422"/>
      <c r="BI656" s="195"/>
      <c r="BJ656" s="423"/>
      <c r="BK656" s="424"/>
      <c r="BL656" s="424"/>
      <c r="BM656" s="424"/>
      <c r="BN656" s="424"/>
      <c r="BO656" s="425"/>
      <c r="BP656" s="423"/>
      <c r="BQ656" s="424"/>
      <c r="BR656" s="424"/>
      <c r="BS656" s="424"/>
      <c r="BT656" s="424"/>
      <c r="BU656" s="425"/>
      <c r="BV656" s="423"/>
      <c r="BW656" s="424"/>
      <c r="BX656" s="424"/>
      <c r="BY656" s="424"/>
      <c r="BZ656" s="424"/>
      <c r="CA656" s="425"/>
      <c r="CB656" s="418"/>
      <c r="CC656" s="419"/>
      <c r="CD656" s="419"/>
      <c r="CE656" s="420"/>
      <c r="CF656" s="412"/>
      <c r="CG656" s="413"/>
      <c r="CH656" s="413"/>
      <c r="CI656" s="413"/>
      <c r="CJ656" s="414"/>
      <c r="CK656" s="412"/>
      <c r="CL656" s="413"/>
      <c r="CM656" s="413"/>
      <c r="CN656" s="413"/>
      <c r="CO656" s="414"/>
      <c r="CP656" s="412"/>
      <c r="CQ656" s="413"/>
      <c r="CR656" s="413"/>
      <c r="CS656" s="413"/>
      <c r="CT656" s="414"/>
      <c r="CU656" s="415"/>
      <c r="CV656" s="416"/>
      <c r="CW656" s="416"/>
      <c r="CX656" s="416"/>
      <c r="CY656" s="417"/>
    </row>
    <row r="657" spans="1:103" ht="16.5">
      <c r="A657" s="435"/>
      <c r="B657" s="36"/>
      <c r="C657" s="199" t="str">
        <f t="shared" ca="1" si="11"/>
        <v/>
      </c>
      <c r="D657" s="479"/>
      <c r="E657" s="480"/>
      <c r="F657" s="480"/>
      <c r="G657" s="480"/>
      <c r="H657" s="480"/>
      <c r="I657" s="480"/>
      <c r="J657" s="480"/>
      <c r="K657" s="440"/>
      <c r="L657" s="441"/>
      <c r="M657" s="441"/>
      <c r="N657" s="441"/>
      <c r="O657" s="441"/>
      <c r="P657" s="441"/>
      <c r="Q657" s="441"/>
      <c r="R657" s="444"/>
      <c r="S657" s="445"/>
      <c r="T657" s="444"/>
      <c r="U657" s="445"/>
      <c r="V657" s="440"/>
      <c r="W657" s="441"/>
      <c r="X657" s="441"/>
      <c r="Y657" s="441"/>
      <c r="Z657" s="441"/>
      <c r="AA657" s="441"/>
      <c r="AB657" s="441"/>
      <c r="AC657" s="441"/>
      <c r="AD657" s="440"/>
      <c r="AE657" s="441"/>
      <c r="AF657" s="441"/>
      <c r="AG657" s="441"/>
      <c r="AH657" s="441"/>
      <c r="AI657" s="441"/>
      <c r="AJ657" s="441"/>
      <c r="AK657" s="450"/>
      <c r="AL657" s="440"/>
      <c r="AM657" s="441"/>
      <c r="AN657" s="441"/>
      <c r="AO657" s="441"/>
      <c r="AP657" s="441"/>
      <c r="AQ657" s="441"/>
      <c r="AR657" s="450"/>
      <c r="AS657" s="485"/>
      <c r="AT657" s="486"/>
      <c r="AU657" s="486"/>
      <c r="AV657" s="486"/>
      <c r="AW657" s="486"/>
      <c r="AX657" s="486"/>
      <c r="AY657" s="487"/>
      <c r="AZ657" s="462"/>
      <c r="BA657" s="463"/>
      <c r="BB657" s="61">
        <v>5</v>
      </c>
      <c r="BC657" s="418"/>
      <c r="BD657" s="419"/>
      <c r="BE657" s="419"/>
      <c r="BF657" s="420"/>
      <c r="BG657" s="421"/>
      <c r="BH657" s="422"/>
      <c r="BI657" s="195"/>
      <c r="BJ657" s="423"/>
      <c r="BK657" s="424"/>
      <c r="BL657" s="424"/>
      <c r="BM657" s="424"/>
      <c r="BN657" s="424"/>
      <c r="BO657" s="425"/>
      <c r="BP657" s="423"/>
      <c r="BQ657" s="424"/>
      <c r="BR657" s="424"/>
      <c r="BS657" s="424"/>
      <c r="BT657" s="424"/>
      <c r="BU657" s="425"/>
      <c r="BV657" s="423"/>
      <c r="BW657" s="424"/>
      <c r="BX657" s="424"/>
      <c r="BY657" s="424"/>
      <c r="BZ657" s="424"/>
      <c r="CA657" s="425"/>
      <c r="CB657" s="418"/>
      <c r="CC657" s="419"/>
      <c r="CD657" s="419"/>
      <c r="CE657" s="420"/>
      <c r="CF657" s="412"/>
      <c r="CG657" s="413"/>
      <c r="CH657" s="413"/>
      <c r="CI657" s="413"/>
      <c r="CJ657" s="414"/>
      <c r="CK657" s="412"/>
      <c r="CL657" s="413"/>
      <c r="CM657" s="413"/>
      <c r="CN657" s="413"/>
      <c r="CO657" s="414"/>
      <c r="CP657" s="412"/>
      <c r="CQ657" s="413"/>
      <c r="CR657" s="413"/>
      <c r="CS657" s="413"/>
      <c r="CT657" s="414"/>
      <c r="CU657" s="415"/>
      <c r="CV657" s="416"/>
      <c r="CW657" s="416"/>
      <c r="CX657" s="416"/>
      <c r="CY657" s="417"/>
    </row>
    <row r="658" spans="1:103" ht="16.5">
      <c r="A658" s="436"/>
      <c r="B658" s="37"/>
      <c r="C658" s="200" t="str">
        <f t="shared" ca="1" si="11"/>
        <v/>
      </c>
      <c r="D658" s="481"/>
      <c r="E658" s="482"/>
      <c r="F658" s="482"/>
      <c r="G658" s="482"/>
      <c r="H658" s="482"/>
      <c r="I658" s="482"/>
      <c r="J658" s="482"/>
      <c r="K658" s="409"/>
      <c r="L658" s="410"/>
      <c r="M658" s="410"/>
      <c r="N658" s="410"/>
      <c r="O658" s="410"/>
      <c r="P658" s="410"/>
      <c r="Q658" s="410"/>
      <c r="R658" s="446"/>
      <c r="S658" s="447"/>
      <c r="T658" s="446"/>
      <c r="U658" s="447"/>
      <c r="V658" s="409"/>
      <c r="W658" s="410"/>
      <c r="X658" s="410"/>
      <c r="Y658" s="410"/>
      <c r="Z658" s="410"/>
      <c r="AA658" s="410"/>
      <c r="AB658" s="410"/>
      <c r="AC658" s="410"/>
      <c r="AD658" s="409"/>
      <c r="AE658" s="410"/>
      <c r="AF658" s="410"/>
      <c r="AG658" s="410"/>
      <c r="AH658" s="410"/>
      <c r="AI658" s="410"/>
      <c r="AJ658" s="410"/>
      <c r="AK658" s="411"/>
      <c r="AL658" s="409"/>
      <c r="AM658" s="410"/>
      <c r="AN658" s="410"/>
      <c r="AO658" s="410"/>
      <c r="AP658" s="410"/>
      <c r="AQ658" s="410"/>
      <c r="AR658" s="411"/>
      <c r="AS658" s="488"/>
      <c r="AT658" s="489"/>
      <c r="AU658" s="489"/>
      <c r="AV658" s="489"/>
      <c r="AW658" s="489"/>
      <c r="AX658" s="489"/>
      <c r="AY658" s="490"/>
      <c r="AZ658" s="464"/>
      <c r="BA658" s="465"/>
      <c r="BB658" s="62">
        <v>6</v>
      </c>
      <c r="BC658" s="426"/>
      <c r="BD658" s="427"/>
      <c r="BE658" s="427"/>
      <c r="BF658" s="428"/>
      <c r="BG658" s="429"/>
      <c r="BH658" s="430"/>
      <c r="BI658" s="196"/>
      <c r="BJ658" s="474"/>
      <c r="BK658" s="475"/>
      <c r="BL658" s="475"/>
      <c r="BM658" s="475"/>
      <c r="BN658" s="475"/>
      <c r="BO658" s="476"/>
      <c r="BP658" s="474"/>
      <c r="BQ658" s="475"/>
      <c r="BR658" s="475"/>
      <c r="BS658" s="475"/>
      <c r="BT658" s="475"/>
      <c r="BU658" s="476"/>
      <c r="BV658" s="474"/>
      <c r="BW658" s="475"/>
      <c r="BX658" s="475"/>
      <c r="BY658" s="475"/>
      <c r="BZ658" s="475"/>
      <c r="CA658" s="476"/>
      <c r="CB658" s="426"/>
      <c r="CC658" s="427"/>
      <c r="CD658" s="427"/>
      <c r="CE658" s="428"/>
      <c r="CF658" s="412"/>
      <c r="CG658" s="413"/>
      <c r="CH658" s="413"/>
      <c r="CI658" s="413"/>
      <c r="CJ658" s="414"/>
      <c r="CK658" s="412"/>
      <c r="CL658" s="413"/>
      <c r="CM658" s="413"/>
      <c r="CN658" s="413"/>
      <c r="CO658" s="414"/>
      <c r="CP658" s="412"/>
      <c r="CQ658" s="413"/>
      <c r="CR658" s="413"/>
      <c r="CS658" s="413"/>
      <c r="CT658" s="414"/>
      <c r="CU658" s="415"/>
      <c r="CV658" s="416"/>
      <c r="CW658" s="416"/>
      <c r="CX658" s="416"/>
      <c r="CY658" s="417"/>
    </row>
    <row r="659" spans="1:103" ht="16.5">
      <c r="A659" s="434">
        <v>109</v>
      </c>
      <c r="B659" s="36"/>
      <c r="C659" s="198" t="str">
        <f t="shared" ca="1" si="11"/>
        <v/>
      </c>
      <c r="D659" s="477"/>
      <c r="E659" s="478"/>
      <c r="F659" s="478"/>
      <c r="G659" s="478"/>
      <c r="H659" s="478"/>
      <c r="I659" s="478"/>
      <c r="J659" s="478"/>
      <c r="K659" s="438" t="s">
        <v>469</v>
      </c>
      <c r="L659" s="439"/>
      <c r="M659" s="439"/>
      <c r="N659" s="439"/>
      <c r="O659" s="439"/>
      <c r="P659" s="439"/>
      <c r="Q659" s="439"/>
      <c r="R659" s="442" t="s">
        <v>186</v>
      </c>
      <c r="S659" s="443"/>
      <c r="T659" s="442"/>
      <c r="U659" s="443"/>
      <c r="V659" s="438"/>
      <c r="W659" s="439"/>
      <c r="X659" s="439"/>
      <c r="Y659" s="439"/>
      <c r="Z659" s="439"/>
      <c r="AA659" s="439"/>
      <c r="AB659" s="439"/>
      <c r="AC659" s="439"/>
      <c r="AD659" s="438"/>
      <c r="AE659" s="439"/>
      <c r="AF659" s="439"/>
      <c r="AG659" s="439"/>
      <c r="AH659" s="439"/>
      <c r="AI659" s="439"/>
      <c r="AJ659" s="439"/>
      <c r="AK659" s="449"/>
      <c r="AL659" s="438"/>
      <c r="AM659" s="439"/>
      <c r="AN659" s="439"/>
      <c r="AO659" s="439"/>
      <c r="AP659" s="439"/>
      <c r="AQ659" s="439"/>
      <c r="AR659" s="449"/>
      <c r="AS659" s="500"/>
      <c r="AT659" s="483"/>
      <c r="AU659" s="483"/>
      <c r="AV659" s="483"/>
      <c r="AW659" s="483"/>
      <c r="AX659" s="483"/>
      <c r="AY659" s="484"/>
      <c r="AZ659" s="460"/>
      <c r="BA659" s="461"/>
      <c r="BB659" s="60">
        <v>1</v>
      </c>
      <c r="BC659" s="466"/>
      <c r="BD659" s="467"/>
      <c r="BE659" s="467"/>
      <c r="BF659" s="468"/>
      <c r="BG659" s="469"/>
      <c r="BH659" s="470"/>
      <c r="BI659" s="194"/>
      <c r="BJ659" s="471"/>
      <c r="BK659" s="472"/>
      <c r="BL659" s="472"/>
      <c r="BM659" s="472"/>
      <c r="BN659" s="472"/>
      <c r="BO659" s="473"/>
      <c r="BP659" s="471"/>
      <c r="BQ659" s="472"/>
      <c r="BR659" s="472"/>
      <c r="BS659" s="472"/>
      <c r="BT659" s="472"/>
      <c r="BU659" s="473"/>
      <c r="BV659" s="471"/>
      <c r="BW659" s="472"/>
      <c r="BX659" s="472"/>
      <c r="BY659" s="472"/>
      <c r="BZ659" s="472"/>
      <c r="CA659" s="473"/>
      <c r="CB659" s="466"/>
      <c r="CC659" s="467"/>
      <c r="CD659" s="467"/>
      <c r="CE659" s="468"/>
      <c r="CF659" s="409"/>
      <c r="CG659" s="410"/>
      <c r="CH659" s="410"/>
      <c r="CI659" s="410"/>
      <c r="CJ659" s="411"/>
      <c r="CK659" s="409"/>
      <c r="CL659" s="410"/>
      <c r="CM659" s="410"/>
      <c r="CN659" s="410"/>
      <c r="CO659" s="411"/>
      <c r="CP659" s="409"/>
      <c r="CQ659" s="410"/>
      <c r="CR659" s="410"/>
      <c r="CS659" s="410"/>
      <c r="CT659" s="411"/>
      <c r="CU659" s="415"/>
      <c r="CV659" s="416"/>
      <c r="CW659" s="416"/>
      <c r="CX659" s="416"/>
      <c r="CY659" s="417"/>
    </row>
    <row r="660" spans="1:103" ht="16.5">
      <c r="A660" s="435"/>
      <c r="B660" s="36"/>
      <c r="C660" s="199" t="str">
        <f t="shared" ca="1" si="11"/>
        <v/>
      </c>
      <c r="D660" s="479"/>
      <c r="E660" s="480"/>
      <c r="F660" s="480"/>
      <c r="G660" s="480"/>
      <c r="H660" s="480"/>
      <c r="I660" s="480"/>
      <c r="J660" s="480"/>
      <c r="K660" s="440"/>
      <c r="L660" s="441"/>
      <c r="M660" s="441"/>
      <c r="N660" s="441"/>
      <c r="O660" s="441"/>
      <c r="P660" s="441"/>
      <c r="Q660" s="441"/>
      <c r="R660" s="444"/>
      <c r="S660" s="445"/>
      <c r="T660" s="444"/>
      <c r="U660" s="445"/>
      <c r="V660" s="440"/>
      <c r="W660" s="441"/>
      <c r="X660" s="441"/>
      <c r="Y660" s="441"/>
      <c r="Z660" s="441"/>
      <c r="AA660" s="441"/>
      <c r="AB660" s="441"/>
      <c r="AC660" s="441"/>
      <c r="AD660" s="440"/>
      <c r="AE660" s="441"/>
      <c r="AF660" s="441"/>
      <c r="AG660" s="441"/>
      <c r="AH660" s="441"/>
      <c r="AI660" s="441"/>
      <c r="AJ660" s="441"/>
      <c r="AK660" s="450"/>
      <c r="AL660" s="440"/>
      <c r="AM660" s="441"/>
      <c r="AN660" s="441"/>
      <c r="AO660" s="441"/>
      <c r="AP660" s="441"/>
      <c r="AQ660" s="441"/>
      <c r="AR660" s="450"/>
      <c r="AS660" s="485"/>
      <c r="AT660" s="486"/>
      <c r="AU660" s="486"/>
      <c r="AV660" s="486"/>
      <c r="AW660" s="486"/>
      <c r="AX660" s="486"/>
      <c r="AY660" s="487"/>
      <c r="AZ660" s="462"/>
      <c r="BA660" s="463"/>
      <c r="BB660" s="61">
        <v>2</v>
      </c>
      <c r="BC660" s="418"/>
      <c r="BD660" s="419"/>
      <c r="BE660" s="419"/>
      <c r="BF660" s="420"/>
      <c r="BG660" s="421"/>
      <c r="BH660" s="422"/>
      <c r="BI660" s="195"/>
      <c r="BJ660" s="423"/>
      <c r="BK660" s="424"/>
      <c r="BL660" s="424"/>
      <c r="BM660" s="424"/>
      <c r="BN660" s="424"/>
      <c r="BO660" s="425"/>
      <c r="BP660" s="423"/>
      <c r="BQ660" s="424"/>
      <c r="BR660" s="424"/>
      <c r="BS660" s="424"/>
      <c r="BT660" s="424"/>
      <c r="BU660" s="425"/>
      <c r="BV660" s="423"/>
      <c r="BW660" s="424"/>
      <c r="BX660" s="424"/>
      <c r="BY660" s="424"/>
      <c r="BZ660" s="424"/>
      <c r="CA660" s="425"/>
      <c r="CB660" s="418"/>
      <c r="CC660" s="419"/>
      <c r="CD660" s="419"/>
      <c r="CE660" s="420"/>
      <c r="CF660" s="412"/>
      <c r="CG660" s="413"/>
      <c r="CH660" s="413"/>
      <c r="CI660" s="413"/>
      <c r="CJ660" s="414"/>
      <c r="CK660" s="412"/>
      <c r="CL660" s="413"/>
      <c r="CM660" s="413"/>
      <c r="CN660" s="413"/>
      <c r="CO660" s="414"/>
      <c r="CP660" s="412"/>
      <c r="CQ660" s="413"/>
      <c r="CR660" s="413"/>
      <c r="CS660" s="413"/>
      <c r="CT660" s="414"/>
      <c r="CU660" s="415"/>
      <c r="CV660" s="416"/>
      <c r="CW660" s="416"/>
      <c r="CX660" s="416"/>
      <c r="CY660" s="417"/>
    </row>
    <row r="661" spans="1:103" ht="16.5">
      <c r="A661" s="435"/>
      <c r="B661" s="36"/>
      <c r="C661" s="199" t="str">
        <f t="shared" ca="1" si="11"/>
        <v/>
      </c>
      <c r="D661" s="479"/>
      <c r="E661" s="480"/>
      <c r="F661" s="480"/>
      <c r="G661" s="480"/>
      <c r="H661" s="480"/>
      <c r="I661" s="480"/>
      <c r="J661" s="480"/>
      <c r="K661" s="440"/>
      <c r="L661" s="441"/>
      <c r="M661" s="441"/>
      <c r="N661" s="441"/>
      <c r="O661" s="441"/>
      <c r="P661" s="441"/>
      <c r="Q661" s="441"/>
      <c r="R661" s="444"/>
      <c r="S661" s="445"/>
      <c r="T661" s="444"/>
      <c r="U661" s="445"/>
      <c r="V661" s="440"/>
      <c r="W661" s="441"/>
      <c r="X661" s="441"/>
      <c r="Y661" s="441"/>
      <c r="Z661" s="441"/>
      <c r="AA661" s="441"/>
      <c r="AB661" s="441"/>
      <c r="AC661" s="441"/>
      <c r="AD661" s="440"/>
      <c r="AE661" s="441"/>
      <c r="AF661" s="441"/>
      <c r="AG661" s="441"/>
      <c r="AH661" s="441"/>
      <c r="AI661" s="441"/>
      <c r="AJ661" s="441"/>
      <c r="AK661" s="450"/>
      <c r="AL661" s="440"/>
      <c r="AM661" s="441"/>
      <c r="AN661" s="441"/>
      <c r="AO661" s="441"/>
      <c r="AP661" s="441"/>
      <c r="AQ661" s="441"/>
      <c r="AR661" s="450"/>
      <c r="AS661" s="485"/>
      <c r="AT661" s="486"/>
      <c r="AU661" s="486"/>
      <c r="AV661" s="486"/>
      <c r="AW661" s="486"/>
      <c r="AX661" s="486"/>
      <c r="AY661" s="487"/>
      <c r="AZ661" s="462"/>
      <c r="BA661" s="463"/>
      <c r="BB661" s="61">
        <v>3</v>
      </c>
      <c r="BC661" s="418"/>
      <c r="BD661" s="419"/>
      <c r="BE661" s="419"/>
      <c r="BF661" s="420"/>
      <c r="BG661" s="421"/>
      <c r="BH661" s="422"/>
      <c r="BI661" s="195"/>
      <c r="BJ661" s="423"/>
      <c r="BK661" s="424"/>
      <c r="BL661" s="424"/>
      <c r="BM661" s="424"/>
      <c r="BN661" s="424"/>
      <c r="BO661" s="425"/>
      <c r="BP661" s="423"/>
      <c r="BQ661" s="424"/>
      <c r="BR661" s="424"/>
      <c r="BS661" s="424"/>
      <c r="BT661" s="424"/>
      <c r="BU661" s="425"/>
      <c r="BV661" s="423"/>
      <c r="BW661" s="424"/>
      <c r="BX661" s="424"/>
      <c r="BY661" s="424"/>
      <c r="BZ661" s="424"/>
      <c r="CA661" s="425"/>
      <c r="CB661" s="418"/>
      <c r="CC661" s="419"/>
      <c r="CD661" s="419"/>
      <c r="CE661" s="420"/>
      <c r="CF661" s="412"/>
      <c r="CG661" s="413"/>
      <c r="CH661" s="413"/>
      <c r="CI661" s="413"/>
      <c r="CJ661" s="414"/>
      <c r="CK661" s="412"/>
      <c r="CL661" s="413"/>
      <c r="CM661" s="413"/>
      <c r="CN661" s="413"/>
      <c r="CO661" s="414"/>
      <c r="CP661" s="412"/>
      <c r="CQ661" s="413"/>
      <c r="CR661" s="413"/>
      <c r="CS661" s="413"/>
      <c r="CT661" s="414"/>
      <c r="CU661" s="415"/>
      <c r="CV661" s="416"/>
      <c r="CW661" s="416"/>
      <c r="CX661" s="416"/>
      <c r="CY661" s="417"/>
    </row>
    <row r="662" spans="1:103" ht="16.5">
      <c r="A662" s="435"/>
      <c r="B662" s="36"/>
      <c r="C662" s="199" t="str">
        <f t="shared" ca="1" si="11"/>
        <v/>
      </c>
      <c r="D662" s="479"/>
      <c r="E662" s="480"/>
      <c r="F662" s="480"/>
      <c r="G662" s="480"/>
      <c r="H662" s="480"/>
      <c r="I662" s="480"/>
      <c r="J662" s="480"/>
      <c r="K662" s="440"/>
      <c r="L662" s="441"/>
      <c r="M662" s="441"/>
      <c r="N662" s="441"/>
      <c r="O662" s="441"/>
      <c r="P662" s="441"/>
      <c r="Q662" s="441"/>
      <c r="R662" s="444"/>
      <c r="S662" s="445"/>
      <c r="T662" s="444"/>
      <c r="U662" s="445"/>
      <c r="V662" s="440"/>
      <c r="W662" s="441"/>
      <c r="X662" s="441"/>
      <c r="Y662" s="441"/>
      <c r="Z662" s="441"/>
      <c r="AA662" s="441"/>
      <c r="AB662" s="441"/>
      <c r="AC662" s="441"/>
      <c r="AD662" s="440"/>
      <c r="AE662" s="441"/>
      <c r="AF662" s="441"/>
      <c r="AG662" s="441"/>
      <c r="AH662" s="441"/>
      <c r="AI662" s="441"/>
      <c r="AJ662" s="441"/>
      <c r="AK662" s="450"/>
      <c r="AL662" s="440"/>
      <c r="AM662" s="441"/>
      <c r="AN662" s="441"/>
      <c r="AO662" s="441"/>
      <c r="AP662" s="441"/>
      <c r="AQ662" s="441"/>
      <c r="AR662" s="450"/>
      <c r="AS662" s="485"/>
      <c r="AT662" s="486"/>
      <c r="AU662" s="486"/>
      <c r="AV662" s="486"/>
      <c r="AW662" s="486"/>
      <c r="AX662" s="486"/>
      <c r="AY662" s="487"/>
      <c r="AZ662" s="462"/>
      <c r="BA662" s="463"/>
      <c r="BB662" s="61">
        <v>4</v>
      </c>
      <c r="BC662" s="418"/>
      <c r="BD662" s="419"/>
      <c r="BE662" s="419"/>
      <c r="BF662" s="420"/>
      <c r="BG662" s="421"/>
      <c r="BH662" s="422"/>
      <c r="BI662" s="195"/>
      <c r="BJ662" s="423"/>
      <c r="BK662" s="424"/>
      <c r="BL662" s="424"/>
      <c r="BM662" s="424"/>
      <c r="BN662" s="424"/>
      <c r="BO662" s="425"/>
      <c r="BP662" s="423"/>
      <c r="BQ662" s="424"/>
      <c r="BR662" s="424"/>
      <c r="BS662" s="424"/>
      <c r="BT662" s="424"/>
      <c r="BU662" s="425"/>
      <c r="BV662" s="423"/>
      <c r="BW662" s="424"/>
      <c r="BX662" s="424"/>
      <c r="BY662" s="424"/>
      <c r="BZ662" s="424"/>
      <c r="CA662" s="425"/>
      <c r="CB662" s="418"/>
      <c r="CC662" s="419"/>
      <c r="CD662" s="419"/>
      <c r="CE662" s="420"/>
      <c r="CF662" s="412"/>
      <c r="CG662" s="413"/>
      <c r="CH662" s="413"/>
      <c r="CI662" s="413"/>
      <c r="CJ662" s="414"/>
      <c r="CK662" s="412"/>
      <c r="CL662" s="413"/>
      <c r="CM662" s="413"/>
      <c r="CN662" s="413"/>
      <c r="CO662" s="414"/>
      <c r="CP662" s="412"/>
      <c r="CQ662" s="413"/>
      <c r="CR662" s="413"/>
      <c r="CS662" s="413"/>
      <c r="CT662" s="414"/>
      <c r="CU662" s="415"/>
      <c r="CV662" s="416"/>
      <c r="CW662" s="416"/>
      <c r="CX662" s="416"/>
      <c r="CY662" s="417"/>
    </row>
    <row r="663" spans="1:103" ht="16.5">
      <c r="A663" s="435"/>
      <c r="B663" s="36"/>
      <c r="C663" s="199" t="str">
        <f t="shared" ca="1" si="11"/>
        <v/>
      </c>
      <c r="D663" s="479"/>
      <c r="E663" s="480"/>
      <c r="F663" s="480"/>
      <c r="G663" s="480"/>
      <c r="H663" s="480"/>
      <c r="I663" s="480"/>
      <c r="J663" s="480"/>
      <c r="K663" s="440"/>
      <c r="L663" s="441"/>
      <c r="M663" s="441"/>
      <c r="N663" s="441"/>
      <c r="O663" s="441"/>
      <c r="P663" s="441"/>
      <c r="Q663" s="441"/>
      <c r="R663" s="444"/>
      <c r="S663" s="445"/>
      <c r="T663" s="444"/>
      <c r="U663" s="445"/>
      <c r="V663" s="440"/>
      <c r="W663" s="441"/>
      <c r="X663" s="441"/>
      <c r="Y663" s="441"/>
      <c r="Z663" s="441"/>
      <c r="AA663" s="441"/>
      <c r="AB663" s="441"/>
      <c r="AC663" s="441"/>
      <c r="AD663" s="440"/>
      <c r="AE663" s="441"/>
      <c r="AF663" s="441"/>
      <c r="AG663" s="441"/>
      <c r="AH663" s="441"/>
      <c r="AI663" s="441"/>
      <c r="AJ663" s="441"/>
      <c r="AK663" s="450"/>
      <c r="AL663" s="440"/>
      <c r="AM663" s="441"/>
      <c r="AN663" s="441"/>
      <c r="AO663" s="441"/>
      <c r="AP663" s="441"/>
      <c r="AQ663" s="441"/>
      <c r="AR663" s="450"/>
      <c r="AS663" s="485"/>
      <c r="AT663" s="486"/>
      <c r="AU663" s="486"/>
      <c r="AV663" s="486"/>
      <c r="AW663" s="486"/>
      <c r="AX663" s="486"/>
      <c r="AY663" s="487"/>
      <c r="AZ663" s="462"/>
      <c r="BA663" s="463"/>
      <c r="BB663" s="61">
        <v>5</v>
      </c>
      <c r="BC663" s="418"/>
      <c r="BD663" s="419"/>
      <c r="BE663" s="419"/>
      <c r="BF663" s="420"/>
      <c r="BG663" s="421"/>
      <c r="BH663" s="422"/>
      <c r="BI663" s="195"/>
      <c r="BJ663" s="423"/>
      <c r="BK663" s="424"/>
      <c r="BL663" s="424"/>
      <c r="BM663" s="424"/>
      <c r="BN663" s="424"/>
      <c r="BO663" s="425"/>
      <c r="BP663" s="423"/>
      <c r="BQ663" s="424"/>
      <c r="BR663" s="424"/>
      <c r="BS663" s="424"/>
      <c r="BT663" s="424"/>
      <c r="BU663" s="425"/>
      <c r="BV663" s="423"/>
      <c r="BW663" s="424"/>
      <c r="BX663" s="424"/>
      <c r="BY663" s="424"/>
      <c r="BZ663" s="424"/>
      <c r="CA663" s="425"/>
      <c r="CB663" s="418"/>
      <c r="CC663" s="419"/>
      <c r="CD663" s="419"/>
      <c r="CE663" s="420"/>
      <c r="CF663" s="412"/>
      <c r="CG663" s="413"/>
      <c r="CH663" s="413"/>
      <c r="CI663" s="413"/>
      <c r="CJ663" s="414"/>
      <c r="CK663" s="412"/>
      <c r="CL663" s="413"/>
      <c r="CM663" s="413"/>
      <c r="CN663" s="413"/>
      <c r="CO663" s="414"/>
      <c r="CP663" s="412"/>
      <c r="CQ663" s="413"/>
      <c r="CR663" s="413"/>
      <c r="CS663" s="413"/>
      <c r="CT663" s="414"/>
      <c r="CU663" s="415"/>
      <c r="CV663" s="416"/>
      <c r="CW663" s="416"/>
      <c r="CX663" s="416"/>
      <c r="CY663" s="417"/>
    </row>
    <row r="664" spans="1:103" ht="16.5">
      <c r="A664" s="436"/>
      <c r="B664" s="37"/>
      <c r="C664" s="200" t="str">
        <f t="shared" ca="1" si="11"/>
        <v/>
      </c>
      <c r="D664" s="481"/>
      <c r="E664" s="482"/>
      <c r="F664" s="482"/>
      <c r="G664" s="482"/>
      <c r="H664" s="482"/>
      <c r="I664" s="482"/>
      <c r="J664" s="482"/>
      <c r="K664" s="409"/>
      <c r="L664" s="410"/>
      <c r="M664" s="410"/>
      <c r="N664" s="410"/>
      <c r="O664" s="410"/>
      <c r="P664" s="410"/>
      <c r="Q664" s="410"/>
      <c r="R664" s="446"/>
      <c r="S664" s="447"/>
      <c r="T664" s="446"/>
      <c r="U664" s="447"/>
      <c r="V664" s="409"/>
      <c r="W664" s="410"/>
      <c r="X664" s="410"/>
      <c r="Y664" s="410"/>
      <c r="Z664" s="410"/>
      <c r="AA664" s="410"/>
      <c r="AB664" s="410"/>
      <c r="AC664" s="410"/>
      <c r="AD664" s="409"/>
      <c r="AE664" s="410"/>
      <c r="AF664" s="410"/>
      <c r="AG664" s="410"/>
      <c r="AH664" s="410"/>
      <c r="AI664" s="410"/>
      <c r="AJ664" s="410"/>
      <c r="AK664" s="411"/>
      <c r="AL664" s="409"/>
      <c r="AM664" s="410"/>
      <c r="AN664" s="410"/>
      <c r="AO664" s="410"/>
      <c r="AP664" s="410"/>
      <c r="AQ664" s="410"/>
      <c r="AR664" s="411"/>
      <c r="AS664" s="488"/>
      <c r="AT664" s="489"/>
      <c r="AU664" s="489"/>
      <c r="AV664" s="489"/>
      <c r="AW664" s="489"/>
      <c r="AX664" s="489"/>
      <c r="AY664" s="490"/>
      <c r="AZ664" s="464"/>
      <c r="BA664" s="465"/>
      <c r="BB664" s="62">
        <v>6</v>
      </c>
      <c r="BC664" s="426"/>
      <c r="BD664" s="427"/>
      <c r="BE664" s="427"/>
      <c r="BF664" s="428"/>
      <c r="BG664" s="429"/>
      <c r="BH664" s="430"/>
      <c r="BI664" s="196"/>
      <c r="BJ664" s="474"/>
      <c r="BK664" s="475"/>
      <c r="BL664" s="475"/>
      <c r="BM664" s="475"/>
      <c r="BN664" s="475"/>
      <c r="BO664" s="476"/>
      <c r="BP664" s="474"/>
      <c r="BQ664" s="475"/>
      <c r="BR664" s="475"/>
      <c r="BS664" s="475"/>
      <c r="BT664" s="475"/>
      <c r="BU664" s="476"/>
      <c r="BV664" s="474"/>
      <c r="BW664" s="475"/>
      <c r="BX664" s="475"/>
      <c r="BY664" s="475"/>
      <c r="BZ664" s="475"/>
      <c r="CA664" s="476"/>
      <c r="CB664" s="426"/>
      <c r="CC664" s="427"/>
      <c r="CD664" s="427"/>
      <c r="CE664" s="428"/>
      <c r="CF664" s="412"/>
      <c r="CG664" s="413"/>
      <c r="CH664" s="413"/>
      <c r="CI664" s="413"/>
      <c r="CJ664" s="414"/>
      <c r="CK664" s="412"/>
      <c r="CL664" s="413"/>
      <c r="CM664" s="413"/>
      <c r="CN664" s="413"/>
      <c r="CO664" s="414"/>
      <c r="CP664" s="412"/>
      <c r="CQ664" s="413"/>
      <c r="CR664" s="413"/>
      <c r="CS664" s="413"/>
      <c r="CT664" s="414"/>
      <c r="CU664" s="415"/>
      <c r="CV664" s="416"/>
      <c r="CW664" s="416"/>
      <c r="CX664" s="416"/>
      <c r="CY664" s="417"/>
    </row>
    <row r="665" spans="1:103" ht="16.5">
      <c r="A665" s="434">
        <v>110</v>
      </c>
      <c r="B665" s="36"/>
      <c r="C665" s="198" t="str">
        <f t="shared" ca="1" si="11"/>
        <v/>
      </c>
      <c r="D665" s="477" t="s">
        <v>470</v>
      </c>
      <c r="E665" s="478"/>
      <c r="F665" s="478"/>
      <c r="G665" s="478"/>
      <c r="H665" s="478"/>
      <c r="I665" s="478"/>
      <c r="J665" s="478"/>
      <c r="K665" s="438" t="s">
        <v>471</v>
      </c>
      <c r="L665" s="439"/>
      <c r="M665" s="439"/>
      <c r="N665" s="439"/>
      <c r="O665" s="439"/>
      <c r="P665" s="439"/>
      <c r="Q665" s="439"/>
      <c r="R665" s="442" t="s">
        <v>186</v>
      </c>
      <c r="S665" s="443"/>
      <c r="T665" s="442"/>
      <c r="U665" s="443"/>
      <c r="V665" s="438"/>
      <c r="W665" s="439"/>
      <c r="X665" s="439"/>
      <c r="Y665" s="439"/>
      <c r="Z665" s="439"/>
      <c r="AA665" s="439"/>
      <c r="AB665" s="439"/>
      <c r="AC665" s="439"/>
      <c r="AD665" s="438"/>
      <c r="AE665" s="439"/>
      <c r="AF665" s="439"/>
      <c r="AG665" s="439"/>
      <c r="AH665" s="439"/>
      <c r="AI665" s="439"/>
      <c r="AJ665" s="439"/>
      <c r="AK665" s="449"/>
      <c r="AL665" s="438"/>
      <c r="AM665" s="439"/>
      <c r="AN665" s="439"/>
      <c r="AO665" s="439"/>
      <c r="AP665" s="439"/>
      <c r="AQ665" s="439"/>
      <c r="AR665" s="449"/>
      <c r="AS665" s="500"/>
      <c r="AT665" s="483"/>
      <c r="AU665" s="483"/>
      <c r="AV665" s="483"/>
      <c r="AW665" s="483"/>
      <c r="AX665" s="483"/>
      <c r="AY665" s="484"/>
      <c r="AZ665" s="460"/>
      <c r="BA665" s="461"/>
      <c r="BB665" s="60">
        <v>1</v>
      </c>
      <c r="BC665" s="466"/>
      <c r="BD665" s="467"/>
      <c r="BE665" s="467"/>
      <c r="BF665" s="468"/>
      <c r="BG665" s="469"/>
      <c r="BH665" s="470"/>
      <c r="BI665" s="194"/>
      <c r="BJ665" s="471"/>
      <c r="BK665" s="472"/>
      <c r="BL665" s="472"/>
      <c r="BM665" s="472"/>
      <c r="BN665" s="472"/>
      <c r="BO665" s="473"/>
      <c r="BP665" s="471"/>
      <c r="BQ665" s="472"/>
      <c r="BR665" s="472"/>
      <c r="BS665" s="472"/>
      <c r="BT665" s="472"/>
      <c r="BU665" s="473"/>
      <c r="BV665" s="471"/>
      <c r="BW665" s="472"/>
      <c r="BX665" s="472"/>
      <c r="BY665" s="472"/>
      <c r="BZ665" s="472"/>
      <c r="CA665" s="473"/>
      <c r="CB665" s="466"/>
      <c r="CC665" s="467"/>
      <c r="CD665" s="467"/>
      <c r="CE665" s="468"/>
      <c r="CF665" s="409"/>
      <c r="CG665" s="410"/>
      <c r="CH665" s="410"/>
      <c r="CI665" s="410"/>
      <c r="CJ665" s="411"/>
      <c r="CK665" s="409"/>
      <c r="CL665" s="410"/>
      <c r="CM665" s="410"/>
      <c r="CN665" s="410"/>
      <c r="CO665" s="411"/>
      <c r="CP665" s="409"/>
      <c r="CQ665" s="410"/>
      <c r="CR665" s="410"/>
      <c r="CS665" s="410"/>
      <c r="CT665" s="411"/>
      <c r="CU665" s="415"/>
      <c r="CV665" s="416"/>
      <c r="CW665" s="416"/>
      <c r="CX665" s="416"/>
      <c r="CY665" s="417"/>
    </row>
    <row r="666" spans="1:103" ht="16.5">
      <c r="A666" s="435"/>
      <c r="B666" s="36"/>
      <c r="C666" s="199" t="str">
        <f t="shared" ca="1" si="11"/>
        <v/>
      </c>
      <c r="D666" s="479"/>
      <c r="E666" s="480"/>
      <c r="F666" s="480"/>
      <c r="G666" s="480"/>
      <c r="H666" s="480"/>
      <c r="I666" s="480"/>
      <c r="J666" s="480"/>
      <c r="K666" s="440"/>
      <c r="L666" s="441"/>
      <c r="M666" s="441"/>
      <c r="N666" s="441"/>
      <c r="O666" s="441"/>
      <c r="P666" s="441"/>
      <c r="Q666" s="441"/>
      <c r="R666" s="444"/>
      <c r="S666" s="445"/>
      <c r="T666" s="444"/>
      <c r="U666" s="445"/>
      <c r="V666" s="440"/>
      <c r="W666" s="441"/>
      <c r="X666" s="441"/>
      <c r="Y666" s="441"/>
      <c r="Z666" s="441"/>
      <c r="AA666" s="441"/>
      <c r="AB666" s="441"/>
      <c r="AC666" s="441"/>
      <c r="AD666" s="440"/>
      <c r="AE666" s="441"/>
      <c r="AF666" s="441"/>
      <c r="AG666" s="441"/>
      <c r="AH666" s="441"/>
      <c r="AI666" s="441"/>
      <c r="AJ666" s="441"/>
      <c r="AK666" s="450"/>
      <c r="AL666" s="440"/>
      <c r="AM666" s="441"/>
      <c r="AN666" s="441"/>
      <c r="AO666" s="441"/>
      <c r="AP666" s="441"/>
      <c r="AQ666" s="441"/>
      <c r="AR666" s="450"/>
      <c r="AS666" s="485"/>
      <c r="AT666" s="486"/>
      <c r="AU666" s="486"/>
      <c r="AV666" s="486"/>
      <c r="AW666" s="486"/>
      <c r="AX666" s="486"/>
      <c r="AY666" s="487"/>
      <c r="AZ666" s="462"/>
      <c r="BA666" s="463"/>
      <c r="BB666" s="61">
        <v>2</v>
      </c>
      <c r="BC666" s="418"/>
      <c r="BD666" s="419"/>
      <c r="BE666" s="419"/>
      <c r="BF666" s="420"/>
      <c r="BG666" s="421"/>
      <c r="BH666" s="422"/>
      <c r="BI666" s="195"/>
      <c r="BJ666" s="423"/>
      <c r="BK666" s="424"/>
      <c r="BL666" s="424"/>
      <c r="BM666" s="424"/>
      <c r="BN666" s="424"/>
      <c r="BO666" s="425"/>
      <c r="BP666" s="423"/>
      <c r="BQ666" s="424"/>
      <c r="BR666" s="424"/>
      <c r="BS666" s="424"/>
      <c r="BT666" s="424"/>
      <c r="BU666" s="425"/>
      <c r="BV666" s="423"/>
      <c r="BW666" s="424"/>
      <c r="BX666" s="424"/>
      <c r="BY666" s="424"/>
      <c r="BZ666" s="424"/>
      <c r="CA666" s="425"/>
      <c r="CB666" s="418"/>
      <c r="CC666" s="419"/>
      <c r="CD666" s="419"/>
      <c r="CE666" s="420"/>
      <c r="CF666" s="412"/>
      <c r="CG666" s="413"/>
      <c r="CH666" s="413"/>
      <c r="CI666" s="413"/>
      <c r="CJ666" s="414"/>
      <c r="CK666" s="412"/>
      <c r="CL666" s="413"/>
      <c r="CM666" s="413"/>
      <c r="CN666" s="413"/>
      <c r="CO666" s="414"/>
      <c r="CP666" s="412"/>
      <c r="CQ666" s="413"/>
      <c r="CR666" s="413"/>
      <c r="CS666" s="413"/>
      <c r="CT666" s="414"/>
      <c r="CU666" s="415"/>
      <c r="CV666" s="416"/>
      <c r="CW666" s="416"/>
      <c r="CX666" s="416"/>
      <c r="CY666" s="417"/>
    </row>
    <row r="667" spans="1:103" ht="16.5">
      <c r="A667" s="435"/>
      <c r="B667" s="36"/>
      <c r="C667" s="199" t="str">
        <f t="shared" ca="1" si="11"/>
        <v/>
      </c>
      <c r="D667" s="479"/>
      <c r="E667" s="480"/>
      <c r="F667" s="480"/>
      <c r="G667" s="480"/>
      <c r="H667" s="480"/>
      <c r="I667" s="480"/>
      <c r="J667" s="480"/>
      <c r="K667" s="440"/>
      <c r="L667" s="441"/>
      <c r="M667" s="441"/>
      <c r="N667" s="441"/>
      <c r="O667" s="441"/>
      <c r="P667" s="441"/>
      <c r="Q667" s="441"/>
      <c r="R667" s="444"/>
      <c r="S667" s="445"/>
      <c r="T667" s="444"/>
      <c r="U667" s="445"/>
      <c r="V667" s="440"/>
      <c r="W667" s="441"/>
      <c r="X667" s="441"/>
      <c r="Y667" s="441"/>
      <c r="Z667" s="441"/>
      <c r="AA667" s="441"/>
      <c r="AB667" s="441"/>
      <c r="AC667" s="441"/>
      <c r="AD667" s="440"/>
      <c r="AE667" s="441"/>
      <c r="AF667" s="441"/>
      <c r="AG667" s="441"/>
      <c r="AH667" s="441"/>
      <c r="AI667" s="441"/>
      <c r="AJ667" s="441"/>
      <c r="AK667" s="450"/>
      <c r="AL667" s="440"/>
      <c r="AM667" s="441"/>
      <c r="AN667" s="441"/>
      <c r="AO667" s="441"/>
      <c r="AP667" s="441"/>
      <c r="AQ667" s="441"/>
      <c r="AR667" s="450"/>
      <c r="AS667" s="485"/>
      <c r="AT667" s="486"/>
      <c r="AU667" s="486"/>
      <c r="AV667" s="486"/>
      <c r="AW667" s="486"/>
      <c r="AX667" s="486"/>
      <c r="AY667" s="487"/>
      <c r="AZ667" s="462"/>
      <c r="BA667" s="463"/>
      <c r="BB667" s="61">
        <v>3</v>
      </c>
      <c r="BC667" s="418"/>
      <c r="BD667" s="419"/>
      <c r="BE667" s="419"/>
      <c r="BF667" s="420"/>
      <c r="BG667" s="421"/>
      <c r="BH667" s="422"/>
      <c r="BI667" s="195"/>
      <c r="BJ667" s="423"/>
      <c r="BK667" s="424"/>
      <c r="BL667" s="424"/>
      <c r="BM667" s="424"/>
      <c r="BN667" s="424"/>
      <c r="BO667" s="425"/>
      <c r="BP667" s="423"/>
      <c r="BQ667" s="424"/>
      <c r="BR667" s="424"/>
      <c r="BS667" s="424"/>
      <c r="BT667" s="424"/>
      <c r="BU667" s="425"/>
      <c r="BV667" s="423"/>
      <c r="BW667" s="424"/>
      <c r="BX667" s="424"/>
      <c r="BY667" s="424"/>
      <c r="BZ667" s="424"/>
      <c r="CA667" s="425"/>
      <c r="CB667" s="418"/>
      <c r="CC667" s="419"/>
      <c r="CD667" s="419"/>
      <c r="CE667" s="420"/>
      <c r="CF667" s="412"/>
      <c r="CG667" s="413"/>
      <c r="CH667" s="413"/>
      <c r="CI667" s="413"/>
      <c r="CJ667" s="414"/>
      <c r="CK667" s="412"/>
      <c r="CL667" s="413"/>
      <c r="CM667" s="413"/>
      <c r="CN667" s="413"/>
      <c r="CO667" s="414"/>
      <c r="CP667" s="412"/>
      <c r="CQ667" s="413"/>
      <c r="CR667" s="413"/>
      <c r="CS667" s="413"/>
      <c r="CT667" s="414"/>
      <c r="CU667" s="415"/>
      <c r="CV667" s="416"/>
      <c r="CW667" s="416"/>
      <c r="CX667" s="416"/>
      <c r="CY667" s="417"/>
    </row>
    <row r="668" spans="1:103" ht="16.5">
      <c r="A668" s="435"/>
      <c r="B668" s="36"/>
      <c r="C668" s="199" t="str">
        <f t="shared" ca="1" si="11"/>
        <v/>
      </c>
      <c r="D668" s="479"/>
      <c r="E668" s="480"/>
      <c r="F668" s="480"/>
      <c r="G668" s="480"/>
      <c r="H668" s="480"/>
      <c r="I668" s="480"/>
      <c r="J668" s="480"/>
      <c r="K668" s="440"/>
      <c r="L668" s="441"/>
      <c r="M668" s="441"/>
      <c r="N668" s="441"/>
      <c r="O668" s="441"/>
      <c r="P668" s="441"/>
      <c r="Q668" s="441"/>
      <c r="R668" s="444"/>
      <c r="S668" s="445"/>
      <c r="T668" s="444"/>
      <c r="U668" s="445"/>
      <c r="V668" s="440"/>
      <c r="W668" s="441"/>
      <c r="X668" s="441"/>
      <c r="Y668" s="441"/>
      <c r="Z668" s="441"/>
      <c r="AA668" s="441"/>
      <c r="AB668" s="441"/>
      <c r="AC668" s="441"/>
      <c r="AD668" s="440"/>
      <c r="AE668" s="441"/>
      <c r="AF668" s="441"/>
      <c r="AG668" s="441"/>
      <c r="AH668" s="441"/>
      <c r="AI668" s="441"/>
      <c r="AJ668" s="441"/>
      <c r="AK668" s="450"/>
      <c r="AL668" s="440"/>
      <c r="AM668" s="441"/>
      <c r="AN668" s="441"/>
      <c r="AO668" s="441"/>
      <c r="AP668" s="441"/>
      <c r="AQ668" s="441"/>
      <c r="AR668" s="450"/>
      <c r="AS668" s="485"/>
      <c r="AT668" s="486"/>
      <c r="AU668" s="486"/>
      <c r="AV668" s="486"/>
      <c r="AW668" s="486"/>
      <c r="AX668" s="486"/>
      <c r="AY668" s="487"/>
      <c r="AZ668" s="462"/>
      <c r="BA668" s="463"/>
      <c r="BB668" s="61">
        <v>4</v>
      </c>
      <c r="BC668" s="418"/>
      <c r="BD668" s="419"/>
      <c r="BE668" s="419"/>
      <c r="BF668" s="420"/>
      <c r="BG668" s="421"/>
      <c r="BH668" s="422"/>
      <c r="BI668" s="195"/>
      <c r="BJ668" s="423"/>
      <c r="BK668" s="424"/>
      <c r="BL668" s="424"/>
      <c r="BM668" s="424"/>
      <c r="BN668" s="424"/>
      <c r="BO668" s="425"/>
      <c r="BP668" s="423"/>
      <c r="BQ668" s="424"/>
      <c r="BR668" s="424"/>
      <c r="BS668" s="424"/>
      <c r="BT668" s="424"/>
      <c r="BU668" s="425"/>
      <c r="BV668" s="423"/>
      <c r="BW668" s="424"/>
      <c r="BX668" s="424"/>
      <c r="BY668" s="424"/>
      <c r="BZ668" s="424"/>
      <c r="CA668" s="425"/>
      <c r="CB668" s="418"/>
      <c r="CC668" s="419"/>
      <c r="CD668" s="419"/>
      <c r="CE668" s="420"/>
      <c r="CF668" s="412"/>
      <c r="CG668" s="413"/>
      <c r="CH668" s="413"/>
      <c r="CI668" s="413"/>
      <c r="CJ668" s="414"/>
      <c r="CK668" s="412"/>
      <c r="CL668" s="413"/>
      <c r="CM668" s="413"/>
      <c r="CN668" s="413"/>
      <c r="CO668" s="414"/>
      <c r="CP668" s="412"/>
      <c r="CQ668" s="413"/>
      <c r="CR668" s="413"/>
      <c r="CS668" s="413"/>
      <c r="CT668" s="414"/>
      <c r="CU668" s="415"/>
      <c r="CV668" s="416"/>
      <c r="CW668" s="416"/>
      <c r="CX668" s="416"/>
      <c r="CY668" s="417"/>
    </row>
    <row r="669" spans="1:103" ht="16.5">
      <c r="A669" s="435"/>
      <c r="B669" s="36"/>
      <c r="C669" s="199" t="str">
        <f t="shared" ca="1" si="11"/>
        <v/>
      </c>
      <c r="D669" s="479"/>
      <c r="E669" s="480"/>
      <c r="F669" s="480"/>
      <c r="G669" s="480"/>
      <c r="H669" s="480"/>
      <c r="I669" s="480"/>
      <c r="J669" s="480"/>
      <c r="K669" s="440"/>
      <c r="L669" s="441"/>
      <c r="M669" s="441"/>
      <c r="N669" s="441"/>
      <c r="O669" s="441"/>
      <c r="P669" s="441"/>
      <c r="Q669" s="441"/>
      <c r="R669" s="444"/>
      <c r="S669" s="445"/>
      <c r="T669" s="444"/>
      <c r="U669" s="445"/>
      <c r="V669" s="440"/>
      <c r="W669" s="441"/>
      <c r="X669" s="441"/>
      <c r="Y669" s="441"/>
      <c r="Z669" s="441"/>
      <c r="AA669" s="441"/>
      <c r="AB669" s="441"/>
      <c r="AC669" s="441"/>
      <c r="AD669" s="440"/>
      <c r="AE669" s="441"/>
      <c r="AF669" s="441"/>
      <c r="AG669" s="441"/>
      <c r="AH669" s="441"/>
      <c r="AI669" s="441"/>
      <c r="AJ669" s="441"/>
      <c r="AK669" s="450"/>
      <c r="AL669" s="440"/>
      <c r="AM669" s="441"/>
      <c r="AN669" s="441"/>
      <c r="AO669" s="441"/>
      <c r="AP669" s="441"/>
      <c r="AQ669" s="441"/>
      <c r="AR669" s="450"/>
      <c r="AS669" s="485"/>
      <c r="AT669" s="486"/>
      <c r="AU669" s="486"/>
      <c r="AV669" s="486"/>
      <c r="AW669" s="486"/>
      <c r="AX669" s="486"/>
      <c r="AY669" s="487"/>
      <c r="AZ669" s="462"/>
      <c r="BA669" s="463"/>
      <c r="BB669" s="61">
        <v>5</v>
      </c>
      <c r="BC669" s="418"/>
      <c r="BD669" s="419"/>
      <c r="BE669" s="419"/>
      <c r="BF669" s="420"/>
      <c r="BG669" s="421"/>
      <c r="BH669" s="422"/>
      <c r="BI669" s="195"/>
      <c r="BJ669" s="423"/>
      <c r="BK669" s="424"/>
      <c r="BL669" s="424"/>
      <c r="BM669" s="424"/>
      <c r="BN669" s="424"/>
      <c r="BO669" s="425"/>
      <c r="BP669" s="423"/>
      <c r="BQ669" s="424"/>
      <c r="BR669" s="424"/>
      <c r="BS669" s="424"/>
      <c r="BT669" s="424"/>
      <c r="BU669" s="425"/>
      <c r="BV669" s="423"/>
      <c r="BW669" s="424"/>
      <c r="BX669" s="424"/>
      <c r="BY669" s="424"/>
      <c r="BZ669" s="424"/>
      <c r="CA669" s="425"/>
      <c r="CB669" s="418"/>
      <c r="CC669" s="419"/>
      <c r="CD669" s="419"/>
      <c r="CE669" s="420"/>
      <c r="CF669" s="412"/>
      <c r="CG669" s="413"/>
      <c r="CH669" s="413"/>
      <c r="CI669" s="413"/>
      <c r="CJ669" s="414"/>
      <c r="CK669" s="412"/>
      <c r="CL669" s="413"/>
      <c r="CM669" s="413"/>
      <c r="CN669" s="413"/>
      <c r="CO669" s="414"/>
      <c r="CP669" s="412"/>
      <c r="CQ669" s="413"/>
      <c r="CR669" s="413"/>
      <c r="CS669" s="413"/>
      <c r="CT669" s="414"/>
      <c r="CU669" s="415"/>
      <c r="CV669" s="416"/>
      <c r="CW669" s="416"/>
      <c r="CX669" s="416"/>
      <c r="CY669" s="417"/>
    </row>
    <row r="670" spans="1:103" ht="16.5">
      <c r="A670" s="436"/>
      <c r="B670" s="37"/>
      <c r="C670" s="200" t="str">
        <f t="shared" ca="1" si="11"/>
        <v/>
      </c>
      <c r="D670" s="481"/>
      <c r="E670" s="482"/>
      <c r="F670" s="482"/>
      <c r="G670" s="482"/>
      <c r="H670" s="482"/>
      <c r="I670" s="482"/>
      <c r="J670" s="482"/>
      <c r="K670" s="409"/>
      <c r="L670" s="410"/>
      <c r="M670" s="410"/>
      <c r="N670" s="410"/>
      <c r="O670" s="410"/>
      <c r="P670" s="410"/>
      <c r="Q670" s="410"/>
      <c r="R670" s="446"/>
      <c r="S670" s="447"/>
      <c r="T670" s="446"/>
      <c r="U670" s="447"/>
      <c r="V670" s="409"/>
      <c r="W670" s="410"/>
      <c r="X670" s="410"/>
      <c r="Y670" s="410"/>
      <c r="Z670" s="410"/>
      <c r="AA670" s="410"/>
      <c r="AB670" s="410"/>
      <c r="AC670" s="410"/>
      <c r="AD670" s="409"/>
      <c r="AE670" s="410"/>
      <c r="AF670" s="410"/>
      <c r="AG670" s="410"/>
      <c r="AH670" s="410"/>
      <c r="AI670" s="410"/>
      <c r="AJ670" s="410"/>
      <c r="AK670" s="411"/>
      <c r="AL670" s="409"/>
      <c r="AM670" s="410"/>
      <c r="AN670" s="410"/>
      <c r="AO670" s="410"/>
      <c r="AP670" s="410"/>
      <c r="AQ670" s="410"/>
      <c r="AR670" s="411"/>
      <c r="AS670" s="488"/>
      <c r="AT670" s="489"/>
      <c r="AU670" s="489"/>
      <c r="AV670" s="489"/>
      <c r="AW670" s="489"/>
      <c r="AX670" s="489"/>
      <c r="AY670" s="490"/>
      <c r="AZ670" s="464"/>
      <c r="BA670" s="465"/>
      <c r="BB670" s="62">
        <v>6</v>
      </c>
      <c r="BC670" s="426"/>
      <c r="BD670" s="427"/>
      <c r="BE670" s="427"/>
      <c r="BF670" s="428"/>
      <c r="BG670" s="429"/>
      <c r="BH670" s="430"/>
      <c r="BI670" s="196"/>
      <c r="BJ670" s="474"/>
      <c r="BK670" s="475"/>
      <c r="BL670" s="475"/>
      <c r="BM670" s="475"/>
      <c r="BN670" s="475"/>
      <c r="BO670" s="476"/>
      <c r="BP670" s="474"/>
      <c r="BQ670" s="475"/>
      <c r="BR670" s="475"/>
      <c r="BS670" s="475"/>
      <c r="BT670" s="475"/>
      <c r="BU670" s="476"/>
      <c r="BV670" s="474"/>
      <c r="BW670" s="475"/>
      <c r="BX670" s="475"/>
      <c r="BY670" s="475"/>
      <c r="BZ670" s="475"/>
      <c r="CA670" s="476"/>
      <c r="CB670" s="426"/>
      <c r="CC670" s="427"/>
      <c r="CD670" s="427"/>
      <c r="CE670" s="428"/>
      <c r="CF670" s="412"/>
      <c r="CG670" s="413"/>
      <c r="CH670" s="413"/>
      <c r="CI670" s="413"/>
      <c r="CJ670" s="414"/>
      <c r="CK670" s="412"/>
      <c r="CL670" s="413"/>
      <c r="CM670" s="413"/>
      <c r="CN670" s="413"/>
      <c r="CO670" s="414"/>
      <c r="CP670" s="412"/>
      <c r="CQ670" s="413"/>
      <c r="CR670" s="413"/>
      <c r="CS670" s="413"/>
      <c r="CT670" s="414"/>
      <c r="CU670" s="415"/>
      <c r="CV670" s="416"/>
      <c r="CW670" s="416"/>
      <c r="CX670" s="416"/>
      <c r="CY670" s="417"/>
    </row>
    <row r="671" spans="1:103" ht="16.5">
      <c r="A671" s="434">
        <v>111</v>
      </c>
      <c r="B671" s="36"/>
      <c r="C671" s="198" t="str">
        <f t="shared" ca="1" si="11"/>
        <v/>
      </c>
      <c r="D671" s="477"/>
      <c r="E671" s="478"/>
      <c r="F671" s="478"/>
      <c r="G671" s="478"/>
      <c r="H671" s="478"/>
      <c r="I671" s="478"/>
      <c r="J671" s="478"/>
      <c r="K671" s="438" t="s">
        <v>472</v>
      </c>
      <c r="L671" s="439"/>
      <c r="M671" s="439"/>
      <c r="N671" s="439"/>
      <c r="O671" s="439"/>
      <c r="P671" s="439"/>
      <c r="Q671" s="439"/>
      <c r="R671" s="442" t="s">
        <v>186</v>
      </c>
      <c r="S671" s="443"/>
      <c r="T671" s="442"/>
      <c r="U671" s="443"/>
      <c r="V671" s="438"/>
      <c r="W671" s="439"/>
      <c r="X671" s="439"/>
      <c r="Y671" s="439"/>
      <c r="Z671" s="439"/>
      <c r="AA671" s="439"/>
      <c r="AB671" s="439"/>
      <c r="AC671" s="439"/>
      <c r="AD671" s="438"/>
      <c r="AE671" s="439"/>
      <c r="AF671" s="439"/>
      <c r="AG671" s="439"/>
      <c r="AH671" s="439"/>
      <c r="AI671" s="439"/>
      <c r="AJ671" s="439"/>
      <c r="AK671" s="449"/>
      <c r="AL671" s="438"/>
      <c r="AM671" s="439"/>
      <c r="AN671" s="439"/>
      <c r="AO671" s="439"/>
      <c r="AP671" s="439"/>
      <c r="AQ671" s="439"/>
      <c r="AR671" s="449"/>
      <c r="AS671" s="500"/>
      <c r="AT671" s="483"/>
      <c r="AU671" s="483"/>
      <c r="AV671" s="483"/>
      <c r="AW671" s="483"/>
      <c r="AX671" s="483"/>
      <c r="AY671" s="484"/>
      <c r="AZ671" s="460"/>
      <c r="BA671" s="461"/>
      <c r="BB671" s="60">
        <v>1</v>
      </c>
      <c r="BC671" s="466"/>
      <c r="BD671" s="467"/>
      <c r="BE671" s="467"/>
      <c r="BF671" s="468"/>
      <c r="BG671" s="469"/>
      <c r="BH671" s="470"/>
      <c r="BI671" s="194"/>
      <c r="BJ671" s="471"/>
      <c r="BK671" s="472"/>
      <c r="BL671" s="472"/>
      <c r="BM671" s="472"/>
      <c r="BN671" s="472"/>
      <c r="BO671" s="473"/>
      <c r="BP671" s="471"/>
      <c r="BQ671" s="472"/>
      <c r="BR671" s="472"/>
      <c r="BS671" s="472"/>
      <c r="BT671" s="472"/>
      <c r="BU671" s="473"/>
      <c r="BV671" s="471"/>
      <c r="BW671" s="472"/>
      <c r="BX671" s="472"/>
      <c r="BY671" s="472"/>
      <c r="BZ671" s="472"/>
      <c r="CA671" s="473"/>
      <c r="CB671" s="466"/>
      <c r="CC671" s="467"/>
      <c r="CD671" s="467"/>
      <c r="CE671" s="468"/>
      <c r="CF671" s="409"/>
      <c r="CG671" s="410"/>
      <c r="CH671" s="410"/>
      <c r="CI671" s="410"/>
      <c r="CJ671" s="411"/>
      <c r="CK671" s="409"/>
      <c r="CL671" s="410"/>
      <c r="CM671" s="410"/>
      <c r="CN671" s="410"/>
      <c r="CO671" s="411"/>
      <c r="CP671" s="409"/>
      <c r="CQ671" s="410"/>
      <c r="CR671" s="410"/>
      <c r="CS671" s="410"/>
      <c r="CT671" s="411"/>
      <c r="CU671" s="415"/>
      <c r="CV671" s="416"/>
      <c r="CW671" s="416"/>
      <c r="CX671" s="416"/>
      <c r="CY671" s="417"/>
    </row>
    <row r="672" spans="1:103" ht="16.5">
      <c r="A672" s="435"/>
      <c r="B672" s="36"/>
      <c r="C672" s="199" t="str">
        <f t="shared" ca="1" si="11"/>
        <v/>
      </c>
      <c r="D672" s="479"/>
      <c r="E672" s="480"/>
      <c r="F672" s="480"/>
      <c r="G672" s="480"/>
      <c r="H672" s="480"/>
      <c r="I672" s="480"/>
      <c r="J672" s="480"/>
      <c r="K672" s="440"/>
      <c r="L672" s="441"/>
      <c r="M672" s="441"/>
      <c r="N672" s="441"/>
      <c r="O672" s="441"/>
      <c r="P672" s="441"/>
      <c r="Q672" s="441"/>
      <c r="R672" s="444"/>
      <c r="S672" s="445"/>
      <c r="T672" s="444"/>
      <c r="U672" s="445"/>
      <c r="V672" s="440"/>
      <c r="W672" s="441"/>
      <c r="X672" s="441"/>
      <c r="Y672" s="441"/>
      <c r="Z672" s="441"/>
      <c r="AA672" s="441"/>
      <c r="AB672" s="441"/>
      <c r="AC672" s="441"/>
      <c r="AD672" s="440"/>
      <c r="AE672" s="441"/>
      <c r="AF672" s="441"/>
      <c r="AG672" s="441"/>
      <c r="AH672" s="441"/>
      <c r="AI672" s="441"/>
      <c r="AJ672" s="441"/>
      <c r="AK672" s="450"/>
      <c r="AL672" s="440"/>
      <c r="AM672" s="441"/>
      <c r="AN672" s="441"/>
      <c r="AO672" s="441"/>
      <c r="AP672" s="441"/>
      <c r="AQ672" s="441"/>
      <c r="AR672" s="450"/>
      <c r="AS672" s="485"/>
      <c r="AT672" s="486"/>
      <c r="AU672" s="486"/>
      <c r="AV672" s="486"/>
      <c r="AW672" s="486"/>
      <c r="AX672" s="486"/>
      <c r="AY672" s="487"/>
      <c r="AZ672" s="462"/>
      <c r="BA672" s="463"/>
      <c r="BB672" s="61">
        <v>2</v>
      </c>
      <c r="BC672" s="418"/>
      <c r="BD672" s="419"/>
      <c r="BE672" s="419"/>
      <c r="BF672" s="420"/>
      <c r="BG672" s="421"/>
      <c r="BH672" s="422"/>
      <c r="BI672" s="195"/>
      <c r="BJ672" s="423"/>
      <c r="BK672" s="424"/>
      <c r="BL672" s="424"/>
      <c r="BM672" s="424"/>
      <c r="BN672" s="424"/>
      <c r="BO672" s="425"/>
      <c r="BP672" s="423"/>
      <c r="BQ672" s="424"/>
      <c r="BR672" s="424"/>
      <c r="BS672" s="424"/>
      <c r="BT672" s="424"/>
      <c r="BU672" s="425"/>
      <c r="BV672" s="423"/>
      <c r="BW672" s="424"/>
      <c r="BX672" s="424"/>
      <c r="BY672" s="424"/>
      <c r="BZ672" s="424"/>
      <c r="CA672" s="425"/>
      <c r="CB672" s="418"/>
      <c r="CC672" s="419"/>
      <c r="CD672" s="419"/>
      <c r="CE672" s="420"/>
      <c r="CF672" s="412"/>
      <c r="CG672" s="413"/>
      <c r="CH672" s="413"/>
      <c r="CI672" s="413"/>
      <c r="CJ672" s="414"/>
      <c r="CK672" s="412"/>
      <c r="CL672" s="413"/>
      <c r="CM672" s="413"/>
      <c r="CN672" s="413"/>
      <c r="CO672" s="414"/>
      <c r="CP672" s="412"/>
      <c r="CQ672" s="413"/>
      <c r="CR672" s="413"/>
      <c r="CS672" s="413"/>
      <c r="CT672" s="414"/>
      <c r="CU672" s="415"/>
      <c r="CV672" s="416"/>
      <c r="CW672" s="416"/>
      <c r="CX672" s="416"/>
      <c r="CY672" s="417"/>
    </row>
    <row r="673" spans="1:103" ht="16.5">
      <c r="A673" s="435"/>
      <c r="B673" s="36"/>
      <c r="C673" s="199" t="str">
        <f t="shared" ca="1" si="11"/>
        <v/>
      </c>
      <c r="D673" s="479"/>
      <c r="E673" s="480"/>
      <c r="F673" s="480"/>
      <c r="G673" s="480"/>
      <c r="H673" s="480"/>
      <c r="I673" s="480"/>
      <c r="J673" s="480"/>
      <c r="K673" s="440"/>
      <c r="L673" s="441"/>
      <c r="M673" s="441"/>
      <c r="N673" s="441"/>
      <c r="O673" s="441"/>
      <c r="P673" s="441"/>
      <c r="Q673" s="441"/>
      <c r="R673" s="444"/>
      <c r="S673" s="445"/>
      <c r="T673" s="444"/>
      <c r="U673" s="445"/>
      <c r="V673" s="440"/>
      <c r="W673" s="441"/>
      <c r="X673" s="441"/>
      <c r="Y673" s="441"/>
      <c r="Z673" s="441"/>
      <c r="AA673" s="441"/>
      <c r="AB673" s="441"/>
      <c r="AC673" s="441"/>
      <c r="AD673" s="440"/>
      <c r="AE673" s="441"/>
      <c r="AF673" s="441"/>
      <c r="AG673" s="441"/>
      <c r="AH673" s="441"/>
      <c r="AI673" s="441"/>
      <c r="AJ673" s="441"/>
      <c r="AK673" s="450"/>
      <c r="AL673" s="440"/>
      <c r="AM673" s="441"/>
      <c r="AN673" s="441"/>
      <c r="AO673" s="441"/>
      <c r="AP673" s="441"/>
      <c r="AQ673" s="441"/>
      <c r="AR673" s="450"/>
      <c r="AS673" s="485"/>
      <c r="AT673" s="486"/>
      <c r="AU673" s="486"/>
      <c r="AV673" s="486"/>
      <c r="AW673" s="486"/>
      <c r="AX673" s="486"/>
      <c r="AY673" s="487"/>
      <c r="AZ673" s="462"/>
      <c r="BA673" s="463"/>
      <c r="BB673" s="61">
        <v>3</v>
      </c>
      <c r="BC673" s="418"/>
      <c r="BD673" s="419"/>
      <c r="BE673" s="419"/>
      <c r="BF673" s="420"/>
      <c r="BG673" s="421"/>
      <c r="BH673" s="422"/>
      <c r="BI673" s="195"/>
      <c r="BJ673" s="423"/>
      <c r="BK673" s="424"/>
      <c r="BL673" s="424"/>
      <c r="BM673" s="424"/>
      <c r="BN673" s="424"/>
      <c r="BO673" s="425"/>
      <c r="BP673" s="423"/>
      <c r="BQ673" s="424"/>
      <c r="BR673" s="424"/>
      <c r="BS673" s="424"/>
      <c r="BT673" s="424"/>
      <c r="BU673" s="425"/>
      <c r="BV673" s="423"/>
      <c r="BW673" s="424"/>
      <c r="BX673" s="424"/>
      <c r="BY673" s="424"/>
      <c r="BZ673" s="424"/>
      <c r="CA673" s="425"/>
      <c r="CB673" s="418"/>
      <c r="CC673" s="419"/>
      <c r="CD673" s="419"/>
      <c r="CE673" s="420"/>
      <c r="CF673" s="412"/>
      <c r="CG673" s="413"/>
      <c r="CH673" s="413"/>
      <c r="CI673" s="413"/>
      <c r="CJ673" s="414"/>
      <c r="CK673" s="412"/>
      <c r="CL673" s="413"/>
      <c r="CM673" s="413"/>
      <c r="CN673" s="413"/>
      <c r="CO673" s="414"/>
      <c r="CP673" s="412"/>
      <c r="CQ673" s="413"/>
      <c r="CR673" s="413"/>
      <c r="CS673" s="413"/>
      <c r="CT673" s="414"/>
      <c r="CU673" s="415"/>
      <c r="CV673" s="416"/>
      <c r="CW673" s="416"/>
      <c r="CX673" s="416"/>
      <c r="CY673" s="417"/>
    </row>
    <row r="674" spans="1:103" ht="16.5">
      <c r="A674" s="435"/>
      <c r="B674" s="36"/>
      <c r="C674" s="199" t="str">
        <f t="shared" ca="1" si="11"/>
        <v/>
      </c>
      <c r="D674" s="479"/>
      <c r="E674" s="480"/>
      <c r="F674" s="480"/>
      <c r="G674" s="480"/>
      <c r="H674" s="480"/>
      <c r="I674" s="480"/>
      <c r="J674" s="480"/>
      <c r="K674" s="440"/>
      <c r="L674" s="441"/>
      <c r="M674" s="441"/>
      <c r="N674" s="441"/>
      <c r="O674" s="441"/>
      <c r="P674" s="441"/>
      <c r="Q674" s="441"/>
      <c r="R674" s="444"/>
      <c r="S674" s="445"/>
      <c r="T674" s="444"/>
      <c r="U674" s="445"/>
      <c r="V674" s="440"/>
      <c r="W674" s="441"/>
      <c r="X674" s="441"/>
      <c r="Y674" s="441"/>
      <c r="Z674" s="441"/>
      <c r="AA674" s="441"/>
      <c r="AB674" s="441"/>
      <c r="AC674" s="441"/>
      <c r="AD674" s="440"/>
      <c r="AE674" s="441"/>
      <c r="AF674" s="441"/>
      <c r="AG674" s="441"/>
      <c r="AH674" s="441"/>
      <c r="AI674" s="441"/>
      <c r="AJ674" s="441"/>
      <c r="AK674" s="450"/>
      <c r="AL674" s="440"/>
      <c r="AM674" s="441"/>
      <c r="AN674" s="441"/>
      <c r="AO674" s="441"/>
      <c r="AP674" s="441"/>
      <c r="AQ674" s="441"/>
      <c r="AR674" s="450"/>
      <c r="AS674" s="485"/>
      <c r="AT674" s="486"/>
      <c r="AU674" s="486"/>
      <c r="AV674" s="486"/>
      <c r="AW674" s="486"/>
      <c r="AX674" s="486"/>
      <c r="AY674" s="487"/>
      <c r="AZ674" s="462"/>
      <c r="BA674" s="463"/>
      <c r="BB674" s="61">
        <v>4</v>
      </c>
      <c r="BC674" s="418"/>
      <c r="BD674" s="419"/>
      <c r="BE674" s="419"/>
      <c r="BF674" s="420"/>
      <c r="BG674" s="421"/>
      <c r="BH674" s="422"/>
      <c r="BI674" s="195"/>
      <c r="BJ674" s="423"/>
      <c r="BK674" s="424"/>
      <c r="BL674" s="424"/>
      <c r="BM674" s="424"/>
      <c r="BN674" s="424"/>
      <c r="BO674" s="425"/>
      <c r="BP674" s="423"/>
      <c r="BQ674" s="424"/>
      <c r="BR674" s="424"/>
      <c r="BS674" s="424"/>
      <c r="BT674" s="424"/>
      <c r="BU674" s="425"/>
      <c r="BV674" s="423"/>
      <c r="BW674" s="424"/>
      <c r="BX674" s="424"/>
      <c r="BY674" s="424"/>
      <c r="BZ674" s="424"/>
      <c r="CA674" s="425"/>
      <c r="CB674" s="418"/>
      <c r="CC674" s="419"/>
      <c r="CD674" s="419"/>
      <c r="CE674" s="420"/>
      <c r="CF674" s="412"/>
      <c r="CG674" s="413"/>
      <c r="CH674" s="413"/>
      <c r="CI674" s="413"/>
      <c r="CJ674" s="414"/>
      <c r="CK674" s="412"/>
      <c r="CL674" s="413"/>
      <c r="CM674" s="413"/>
      <c r="CN674" s="413"/>
      <c r="CO674" s="414"/>
      <c r="CP674" s="412"/>
      <c r="CQ674" s="413"/>
      <c r="CR674" s="413"/>
      <c r="CS674" s="413"/>
      <c r="CT674" s="414"/>
      <c r="CU674" s="415"/>
      <c r="CV674" s="416"/>
      <c r="CW674" s="416"/>
      <c r="CX674" s="416"/>
      <c r="CY674" s="417"/>
    </row>
    <row r="675" spans="1:103" ht="16.5">
      <c r="A675" s="435"/>
      <c r="B675" s="36"/>
      <c r="C675" s="199" t="str">
        <f t="shared" ca="1" si="11"/>
        <v/>
      </c>
      <c r="D675" s="479"/>
      <c r="E675" s="480"/>
      <c r="F675" s="480"/>
      <c r="G675" s="480"/>
      <c r="H675" s="480"/>
      <c r="I675" s="480"/>
      <c r="J675" s="480"/>
      <c r="K675" s="440"/>
      <c r="L675" s="441"/>
      <c r="M675" s="441"/>
      <c r="N675" s="441"/>
      <c r="O675" s="441"/>
      <c r="P675" s="441"/>
      <c r="Q675" s="441"/>
      <c r="R675" s="444"/>
      <c r="S675" s="445"/>
      <c r="T675" s="444"/>
      <c r="U675" s="445"/>
      <c r="V675" s="440"/>
      <c r="W675" s="441"/>
      <c r="X675" s="441"/>
      <c r="Y675" s="441"/>
      <c r="Z675" s="441"/>
      <c r="AA675" s="441"/>
      <c r="AB675" s="441"/>
      <c r="AC675" s="441"/>
      <c r="AD675" s="440"/>
      <c r="AE675" s="441"/>
      <c r="AF675" s="441"/>
      <c r="AG675" s="441"/>
      <c r="AH675" s="441"/>
      <c r="AI675" s="441"/>
      <c r="AJ675" s="441"/>
      <c r="AK675" s="450"/>
      <c r="AL675" s="440"/>
      <c r="AM675" s="441"/>
      <c r="AN675" s="441"/>
      <c r="AO675" s="441"/>
      <c r="AP675" s="441"/>
      <c r="AQ675" s="441"/>
      <c r="AR675" s="450"/>
      <c r="AS675" s="485"/>
      <c r="AT675" s="486"/>
      <c r="AU675" s="486"/>
      <c r="AV675" s="486"/>
      <c r="AW675" s="486"/>
      <c r="AX675" s="486"/>
      <c r="AY675" s="487"/>
      <c r="AZ675" s="462"/>
      <c r="BA675" s="463"/>
      <c r="BB675" s="61">
        <v>5</v>
      </c>
      <c r="BC675" s="418"/>
      <c r="BD675" s="419"/>
      <c r="BE675" s="419"/>
      <c r="BF675" s="420"/>
      <c r="BG675" s="421"/>
      <c r="BH675" s="422"/>
      <c r="BI675" s="195"/>
      <c r="BJ675" s="423"/>
      <c r="BK675" s="424"/>
      <c r="BL675" s="424"/>
      <c r="BM675" s="424"/>
      <c r="BN675" s="424"/>
      <c r="BO675" s="425"/>
      <c r="BP675" s="423"/>
      <c r="BQ675" s="424"/>
      <c r="BR675" s="424"/>
      <c r="BS675" s="424"/>
      <c r="BT675" s="424"/>
      <c r="BU675" s="425"/>
      <c r="BV675" s="423"/>
      <c r="BW675" s="424"/>
      <c r="BX675" s="424"/>
      <c r="BY675" s="424"/>
      <c r="BZ675" s="424"/>
      <c r="CA675" s="425"/>
      <c r="CB675" s="418"/>
      <c r="CC675" s="419"/>
      <c r="CD675" s="419"/>
      <c r="CE675" s="420"/>
      <c r="CF675" s="412"/>
      <c r="CG675" s="413"/>
      <c r="CH675" s="413"/>
      <c r="CI675" s="413"/>
      <c r="CJ675" s="414"/>
      <c r="CK675" s="412"/>
      <c r="CL675" s="413"/>
      <c r="CM675" s="413"/>
      <c r="CN675" s="413"/>
      <c r="CO675" s="414"/>
      <c r="CP675" s="412"/>
      <c r="CQ675" s="413"/>
      <c r="CR675" s="413"/>
      <c r="CS675" s="413"/>
      <c r="CT675" s="414"/>
      <c r="CU675" s="415"/>
      <c r="CV675" s="416"/>
      <c r="CW675" s="416"/>
      <c r="CX675" s="416"/>
      <c r="CY675" s="417"/>
    </row>
    <row r="676" spans="1:103" ht="16.5">
      <c r="A676" s="436"/>
      <c r="B676" s="37"/>
      <c r="C676" s="200" t="str">
        <f t="shared" ca="1" si="11"/>
        <v/>
      </c>
      <c r="D676" s="481"/>
      <c r="E676" s="482"/>
      <c r="F676" s="482"/>
      <c r="G676" s="482"/>
      <c r="H676" s="482"/>
      <c r="I676" s="482"/>
      <c r="J676" s="482"/>
      <c r="K676" s="409"/>
      <c r="L676" s="410"/>
      <c r="M676" s="410"/>
      <c r="N676" s="410"/>
      <c r="O676" s="410"/>
      <c r="P676" s="410"/>
      <c r="Q676" s="410"/>
      <c r="R676" s="446"/>
      <c r="S676" s="447"/>
      <c r="T676" s="446"/>
      <c r="U676" s="447"/>
      <c r="V676" s="409"/>
      <c r="W676" s="410"/>
      <c r="X676" s="410"/>
      <c r="Y676" s="410"/>
      <c r="Z676" s="410"/>
      <c r="AA676" s="410"/>
      <c r="AB676" s="410"/>
      <c r="AC676" s="410"/>
      <c r="AD676" s="409"/>
      <c r="AE676" s="410"/>
      <c r="AF676" s="410"/>
      <c r="AG676" s="410"/>
      <c r="AH676" s="410"/>
      <c r="AI676" s="410"/>
      <c r="AJ676" s="410"/>
      <c r="AK676" s="411"/>
      <c r="AL676" s="409"/>
      <c r="AM676" s="410"/>
      <c r="AN676" s="410"/>
      <c r="AO676" s="410"/>
      <c r="AP676" s="410"/>
      <c r="AQ676" s="410"/>
      <c r="AR676" s="411"/>
      <c r="AS676" s="488"/>
      <c r="AT676" s="489"/>
      <c r="AU676" s="489"/>
      <c r="AV676" s="489"/>
      <c r="AW676" s="489"/>
      <c r="AX676" s="489"/>
      <c r="AY676" s="490"/>
      <c r="AZ676" s="464"/>
      <c r="BA676" s="465"/>
      <c r="BB676" s="62">
        <v>6</v>
      </c>
      <c r="BC676" s="426"/>
      <c r="BD676" s="427"/>
      <c r="BE676" s="427"/>
      <c r="BF676" s="428"/>
      <c r="BG676" s="429"/>
      <c r="BH676" s="430"/>
      <c r="BI676" s="196"/>
      <c r="BJ676" s="474"/>
      <c r="BK676" s="475"/>
      <c r="BL676" s="475"/>
      <c r="BM676" s="475"/>
      <c r="BN676" s="475"/>
      <c r="BO676" s="476"/>
      <c r="BP676" s="474"/>
      <c r="BQ676" s="475"/>
      <c r="BR676" s="475"/>
      <c r="BS676" s="475"/>
      <c r="BT676" s="475"/>
      <c r="BU676" s="476"/>
      <c r="BV676" s="474"/>
      <c r="BW676" s="475"/>
      <c r="BX676" s="475"/>
      <c r="BY676" s="475"/>
      <c r="BZ676" s="475"/>
      <c r="CA676" s="476"/>
      <c r="CB676" s="426"/>
      <c r="CC676" s="427"/>
      <c r="CD676" s="427"/>
      <c r="CE676" s="428"/>
      <c r="CF676" s="412"/>
      <c r="CG676" s="413"/>
      <c r="CH676" s="413"/>
      <c r="CI676" s="413"/>
      <c r="CJ676" s="414"/>
      <c r="CK676" s="412"/>
      <c r="CL676" s="413"/>
      <c r="CM676" s="413"/>
      <c r="CN676" s="413"/>
      <c r="CO676" s="414"/>
      <c r="CP676" s="412"/>
      <c r="CQ676" s="413"/>
      <c r="CR676" s="413"/>
      <c r="CS676" s="413"/>
      <c r="CT676" s="414"/>
      <c r="CU676" s="415"/>
      <c r="CV676" s="416"/>
      <c r="CW676" s="416"/>
      <c r="CX676" s="416"/>
      <c r="CY676" s="417"/>
    </row>
    <row r="677" spans="1:103" ht="29.25" customHeight="1">
      <c r="A677" s="212" t="s">
        <v>331</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s>
  <phoneticPr fontId="3"/>
  <conditionalFormatting sqref="BP11:BU676">
    <cfRule type="expression" dxfId="14" priority="5">
      <formula>AND($BP11="",OR($BJ11&lt;&gt;"",$BV11&lt;&gt;""))</formula>
    </cfRule>
  </conditionalFormatting>
  <conditionalFormatting sqref="BJ11:BO676">
    <cfRule type="expression" dxfId="13" priority="4">
      <formula>AND($BJ11="",OR($BP11&lt;&gt;"",$BV11&lt;&gt;""))</formula>
    </cfRule>
  </conditionalFormatting>
  <conditionalFormatting sqref="BG11:BH676">
    <cfRule type="expression" dxfId="12" priority="3">
      <formula>AND($BG11="○", OR($BI11&lt;&gt;"", $BJ11&lt;&gt;"", $BP11&lt;&gt;"", $BV11&lt;&gt;""))</formula>
    </cfRule>
  </conditionalFormatting>
  <conditionalFormatting sqref="B11:C676 BB11:CE676">
    <cfRule type="expression" dxfId="11" priority="2" stopIfTrue="1">
      <formula>OFFSET($R11,-($BB11-1),0)="x"</formula>
    </cfRule>
  </conditionalFormatting>
  <conditionalFormatting sqref="A11:CY676">
    <cfRule type="expression" dxfId="10"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85" zoomScaleNormal="70" zoomScaleSheetLayoutView="85" zoomScalePageLayoutView="70" workbookViewId="0">
      <pane ySplit="10" topLeftCell="A11" activePane="bottomLeft" state="frozen"/>
      <selection pane="bottomLeft" activeCell="A11" sqref="A11:A16"/>
      <selection activeCell="A11" sqref="A11:A16"/>
    </sheetView>
  </sheetViews>
  <sheetFormatPr defaultColWidth="3.7109375" defaultRowHeight="14.25"/>
  <cols>
    <col min="1" max="1" width="5.7109375" style="31" customWidth="1"/>
    <col min="2" max="3" width="3.7109375" style="31" hidden="1" customWidth="1"/>
    <col min="4" max="17" width="3.7109375" style="29"/>
    <col min="18" max="19" width="3.7109375" style="29" customWidth="1"/>
    <col min="20" max="60" width="3.7109375" style="29"/>
    <col min="61" max="61" width="6.85546875" style="29" customWidth="1"/>
    <col min="62" max="62" width="3.28515625" style="29" customWidth="1"/>
    <col min="63" max="98" width="3.7109375" style="29"/>
    <col min="99" max="99" width="3.7109375" style="29" customWidth="1"/>
    <col min="100" max="107" width="3.7109375" style="29"/>
    <col min="108" max="147" width="10.85546875" style="29" hidden="1" customWidth="1"/>
    <col min="148" max="149" width="3.7109375" style="29" customWidth="1"/>
    <col min="150" max="159" width="10.85546875" style="29" hidden="1" customWidth="1"/>
    <col min="160" max="16384" width="3.7109375" style="29"/>
  </cols>
  <sheetData>
    <row r="1" spans="1:159" s="32" customFormat="1" ht="19.5">
      <c r="A1" s="606" t="s">
        <v>473</v>
      </c>
      <c r="B1" s="606"/>
      <c r="C1" s="606"/>
      <c r="D1" s="606"/>
      <c r="E1" s="606"/>
      <c r="F1" s="606"/>
      <c r="G1" s="606"/>
      <c r="H1" s="606"/>
      <c r="I1" s="606"/>
      <c r="J1" s="606"/>
      <c r="K1" s="606"/>
      <c r="L1" s="606"/>
      <c r="M1" s="606"/>
      <c r="N1" s="607" t="s">
        <v>154</v>
      </c>
      <c r="O1" s="608"/>
      <c r="P1" s="608"/>
      <c r="Q1" s="608"/>
      <c r="R1" s="608"/>
      <c r="S1" s="608"/>
      <c r="T1" s="608"/>
      <c r="U1" s="608"/>
      <c r="V1" s="608"/>
      <c r="W1" s="608"/>
      <c r="X1" s="608"/>
      <c r="Y1" s="608"/>
      <c r="Z1" s="608"/>
      <c r="AA1" s="608"/>
      <c r="AB1" s="608"/>
      <c r="AC1" s="608"/>
      <c r="AD1" s="608"/>
      <c r="AE1" s="608"/>
      <c r="AF1" s="608"/>
      <c r="AG1" s="608"/>
      <c r="AH1" s="608"/>
      <c r="AI1" s="608"/>
      <c r="AJ1" s="608"/>
      <c r="AK1" s="608"/>
      <c r="AL1" s="608"/>
      <c r="AM1" s="608"/>
      <c r="AN1" s="608"/>
      <c r="AO1" s="608"/>
      <c r="AP1" s="609" t="str">
        <f>表紙!B6</f>
        <v>サブシステム名</v>
      </c>
      <c r="AQ1" s="610"/>
      <c r="AR1" s="610"/>
      <c r="AS1" s="610"/>
      <c r="AT1" s="611"/>
      <c r="AU1" s="610"/>
      <c r="AV1" s="610"/>
      <c r="AW1" s="610"/>
      <c r="AX1" s="610"/>
      <c r="AY1" s="610"/>
      <c r="AZ1" s="609" t="str">
        <f>表紙!B7</f>
        <v>業務プロセス名</v>
      </c>
      <c r="BA1" s="610"/>
      <c r="BB1" s="610"/>
      <c r="BC1" s="610"/>
      <c r="BD1" s="610"/>
      <c r="BE1" s="610"/>
      <c r="BF1" s="610"/>
      <c r="BG1" s="610"/>
      <c r="BH1" s="610"/>
      <c r="BI1" s="71"/>
    </row>
    <row r="2" spans="1:159" s="32" customFormat="1" ht="24" customHeight="1">
      <c r="A2" s="606"/>
      <c r="B2" s="606"/>
      <c r="C2" s="606"/>
      <c r="D2" s="606"/>
      <c r="E2" s="606"/>
      <c r="F2" s="606"/>
      <c r="G2" s="606"/>
      <c r="H2" s="606"/>
      <c r="I2" s="606"/>
      <c r="J2" s="606"/>
      <c r="K2" s="606"/>
      <c r="L2" s="606"/>
      <c r="M2" s="606"/>
      <c r="N2" s="608"/>
      <c r="O2" s="608"/>
      <c r="P2" s="608"/>
      <c r="Q2" s="608"/>
      <c r="R2" s="608"/>
      <c r="S2" s="608"/>
      <c r="T2" s="608"/>
      <c r="U2" s="608"/>
      <c r="V2" s="608"/>
      <c r="W2" s="608"/>
      <c r="X2" s="608"/>
      <c r="Y2" s="608"/>
      <c r="Z2" s="608"/>
      <c r="AA2" s="608"/>
      <c r="AB2" s="608"/>
      <c r="AC2" s="608"/>
      <c r="AD2" s="608"/>
      <c r="AE2" s="608"/>
      <c r="AF2" s="608"/>
      <c r="AG2" s="608"/>
      <c r="AH2" s="608"/>
      <c r="AI2" s="608"/>
      <c r="AJ2" s="608"/>
      <c r="AK2" s="608"/>
      <c r="AL2" s="608"/>
      <c r="AM2" s="608"/>
      <c r="AN2" s="608"/>
      <c r="AO2" s="608"/>
      <c r="AP2" s="612" t="str">
        <f>IF(表紙!I6="","",表紙!I6)</f>
        <v>EDI</v>
      </c>
      <c r="AQ2" s="612"/>
      <c r="AR2" s="612"/>
      <c r="AS2" s="612"/>
      <c r="AT2" s="612"/>
      <c r="AU2" s="612"/>
      <c r="AV2" s="612"/>
      <c r="AW2" s="612"/>
      <c r="AX2" s="612"/>
      <c r="AY2" s="612"/>
      <c r="AZ2" s="612" t="str">
        <f>IF(表紙!I7="","",表紙!I7)</f>
        <v>SPT</v>
      </c>
      <c r="BA2" s="612"/>
      <c r="BB2" s="612"/>
      <c r="BC2" s="612"/>
      <c r="BD2" s="612"/>
      <c r="BE2" s="612"/>
      <c r="BF2" s="612"/>
      <c r="BG2" s="612"/>
      <c r="BH2" s="612"/>
      <c r="BI2" s="72"/>
      <c r="CN2" s="561" t="s">
        <v>155</v>
      </c>
      <c r="CO2" s="562"/>
      <c r="CP2" s="562"/>
      <c r="CQ2" s="563"/>
      <c r="CR2" s="588">
        <f ca="1">COUNTIFS(INDIRECT("$K11:$K"&amp;ROW(テスト項目定義書_最終行)),"&lt;&gt;",INDIRECT("$R11:$R"&amp;ROW(テスト項目定義書_最終行)),"&lt;&gt;x")</f>
        <v>0</v>
      </c>
      <c r="CS2" s="589"/>
      <c r="CT2" s="561" t="s">
        <v>156</v>
      </c>
      <c r="CU2" s="562"/>
      <c r="CV2" s="562"/>
      <c r="CW2" s="563"/>
      <c r="CX2" s="588">
        <f ca="1">COUNTIFS(INDIRECT("$C11:$C"&amp;ROW(テスト項目定義書_最終行)),"=●",INDIRECT("$BG11:$BG"&amp;ROW(テスト項目定義書_最終行)),"=○")</f>
        <v>0</v>
      </c>
      <c r="CY2" s="589"/>
    </row>
    <row r="3" spans="1:159" s="32" customFormat="1" ht="19.5" hidden="1" customHeight="1">
      <c r="A3" s="606"/>
      <c r="B3" s="606"/>
      <c r="C3" s="606"/>
      <c r="D3" s="606"/>
      <c r="E3" s="606"/>
      <c r="F3" s="606"/>
      <c r="G3" s="606"/>
      <c r="H3" s="606"/>
      <c r="I3" s="606"/>
      <c r="J3" s="606"/>
      <c r="K3" s="606"/>
      <c r="L3" s="606"/>
      <c r="M3" s="606"/>
      <c r="N3" s="608"/>
      <c r="O3" s="608"/>
      <c r="P3" s="608"/>
      <c r="Q3" s="608"/>
      <c r="R3" s="608"/>
      <c r="S3" s="608"/>
      <c r="T3" s="608"/>
      <c r="U3" s="608"/>
      <c r="V3" s="608"/>
      <c r="W3" s="608"/>
      <c r="X3" s="608"/>
      <c r="Y3" s="608"/>
      <c r="Z3" s="608"/>
      <c r="AA3" s="608"/>
      <c r="AB3" s="608"/>
      <c r="AC3" s="608"/>
      <c r="AD3" s="608"/>
      <c r="AE3" s="608"/>
      <c r="AF3" s="608"/>
      <c r="AG3" s="608"/>
      <c r="AH3" s="608"/>
      <c r="AI3" s="608"/>
      <c r="AJ3" s="608"/>
      <c r="AK3" s="608"/>
      <c r="AL3" s="608"/>
      <c r="AM3" s="608"/>
      <c r="AN3" s="608"/>
      <c r="AO3" s="608"/>
      <c r="AP3" s="612"/>
      <c r="AQ3" s="612"/>
      <c r="AR3" s="612"/>
      <c r="AS3" s="612"/>
      <c r="AT3" s="612"/>
      <c r="AU3" s="612"/>
      <c r="AV3" s="612"/>
      <c r="AW3" s="612"/>
      <c r="AX3" s="612"/>
      <c r="AY3" s="612"/>
      <c r="AZ3" s="612"/>
      <c r="BA3" s="612"/>
      <c r="BB3" s="612"/>
      <c r="BC3" s="612"/>
      <c r="BD3" s="612"/>
      <c r="BE3" s="612"/>
      <c r="BF3" s="612"/>
      <c r="BG3" s="612"/>
      <c r="BH3" s="612"/>
      <c r="BI3" s="72"/>
    </row>
    <row r="4" spans="1:159" s="32" customFormat="1" ht="9.75" customHeight="1">
      <c r="A4" s="606"/>
      <c r="B4" s="606"/>
      <c r="C4" s="606"/>
      <c r="D4" s="606"/>
      <c r="E4" s="606"/>
      <c r="F4" s="606"/>
      <c r="G4" s="606"/>
      <c r="H4" s="606"/>
      <c r="I4" s="606"/>
      <c r="J4" s="606"/>
      <c r="K4" s="606"/>
      <c r="L4" s="606"/>
      <c r="M4" s="606"/>
      <c r="N4" s="608"/>
      <c r="O4" s="608"/>
      <c r="P4" s="608"/>
      <c r="Q4" s="608"/>
      <c r="R4" s="608"/>
      <c r="S4" s="608"/>
      <c r="T4" s="608"/>
      <c r="U4" s="608"/>
      <c r="V4" s="608"/>
      <c r="W4" s="608"/>
      <c r="X4" s="608"/>
      <c r="Y4" s="608"/>
      <c r="Z4" s="608"/>
      <c r="AA4" s="608"/>
      <c r="AB4" s="608"/>
      <c r="AC4" s="608"/>
      <c r="AD4" s="608"/>
      <c r="AE4" s="608"/>
      <c r="AF4" s="608"/>
      <c r="AG4" s="608"/>
      <c r="AH4" s="608"/>
      <c r="AI4" s="608"/>
      <c r="AJ4" s="608"/>
      <c r="AK4" s="608"/>
      <c r="AL4" s="608"/>
      <c r="AM4" s="608"/>
      <c r="AN4" s="608"/>
      <c r="AO4" s="608"/>
      <c r="AP4" s="612"/>
      <c r="AQ4" s="612"/>
      <c r="AR4" s="612"/>
      <c r="AS4" s="612"/>
      <c r="AT4" s="612"/>
      <c r="AU4" s="612"/>
      <c r="AV4" s="612"/>
      <c r="AW4" s="612"/>
      <c r="AX4" s="612"/>
      <c r="AY4" s="612"/>
      <c r="AZ4" s="612"/>
      <c r="BA4" s="612"/>
      <c r="BB4" s="612"/>
      <c r="BC4" s="612"/>
      <c r="BD4" s="612"/>
      <c r="BE4" s="612"/>
      <c r="BF4" s="612"/>
      <c r="BG4" s="612"/>
      <c r="BH4" s="612"/>
      <c r="BI4" s="72"/>
    </row>
    <row r="5" spans="1:159" ht="7.5" customHeight="1">
      <c r="A5" s="29"/>
      <c r="B5" s="603"/>
      <c r="C5" s="603"/>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04"/>
      <c r="BA5" s="604"/>
      <c r="BB5" s="604"/>
      <c r="BC5" s="604"/>
      <c r="BD5" s="168"/>
      <c r="BE5" s="168"/>
      <c r="BF5" s="168"/>
      <c r="BG5" s="605"/>
      <c r="BH5" s="605"/>
      <c r="BI5" s="605"/>
      <c r="BJ5" s="605"/>
      <c r="BK5" s="605"/>
      <c r="BL5" s="605"/>
      <c r="BM5" s="605"/>
      <c r="BN5" s="605"/>
      <c r="BO5" s="605"/>
      <c r="BP5" s="605"/>
      <c r="BQ5" s="203"/>
      <c r="BR5" s="203"/>
      <c r="BS5" s="203"/>
    </row>
    <row r="6" spans="1:159" s="30" customFormat="1" ht="24" customHeight="1">
      <c r="A6" s="561" t="str">
        <f>表紙!B8</f>
        <v>プロセス名</v>
      </c>
      <c r="B6" s="583"/>
      <c r="C6" s="583"/>
      <c r="D6" s="583"/>
      <c r="E6" s="583"/>
      <c r="F6" s="583"/>
      <c r="G6" s="583"/>
      <c r="H6" s="584"/>
      <c r="I6" s="597" t="str">
        <f>IF(表紙!I8="","",表紙!I8)</f>
        <v>SPT_発注</v>
      </c>
      <c r="J6" s="598"/>
      <c r="K6" s="598"/>
      <c r="L6" s="598"/>
      <c r="M6" s="598"/>
      <c r="N6" s="598"/>
      <c r="O6" s="598"/>
      <c r="P6" s="598"/>
      <c r="Q6" s="598"/>
      <c r="R6" s="598"/>
      <c r="S6" s="599"/>
      <c r="T6" s="561" t="str">
        <f>表紙!B9</f>
        <v>ジョブ名</v>
      </c>
      <c r="U6" s="583"/>
      <c r="V6" s="583"/>
      <c r="W6" s="583"/>
      <c r="X6" s="583"/>
      <c r="Y6" s="584"/>
      <c r="Z6" s="597" t="str">
        <f>IF(表紙!I9="","",表紙!I9)</f>
        <v>CMNA555S010</v>
      </c>
      <c r="AA6" s="598"/>
      <c r="AB6" s="598"/>
      <c r="AC6" s="598"/>
      <c r="AD6" s="598"/>
      <c r="AE6" s="598"/>
      <c r="AF6" s="598"/>
      <c r="AG6" s="598"/>
      <c r="AH6" s="598"/>
      <c r="AI6" s="598"/>
      <c r="AJ6" s="598"/>
      <c r="AK6" s="599"/>
      <c r="AL6" s="582" t="s">
        <v>157</v>
      </c>
      <c r="AM6" s="583"/>
      <c r="AN6" s="583"/>
      <c r="AO6" s="583"/>
      <c r="AP6" s="583"/>
      <c r="AQ6" s="583"/>
      <c r="AR6" s="583"/>
      <c r="AS6" s="600"/>
      <c r="AT6" s="601"/>
      <c r="AU6" s="601"/>
      <c r="AV6" s="601"/>
      <c r="AW6" s="601"/>
      <c r="AX6" s="601"/>
      <c r="AY6" s="601"/>
      <c r="AZ6" s="601"/>
      <c r="BA6" s="601"/>
      <c r="BB6" s="601"/>
      <c r="BC6" s="601"/>
      <c r="BD6" s="601"/>
      <c r="BE6" s="601"/>
      <c r="BF6" s="602"/>
      <c r="BG6" s="582" t="s">
        <v>158</v>
      </c>
      <c r="BH6" s="583"/>
      <c r="BI6" s="583"/>
      <c r="BJ6" s="583"/>
      <c r="BK6" s="583"/>
      <c r="BL6" s="583"/>
      <c r="BM6" s="584"/>
      <c r="BN6" s="585"/>
      <c r="BO6" s="586"/>
      <c r="BP6" s="586"/>
      <c r="BQ6" s="586"/>
      <c r="BR6" s="586"/>
      <c r="BS6" s="586"/>
      <c r="BT6" s="586"/>
      <c r="BU6" s="586"/>
      <c r="BV6" s="586"/>
      <c r="BW6" s="586"/>
      <c r="BX6" s="587"/>
      <c r="CT6" s="561" t="s">
        <v>71</v>
      </c>
      <c r="CU6" s="562"/>
      <c r="CV6" s="562"/>
      <c r="CW6" s="563"/>
      <c r="CX6" s="588">
        <f ca="1">COUNTIFS(INDIRECT("$C11:$C"&amp;ROW(テスト項目定義書_最終行)),"=●",INDIRECT("$BG11:$BG"&amp;ROW(テスト項目定義書_最終行)),"=×")</f>
        <v>0</v>
      </c>
      <c r="CY6" s="589"/>
    </row>
    <row r="7" spans="1:159" ht="18.75" customHeight="1">
      <c r="A7" s="68"/>
      <c r="B7" s="69"/>
      <c r="C7" s="69"/>
      <c r="D7" s="69"/>
      <c r="E7" s="69"/>
      <c r="F7" s="69"/>
      <c r="G7" s="69"/>
      <c r="H7" s="69"/>
      <c r="I7" s="67"/>
      <c r="J7" s="67"/>
      <c r="K7" s="218" t="s">
        <v>159</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90" t="s">
        <v>160</v>
      </c>
      <c r="B8" s="590" t="s">
        <v>161</v>
      </c>
      <c r="C8" s="593" t="s">
        <v>162</v>
      </c>
      <c r="D8" s="573" t="s">
        <v>163</v>
      </c>
      <c r="E8" s="574"/>
      <c r="F8" s="574"/>
      <c r="G8" s="574"/>
      <c r="H8" s="574"/>
      <c r="I8" s="574"/>
      <c r="J8" s="574"/>
      <c r="K8" s="596" t="s">
        <v>164</v>
      </c>
      <c r="L8" s="574"/>
      <c r="M8" s="574"/>
      <c r="N8" s="574"/>
      <c r="O8" s="574"/>
      <c r="P8" s="574"/>
      <c r="Q8" s="574"/>
      <c r="R8" s="567" t="s">
        <v>165</v>
      </c>
      <c r="S8" s="568"/>
      <c r="T8" s="567" t="s">
        <v>166</v>
      </c>
      <c r="U8" s="568"/>
      <c r="V8" s="573" t="s">
        <v>167</v>
      </c>
      <c r="W8" s="574"/>
      <c r="X8" s="574"/>
      <c r="Y8" s="574"/>
      <c r="Z8" s="574"/>
      <c r="AA8" s="574"/>
      <c r="AB8" s="574"/>
      <c r="AC8" s="574"/>
      <c r="AD8" s="573" t="s">
        <v>168</v>
      </c>
      <c r="AE8" s="574"/>
      <c r="AF8" s="574"/>
      <c r="AG8" s="574"/>
      <c r="AH8" s="574"/>
      <c r="AI8" s="574"/>
      <c r="AJ8" s="574"/>
      <c r="AK8" s="579"/>
      <c r="AL8" s="573" t="s">
        <v>169</v>
      </c>
      <c r="AM8" s="574"/>
      <c r="AN8" s="574"/>
      <c r="AO8" s="574"/>
      <c r="AP8" s="574"/>
      <c r="AQ8" s="574"/>
      <c r="AR8" s="579"/>
      <c r="AS8" s="573" t="s">
        <v>170</v>
      </c>
      <c r="AT8" s="574"/>
      <c r="AU8" s="574"/>
      <c r="AV8" s="574"/>
      <c r="AW8" s="574"/>
      <c r="AX8" s="574"/>
      <c r="AY8" s="579"/>
      <c r="AZ8" s="573" t="s">
        <v>171</v>
      </c>
      <c r="BA8" s="579"/>
      <c r="BB8" s="564" t="s">
        <v>79</v>
      </c>
      <c r="BC8" s="543" t="s">
        <v>172</v>
      </c>
      <c r="BD8" s="544"/>
      <c r="BE8" s="544"/>
      <c r="BF8" s="545"/>
      <c r="BG8" s="543" t="s">
        <v>173</v>
      </c>
      <c r="BH8" s="545"/>
      <c r="BI8" s="564" t="s">
        <v>174</v>
      </c>
      <c r="BJ8" s="543" t="s">
        <v>175</v>
      </c>
      <c r="BK8" s="544"/>
      <c r="BL8" s="544"/>
      <c r="BM8" s="544"/>
      <c r="BN8" s="544"/>
      <c r="BO8" s="545"/>
      <c r="BP8" s="543" t="s">
        <v>176</v>
      </c>
      <c r="BQ8" s="544"/>
      <c r="BR8" s="544"/>
      <c r="BS8" s="544"/>
      <c r="BT8" s="544"/>
      <c r="BU8" s="545"/>
      <c r="BV8" s="543" t="s">
        <v>177</v>
      </c>
      <c r="BW8" s="544"/>
      <c r="BX8" s="544"/>
      <c r="BY8" s="544"/>
      <c r="BZ8" s="544"/>
      <c r="CA8" s="545"/>
      <c r="CB8" s="552" t="s">
        <v>178</v>
      </c>
      <c r="CC8" s="553"/>
      <c r="CD8" s="553"/>
      <c r="CE8" s="554"/>
      <c r="CF8" s="561" t="s">
        <v>179</v>
      </c>
      <c r="CG8" s="562"/>
      <c r="CH8" s="562"/>
      <c r="CI8" s="562"/>
      <c r="CJ8" s="563"/>
      <c r="CK8" s="561" t="s">
        <v>180</v>
      </c>
      <c r="CL8" s="562"/>
      <c r="CM8" s="562"/>
      <c r="CN8" s="562"/>
      <c r="CO8" s="563"/>
      <c r="CP8" s="562" t="s">
        <v>181</v>
      </c>
      <c r="CQ8" s="562"/>
      <c r="CR8" s="562"/>
      <c r="CS8" s="562"/>
      <c r="CT8" s="563"/>
      <c r="CU8" s="561" t="s">
        <v>182</v>
      </c>
      <c r="CV8" s="562"/>
      <c r="CW8" s="562"/>
      <c r="CX8" s="562"/>
      <c r="CY8" s="563"/>
      <c r="CZ8" s="33"/>
      <c r="DA8" s="34"/>
      <c r="DD8" s="537" t="s">
        <v>132</v>
      </c>
      <c r="DE8" s="538"/>
      <c r="DF8" s="538"/>
      <c r="DG8" s="538"/>
      <c r="DH8" s="538"/>
      <c r="DI8" s="538"/>
      <c r="DJ8" s="538"/>
      <c r="DK8" s="538"/>
      <c r="DL8" s="538"/>
      <c r="DM8" s="538"/>
      <c r="DN8" s="538"/>
      <c r="DO8" s="538"/>
      <c r="DP8" s="538"/>
      <c r="DQ8" s="538"/>
      <c r="DR8" s="538"/>
      <c r="DS8" s="538"/>
      <c r="DT8" s="538"/>
      <c r="DU8" s="538"/>
      <c r="DV8" s="538"/>
      <c r="DW8" s="538"/>
      <c r="DX8" s="538"/>
      <c r="DY8" s="538"/>
      <c r="DZ8" s="538"/>
      <c r="EA8" s="538"/>
      <c r="EB8" s="538"/>
      <c r="EC8" s="538"/>
      <c r="ED8" s="538"/>
      <c r="EE8" s="538"/>
      <c r="EF8" s="538"/>
      <c r="EG8" s="538"/>
      <c r="EH8" s="538"/>
      <c r="EI8" s="538"/>
      <c r="EJ8" s="538"/>
      <c r="EK8" s="538"/>
      <c r="EL8" s="538"/>
      <c r="EM8" s="538"/>
      <c r="EN8" s="538"/>
      <c r="EO8" s="538"/>
      <c r="EP8" s="538"/>
      <c r="EQ8" s="539"/>
      <c r="ET8" s="540" t="s">
        <v>183</v>
      </c>
      <c r="EU8" s="541"/>
      <c r="EV8" s="541"/>
      <c r="EW8" s="541"/>
      <c r="EX8" s="541"/>
      <c r="EY8" s="541"/>
      <c r="EZ8" s="541"/>
      <c r="FA8" s="541"/>
      <c r="FB8" s="541"/>
      <c r="FC8" s="542"/>
    </row>
    <row r="9" spans="1:159" ht="57" customHeight="1">
      <c r="A9" s="591"/>
      <c r="B9" s="591"/>
      <c r="C9" s="594"/>
      <c r="D9" s="575"/>
      <c r="E9" s="576"/>
      <c r="F9" s="576"/>
      <c r="G9" s="576"/>
      <c r="H9" s="576"/>
      <c r="I9" s="576"/>
      <c r="J9" s="576"/>
      <c r="K9" s="575"/>
      <c r="L9" s="576"/>
      <c r="M9" s="576"/>
      <c r="N9" s="576"/>
      <c r="O9" s="576"/>
      <c r="P9" s="576"/>
      <c r="Q9" s="576"/>
      <c r="R9" s="569"/>
      <c r="S9" s="570"/>
      <c r="T9" s="569"/>
      <c r="U9" s="570"/>
      <c r="V9" s="575"/>
      <c r="W9" s="576"/>
      <c r="X9" s="576"/>
      <c r="Y9" s="576"/>
      <c r="Z9" s="576"/>
      <c r="AA9" s="576"/>
      <c r="AB9" s="576"/>
      <c r="AC9" s="576"/>
      <c r="AD9" s="575"/>
      <c r="AE9" s="576"/>
      <c r="AF9" s="576"/>
      <c r="AG9" s="576"/>
      <c r="AH9" s="576"/>
      <c r="AI9" s="576"/>
      <c r="AJ9" s="576"/>
      <c r="AK9" s="580"/>
      <c r="AL9" s="575"/>
      <c r="AM9" s="576"/>
      <c r="AN9" s="576"/>
      <c r="AO9" s="576"/>
      <c r="AP9" s="576"/>
      <c r="AQ9" s="576"/>
      <c r="AR9" s="580"/>
      <c r="AS9" s="575"/>
      <c r="AT9" s="576"/>
      <c r="AU9" s="576"/>
      <c r="AV9" s="576"/>
      <c r="AW9" s="576"/>
      <c r="AX9" s="576"/>
      <c r="AY9" s="580"/>
      <c r="AZ9" s="575"/>
      <c r="BA9" s="580"/>
      <c r="BB9" s="565"/>
      <c r="BC9" s="546"/>
      <c r="BD9" s="547"/>
      <c r="BE9" s="547"/>
      <c r="BF9" s="548"/>
      <c r="BG9" s="546"/>
      <c r="BH9" s="548"/>
      <c r="BI9" s="565"/>
      <c r="BJ9" s="546"/>
      <c r="BK9" s="547"/>
      <c r="BL9" s="547"/>
      <c r="BM9" s="547"/>
      <c r="BN9" s="547"/>
      <c r="BO9" s="548"/>
      <c r="BP9" s="546"/>
      <c r="BQ9" s="547"/>
      <c r="BR9" s="547"/>
      <c r="BS9" s="547"/>
      <c r="BT9" s="547"/>
      <c r="BU9" s="548"/>
      <c r="BV9" s="546"/>
      <c r="BW9" s="547"/>
      <c r="BX9" s="547"/>
      <c r="BY9" s="547"/>
      <c r="BZ9" s="547"/>
      <c r="CA9" s="548"/>
      <c r="CB9" s="555"/>
      <c r="CC9" s="556"/>
      <c r="CD9" s="556"/>
      <c r="CE9" s="557"/>
      <c r="CF9" s="561"/>
      <c r="CG9" s="562"/>
      <c r="CH9" s="562"/>
      <c r="CI9" s="562"/>
      <c r="CJ9" s="563"/>
      <c r="CK9" s="561"/>
      <c r="CL9" s="562"/>
      <c r="CM9" s="562"/>
      <c r="CN9" s="562"/>
      <c r="CO9" s="563"/>
      <c r="CP9" s="562"/>
      <c r="CQ9" s="562"/>
      <c r="CR9" s="562"/>
      <c r="CS9" s="562"/>
      <c r="CT9" s="563"/>
      <c r="CU9" s="561"/>
      <c r="CV9" s="562"/>
      <c r="CW9" s="562"/>
      <c r="CX9" s="562"/>
      <c r="CY9" s="56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92"/>
      <c r="B10" s="592"/>
      <c r="C10" s="595"/>
      <c r="D10" s="577"/>
      <c r="E10" s="578"/>
      <c r="F10" s="578"/>
      <c r="G10" s="578"/>
      <c r="H10" s="578"/>
      <c r="I10" s="578"/>
      <c r="J10" s="578"/>
      <c r="K10" s="577"/>
      <c r="L10" s="578"/>
      <c r="M10" s="578"/>
      <c r="N10" s="578"/>
      <c r="O10" s="578"/>
      <c r="P10" s="578"/>
      <c r="Q10" s="578"/>
      <c r="R10" s="571"/>
      <c r="S10" s="572"/>
      <c r="T10" s="571"/>
      <c r="U10" s="572"/>
      <c r="V10" s="577"/>
      <c r="W10" s="578"/>
      <c r="X10" s="578"/>
      <c r="Y10" s="578"/>
      <c r="Z10" s="578"/>
      <c r="AA10" s="578"/>
      <c r="AB10" s="578"/>
      <c r="AC10" s="578"/>
      <c r="AD10" s="577"/>
      <c r="AE10" s="578"/>
      <c r="AF10" s="578"/>
      <c r="AG10" s="578"/>
      <c r="AH10" s="578"/>
      <c r="AI10" s="578"/>
      <c r="AJ10" s="578"/>
      <c r="AK10" s="581"/>
      <c r="AL10" s="577"/>
      <c r="AM10" s="578"/>
      <c r="AN10" s="578"/>
      <c r="AO10" s="578"/>
      <c r="AP10" s="578"/>
      <c r="AQ10" s="578"/>
      <c r="AR10" s="581"/>
      <c r="AS10" s="577"/>
      <c r="AT10" s="578"/>
      <c r="AU10" s="578"/>
      <c r="AV10" s="578"/>
      <c r="AW10" s="578"/>
      <c r="AX10" s="578"/>
      <c r="AY10" s="581"/>
      <c r="AZ10" s="577"/>
      <c r="BA10" s="581"/>
      <c r="BB10" s="566"/>
      <c r="BC10" s="549"/>
      <c r="BD10" s="550"/>
      <c r="BE10" s="550"/>
      <c r="BF10" s="551"/>
      <c r="BG10" s="549"/>
      <c r="BH10" s="551"/>
      <c r="BI10" s="566"/>
      <c r="BJ10" s="549"/>
      <c r="BK10" s="550"/>
      <c r="BL10" s="550"/>
      <c r="BM10" s="550"/>
      <c r="BN10" s="550"/>
      <c r="BO10" s="551"/>
      <c r="BP10" s="549"/>
      <c r="BQ10" s="550"/>
      <c r="BR10" s="550"/>
      <c r="BS10" s="550"/>
      <c r="BT10" s="550"/>
      <c r="BU10" s="551"/>
      <c r="BV10" s="549"/>
      <c r="BW10" s="550"/>
      <c r="BX10" s="550"/>
      <c r="BY10" s="550"/>
      <c r="BZ10" s="550"/>
      <c r="CA10" s="551"/>
      <c r="CB10" s="558"/>
      <c r="CC10" s="559"/>
      <c r="CD10" s="559"/>
      <c r="CE10" s="560"/>
      <c r="CF10" s="561"/>
      <c r="CG10" s="562"/>
      <c r="CH10" s="562"/>
      <c r="CI10" s="562"/>
      <c r="CJ10" s="563"/>
      <c r="CK10" s="561"/>
      <c r="CL10" s="562"/>
      <c r="CM10" s="562"/>
      <c r="CN10" s="562"/>
      <c r="CO10" s="563"/>
      <c r="CP10" s="562"/>
      <c r="CQ10" s="562"/>
      <c r="CR10" s="562"/>
      <c r="CS10" s="562"/>
      <c r="CT10" s="563"/>
      <c r="CU10" s="561"/>
      <c r="CV10" s="562"/>
      <c r="CW10" s="562"/>
      <c r="CX10" s="562"/>
      <c r="CY10" s="56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 r="A11" s="434">
        <v>1</v>
      </c>
      <c r="B11" s="36"/>
      <c r="C11" s="198" t="str">
        <f ca="1">IF(AND(OFFSET($K11,-($BB11-1),0)&lt;&gt;"",OFFSET($R11,-($BB11-1),0)&lt;&gt;"x"),"●","")</f>
        <v/>
      </c>
      <c r="D11" s="477" t="s">
        <v>474</v>
      </c>
      <c r="E11" s="478"/>
      <c r="F11" s="478"/>
      <c r="G11" s="478"/>
      <c r="H11" s="478"/>
      <c r="I11" s="478"/>
      <c r="J11" s="478"/>
      <c r="K11" s="438" t="s">
        <v>475</v>
      </c>
      <c r="L11" s="439"/>
      <c r="M11" s="439"/>
      <c r="N11" s="439"/>
      <c r="O11" s="439"/>
      <c r="P11" s="439"/>
      <c r="Q11" s="439"/>
      <c r="R11" s="442" t="s">
        <v>186</v>
      </c>
      <c r="S11" s="443"/>
      <c r="T11" s="442"/>
      <c r="U11" s="443"/>
      <c r="V11" s="438"/>
      <c r="W11" s="439"/>
      <c r="X11" s="439"/>
      <c r="Y11" s="439"/>
      <c r="Z11" s="439"/>
      <c r="AA11" s="439"/>
      <c r="AB11" s="439"/>
      <c r="AC11" s="439"/>
      <c r="AD11" s="438"/>
      <c r="AE11" s="439"/>
      <c r="AF11" s="439"/>
      <c r="AG11" s="439"/>
      <c r="AH11" s="439"/>
      <c r="AI11" s="439"/>
      <c r="AJ11" s="439"/>
      <c r="AK11" s="449"/>
      <c r="AL11" s="438"/>
      <c r="AM11" s="439"/>
      <c r="AN11" s="439"/>
      <c r="AO11" s="439"/>
      <c r="AP11" s="439"/>
      <c r="AQ11" s="439"/>
      <c r="AR11" s="449"/>
      <c r="AS11" s="500"/>
      <c r="AT11" s="483"/>
      <c r="AU11" s="483"/>
      <c r="AV11" s="483"/>
      <c r="AW11" s="483"/>
      <c r="AX11" s="483"/>
      <c r="AY11" s="484"/>
      <c r="AZ11" s="460"/>
      <c r="BA11" s="461"/>
      <c r="BB11" s="60">
        <v>1</v>
      </c>
      <c r="BC11" s="466"/>
      <c r="BD11" s="467"/>
      <c r="BE11" s="467"/>
      <c r="BF11" s="468"/>
      <c r="BG11" s="469"/>
      <c r="BH11" s="470"/>
      <c r="BI11" s="194"/>
      <c r="BJ11" s="471"/>
      <c r="BK11" s="472"/>
      <c r="BL11" s="472"/>
      <c r="BM11" s="472"/>
      <c r="BN11" s="472"/>
      <c r="BO11" s="473"/>
      <c r="BP11" s="471"/>
      <c r="BQ11" s="472"/>
      <c r="BR11" s="472"/>
      <c r="BS11" s="472"/>
      <c r="BT11" s="472"/>
      <c r="BU11" s="473"/>
      <c r="BV11" s="471"/>
      <c r="BW11" s="472"/>
      <c r="BX11" s="472"/>
      <c r="BY11" s="472"/>
      <c r="BZ11" s="472"/>
      <c r="CA11" s="473"/>
      <c r="CB11" s="466"/>
      <c r="CC11" s="467"/>
      <c r="CD11" s="467"/>
      <c r="CE11" s="468"/>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5">
      <c r="A12" s="435"/>
      <c r="B12" s="36"/>
      <c r="C12" s="199" t="str">
        <f t="shared" ref="C12:C75" ca="1" si="2">IF(AND(OFFSET($K12,-($BB12-1),0)&lt;&gt;"",OFFSET($R12,-($BB12-1),0)&lt;&gt;"x"),"●","")</f>
        <v/>
      </c>
      <c r="D12" s="479"/>
      <c r="E12" s="480"/>
      <c r="F12" s="480"/>
      <c r="G12" s="480"/>
      <c r="H12" s="480"/>
      <c r="I12" s="480"/>
      <c r="J12" s="480"/>
      <c r="K12" s="440"/>
      <c r="L12" s="441"/>
      <c r="M12" s="441"/>
      <c r="N12" s="441"/>
      <c r="O12" s="441"/>
      <c r="P12" s="441"/>
      <c r="Q12" s="441"/>
      <c r="R12" s="444"/>
      <c r="S12" s="445"/>
      <c r="T12" s="444"/>
      <c r="U12" s="445"/>
      <c r="V12" s="440"/>
      <c r="W12" s="441"/>
      <c r="X12" s="441"/>
      <c r="Y12" s="441"/>
      <c r="Z12" s="441"/>
      <c r="AA12" s="441"/>
      <c r="AB12" s="441"/>
      <c r="AC12" s="441"/>
      <c r="AD12" s="440"/>
      <c r="AE12" s="441"/>
      <c r="AF12" s="441"/>
      <c r="AG12" s="441"/>
      <c r="AH12" s="441"/>
      <c r="AI12" s="441"/>
      <c r="AJ12" s="441"/>
      <c r="AK12" s="450"/>
      <c r="AL12" s="440"/>
      <c r="AM12" s="441"/>
      <c r="AN12" s="441"/>
      <c r="AO12" s="441"/>
      <c r="AP12" s="441"/>
      <c r="AQ12" s="441"/>
      <c r="AR12" s="450"/>
      <c r="AS12" s="485"/>
      <c r="AT12" s="486"/>
      <c r="AU12" s="486"/>
      <c r="AV12" s="486"/>
      <c r="AW12" s="486"/>
      <c r="AX12" s="486"/>
      <c r="AY12" s="487"/>
      <c r="AZ12" s="462"/>
      <c r="BA12" s="463"/>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5">
      <c r="A13" s="435"/>
      <c r="B13" s="36"/>
      <c r="C13" s="199" t="str">
        <f t="shared" ca="1" si="2"/>
        <v/>
      </c>
      <c r="D13" s="479"/>
      <c r="E13" s="480"/>
      <c r="F13" s="480"/>
      <c r="G13" s="480"/>
      <c r="H13" s="480"/>
      <c r="I13" s="480"/>
      <c r="J13" s="480"/>
      <c r="K13" s="440"/>
      <c r="L13" s="441"/>
      <c r="M13" s="441"/>
      <c r="N13" s="441"/>
      <c r="O13" s="441"/>
      <c r="P13" s="441"/>
      <c r="Q13" s="441"/>
      <c r="R13" s="444"/>
      <c r="S13" s="445"/>
      <c r="T13" s="444"/>
      <c r="U13" s="445"/>
      <c r="V13" s="440"/>
      <c r="W13" s="441"/>
      <c r="X13" s="441"/>
      <c r="Y13" s="441"/>
      <c r="Z13" s="441"/>
      <c r="AA13" s="441"/>
      <c r="AB13" s="441"/>
      <c r="AC13" s="441"/>
      <c r="AD13" s="440"/>
      <c r="AE13" s="441"/>
      <c r="AF13" s="441"/>
      <c r="AG13" s="441"/>
      <c r="AH13" s="441"/>
      <c r="AI13" s="441"/>
      <c r="AJ13" s="441"/>
      <c r="AK13" s="450"/>
      <c r="AL13" s="440"/>
      <c r="AM13" s="441"/>
      <c r="AN13" s="441"/>
      <c r="AO13" s="441"/>
      <c r="AP13" s="441"/>
      <c r="AQ13" s="441"/>
      <c r="AR13" s="450"/>
      <c r="AS13" s="485"/>
      <c r="AT13" s="486"/>
      <c r="AU13" s="486"/>
      <c r="AV13" s="486"/>
      <c r="AW13" s="486"/>
      <c r="AX13" s="486"/>
      <c r="AY13" s="487"/>
      <c r="AZ13" s="462"/>
      <c r="BA13" s="463"/>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5">
      <c r="A14" s="435"/>
      <c r="B14" s="36"/>
      <c r="C14" s="199" t="str">
        <f t="shared" ca="1" si="2"/>
        <v/>
      </c>
      <c r="D14" s="479"/>
      <c r="E14" s="480"/>
      <c r="F14" s="480"/>
      <c r="G14" s="480"/>
      <c r="H14" s="480"/>
      <c r="I14" s="480"/>
      <c r="J14" s="480"/>
      <c r="K14" s="440"/>
      <c r="L14" s="441"/>
      <c r="M14" s="441"/>
      <c r="N14" s="441"/>
      <c r="O14" s="441"/>
      <c r="P14" s="441"/>
      <c r="Q14" s="441"/>
      <c r="R14" s="444"/>
      <c r="S14" s="445"/>
      <c r="T14" s="444"/>
      <c r="U14" s="445"/>
      <c r="V14" s="440"/>
      <c r="W14" s="441"/>
      <c r="X14" s="441"/>
      <c r="Y14" s="441"/>
      <c r="Z14" s="441"/>
      <c r="AA14" s="441"/>
      <c r="AB14" s="441"/>
      <c r="AC14" s="441"/>
      <c r="AD14" s="440"/>
      <c r="AE14" s="441"/>
      <c r="AF14" s="441"/>
      <c r="AG14" s="441"/>
      <c r="AH14" s="441"/>
      <c r="AI14" s="441"/>
      <c r="AJ14" s="441"/>
      <c r="AK14" s="450"/>
      <c r="AL14" s="440"/>
      <c r="AM14" s="441"/>
      <c r="AN14" s="441"/>
      <c r="AO14" s="441"/>
      <c r="AP14" s="441"/>
      <c r="AQ14" s="441"/>
      <c r="AR14" s="450"/>
      <c r="AS14" s="485"/>
      <c r="AT14" s="486"/>
      <c r="AU14" s="486"/>
      <c r="AV14" s="486"/>
      <c r="AW14" s="486"/>
      <c r="AX14" s="486"/>
      <c r="AY14" s="487"/>
      <c r="AZ14" s="462"/>
      <c r="BA14" s="463"/>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5">
      <c r="A15" s="435"/>
      <c r="B15" s="36"/>
      <c r="C15" s="199" t="str">
        <f t="shared" ca="1" si="2"/>
        <v/>
      </c>
      <c r="D15" s="479"/>
      <c r="E15" s="480"/>
      <c r="F15" s="480"/>
      <c r="G15" s="480"/>
      <c r="H15" s="480"/>
      <c r="I15" s="480"/>
      <c r="J15" s="480"/>
      <c r="K15" s="440"/>
      <c r="L15" s="441"/>
      <c r="M15" s="441"/>
      <c r="N15" s="441"/>
      <c r="O15" s="441"/>
      <c r="P15" s="441"/>
      <c r="Q15" s="441"/>
      <c r="R15" s="444"/>
      <c r="S15" s="445"/>
      <c r="T15" s="444"/>
      <c r="U15" s="445"/>
      <c r="V15" s="440"/>
      <c r="W15" s="441"/>
      <c r="X15" s="441"/>
      <c r="Y15" s="441"/>
      <c r="Z15" s="441"/>
      <c r="AA15" s="441"/>
      <c r="AB15" s="441"/>
      <c r="AC15" s="441"/>
      <c r="AD15" s="440"/>
      <c r="AE15" s="441"/>
      <c r="AF15" s="441"/>
      <c r="AG15" s="441"/>
      <c r="AH15" s="441"/>
      <c r="AI15" s="441"/>
      <c r="AJ15" s="441"/>
      <c r="AK15" s="450"/>
      <c r="AL15" s="440"/>
      <c r="AM15" s="441"/>
      <c r="AN15" s="441"/>
      <c r="AO15" s="441"/>
      <c r="AP15" s="441"/>
      <c r="AQ15" s="441"/>
      <c r="AR15" s="450"/>
      <c r="AS15" s="485"/>
      <c r="AT15" s="486"/>
      <c r="AU15" s="486"/>
      <c r="AV15" s="486"/>
      <c r="AW15" s="486"/>
      <c r="AX15" s="486"/>
      <c r="AY15" s="487"/>
      <c r="AZ15" s="462"/>
      <c r="BA15" s="463"/>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5">
      <c r="A16" s="436"/>
      <c r="B16" s="37"/>
      <c r="C16" s="200" t="str">
        <f t="shared" ca="1" si="2"/>
        <v/>
      </c>
      <c r="D16" s="481"/>
      <c r="E16" s="482"/>
      <c r="F16" s="482"/>
      <c r="G16" s="482"/>
      <c r="H16" s="482"/>
      <c r="I16" s="482"/>
      <c r="J16" s="482"/>
      <c r="K16" s="409"/>
      <c r="L16" s="410"/>
      <c r="M16" s="410"/>
      <c r="N16" s="410"/>
      <c r="O16" s="410"/>
      <c r="P16" s="410"/>
      <c r="Q16" s="410"/>
      <c r="R16" s="446"/>
      <c r="S16" s="447"/>
      <c r="T16" s="446"/>
      <c r="U16" s="447"/>
      <c r="V16" s="409"/>
      <c r="W16" s="410"/>
      <c r="X16" s="410"/>
      <c r="Y16" s="410"/>
      <c r="Z16" s="410"/>
      <c r="AA16" s="410"/>
      <c r="AB16" s="410"/>
      <c r="AC16" s="410"/>
      <c r="AD16" s="409"/>
      <c r="AE16" s="410"/>
      <c r="AF16" s="410"/>
      <c r="AG16" s="410"/>
      <c r="AH16" s="410"/>
      <c r="AI16" s="410"/>
      <c r="AJ16" s="410"/>
      <c r="AK16" s="411"/>
      <c r="AL16" s="409"/>
      <c r="AM16" s="410"/>
      <c r="AN16" s="410"/>
      <c r="AO16" s="410"/>
      <c r="AP16" s="410"/>
      <c r="AQ16" s="410"/>
      <c r="AR16" s="411"/>
      <c r="AS16" s="488"/>
      <c r="AT16" s="489"/>
      <c r="AU16" s="489"/>
      <c r="AV16" s="489"/>
      <c r="AW16" s="489"/>
      <c r="AX16" s="489"/>
      <c r="AY16" s="490"/>
      <c r="AZ16" s="464"/>
      <c r="BA16" s="465"/>
      <c r="BB16" s="62">
        <v>6</v>
      </c>
      <c r="BC16" s="426"/>
      <c r="BD16" s="427"/>
      <c r="BE16" s="427"/>
      <c r="BF16" s="428"/>
      <c r="BG16" s="429"/>
      <c r="BH16" s="430"/>
      <c r="BI16" s="196"/>
      <c r="BJ16" s="474"/>
      <c r="BK16" s="475"/>
      <c r="BL16" s="475"/>
      <c r="BM16" s="475"/>
      <c r="BN16" s="475"/>
      <c r="BO16" s="476"/>
      <c r="BP16" s="474"/>
      <c r="BQ16" s="475"/>
      <c r="BR16" s="475"/>
      <c r="BS16" s="475"/>
      <c r="BT16" s="475"/>
      <c r="BU16" s="476"/>
      <c r="BV16" s="474"/>
      <c r="BW16" s="475"/>
      <c r="BX16" s="475"/>
      <c r="BY16" s="475"/>
      <c r="BZ16" s="475"/>
      <c r="CA16" s="476"/>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5">
      <c r="A17" s="434">
        <v>2</v>
      </c>
      <c r="B17" s="36"/>
      <c r="C17" s="198" t="str">
        <f t="shared" ca="1" si="2"/>
        <v/>
      </c>
      <c r="D17" s="477"/>
      <c r="E17" s="478"/>
      <c r="F17" s="478"/>
      <c r="G17" s="478"/>
      <c r="H17" s="478"/>
      <c r="I17" s="478"/>
      <c r="J17" s="478"/>
      <c r="K17" s="438" t="s">
        <v>476</v>
      </c>
      <c r="L17" s="439"/>
      <c r="M17" s="439"/>
      <c r="N17" s="439"/>
      <c r="O17" s="439"/>
      <c r="P17" s="439"/>
      <c r="Q17" s="439"/>
      <c r="R17" s="442" t="s">
        <v>186</v>
      </c>
      <c r="S17" s="443"/>
      <c r="T17" s="442"/>
      <c r="U17" s="443"/>
      <c r="V17" s="438"/>
      <c r="W17" s="439"/>
      <c r="X17" s="439"/>
      <c r="Y17" s="439"/>
      <c r="Z17" s="439"/>
      <c r="AA17" s="439"/>
      <c r="AB17" s="439"/>
      <c r="AC17" s="439"/>
      <c r="AD17" s="438"/>
      <c r="AE17" s="439"/>
      <c r="AF17" s="439"/>
      <c r="AG17" s="439"/>
      <c r="AH17" s="439"/>
      <c r="AI17" s="439"/>
      <c r="AJ17" s="439"/>
      <c r="AK17" s="449"/>
      <c r="AL17" s="438"/>
      <c r="AM17" s="439"/>
      <c r="AN17" s="439"/>
      <c r="AO17" s="439"/>
      <c r="AP17" s="439"/>
      <c r="AQ17" s="439"/>
      <c r="AR17" s="449"/>
      <c r="AS17" s="500"/>
      <c r="AT17" s="483"/>
      <c r="AU17" s="483"/>
      <c r="AV17" s="483"/>
      <c r="AW17" s="483"/>
      <c r="AX17" s="483"/>
      <c r="AY17" s="484"/>
      <c r="AZ17" s="460"/>
      <c r="BA17" s="461"/>
      <c r="BB17" s="60">
        <v>1</v>
      </c>
      <c r="BC17" s="466"/>
      <c r="BD17" s="467"/>
      <c r="BE17" s="467"/>
      <c r="BF17" s="468"/>
      <c r="BG17" s="469"/>
      <c r="BH17" s="470"/>
      <c r="BI17" s="194"/>
      <c r="BJ17" s="471"/>
      <c r="BK17" s="472"/>
      <c r="BL17" s="472"/>
      <c r="BM17" s="472"/>
      <c r="BN17" s="472"/>
      <c r="BO17" s="473"/>
      <c r="BP17" s="471"/>
      <c r="BQ17" s="472"/>
      <c r="BR17" s="472"/>
      <c r="BS17" s="472"/>
      <c r="BT17" s="472"/>
      <c r="BU17" s="473"/>
      <c r="BV17" s="471"/>
      <c r="BW17" s="472"/>
      <c r="BX17" s="472"/>
      <c r="BY17" s="472"/>
      <c r="BZ17" s="472"/>
      <c r="CA17" s="473"/>
      <c r="CB17" s="466"/>
      <c r="CC17" s="467"/>
      <c r="CD17" s="467"/>
      <c r="CE17" s="468"/>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5">
      <c r="A18" s="435"/>
      <c r="B18" s="36"/>
      <c r="C18" s="199" t="str">
        <f t="shared" ca="1" si="2"/>
        <v/>
      </c>
      <c r="D18" s="479"/>
      <c r="E18" s="480"/>
      <c r="F18" s="480"/>
      <c r="G18" s="480"/>
      <c r="H18" s="480"/>
      <c r="I18" s="480"/>
      <c r="J18" s="480"/>
      <c r="K18" s="440"/>
      <c r="L18" s="441"/>
      <c r="M18" s="441"/>
      <c r="N18" s="441"/>
      <c r="O18" s="441"/>
      <c r="P18" s="441"/>
      <c r="Q18" s="441"/>
      <c r="R18" s="444"/>
      <c r="S18" s="445"/>
      <c r="T18" s="444"/>
      <c r="U18" s="445"/>
      <c r="V18" s="440"/>
      <c r="W18" s="441"/>
      <c r="X18" s="441"/>
      <c r="Y18" s="441"/>
      <c r="Z18" s="441"/>
      <c r="AA18" s="441"/>
      <c r="AB18" s="441"/>
      <c r="AC18" s="441"/>
      <c r="AD18" s="440"/>
      <c r="AE18" s="441"/>
      <c r="AF18" s="441"/>
      <c r="AG18" s="441"/>
      <c r="AH18" s="441"/>
      <c r="AI18" s="441"/>
      <c r="AJ18" s="441"/>
      <c r="AK18" s="450"/>
      <c r="AL18" s="440"/>
      <c r="AM18" s="441"/>
      <c r="AN18" s="441"/>
      <c r="AO18" s="441"/>
      <c r="AP18" s="441"/>
      <c r="AQ18" s="441"/>
      <c r="AR18" s="450"/>
      <c r="AS18" s="485"/>
      <c r="AT18" s="486"/>
      <c r="AU18" s="486"/>
      <c r="AV18" s="486"/>
      <c r="AW18" s="486"/>
      <c r="AX18" s="486"/>
      <c r="AY18" s="487"/>
      <c r="AZ18" s="462"/>
      <c r="BA18" s="463"/>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5">
      <c r="A19" s="435"/>
      <c r="B19" s="36"/>
      <c r="C19" s="199" t="str">
        <f t="shared" ca="1" si="2"/>
        <v/>
      </c>
      <c r="D19" s="479"/>
      <c r="E19" s="480"/>
      <c r="F19" s="480"/>
      <c r="G19" s="480"/>
      <c r="H19" s="480"/>
      <c r="I19" s="480"/>
      <c r="J19" s="480"/>
      <c r="K19" s="440"/>
      <c r="L19" s="441"/>
      <c r="M19" s="441"/>
      <c r="N19" s="441"/>
      <c r="O19" s="441"/>
      <c r="P19" s="441"/>
      <c r="Q19" s="441"/>
      <c r="R19" s="444"/>
      <c r="S19" s="445"/>
      <c r="T19" s="444"/>
      <c r="U19" s="445"/>
      <c r="V19" s="440"/>
      <c r="W19" s="441"/>
      <c r="X19" s="441"/>
      <c r="Y19" s="441"/>
      <c r="Z19" s="441"/>
      <c r="AA19" s="441"/>
      <c r="AB19" s="441"/>
      <c r="AC19" s="441"/>
      <c r="AD19" s="440"/>
      <c r="AE19" s="441"/>
      <c r="AF19" s="441"/>
      <c r="AG19" s="441"/>
      <c r="AH19" s="441"/>
      <c r="AI19" s="441"/>
      <c r="AJ19" s="441"/>
      <c r="AK19" s="450"/>
      <c r="AL19" s="440"/>
      <c r="AM19" s="441"/>
      <c r="AN19" s="441"/>
      <c r="AO19" s="441"/>
      <c r="AP19" s="441"/>
      <c r="AQ19" s="441"/>
      <c r="AR19" s="450"/>
      <c r="AS19" s="485"/>
      <c r="AT19" s="486"/>
      <c r="AU19" s="486"/>
      <c r="AV19" s="486"/>
      <c r="AW19" s="486"/>
      <c r="AX19" s="486"/>
      <c r="AY19" s="487"/>
      <c r="AZ19" s="462"/>
      <c r="BA19" s="463"/>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5">
      <c r="A20" s="435"/>
      <c r="B20" s="36"/>
      <c r="C20" s="199" t="str">
        <f t="shared" ca="1" si="2"/>
        <v/>
      </c>
      <c r="D20" s="479"/>
      <c r="E20" s="480"/>
      <c r="F20" s="480"/>
      <c r="G20" s="480"/>
      <c r="H20" s="480"/>
      <c r="I20" s="480"/>
      <c r="J20" s="480"/>
      <c r="K20" s="440"/>
      <c r="L20" s="441"/>
      <c r="M20" s="441"/>
      <c r="N20" s="441"/>
      <c r="O20" s="441"/>
      <c r="P20" s="441"/>
      <c r="Q20" s="441"/>
      <c r="R20" s="444"/>
      <c r="S20" s="445"/>
      <c r="T20" s="444"/>
      <c r="U20" s="445"/>
      <c r="V20" s="440"/>
      <c r="W20" s="441"/>
      <c r="X20" s="441"/>
      <c r="Y20" s="441"/>
      <c r="Z20" s="441"/>
      <c r="AA20" s="441"/>
      <c r="AB20" s="441"/>
      <c r="AC20" s="441"/>
      <c r="AD20" s="440"/>
      <c r="AE20" s="441"/>
      <c r="AF20" s="441"/>
      <c r="AG20" s="441"/>
      <c r="AH20" s="441"/>
      <c r="AI20" s="441"/>
      <c r="AJ20" s="441"/>
      <c r="AK20" s="450"/>
      <c r="AL20" s="440"/>
      <c r="AM20" s="441"/>
      <c r="AN20" s="441"/>
      <c r="AO20" s="441"/>
      <c r="AP20" s="441"/>
      <c r="AQ20" s="441"/>
      <c r="AR20" s="450"/>
      <c r="AS20" s="485"/>
      <c r="AT20" s="486"/>
      <c r="AU20" s="486"/>
      <c r="AV20" s="486"/>
      <c r="AW20" s="486"/>
      <c r="AX20" s="486"/>
      <c r="AY20" s="487"/>
      <c r="AZ20" s="462"/>
      <c r="BA20" s="463"/>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5">
      <c r="A21" s="435"/>
      <c r="B21" s="36"/>
      <c r="C21" s="199" t="str">
        <f t="shared" ca="1" si="2"/>
        <v/>
      </c>
      <c r="D21" s="479"/>
      <c r="E21" s="480"/>
      <c r="F21" s="480"/>
      <c r="G21" s="480"/>
      <c r="H21" s="480"/>
      <c r="I21" s="480"/>
      <c r="J21" s="480"/>
      <c r="K21" s="440"/>
      <c r="L21" s="441"/>
      <c r="M21" s="441"/>
      <c r="N21" s="441"/>
      <c r="O21" s="441"/>
      <c r="P21" s="441"/>
      <c r="Q21" s="441"/>
      <c r="R21" s="444"/>
      <c r="S21" s="445"/>
      <c r="T21" s="444"/>
      <c r="U21" s="445"/>
      <c r="V21" s="440"/>
      <c r="W21" s="441"/>
      <c r="X21" s="441"/>
      <c r="Y21" s="441"/>
      <c r="Z21" s="441"/>
      <c r="AA21" s="441"/>
      <c r="AB21" s="441"/>
      <c r="AC21" s="441"/>
      <c r="AD21" s="440"/>
      <c r="AE21" s="441"/>
      <c r="AF21" s="441"/>
      <c r="AG21" s="441"/>
      <c r="AH21" s="441"/>
      <c r="AI21" s="441"/>
      <c r="AJ21" s="441"/>
      <c r="AK21" s="450"/>
      <c r="AL21" s="440"/>
      <c r="AM21" s="441"/>
      <c r="AN21" s="441"/>
      <c r="AO21" s="441"/>
      <c r="AP21" s="441"/>
      <c r="AQ21" s="441"/>
      <c r="AR21" s="450"/>
      <c r="AS21" s="485"/>
      <c r="AT21" s="486"/>
      <c r="AU21" s="486"/>
      <c r="AV21" s="486"/>
      <c r="AW21" s="486"/>
      <c r="AX21" s="486"/>
      <c r="AY21" s="487"/>
      <c r="AZ21" s="462"/>
      <c r="BA21" s="463"/>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5">
      <c r="A22" s="436"/>
      <c r="B22" s="37"/>
      <c r="C22" s="200" t="str">
        <f t="shared" ca="1" si="2"/>
        <v/>
      </c>
      <c r="D22" s="481"/>
      <c r="E22" s="482"/>
      <c r="F22" s="482"/>
      <c r="G22" s="482"/>
      <c r="H22" s="482"/>
      <c r="I22" s="482"/>
      <c r="J22" s="482"/>
      <c r="K22" s="409"/>
      <c r="L22" s="410"/>
      <c r="M22" s="410"/>
      <c r="N22" s="410"/>
      <c r="O22" s="410"/>
      <c r="P22" s="410"/>
      <c r="Q22" s="410"/>
      <c r="R22" s="446"/>
      <c r="S22" s="447"/>
      <c r="T22" s="446"/>
      <c r="U22" s="447"/>
      <c r="V22" s="409"/>
      <c r="W22" s="410"/>
      <c r="X22" s="410"/>
      <c r="Y22" s="410"/>
      <c r="Z22" s="410"/>
      <c r="AA22" s="410"/>
      <c r="AB22" s="410"/>
      <c r="AC22" s="410"/>
      <c r="AD22" s="409"/>
      <c r="AE22" s="410"/>
      <c r="AF22" s="410"/>
      <c r="AG22" s="410"/>
      <c r="AH22" s="410"/>
      <c r="AI22" s="410"/>
      <c r="AJ22" s="410"/>
      <c r="AK22" s="411"/>
      <c r="AL22" s="409"/>
      <c r="AM22" s="410"/>
      <c r="AN22" s="410"/>
      <c r="AO22" s="410"/>
      <c r="AP22" s="410"/>
      <c r="AQ22" s="410"/>
      <c r="AR22" s="411"/>
      <c r="AS22" s="488"/>
      <c r="AT22" s="489"/>
      <c r="AU22" s="489"/>
      <c r="AV22" s="489"/>
      <c r="AW22" s="489"/>
      <c r="AX22" s="489"/>
      <c r="AY22" s="490"/>
      <c r="AZ22" s="464"/>
      <c r="BA22" s="465"/>
      <c r="BB22" s="62">
        <v>6</v>
      </c>
      <c r="BC22" s="426"/>
      <c r="BD22" s="427"/>
      <c r="BE22" s="427"/>
      <c r="BF22" s="428"/>
      <c r="BG22" s="429"/>
      <c r="BH22" s="430"/>
      <c r="BI22" s="196"/>
      <c r="BJ22" s="474"/>
      <c r="BK22" s="475"/>
      <c r="BL22" s="475"/>
      <c r="BM22" s="475"/>
      <c r="BN22" s="475"/>
      <c r="BO22" s="476"/>
      <c r="BP22" s="474"/>
      <c r="BQ22" s="475"/>
      <c r="BR22" s="475"/>
      <c r="BS22" s="475"/>
      <c r="BT22" s="475"/>
      <c r="BU22" s="476"/>
      <c r="BV22" s="474"/>
      <c r="BW22" s="475"/>
      <c r="BX22" s="475"/>
      <c r="BY22" s="475"/>
      <c r="BZ22" s="475"/>
      <c r="CA22" s="476"/>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5">
      <c r="A23" s="434">
        <v>3</v>
      </c>
      <c r="B23" s="36"/>
      <c r="C23" s="198" t="str">
        <f t="shared" ca="1" si="2"/>
        <v/>
      </c>
      <c r="D23" s="477"/>
      <c r="E23" s="478"/>
      <c r="F23" s="478"/>
      <c r="G23" s="478"/>
      <c r="H23" s="478"/>
      <c r="I23" s="478"/>
      <c r="J23" s="478"/>
      <c r="K23" s="438" t="s">
        <v>477</v>
      </c>
      <c r="L23" s="439"/>
      <c r="M23" s="439"/>
      <c r="N23" s="439"/>
      <c r="O23" s="439"/>
      <c r="P23" s="439"/>
      <c r="Q23" s="439"/>
      <c r="R23" s="442" t="s">
        <v>186</v>
      </c>
      <c r="S23" s="443"/>
      <c r="T23" s="442"/>
      <c r="U23" s="443"/>
      <c r="V23" s="438"/>
      <c r="W23" s="439"/>
      <c r="X23" s="439"/>
      <c r="Y23" s="439"/>
      <c r="Z23" s="439"/>
      <c r="AA23" s="439"/>
      <c r="AB23" s="439"/>
      <c r="AC23" s="439"/>
      <c r="AD23" s="438"/>
      <c r="AE23" s="439"/>
      <c r="AF23" s="439"/>
      <c r="AG23" s="439"/>
      <c r="AH23" s="439"/>
      <c r="AI23" s="439"/>
      <c r="AJ23" s="439"/>
      <c r="AK23" s="449"/>
      <c r="AL23" s="438"/>
      <c r="AM23" s="439"/>
      <c r="AN23" s="439"/>
      <c r="AO23" s="439"/>
      <c r="AP23" s="439"/>
      <c r="AQ23" s="439"/>
      <c r="AR23" s="449"/>
      <c r="AS23" s="500"/>
      <c r="AT23" s="483"/>
      <c r="AU23" s="483"/>
      <c r="AV23" s="483"/>
      <c r="AW23" s="483"/>
      <c r="AX23" s="483"/>
      <c r="AY23" s="484"/>
      <c r="AZ23" s="460"/>
      <c r="BA23" s="461"/>
      <c r="BB23" s="60">
        <v>1</v>
      </c>
      <c r="BC23" s="466"/>
      <c r="BD23" s="467"/>
      <c r="BE23" s="467"/>
      <c r="BF23" s="468"/>
      <c r="BG23" s="469"/>
      <c r="BH23" s="470"/>
      <c r="BI23" s="194"/>
      <c r="BJ23" s="471"/>
      <c r="BK23" s="472"/>
      <c r="BL23" s="472"/>
      <c r="BM23" s="472"/>
      <c r="BN23" s="472"/>
      <c r="BO23" s="473"/>
      <c r="BP23" s="471"/>
      <c r="BQ23" s="472"/>
      <c r="BR23" s="472"/>
      <c r="BS23" s="472"/>
      <c r="BT23" s="472"/>
      <c r="BU23" s="473"/>
      <c r="BV23" s="471"/>
      <c r="BW23" s="472"/>
      <c r="BX23" s="472"/>
      <c r="BY23" s="472"/>
      <c r="BZ23" s="472"/>
      <c r="CA23" s="473"/>
      <c r="CB23" s="466"/>
      <c r="CC23" s="467"/>
      <c r="CD23" s="467"/>
      <c r="CE23" s="468"/>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5">
      <c r="A24" s="435"/>
      <c r="B24" s="36"/>
      <c r="C24" s="199" t="str">
        <f t="shared" ca="1" si="2"/>
        <v/>
      </c>
      <c r="D24" s="479"/>
      <c r="E24" s="480"/>
      <c r="F24" s="480"/>
      <c r="G24" s="480"/>
      <c r="H24" s="480"/>
      <c r="I24" s="480"/>
      <c r="J24" s="480"/>
      <c r="K24" s="440"/>
      <c r="L24" s="441"/>
      <c r="M24" s="441"/>
      <c r="N24" s="441"/>
      <c r="O24" s="441"/>
      <c r="P24" s="441"/>
      <c r="Q24" s="441"/>
      <c r="R24" s="444"/>
      <c r="S24" s="445"/>
      <c r="T24" s="444"/>
      <c r="U24" s="445"/>
      <c r="V24" s="440"/>
      <c r="W24" s="441"/>
      <c r="X24" s="441"/>
      <c r="Y24" s="441"/>
      <c r="Z24" s="441"/>
      <c r="AA24" s="441"/>
      <c r="AB24" s="441"/>
      <c r="AC24" s="441"/>
      <c r="AD24" s="440"/>
      <c r="AE24" s="441"/>
      <c r="AF24" s="441"/>
      <c r="AG24" s="441"/>
      <c r="AH24" s="441"/>
      <c r="AI24" s="441"/>
      <c r="AJ24" s="441"/>
      <c r="AK24" s="450"/>
      <c r="AL24" s="440"/>
      <c r="AM24" s="441"/>
      <c r="AN24" s="441"/>
      <c r="AO24" s="441"/>
      <c r="AP24" s="441"/>
      <c r="AQ24" s="441"/>
      <c r="AR24" s="450"/>
      <c r="AS24" s="485"/>
      <c r="AT24" s="486"/>
      <c r="AU24" s="486"/>
      <c r="AV24" s="486"/>
      <c r="AW24" s="486"/>
      <c r="AX24" s="486"/>
      <c r="AY24" s="487"/>
      <c r="AZ24" s="462"/>
      <c r="BA24" s="463"/>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5">
      <c r="A25" s="435"/>
      <c r="B25" s="36"/>
      <c r="C25" s="199" t="str">
        <f t="shared" ca="1" si="2"/>
        <v/>
      </c>
      <c r="D25" s="479"/>
      <c r="E25" s="480"/>
      <c r="F25" s="480"/>
      <c r="G25" s="480"/>
      <c r="H25" s="480"/>
      <c r="I25" s="480"/>
      <c r="J25" s="480"/>
      <c r="K25" s="440"/>
      <c r="L25" s="441"/>
      <c r="M25" s="441"/>
      <c r="N25" s="441"/>
      <c r="O25" s="441"/>
      <c r="P25" s="441"/>
      <c r="Q25" s="441"/>
      <c r="R25" s="444"/>
      <c r="S25" s="445"/>
      <c r="T25" s="444"/>
      <c r="U25" s="445"/>
      <c r="V25" s="440"/>
      <c r="W25" s="441"/>
      <c r="X25" s="441"/>
      <c r="Y25" s="441"/>
      <c r="Z25" s="441"/>
      <c r="AA25" s="441"/>
      <c r="AB25" s="441"/>
      <c r="AC25" s="441"/>
      <c r="AD25" s="440"/>
      <c r="AE25" s="441"/>
      <c r="AF25" s="441"/>
      <c r="AG25" s="441"/>
      <c r="AH25" s="441"/>
      <c r="AI25" s="441"/>
      <c r="AJ25" s="441"/>
      <c r="AK25" s="450"/>
      <c r="AL25" s="440"/>
      <c r="AM25" s="441"/>
      <c r="AN25" s="441"/>
      <c r="AO25" s="441"/>
      <c r="AP25" s="441"/>
      <c r="AQ25" s="441"/>
      <c r="AR25" s="450"/>
      <c r="AS25" s="485"/>
      <c r="AT25" s="486"/>
      <c r="AU25" s="486"/>
      <c r="AV25" s="486"/>
      <c r="AW25" s="486"/>
      <c r="AX25" s="486"/>
      <c r="AY25" s="487"/>
      <c r="AZ25" s="462"/>
      <c r="BA25" s="463"/>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5">
      <c r="A26" s="435"/>
      <c r="B26" s="36"/>
      <c r="C26" s="199" t="str">
        <f t="shared" ca="1" si="2"/>
        <v/>
      </c>
      <c r="D26" s="479"/>
      <c r="E26" s="480"/>
      <c r="F26" s="480"/>
      <c r="G26" s="480"/>
      <c r="H26" s="480"/>
      <c r="I26" s="480"/>
      <c r="J26" s="480"/>
      <c r="K26" s="440"/>
      <c r="L26" s="441"/>
      <c r="M26" s="441"/>
      <c r="N26" s="441"/>
      <c r="O26" s="441"/>
      <c r="P26" s="441"/>
      <c r="Q26" s="441"/>
      <c r="R26" s="444"/>
      <c r="S26" s="445"/>
      <c r="T26" s="444"/>
      <c r="U26" s="445"/>
      <c r="V26" s="440"/>
      <c r="W26" s="441"/>
      <c r="X26" s="441"/>
      <c r="Y26" s="441"/>
      <c r="Z26" s="441"/>
      <c r="AA26" s="441"/>
      <c r="AB26" s="441"/>
      <c r="AC26" s="441"/>
      <c r="AD26" s="440"/>
      <c r="AE26" s="441"/>
      <c r="AF26" s="441"/>
      <c r="AG26" s="441"/>
      <c r="AH26" s="441"/>
      <c r="AI26" s="441"/>
      <c r="AJ26" s="441"/>
      <c r="AK26" s="450"/>
      <c r="AL26" s="440"/>
      <c r="AM26" s="441"/>
      <c r="AN26" s="441"/>
      <c r="AO26" s="441"/>
      <c r="AP26" s="441"/>
      <c r="AQ26" s="441"/>
      <c r="AR26" s="450"/>
      <c r="AS26" s="485"/>
      <c r="AT26" s="486"/>
      <c r="AU26" s="486"/>
      <c r="AV26" s="486"/>
      <c r="AW26" s="486"/>
      <c r="AX26" s="486"/>
      <c r="AY26" s="487"/>
      <c r="AZ26" s="462"/>
      <c r="BA26" s="463"/>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5">
      <c r="A27" s="435"/>
      <c r="B27" s="36"/>
      <c r="C27" s="199" t="str">
        <f t="shared" ca="1" si="2"/>
        <v/>
      </c>
      <c r="D27" s="479"/>
      <c r="E27" s="480"/>
      <c r="F27" s="480"/>
      <c r="G27" s="480"/>
      <c r="H27" s="480"/>
      <c r="I27" s="480"/>
      <c r="J27" s="480"/>
      <c r="K27" s="440"/>
      <c r="L27" s="441"/>
      <c r="M27" s="441"/>
      <c r="N27" s="441"/>
      <c r="O27" s="441"/>
      <c r="P27" s="441"/>
      <c r="Q27" s="441"/>
      <c r="R27" s="444"/>
      <c r="S27" s="445"/>
      <c r="T27" s="444"/>
      <c r="U27" s="445"/>
      <c r="V27" s="440"/>
      <c r="W27" s="441"/>
      <c r="X27" s="441"/>
      <c r="Y27" s="441"/>
      <c r="Z27" s="441"/>
      <c r="AA27" s="441"/>
      <c r="AB27" s="441"/>
      <c r="AC27" s="441"/>
      <c r="AD27" s="440"/>
      <c r="AE27" s="441"/>
      <c r="AF27" s="441"/>
      <c r="AG27" s="441"/>
      <c r="AH27" s="441"/>
      <c r="AI27" s="441"/>
      <c r="AJ27" s="441"/>
      <c r="AK27" s="450"/>
      <c r="AL27" s="440"/>
      <c r="AM27" s="441"/>
      <c r="AN27" s="441"/>
      <c r="AO27" s="441"/>
      <c r="AP27" s="441"/>
      <c r="AQ27" s="441"/>
      <c r="AR27" s="450"/>
      <c r="AS27" s="485"/>
      <c r="AT27" s="486"/>
      <c r="AU27" s="486"/>
      <c r="AV27" s="486"/>
      <c r="AW27" s="486"/>
      <c r="AX27" s="486"/>
      <c r="AY27" s="487"/>
      <c r="AZ27" s="462"/>
      <c r="BA27" s="463"/>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5">
      <c r="A28" s="436"/>
      <c r="B28" s="37"/>
      <c r="C28" s="200" t="str">
        <f t="shared" ca="1" si="2"/>
        <v/>
      </c>
      <c r="D28" s="481"/>
      <c r="E28" s="482"/>
      <c r="F28" s="482"/>
      <c r="G28" s="482"/>
      <c r="H28" s="482"/>
      <c r="I28" s="482"/>
      <c r="J28" s="482"/>
      <c r="K28" s="409"/>
      <c r="L28" s="410"/>
      <c r="M28" s="410"/>
      <c r="N28" s="410"/>
      <c r="O28" s="410"/>
      <c r="P28" s="410"/>
      <c r="Q28" s="410"/>
      <c r="R28" s="446"/>
      <c r="S28" s="447"/>
      <c r="T28" s="446"/>
      <c r="U28" s="447"/>
      <c r="V28" s="409"/>
      <c r="W28" s="410"/>
      <c r="X28" s="410"/>
      <c r="Y28" s="410"/>
      <c r="Z28" s="410"/>
      <c r="AA28" s="410"/>
      <c r="AB28" s="410"/>
      <c r="AC28" s="410"/>
      <c r="AD28" s="409"/>
      <c r="AE28" s="410"/>
      <c r="AF28" s="410"/>
      <c r="AG28" s="410"/>
      <c r="AH28" s="410"/>
      <c r="AI28" s="410"/>
      <c r="AJ28" s="410"/>
      <c r="AK28" s="411"/>
      <c r="AL28" s="409"/>
      <c r="AM28" s="410"/>
      <c r="AN28" s="410"/>
      <c r="AO28" s="410"/>
      <c r="AP28" s="410"/>
      <c r="AQ28" s="410"/>
      <c r="AR28" s="411"/>
      <c r="AS28" s="488"/>
      <c r="AT28" s="489"/>
      <c r="AU28" s="489"/>
      <c r="AV28" s="489"/>
      <c r="AW28" s="489"/>
      <c r="AX28" s="489"/>
      <c r="AY28" s="490"/>
      <c r="AZ28" s="464"/>
      <c r="BA28" s="465"/>
      <c r="BB28" s="62">
        <v>6</v>
      </c>
      <c r="BC28" s="426"/>
      <c r="BD28" s="427"/>
      <c r="BE28" s="427"/>
      <c r="BF28" s="428"/>
      <c r="BG28" s="429"/>
      <c r="BH28" s="430"/>
      <c r="BI28" s="196"/>
      <c r="BJ28" s="474"/>
      <c r="BK28" s="475"/>
      <c r="BL28" s="475"/>
      <c r="BM28" s="475"/>
      <c r="BN28" s="475"/>
      <c r="BO28" s="476"/>
      <c r="BP28" s="474"/>
      <c r="BQ28" s="475"/>
      <c r="BR28" s="475"/>
      <c r="BS28" s="475"/>
      <c r="BT28" s="475"/>
      <c r="BU28" s="476"/>
      <c r="BV28" s="474"/>
      <c r="BW28" s="475"/>
      <c r="BX28" s="475"/>
      <c r="BY28" s="475"/>
      <c r="BZ28" s="475"/>
      <c r="CA28" s="476"/>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5">
      <c r="A29" s="434">
        <v>4</v>
      </c>
      <c r="B29" s="36"/>
      <c r="C29" s="198" t="str">
        <f t="shared" ca="1" si="2"/>
        <v/>
      </c>
      <c r="D29" s="477"/>
      <c r="E29" s="478"/>
      <c r="F29" s="478"/>
      <c r="G29" s="478"/>
      <c r="H29" s="478"/>
      <c r="I29" s="478"/>
      <c r="J29" s="478"/>
      <c r="K29" s="438" t="s">
        <v>478</v>
      </c>
      <c r="L29" s="439"/>
      <c r="M29" s="439"/>
      <c r="N29" s="439"/>
      <c r="O29" s="439"/>
      <c r="P29" s="439"/>
      <c r="Q29" s="439"/>
      <c r="R29" s="442" t="s">
        <v>186</v>
      </c>
      <c r="S29" s="443"/>
      <c r="T29" s="442"/>
      <c r="U29" s="443"/>
      <c r="V29" s="438"/>
      <c r="W29" s="439"/>
      <c r="X29" s="439"/>
      <c r="Y29" s="439"/>
      <c r="Z29" s="439"/>
      <c r="AA29" s="439"/>
      <c r="AB29" s="439"/>
      <c r="AC29" s="439"/>
      <c r="AD29" s="438"/>
      <c r="AE29" s="439"/>
      <c r="AF29" s="439"/>
      <c r="AG29" s="439"/>
      <c r="AH29" s="439"/>
      <c r="AI29" s="439"/>
      <c r="AJ29" s="439"/>
      <c r="AK29" s="449"/>
      <c r="AL29" s="438"/>
      <c r="AM29" s="439"/>
      <c r="AN29" s="439"/>
      <c r="AO29" s="439"/>
      <c r="AP29" s="439"/>
      <c r="AQ29" s="439"/>
      <c r="AR29" s="449"/>
      <c r="AS29" s="500"/>
      <c r="AT29" s="483"/>
      <c r="AU29" s="483"/>
      <c r="AV29" s="483"/>
      <c r="AW29" s="483"/>
      <c r="AX29" s="483"/>
      <c r="AY29" s="484"/>
      <c r="AZ29" s="460"/>
      <c r="BA29" s="461"/>
      <c r="BB29" s="60">
        <v>1</v>
      </c>
      <c r="BC29" s="466"/>
      <c r="BD29" s="467"/>
      <c r="BE29" s="467"/>
      <c r="BF29" s="468"/>
      <c r="BG29" s="469"/>
      <c r="BH29" s="470"/>
      <c r="BI29" s="194"/>
      <c r="BJ29" s="471"/>
      <c r="BK29" s="472"/>
      <c r="BL29" s="472"/>
      <c r="BM29" s="472"/>
      <c r="BN29" s="472"/>
      <c r="BO29" s="473"/>
      <c r="BP29" s="471"/>
      <c r="BQ29" s="472"/>
      <c r="BR29" s="472"/>
      <c r="BS29" s="472"/>
      <c r="BT29" s="472"/>
      <c r="BU29" s="473"/>
      <c r="BV29" s="471"/>
      <c r="BW29" s="472"/>
      <c r="BX29" s="472"/>
      <c r="BY29" s="472"/>
      <c r="BZ29" s="472"/>
      <c r="CA29" s="473"/>
      <c r="CB29" s="466"/>
      <c r="CC29" s="467"/>
      <c r="CD29" s="467"/>
      <c r="CE29" s="468"/>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5">
      <c r="A30" s="435"/>
      <c r="B30" s="36"/>
      <c r="C30" s="199" t="str">
        <f t="shared" ca="1" si="2"/>
        <v/>
      </c>
      <c r="D30" s="479"/>
      <c r="E30" s="480"/>
      <c r="F30" s="480"/>
      <c r="G30" s="480"/>
      <c r="H30" s="480"/>
      <c r="I30" s="480"/>
      <c r="J30" s="480"/>
      <c r="K30" s="440"/>
      <c r="L30" s="441"/>
      <c r="M30" s="441"/>
      <c r="N30" s="441"/>
      <c r="O30" s="441"/>
      <c r="P30" s="441"/>
      <c r="Q30" s="441"/>
      <c r="R30" s="444"/>
      <c r="S30" s="445"/>
      <c r="T30" s="444"/>
      <c r="U30" s="445"/>
      <c r="V30" s="440"/>
      <c r="W30" s="441"/>
      <c r="X30" s="441"/>
      <c r="Y30" s="441"/>
      <c r="Z30" s="441"/>
      <c r="AA30" s="441"/>
      <c r="AB30" s="441"/>
      <c r="AC30" s="441"/>
      <c r="AD30" s="440"/>
      <c r="AE30" s="441"/>
      <c r="AF30" s="441"/>
      <c r="AG30" s="441"/>
      <c r="AH30" s="441"/>
      <c r="AI30" s="441"/>
      <c r="AJ30" s="441"/>
      <c r="AK30" s="450"/>
      <c r="AL30" s="440"/>
      <c r="AM30" s="441"/>
      <c r="AN30" s="441"/>
      <c r="AO30" s="441"/>
      <c r="AP30" s="441"/>
      <c r="AQ30" s="441"/>
      <c r="AR30" s="450"/>
      <c r="AS30" s="485"/>
      <c r="AT30" s="486"/>
      <c r="AU30" s="486"/>
      <c r="AV30" s="486"/>
      <c r="AW30" s="486"/>
      <c r="AX30" s="486"/>
      <c r="AY30" s="487"/>
      <c r="AZ30" s="462"/>
      <c r="BA30" s="463"/>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5">
      <c r="A31" s="435"/>
      <c r="B31" s="36"/>
      <c r="C31" s="199" t="str">
        <f t="shared" ca="1" si="2"/>
        <v/>
      </c>
      <c r="D31" s="479"/>
      <c r="E31" s="480"/>
      <c r="F31" s="480"/>
      <c r="G31" s="480"/>
      <c r="H31" s="480"/>
      <c r="I31" s="480"/>
      <c r="J31" s="480"/>
      <c r="K31" s="440"/>
      <c r="L31" s="441"/>
      <c r="M31" s="441"/>
      <c r="N31" s="441"/>
      <c r="O31" s="441"/>
      <c r="P31" s="441"/>
      <c r="Q31" s="441"/>
      <c r="R31" s="444"/>
      <c r="S31" s="445"/>
      <c r="T31" s="444"/>
      <c r="U31" s="445"/>
      <c r="V31" s="440"/>
      <c r="W31" s="441"/>
      <c r="X31" s="441"/>
      <c r="Y31" s="441"/>
      <c r="Z31" s="441"/>
      <c r="AA31" s="441"/>
      <c r="AB31" s="441"/>
      <c r="AC31" s="441"/>
      <c r="AD31" s="440"/>
      <c r="AE31" s="441"/>
      <c r="AF31" s="441"/>
      <c r="AG31" s="441"/>
      <c r="AH31" s="441"/>
      <c r="AI31" s="441"/>
      <c r="AJ31" s="441"/>
      <c r="AK31" s="450"/>
      <c r="AL31" s="440"/>
      <c r="AM31" s="441"/>
      <c r="AN31" s="441"/>
      <c r="AO31" s="441"/>
      <c r="AP31" s="441"/>
      <c r="AQ31" s="441"/>
      <c r="AR31" s="450"/>
      <c r="AS31" s="485"/>
      <c r="AT31" s="486"/>
      <c r="AU31" s="486"/>
      <c r="AV31" s="486"/>
      <c r="AW31" s="486"/>
      <c r="AX31" s="486"/>
      <c r="AY31" s="487"/>
      <c r="AZ31" s="462"/>
      <c r="BA31" s="463"/>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5">
      <c r="A32" s="435"/>
      <c r="B32" s="36"/>
      <c r="C32" s="199" t="str">
        <f t="shared" ca="1" si="2"/>
        <v/>
      </c>
      <c r="D32" s="479"/>
      <c r="E32" s="480"/>
      <c r="F32" s="480"/>
      <c r="G32" s="480"/>
      <c r="H32" s="480"/>
      <c r="I32" s="480"/>
      <c r="J32" s="480"/>
      <c r="K32" s="440"/>
      <c r="L32" s="441"/>
      <c r="M32" s="441"/>
      <c r="N32" s="441"/>
      <c r="O32" s="441"/>
      <c r="P32" s="441"/>
      <c r="Q32" s="441"/>
      <c r="R32" s="444"/>
      <c r="S32" s="445"/>
      <c r="T32" s="444"/>
      <c r="U32" s="445"/>
      <c r="V32" s="440"/>
      <c r="W32" s="441"/>
      <c r="X32" s="441"/>
      <c r="Y32" s="441"/>
      <c r="Z32" s="441"/>
      <c r="AA32" s="441"/>
      <c r="AB32" s="441"/>
      <c r="AC32" s="441"/>
      <c r="AD32" s="440"/>
      <c r="AE32" s="441"/>
      <c r="AF32" s="441"/>
      <c r="AG32" s="441"/>
      <c r="AH32" s="441"/>
      <c r="AI32" s="441"/>
      <c r="AJ32" s="441"/>
      <c r="AK32" s="450"/>
      <c r="AL32" s="440"/>
      <c r="AM32" s="441"/>
      <c r="AN32" s="441"/>
      <c r="AO32" s="441"/>
      <c r="AP32" s="441"/>
      <c r="AQ32" s="441"/>
      <c r="AR32" s="450"/>
      <c r="AS32" s="485"/>
      <c r="AT32" s="486"/>
      <c r="AU32" s="486"/>
      <c r="AV32" s="486"/>
      <c r="AW32" s="486"/>
      <c r="AX32" s="486"/>
      <c r="AY32" s="487"/>
      <c r="AZ32" s="462"/>
      <c r="BA32" s="463"/>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5">
      <c r="A33" s="435"/>
      <c r="B33" s="36"/>
      <c r="C33" s="199" t="str">
        <f t="shared" ca="1" si="2"/>
        <v/>
      </c>
      <c r="D33" s="479"/>
      <c r="E33" s="480"/>
      <c r="F33" s="480"/>
      <c r="G33" s="480"/>
      <c r="H33" s="480"/>
      <c r="I33" s="480"/>
      <c r="J33" s="480"/>
      <c r="K33" s="440"/>
      <c r="L33" s="441"/>
      <c r="M33" s="441"/>
      <c r="N33" s="441"/>
      <c r="O33" s="441"/>
      <c r="P33" s="441"/>
      <c r="Q33" s="441"/>
      <c r="R33" s="444"/>
      <c r="S33" s="445"/>
      <c r="T33" s="444"/>
      <c r="U33" s="445"/>
      <c r="V33" s="440"/>
      <c r="W33" s="441"/>
      <c r="X33" s="441"/>
      <c r="Y33" s="441"/>
      <c r="Z33" s="441"/>
      <c r="AA33" s="441"/>
      <c r="AB33" s="441"/>
      <c r="AC33" s="441"/>
      <c r="AD33" s="440"/>
      <c r="AE33" s="441"/>
      <c r="AF33" s="441"/>
      <c r="AG33" s="441"/>
      <c r="AH33" s="441"/>
      <c r="AI33" s="441"/>
      <c r="AJ33" s="441"/>
      <c r="AK33" s="450"/>
      <c r="AL33" s="440"/>
      <c r="AM33" s="441"/>
      <c r="AN33" s="441"/>
      <c r="AO33" s="441"/>
      <c r="AP33" s="441"/>
      <c r="AQ33" s="441"/>
      <c r="AR33" s="450"/>
      <c r="AS33" s="485"/>
      <c r="AT33" s="486"/>
      <c r="AU33" s="486"/>
      <c r="AV33" s="486"/>
      <c r="AW33" s="486"/>
      <c r="AX33" s="486"/>
      <c r="AY33" s="487"/>
      <c r="AZ33" s="462"/>
      <c r="BA33" s="463"/>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5">
      <c r="A34" s="436"/>
      <c r="B34" s="37"/>
      <c r="C34" s="200" t="str">
        <f t="shared" ca="1" si="2"/>
        <v/>
      </c>
      <c r="D34" s="481"/>
      <c r="E34" s="482"/>
      <c r="F34" s="482"/>
      <c r="G34" s="482"/>
      <c r="H34" s="482"/>
      <c r="I34" s="482"/>
      <c r="J34" s="482"/>
      <c r="K34" s="409"/>
      <c r="L34" s="410"/>
      <c r="M34" s="410"/>
      <c r="N34" s="410"/>
      <c r="O34" s="410"/>
      <c r="P34" s="410"/>
      <c r="Q34" s="410"/>
      <c r="R34" s="446"/>
      <c r="S34" s="447"/>
      <c r="T34" s="446"/>
      <c r="U34" s="447"/>
      <c r="V34" s="409"/>
      <c r="W34" s="410"/>
      <c r="X34" s="410"/>
      <c r="Y34" s="410"/>
      <c r="Z34" s="410"/>
      <c r="AA34" s="410"/>
      <c r="AB34" s="410"/>
      <c r="AC34" s="410"/>
      <c r="AD34" s="409"/>
      <c r="AE34" s="410"/>
      <c r="AF34" s="410"/>
      <c r="AG34" s="410"/>
      <c r="AH34" s="410"/>
      <c r="AI34" s="410"/>
      <c r="AJ34" s="410"/>
      <c r="AK34" s="411"/>
      <c r="AL34" s="409"/>
      <c r="AM34" s="410"/>
      <c r="AN34" s="410"/>
      <c r="AO34" s="410"/>
      <c r="AP34" s="410"/>
      <c r="AQ34" s="410"/>
      <c r="AR34" s="411"/>
      <c r="AS34" s="488"/>
      <c r="AT34" s="489"/>
      <c r="AU34" s="489"/>
      <c r="AV34" s="489"/>
      <c r="AW34" s="489"/>
      <c r="AX34" s="489"/>
      <c r="AY34" s="490"/>
      <c r="AZ34" s="464"/>
      <c r="BA34" s="465"/>
      <c r="BB34" s="62">
        <v>6</v>
      </c>
      <c r="BC34" s="426"/>
      <c r="BD34" s="427"/>
      <c r="BE34" s="427"/>
      <c r="BF34" s="428"/>
      <c r="BG34" s="429"/>
      <c r="BH34" s="430"/>
      <c r="BI34" s="196"/>
      <c r="BJ34" s="474"/>
      <c r="BK34" s="475"/>
      <c r="BL34" s="475"/>
      <c r="BM34" s="475"/>
      <c r="BN34" s="475"/>
      <c r="BO34" s="476"/>
      <c r="BP34" s="474"/>
      <c r="BQ34" s="475"/>
      <c r="BR34" s="475"/>
      <c r="BS34" s="475"/>
      <c r="BT34" s="475"/>
      <c r="BU34" s="476"/>
      <c r="BV34" s="474"/>
      <c r="BW34" s="475"/>
      <c r="BX34" s="475"/>
      <c r="BY34" s="475"/>
      <c r="BZ34" s="475"/>
      <c r="CA34" s="476"/>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5">
      <c r="A35" s="434">
        <v>5</v>
      </c>
      <c r="B35" s="36"/>
      <c r="C35" s="198" t="str">
        <f t="shared" ca="1" si="2"/>
        <v/>
      </c>
      <c r="D35" s="477"/>
      <c r="E35" s="478"/>
      <c r="F35" s="478"/>
      <c r="G35" s="478"/>
      <c r="H35" s="478"/>
      <c r="I35" s="478"/>
      <c r="J35" s="478"/>
      <c r="K35" s="438" t="s">
        <v>479</v>
      </c>
      <c r="L35" s="439"/>
      <c r="M35" s="439"/>
      <c r="N35" s="439"/>
      <c r="O35" s="439"/>
      <c r="P35" s="439"/>
      <c r="Q35" s="439"/>
      <c r="R35" s="442" t="s">
        <v>186</v>
      </c>
      <c r="S35" s="443"/>
      <c r="T35" s="442"/>
      <c r="U35" s="443"/>
      <c r="V35" s="438"/>
      <c r="W35" s="439"/>
      <c r="X35" s="439"/>
      <c r="Y35" s="439"/>
      <c r="Z35" s="439"/>
      <c r="AA35" s="439"/>
      <c r="AB35" s="439"/>
      <c r="AC35" s="439"/>
      <c r="AD35" s="438"/>
      <c r="AE35" s="439"/>
      <c r="AF35" s="439"/>
      <c r="AG35" s="439"/>
      <c r="AH35" s="439"/>
      <c r="AI35" s="439"/>
      <c r="AJ35" s="439"/>
      <c r="AK35" s="449"/>
      <c r="AL35" s="438"/>
      <c r="AM35" s="439"/>
      <c r="AN35" s="439"/>
      <c r="AO35" s="439"/>
      <c r="AP35" s="439"/>
      <c r="AQ35" s="439"/>
      <c r="AR35" s="449"/>
      <c r="AS35" s="500"/>
      <c r="AT35" s="483"/>
      <c r="AU35" s="483"/>
      <c r="AV35" s="483"/>
      <c r="AW35" s="483"/>
      <c r="AX35" s="483"/>
      <c r="AY35" s="484"/>
      <c r="AZ35" s="460"/>
      <c r="BA35" s="461"/>
      <c r="BB35" s="60">
        <v>1</v>
      </c>
      <c r="BC35" s="466"/>
      <c r="BD35" s="467"/>
      <c r="BE35" s="467"/>
      <c r="BF35" s="468"/>
      <c r="BG35" s="469"/>
      <c r="BH35" s="470"/>
      <c r="BI35" s="194"/>
      <c r="BJ35" s="471"/>
      <c r="BK35" s="472"/>
      <c r="BL35" s="472"/>
      <c r="BM35" s="472"/>
      <c r="BN35" s="472"/>
      <c r="BO35" s="473"/>
      <c r="BP35" s="471"/>
      <c r="BQ35" s="472"/>
      <c r="BR35" s="472"/>
      <c r="BS35" s="472"/>
      <c r="BT35" s="472"/>
      <c r="BU35" s="473"/>
      <c r="BV35" s="471"/>
      <c r="BW35" s="472"/>
      <c r="BX35" s="472"/>
      <c r="BY35" s="472"/>
      <c r="BZ35" s="472"/>
      <c r="CA35" s="473"/>
      <c r="CB35" s="466"/>
      <c r="CC35" s="467"/>
      <c r="CD35" s="467"/>
      <c r="CE35" s="468"/>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5">
      <c r="A36" s="435"/>
      <c r="B36" s="36"/>
      <c r="C36" s="199" t="str">
        <f t="shared" ca="1" si="2"/>
        <v/>
      </c>
      <c r="D36" s="479"/>
      <c r="E36" s="480"/>
      <c r="F36" s="480"/>
      <c r="G36" s="480"/>
      <c r="H36" s="480"/>
      <c r="I36" s="480"/>
      <c r="J36" s="480"/>
      <c r="K36" s="440"/>
      <c r="L36" s="441"/>
      <c r="M36" s="441"/>
      <c r="N36" s="441"/>
      <c r="O36" s="441"/>
      <c r="P36" s="441"/>
      <c r="Q36" s="441"/>
      <c r="R36" s="444"/>
      <c r="S36" s="445"/>
      <c r="T36" s="444"/>
      <c r="U36" s="445"/>
      <c r="V36" s="440"/>
      <c r="W36" s="441"/>
      <c r="X36" s="441"/>
      <c r="Y36" s="441"/>
      <c r="Z36" s="441"/>
      <c r="AA36" s="441"/>
      <c r="AB36" s="441"/>
      <c r="AC36" s="441"/>
      <c r="AD36" s="440"/>
      <c r="AE36" s="441"/>
      <c r="AF36" s="441"/>
      <c r="AG36" s="441"/>
      <c r="AH36" s="441"/>
      <c r="AI36" s="441"/>
      <c r="AJ36" s="441"/>
      <c r="AK36" s="450"/>
      <c r="AL36" s="440"/>
      <c r="AM36" s="441"/>
      <c r="AN36" s="441"/>
      <c r="AO36" s="441"/>
      <c r="AP36" s="441"/>
      <c r="AQ36" s="441"/>
      <c r="AR36" s="450"/>
      <c r="AS36" s="485"/>
      <c r="AT36" s="486"/>
      <c r="AU36" s="486"/>
      <c r="AV36" s="486"/>
      <c r="AW36" s="486"/>
      <c r="AX36" s="486"/>
      <c r="AY36" s="487"/>
      <c r="AZ36" s="462"/>
      <c r="BA36" s="463"/>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5">
      <c r="A37" s="435"/>
      <c r="B37" s="36"/>
      <c r="C37" s="199" t="str">
        <f t="shared" ca="1" si="2"/>
        <v/>
      </c>
      <c r="D37" s="479"/>
      <c r="E37" s="480"/>
      <c r="F37" s="480"/>
      <c r="G37" s="480"/>
      <c r="H37" s="480"/>
      <c r="I37" s="480"/>
      <c r="J37" s="480"/>
      <c r="K37" s="440"/>
      <c r="L37" s="441"/>
      <c r="M37" s="441"/>
      <c r="N37" s="441"/>
      <c r="O37" s="441"/>
      <c r="P37" s="441"/>
      <c r="Q37" s="441"/>
      <c r="R37" s="444"/>
      <c r="S37" s="445"/>
      <c r="T37" s="444"/>
      <c r="U37" s="445"/>
      <c r="V37" s="440"/>
      <c r="W37" s="441"/>
      <c r="X37" s="441"/>
      <c r="Y37" s="441"/>
      <c r="Z37" s="441"/>
      <c r="AA37" s="441"/>
      <c r="AB37" s="441"/>
      <c r="AC37" s="441"/>
      <c r="AD37" s="440"/>
      <c r="AE37" s="441"/>
      <c r="AF37" s="441"/>
      <c r="AG37" s="441"/>
      <c r="AH37" s="441"/>
      <c r="AI37" s="441"/>
      <c r="AJ37" s="441"/>
      <c r="AK37" s="450"/>
      <c r="AL37" s="440"/>
      <c r="AM37" s="441"/>
      <c r="AN37" s="441"/>
      <c r="AO37" s="441"/>
      <c r="AP37" s="441"/>
      <c r="AQ37" s="441"/>
      <c r="AR37" s="450"/>
      <c r="AS37" s="485"/>
      <c r="AT37" s="486"/>
      <c r="AU37" s="486"/>
      <c r="AV37" s="486"/>
      <c r="AW37" s="486"/>
      <c r="AX37" s="486"/>
      <c r="AY37" s="487"/>
      <c r="AZ37" s="462"/>
      <c r="BA37" s="463"/>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5">
      <c r="A38" s="435"/>
      <c r="B38" s="36"/>
      <c r="C38" s="199" t="str">
        <f t="shared" ca="1" si="2"/>
        <v/>
      </c>
      <c r="D38" s="479"/>
      <c r="E38" s="480"/>
      <c r="F38" s="480"/>
      <c r="G38" s="480"/>
      <c r="H38" s="480"/>
      <c r="I38" s="480"/>
      <c r="J38" s="480"/>
      <c r="K38" s="440"/>
      <c r="L38" s="441"/>
      <c r="M38" s="441"/>
      <c r="N38" s="441"/>
      <c r="O38" s="441"/>
      <c r="P38" s="441"/>
      <c r="Q38" s="441"/>
      <c r="R38" s="444"/>
      <c r="S38" s="445"/>
      <c r="T38" s="444"/>
      <c r="U38" s="445"/>
      <c r="V38" s="440"/>
      <c r="W38" s="441"/>
      <c r="X38" s="441"/>
      <c r="Y38" s="441"/>
      <c r="Z38" s="441"/>
      <c r="AA38" s="441"/>
      <c r="AB38" s="441"/>
      <c r="AC38" s="441"/>
      <c r="AD38" s="440"/>
      <c r="AE38" s="441"/>
      <c r="AF38" s="441"/>
      <c r="AG38" s="441"/>
      <c r="AH38" s="441"/>
      <c r="AI38" s="441"/>
      <c r="AJ38" s="441"/>
      <c r="AK38" s="450"/>
      <c r="AL38" s="440"/>
      <c r="AM38" s="441"/>
      <c r="AN38" s="441"/>
      <c r="AO38" s="441"/>
      <c r="AP38" s="441"/>
      <c r="AQ38" s="441"/>
      <c r="AR38" s="450"/>
      <c r="AS38" s="485"/>
      <c r="AT38" s="486"/>
      <c r="AU38" s="486"/>
      <c r="AV38" s="486"/>
      <c r="AW38" s="486"/>
      <c r="AX38" s="486"/>
      <c r="AY38" s="487"/>
      <c r="AZ38" s="462"/>
      <c r="BA38" s="463"/>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5">
      <c r="A39" s="435"/>
      <c r="B39" s="36"/>
      <c r="C39" s="199" t="str">
        <f t="shared" ca="1" si="2"/>
        <v/>
      </c>
      <c r="D39" s="479"/>
      <c r="E39" s="480"/>
      <c r="F39" s="480"/>
      <c r="G39" s="480"/>
      <c r="H39" s="480"/>
      <c r="I39" s="480"/>
      <c r="J39" s="480"/>
      <c r="K39" s="440"/>
      <c r="L39" s="441"/>
      <c r="M39" s="441"/>
      <c r="N39" s="441"/>
      <c r="O39" s="441"/>
      <c r="P39" s="441"/>
      <c r="Q39" s="441"/>
      <c r="R39" s="444"/>
      <c r="S39" s="445"/>
      <c r="T39" s="444"/>
      <c r="U39" s="445"/>
      <c r="V39" s="440"/>
      <c r="W39" s="441"/>
      <c r="X39" s="441"/>
      <c r="Y39" s="441"/>
      <c r="Z39" s="441"/>
      <c r="AA39" s="441"/>
      <c r="AB39" s="441"/>
      <c r="AC39" s="441"/>
      <c r="AD39" s="440"/>
      <c r="AE39" s="441"/>
      <c r="AF39" s="441"/>
      <c r="AG39" s="441"/>
      <c r="AH39" s="441"/>
      <c r="AI39" s="441"/>
      <c r="AJ39" s="441"/>
      <c r="AK39" s="450"/>
      <c r="AL39" s="440"/>
      <c r="AM39" s="441"/>
      <c r="AN39" s="441"/>
      <c r="AO39" s="441"/>
      <c r="AP39" s="441"/>
      <c r="AQ39" s="441"/>
      <c r="AR39" s="450"/>
      <c r="AS39" s="485"/>
      <c r="AT39" s="486"/>
      <c r="AU39" s="486"/>
      <c r="AV39" s="486"/>
      <c r="AW39" s="486"/>
      <c r="AX39" s="486"/>
      <c r="AY39" s="487"/>
      <c r="AZ39" s="462"/>
      <c r="BA39" s="463"/>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5">
      <c r="A40" s="436"/>
      <c r="B40" s="37"/>
      <c r="C40" s="200" t="str">
        <f t="shared" ca="1" si="2"/>
        <v/>
      </c>
      <c r="D40" s="481"/>
      <c r="E40" s="482"/>
      <c r="F40" s="482"/>
      <c r="G40" s="482"/>
      <c r="H40" s="482"/>
      <c r="I40" s="482"/>
      <c r="J40" s="482"/>
      <c r="K40" s="409"/>
      <c r="L40" s="410"/>
      <c r="M40" s="410"/>
      <c r="N40" s="410"/>
      <c r="O40" s="410"/>
      <c r="P40" s="410"/>
      <c r="Q40" s="410"/>
      <c r="R40" s="446"/>
      <c r="S40" s="447"/>
      <c r="T40" s="446"/>
      <c r="U40" s="447"/>
      <c r="V40" s="409"/>
      <c r="W40" s="410"/>
      <c r="X40" s="410"/>
      <c r="Y40" s="410"/>
      <c r="Z40" s="410"/>
      <c r="AA40" s="410"/>
      <c r="AB40" s="410"/>
      <c r="AC40" s="410"/>
      <c r="AD40" s="409"/>
      <c r="AE40" s="410"/>
      <c r="AF40" s="410"/>
      <c r="AG40" s="410"/>
      <c r="AH40" s="410"/>
      <c r="AI40" s="410"/>
      <c r="AJ40" s="410"/>
      <c r="AK40" s="411"/>
      <c r="AL40" s="409"/>
      <c r="AM40" s="410"/>
      <c r="AN40" s="410"/>
      <c r="AO40" s="410"/>
      <c r="AP40" s="410"/>
      <c r="AQ40" s="410"/>
      <c r="AR40" s="411"/>
      <c r="AS40" s="488"/>
      <c r="AT40" s="489"/>
      <c r="AU40" s="489"/>
      <c r="AV40" s="489"/>
      <c r="AW40" s="489"/>
      <c r="AX40" s="489"/>
      <c r="AY40" s="490"/>
      <c r="AZ40" s="464"/>
      <c r="BA40" s="465"/>
      <c r="BB40" s="62">
        <v>6</v>
      </c>
      <c r="BC40" s="426"/>
      <c r="BD40" s="427"/>
      <c r="BE40" s="427"/>
      <c r="BF40" s="428"/>
      <c r="BG40" s="429"/>
      <c r="BH40" s="430"/>
      <c r="BI40" s="196"/>
      <c r="BJ40" s="474"/>
      <c r="BK40" s="475"/>
      <c r="BL40" s="475"/>
      <c r="BM40" s="475"/>
      <c r="BN40" s="475"/>
      <c r="BO40" s="476"/>
      <c r="BP40" s="474"/>
      <c r="BQ40" s="475"/>
      <c r="BR40" s="475"/>
      <c r="BS40" s="475"/>
      <c r="BT40" s="475"/>
      <c r="BU40" s="476"/>
      <c r="BV40" s="474"/>
      <c r="BW40" s="475"/>
      <c r="BX40" s="475"/>
      <c r="BY40" s="475"/>
      <c r="BZ40" s="475"/>
      <c r="CA40" s="476"/>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5">
      <c r="A41" s="434">
        <v>6</v>
      </c>
      <c r="B41" s="36"/>
      <c r="C41" s="198" t="str">
        <f t="shared" ca="1" si="2"/>
        <v/>
      </c>
      <c r="D41" s="477"/>
      <c r="E41" s="478"/>
      <c r="F41" s="478"/>
      <c r="G41" s="478"/>
      <c r="H41" s="478"/>
      <c r="I41" s="478"/>
      <c r="J41" s="478"/>
      <c r="K41" s="438" t="s">
        <v>480</v>
      </c>
      <c r="L41" s="439"/>
      <c r="M41" s="439"/>
      <c r="N41" s="439"/>
      <c r="O41" s="439"/>
      <c r="P41" s="439"/>
      <c r="Q41" s="439"/>
      <c r="R41" s="442" t="s">
        <v>186</v>
      </c>
      <c r="S41" s="443"/>
      <c r="T41" s="442"/>
      <c r="U41" s="443"/>
      <c r="V41" s="438"/>
      <c r="W41" s="439"/>
      <c r="X41" s="439"/>
      <c r="Y41" s="439"/>
      <c r="Z41" s="439"/>
      <c r="AA41" s="439"/>
      <c r="AB41" s="439"/>
      <c r="AC41" s="439"/>
      <c r="AD41" s="438"/>
      <c r="AE41" s="439"/>
      <c r="AF41" s="439"/>
      <c r="AG41" s="439"/>
      <c r="AH41" s="439"/>
      <c r="AI41" s="439"/>
      <c r="AJ41" s="439"/>
      <c r="AK41" s="449"/>
      <c r="AL41" s="438"/>
      <c r="AM41" s="439"/>
      <c r="AN41" s="439"/>
      <c r="AO41" s="439"/>
      <c r="AP41" s="439"/>
      <c r="AQ41" s="439"/>
      <c r="AR41" s="449"/>
      <c r="AS41" s="500"/>
      <c r="AT41" s="483"/>
      <c r="AU41" s="483"/>
      <c r="AV41" s="483"/>
      <c r="AW41" s="483"/>
      <c r="AX41" s="483"/>
      <c r="AY41" s="484"/>
      <c r="AZ41" s="460"/>
      <c r="BA41" s="461"/>
      <c r="BB41" s="60">
        <v>1</v>
      </c>
      <c r="BC41" s="466"/>
      <c r="BD41" s="467"/>
      <c r="BE41" s="467"/>
      <c r="BF41" s="468"/>
      <c r="BG41" s="469"/>
      <c r="BH41" s="470"/>
      <c r="BI41" s="194"/>
      <c r="BJ41" s="471"/>
      <c r="BK41" s="472"/>
      <c r="BL41" s="472"/>
      <c r="BM41" s="472"/>
      <c r="BN41" s="472"/>
      <c r="BO41" s="473"/>
      <c r="BP41" s="471"/>
      <c r="BQ41" s="472"/>
      <c r="BR41" s="472"/>
      <c r="BS41" s="472"/>
      <c r="BT41" s="472"/>
      <c r="BU41" s="473"/>
      <c r="BV41" s="471"/>
      <c r="BW41" s="472"/>
      <c r="BX41" s="472"/>
      <c r="BY41" s="472"/>
      <c r="BZ41" s="472"/>
      <c r="CA41" s="473"/>
      <c r="CB41" s="466"/>
      <c r="CC41" s="467"/>
      <c r="CD41" s="467"/>
      <c r="CE41" s="468"/>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5">
      <c r="A42" s="435"/>
      <c r="B42" s="36"/>
      <c r="C42" s="199" t="str">
        <f t="shared" ca="1" si="2"/>
        <v/>
      </c>
      <c r="D42" s="479"/>
      <c r="E42" s="480"/>
      <c r="F42" s="480"/>
      <c r="G42" s="480"/>
      <c r="H42" s="480"/>
      <c r="I42" s="480"/>
      <c r="J42" s="480"/>
      <c r="K42" s="440"/>
      <c r="L42" s="441"/>
      <c r="M42" s="441"/>
      <c r="N42" s="441"/>
      <c r="O42" s="441"/>
      <c r="P42" s="441"/>
      <c r="Q42" s="441"/>
      <c r="R42" s="444"/>
      <c r="S42" s="445"/>
      <c r="T42" s="444"/>
      <c r="U42" s="445"/>
      <c r="V42" s="440"/>
      <c r="W42" s="441"/>
      <c r="X42" s="441"/>
      <c r="Y42" s="441"/>
      <c r="Z42" s="441"/>
      <c r="AA42" s="441"/>
      <c r="AB42" s="441"/>
      <c r="AC42" s="441"/>
      <c r="AD42" s="440"/>
      <c r="AE42" s="441"/>
      <c r="AF42" s="441"/>
      <c r="AG42" s="441"/>
      <c r="AH42" s="441"/>
      <c r="AI42" s="441"/>
      <c r="AJ42" s="441"/>
      <c r="AK42" s="450"/>
      <c r="AL42" s="440"/>
      <c r="AM42" s="441"/>
      <c r="AN42" s="441"/>
      <c r="AO42" s="441"/>
      <c r="AP42" s="441"/>
      <c r="AQ42" s="441"/>
      <c r="AR42" s="450"/>
      <c r="AS42" s="485"/>
      <c r="AT42" s="486"/>
      <c r="AU42" s="486"/>
      <c r="AV42" s="486"/>
      <c r="AW42" s="486"/>
      <c r="AX42" s="486"/>
      <c r="AY42" s="487"/>
      <c r="AZ42" s="462"/>
      <c r="BA42" s="463"/>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5">
      <c r="A43" s="435"/>
      <c r="B43" s="36"/>
      <c r="C43" s="199" t="str">
        <f t="shared" ca="1" si="2"/>
        <v/>
      </c>
      <c r="D43" s="479"/>
      <c r="E43" s="480"/>
      <c r="F43" s="480"/>
      <c r="G43" s="480"/>
      <c r="H43" s="480"/>
      <c r="I43" s="480"/>
      <c r="J43" s="480"/>
      <c r="K43" s="440"/>
      <c r="L43" s="441"/>
      <c r="M43" s="441"/>
      <c r="N43" s="441"/>
      <c r="O43" s="441"/>
      <c r="P43" s="441"/>
      <c r="Q43" s="441"/>
      <c r="R43" s="444"/>
      <c r="S43" s="445"/>
      <c r="T43" s="444"/>
      <c r="U43" s="445"/>
      <c r="V43" s="440"/>
      <c r="W43" s="441"/>
      <c r="X43" s="441"/>
      <c r="Y43" s="441"/>
      <c r="Z43" s="441"/>
      <c r="AA43" s="441"/>
      <c r="AB43" s="441"/>
      <c r="AC43" s="441"/>
      <c r="AD43" s="440"/>
      <c r="AE43" s="441"/>
      <c r="AF43" s="441"/>
      <c r="AG43" s="441"/>
      <c r="AH43" s="441"/>
      <c r="AI43" s="441"/>
      <c r="AJ43" s="441"/>
      <c r="AK43" s="450"/>
      <c r="AL43" s="440"/>
      <c r="AM43" s="441"/>
      <c r="AN43" s="441"/>
      <c r="AO43" s="441"/>
      <c r="AP43" s="441"/>
      <c r="AQ43" s="441"/>
      <c r="AR43" s="450"/>
      <c r="AS43" s="485"/>
      <c r="AT43" s="486"/>
      <c r="AU43" s="486"/>
      <c r="AV43" s="486"/>
      <c r="AW43" s="486"/>
      <c r="AX43" s="486"/>
      <c r="AY43" s="487"/>
      <c r="AZ43" s="462"/>
      <c r="BA43" s="463"/>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5">
      <c r="A44" s="435"/>
      <c r="B44" s="36"/>
      <c r="C44" s="199" t="str">
        <f t="shared" ca="1" si="2"/>
        <v/>
      </c>
      <c r="D44" s="479"/>
      <c r="E44" s="480"/>
      <c r="F44" s="480"/>
      <c r="G44" s="480"/>
      <c r="H44" s="480"/>
      <c r="I44" s="480"/>
      <c r="J44" s="480"/>
      <c r="K44" s="440"/>
      <c r="L44" s="441"/>
      <c r="M44" s="441"/>
      <c r="N44" s="441"/>
      <c r="O44" s="441"/>
      <c r="P44" s="441"/>
      <c r="Q44" s="441"/>
      <c r="R44" s="444"/>
      <c r="S44" s="445"/>
      <c r="T44" s="444"/>
      <c r="U44" s="445"/>
      <c r="V44" s="440"/>
      <c r="W44" s="441"/>
      <c r="X44" s="441"/>
      <c r="Y44" s="441"/>
      <c r="Z44" s="441"/>
      <c r="AA44" s="441"/>
      <c r="AB44" s="441"/>
      <c r="AC44" s="441"/>
      <c r="AD44" s="440"/>
      <c r="AE44" s="441"/>
      <c r="AF44" s="441"/>
      <c r="AG44" s="441"/>
      <c r="AH44" s="441"/>
      <c r="AI44" s="441"/>
      <c r="AJ44" s="441"/>
      <c r="AK44" s="450"/>
      <c r="AL44" s="440"/>
      <c r="AM44" s="441"/>
      <c r="AN44" s="441"/>
      <c r="AO44" s="441"/>
      <c r="AP44" s="441"/>
      <c r="AQ44" s="441"/>
      <c r="AR44" s="450"/>
      <c r="AS44" s="485"/>
      <c r="AT44" s="486"/>
      <c r="AU44" s="486"/>
      <c r="AV44" s="486"/>
      <c r="AW44" s="486"/>
      <c r="AX44" s="486"/>
      <c r="AY44" s="487"/>
      <c r="AZ44" s="462"/>
      <c r="BA44" s="463"/>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5">
      <c r="A45" s="435"/>
      <c r="B45" s="36"/>
      <c r="C45" s="199" t="str">
        <f t="shared" ca="1" si="2"/>
        <v/>
      </c>
      <c r="D45" s="479"/>
      <c r="E45" s="480"/>
      <c r="F45" s="480"/>
      <c r="G45" s="480"/>
      <c r="H45" s="480"/>
      <c r="I45" s="480"/>
      <c r="J45" s="480"/>
      <c r="K45" s="440"/>
      <c r="L45" s="441"/>
      <c r="M45" s="441"/>
      <c r="N45" s="441"/>
      <c r="O45" s="441"/>
      <c r="P45" s="441"/>
      <c r="Q45" s="441"/>
      <c r="R45" s="444"/>
      <c r="S45" s="445"/>
      <c r="T45" s="444"/>
      <c r="U45" s="445"/>
      <c r="V45" s="440"/>
      <c r="W45" s="441"/>
      <c r="X45" s="441"/>
      <c r="Y45" s="441"/>
      <c r="Z45" s="441"/>
      <c r="AA45" s="441"/>
      <c r="AB45" s="441"/>
      <c r="AC45" s="441"/>
      <c r="AD45" s="440"/>
      <c r="AE45" s="441"/>
      <c r="AF45" s="441"/>
      <c r="AG45" s="441"/>
      <c r="AH45" s="441"/>
      <c r="AI45" s="441"/>
      <c r="AJ45" s="441"/>
      <c r="AK45" s="450"/>
      <c r="AL45" s="440"/>
      <c r="AM45" s="441"/>
      <c r="AN45" s="441"/>
      <c r="AO45" s="441"/>
      <c r="AP45" s="441"/>
      <c r="AQ45" s="441"/>
      <c r="AR45" s="450"/>
      <c r="AS45" s="485"/>
      <c r="AT45" s="486"/>
      <c r="AU45" s="486"/>
      <c r="AV45" s="486"/>
      <c r="AW45" s="486"/>
      <c r="AX45" s="486"/>
      <c r="AY45" s="487"/>
      <c r="AZ45" s="462"/>
      <c r="BA45" s="463"/>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5">
      <c r="A46" s="436"/>
      <c r="B46" s="37"/>
      <c r="C46" s="200" t="str">
        <f t="shared" ca="1" si="2"/>
        <v/>
      </c>
      <c r="D46" s="481"/>
      <c r="E46" s="482"/>
      <c r="F46" s="482"/>
      <c r="G46" s="482"/>
      <c r="H46" s="482"/>
      <c r="I46" s="482"/>
      <c r="J46" s="482"/>
      <c r="K46" s="409"/>
      <c r="L46" s="410"/>
      <c r="M46" s="410"/>
      <c r="N46" s="410"/>
      <c r="O46" s="410"/>
      <c r="P46" s="410"/>
      <c r="Q46" s="410"/>
      <c r="R46" s="446"/>
      <c r="S46" s="447"/>
      <c r="T46" s="446"/>
      <c r="U46" s="447"/>
      <c r="V46" s="409"/>
      <c r="W46" s="410"/>
      <c r="X46" s="410"/>
      <c r="Y46" s="410"/>
      <c r="Z46" s="410"/>
      <c r="AA46" s="410"/>
      <c r="AB46" s="410"/>
      <c r="AC46" s="410"/>
      <c r="AD46" s="409"/>
      <c r="AE46" s="410"/>
      <c r="AF46" s="410"/>
      <c r="AG46" s="410"/>
      <c r="AH46" s="410"/>
      <c r="AI46" s="410"/>
      <c r="AJ46" s="410"/>
      <c r="AK46" s="411"/>
      <c r="AL46" s="409"/>
      <c r="AM46" s="410"/>
      <c r="AN46" s="410"/>
      <c r="AO46" s="410"/>
      <c r="AP46" s="410"/>
      <c r="AQ46" s="410"/>
      <c r="AR46" s="411"/>
      <c r="AS46" s="488"/>
      <c r="AT46" s="489"/>
      <c r="AU46" s="489"/>
      <c r="AV46" s="489"/>
      <c r="AW46" s="489"/>
      <c r="AX46" s="489"/>
      <c r="AY46" s="490"/>
      <c r="AZ46" s="464"/>
      <c r="BA46" s="465"/>
      <c r="BB46" s="62">
        <v>6</v>
      </c>
      <c r="BC46" s="426"/>
      <c r="BD46" s="427"/>
      <c r="BE46" s="427"/>
      <c r="BF46" s="428"/>
      <c r="BG46" s="429"/>
      <c r="BH46" s="430"/>
      <c r="BI46" s="196"/>
      <c r="BJ46" s="474"/>
      <c r="BK46" s="475"/>
      <c r="BL46" s="475"/>
      <c r="BM46" s="475"/>
      <c r="BN46" s="475"/>
      <c r="BO46" s="476"/>
      <c r="BP46" s="474"/>
      <c r="BQ46" s="475"/>
      <c r="BR46" s="475"/>
      <c r="BS46" s="475"/>
      <c r="BT46" s="475"/>
      <c r="BU46" s="476"/>
      <c r="BV46" s="474"/>
      <c r="BW46" s="475"/>
      <c r="BX46" s="475"/>
      <c r="BY46" s="475"/>
      <c r="BZ46" s="475"/>
      <c r="CA46" s="476"/>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5">
      <c r="A47" s="434">
        <v>7</v>
      </c>
      <c r="B47" s="36"/>
      <c r="C47" s="198" t="str">
        <f t="shared" ca="1" si="2"/>
        <v/>
      </c>
      <c r="D47" s="477"/>
      <c r="E47" s="478"/>
      <c r="F47" s="478"/>
      <c r="G47" s="478"/>
      <c r="H47" s="478"/>
      <c r="I47" s="478"/>
      <c r="J47" s="478"/>
      <c r="K47" s="438" t="s">
        <v>481</v>
      </c>
      <c r="L47" s="439"/>
      <c r="M47" s="439"/>
      <c r="N47" s="439"/>
      <c r="O47" s="439"/>
      <c r="P47" s="439"/>
      <c r="Q47" s="439"/>
      <c r="R47" s="442" t="s">
        <v>186</v>
      </c>
      <c r="S47" s="443"/>
      <c r="T47" s="442"/>
      <c r="U47" s="443"/>
      <c r="V47" s="438"/>
      <c r="W47" s="439"/>
      <c r="X47" s="439"/>
      <c r="Y47" s="439"/>
      <c r="Z47" s="439"/>
      <c r="AA47" s="439"/>
      <c r="AB47" s="439"/>
      <c r="AC47" s="439"/>
      <c r="AD47" s="438"/>
      <c r="AE47" s="439"/>
      <c r="AF47" s="439"/>
      <c r="AG47" s="439"/>
      <c r="AH47" s="439"/>
      <c r="AI47" s="439"/>
      <c r="AJ47" s="439"/>
      <c r="AK47" s="449"/>
      <c r="AL47" s="438"/>
      <c r="AM47" s="439"/>
      <c r="AN47" s="439"/>
      <c r="AO47" s="439"/>
      <c r="AP47" s="439"/>
      <c r="AQ47" s="439"/>
      <c r="AR47" s="449"/>
      <c r="AS47" s="500"/>
      <c r="AT47" s="483"/>
      <c r="AU47" s="483"/>
      <c r="AV47" s="483"/>
      <c r="AW47" s="483"/>
      <c r="AX47" s="483"/>
      <c r="AY47" s="484"/>
      <c r="AZ47" s="460"/>
      <c r="BA47" s="461"/>
      <c r="BB47" s="60">
        <v>1</v>
      </c>
      <c r="BC47" s="466"/>
      <c r="BD47" s="467"/>
      <c r="BE47" s="467"/>
      <c r="BF47" s="468"/>
      <c r="BG47" s="469"/>
      <c r="BH47" s="470"/>
      <c r="BI47" s="194"/>
      <c r="BJ47" s="471"/>
      <c r="BK47" s="472"/>
      <c r="BL47" s="472"/>
      <c r="BM47" s="472"/>
      <c r="BN47" s="472"/>
      <c r="BO47" s="473"/>
      <c r="BP47" s="471"/>
      <c r="BQ47" s="472"/>
      <c r="BR47" s="472"/>
      <c r="BS47" s="472"/>
      <c r="BT47" s="472"/>
      <c r="BU47" s="473"/>
      <c r="BV47" s="471"/>
      <c r="BW47" s="472"/>
      <c r="BX47" s="472"/>
      <c r="BY47" s="472"/>
      <c r="BZ47" s="472"/>
      <c r="CA47" s="473"/>
      <c r="CB47" s="466"/>
      <c r="CC47" s="467"/>
      <c r="CD47" s="467"/>
      <c r="CE47" s="468"/>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5">
      <c r="A48" s="435"/>
      <c r="B48" s="36"/>
      <c r="C48" s="199" t="str">
        <f t="shared" ca="1" si="2"/>
        <v/>
      </c>
      <c r="D48" s="479"/>
      <c r="E48" s="480"/>
      <c r="F48" s="480"/>
      <c r="G48" s="480"/>
      <c r="H48" s="480"/>
      <c r="I48" s="480"/>
      <c r="J48" s="480"/>
      <c r="K48" s="440"/>
      <c r="L48" s="441"/>
      <c r="M48" s="441"/>
      <c r="N48" s="441"/>
      <c r="O48" s="441"/>
      <c r="P48" s="441"/>
      <c r="Q48" s="441"/>
      <c r="R48" s="444"/>
      <c r="S48" s="445"/>
      <c r="T48" s="444"/>
      <c r="U48" s="445"/>
      <c r="V48" s="440"/>
      <c r="W48" s="441"/>
      <c r="X48" s="441"/>
      <c r="Y48" s="441"/>
      <c r="Z48" s="441"/>
      <c r="AA48" s="441"/>
      <c r="AB48" s="441"/>
      <c r="AC48" s="441"/>
      <c r="AD48" s="440"/>
      <c r="AE48" s="441"/>
      <c r="AF48" s="441"/>
      <c r="AG48" s="441"/>
      <c r="AH48" s="441"/>
      <c r="AI48" s="441"/>
      <c r="AJ48" s="441"/>
      <c r="AK48" s="450"/>
      <c r="AL48" s="440"/>
      <c r="AM48" s="441"/>
      <c r="AN48" s="441"/>
      <c r="AO48" s="441"/>
      <c r="AP48" s="441"/>
      <c r="AQ48" s="441"/>
      <c r="AR48" s="450"/>
      <c r="AS48" s="485"/>
      <c r="AT48" s="486"/>
      <c r="AU48" s="486"/>
      <c r="AV48" s="486"/>
      <c r="AW48" s="486"/>
      <c r="AX48" s="486"/>
      <c r="AY48" s="487"/>
      <c r="AZ48" s="462"/>
      <c r="BA48" s="463"/>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5">
      <c r="A49" s="435"/>
      <c r="B49" s="36"/>
      <c r="C49" s="199" t="str">
        <f t="shared" ca="1" si="2"/>
        <v/>
      </c>
      <c r="D49" s="479"/>
      <c r="E49" s="480"/>
      <c r="F49" s="480"/>
      <c r="G49" s="480"/>
      <c r="H49" s="480"/>
      <c r="I49" s="480"/>
      <c r="J49" s="480"/>
      <c r="K49" s="440"/>
      <c r="L49" s="441"/>
      <c r="M49" s="441"/>
      <c r="N49" s="441"/>
      <c r="O49" s="441"/>
      <c r="P49" s="441"/>
      <c r="Q49" s="441"/>
      <c r="R49" s="444"/>
      <c r="S49" s="445"/>
      <c r="T49" s="444"/>
      <c r="U49" s="445"/>
      <c r="V49" s="440"/>
      <c r="W49" s="441"/>
      <c r="X49" s="441"/>
      <c r="Y49" s="441"/>
      <c r="Z49" s="441"/>
      <c r="AA49" s="441"/>
      <c r="AB49" s="441"/>
      <c r="AC49" s="441"/>
      <c r="AD49" s="440"/>
      <c r="AE49" s="441"/>
      <c r="AF49" s="441"/>
      <c r="AG49" s="441"/>
      <c r="AH49" s="441"/>
      <c r="AI49" s="441"/>
      <c r="AJ49" s="441"/>
      <c r="AK49" s="450"/>
      <c r="AL49" s="440"/>
      <c r="AM49" s="441"/>
      <c r="AN49" s="441"/>
      <c r="AO49" s="441"/>
      <c r="AP49" s="441"/>
      <c r="AQ49" s="441"/>
      <c r="AR49" s="450"/>
      <c r="AS49" s="485"/>
      <c r="AT49" s="486"/>
      <c r="AU49" s="486"/>
      <c r="AV49" s="486"/>
      <c r="AW49" s="486"/>
      <c r="AX49" s="486"/>
      <c r="AY49" s="487"/>
      <c r="AZ49" s="462"/>
      <c r="BA49" s="463"/>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5">
      <c r="A50" s="435"/>
      <c r="B50" s="36"/>
      <c r="C50" s="199" t="str">
        <f t="shared" ca="1" si="2"/>
        <v/>
      </c>
      <c r="D50" s="479"/>
      <c r="E50" s="480"/>
      <c r="F50" s="480"/>
      <c r="G50" s="480"/>
      <c r="H50" s="480"/>
      <c r="I50" s="480"/>
      <c r="J50" s="480"/>
      <c r="K50" s="440"/>
      <c r="L50" s="441"/>
      <c r="M50" s="441"/>
      <c r="N50" s="441"/>
      <c r="O50" s="441"/>
      <c r="P50" s="441"/>
      <c r="Q50" s="441"/>
      <c r="R50" s="444"/>
      <c r="S50" s="445"/>
      <c r="T50" s="444"/>
      <c r="U50" s="445"/>
      <c r="V50" s="440"/>
      <c r="W50" s="441"/>
      <c r="X50" s="441"/>
      <c r="Y50" s="441"/>
      <c r="Z50" s="441"/>
      <c r="AA50" s="441"/>
      <c r="AB50" s="441"/>
      <c r="AC50" s="441"/>
      <c r="AD50" s="440"/>
      <c r="AE50" s="441"/>
      <c r="AF50" s="441"/>
      <c r="AG50" s="441"/>
      <c r="AH50" s="441"/>
      <c r="AI50" s="441"/>
      <c r="AJ50" s="441"/>
      <c r="AK50" s="450"/>
      <c r="AL50" s="440"/>
      <c r="AM50" s="441"/>
      <c r="AN50" s="441"/>
      <c r="AO50" s="441"/>
      <c r="AP50" s="441"/>
      <c r="AQ50" s="441"/>
      <c r="AR50" s="450"/>
      <c r="AS50" s="485"/>
      <c r="AT50" s="486"/>
      <c r="AU50" s="486"/>
      <c r="AV50" s="486"/>
      <c r="AW50" s="486"/>
      <c r="AX50" s="486"/>
      <c r="AY50" s="487"/>
      <c r="AZ50" s="462"/>
      <c r="BA50" s="463"/>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5">
      <c r="A51" s="435"/>
      <c r="B51" s="36"/>
      <c r="C51" s="199" t="str">
        <f t="shared" ca="1" si="2"/>
        <v/>
      </c>
      <c r="D51" s="479"/>
      <c r="E51" s="480"/>
      <c r="F51" s="480"/>
      <c r="G51" s="480"/>
      <c r="H51" s="480"/>
      <c r="I51" s="480"/>
      <c r="J51" s="480"/>
      <c r="K51" s="440"/>
      <c r="L51" s="441"/>
      <c r="M51" s="441"/>
      <c r="N51" s="441"/>
      <c r="O51" s="441"/>
      <c r="P51" s="441"/>
      <c r="Q51" s="441"/>
      <c r="R51" s="444"/>
      <c r="S51" s="445"/>
      <c r="T51" s="444"/>
      <c r="U51" s="445"/>
      <c r="V51" s="440"/>
      <c r="W51" s="441"/>
      <c r="X51" s="441"/>
      <c r="Y51" s="441"/>
      <c r="Z51" s="441"/>
      <c r="AA51" s="441"/>
      <c r="AB51" s="441"/>
      <c r="AC51" s="441"/>
      <c r="AD51" s="440"/>
      <c r="AE51" s="441"/>
      <c r="AF51" s="441"/>
      <c r="AG51" s="441"/>
      <c r="AH51" s="441"/>
      <c r="AI51" s="441"/>
      <c r="AJ51" s="441"/>
      <c r="AK51" s="450"/>
      <c r="AL51" s="440"/>
      <c r="AM51" s="441"/>
      <c r="AN51" s="441"/>
      <c r="AO51" s="441"/>
      <c r="AP51" s="441"/>
      <c r="AQ51" s="441"/>
      <c r="AR51" s="450"/>
      <c r="AS51" s="485"/>
      <c r="AT51" s="486"/>
      <c r="AU51" s="486"/>
      <c r="AV51" s="486"/>
      <c r="AW51" s="486"/>
      <c r="AX51" s="486"/>
      <c r="AY51" s="487"/>
      <c r="AZ51" s="462"/>
      <c r="BA51" s="463"/>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5">
      <c r="A52" s="436"/>
      <c r="B52" s="37"/>
      <c r="C52" s="200" t="str">
        <f t="shared" ca="1" si="2"/>
        <v/>
      </c>
      <c r="D52" s="481"/>
      <c r="E52" s="482"/>
      <c r="F52" s="482"/>
      <c r="G52" s="482"/>
      <c r="H52" s="482"/>
      <c r="I52" s="482"/>
      <c r="J52" s="482"/>
      <c r="K52" s="409"/>
      <c r="L52" s="410"/>
      <c r="M52" s="410"/>
      <c r="N52" s="410"/>
      <c r="O52" s="410"/>
      <c r="P52" s="410"/>
      <c r="Q52" s="410"/>
      <c r="R52" s="446"/>
      <c r="S52" s="447"/>
      <c r="T52" s="446"/>
      <c r="U52" s="447"/>
      <c r="V52" s="409"/>
      <c r="W52" s="410"/>
      <c r="X52" s="410"/>
      <c r="Y52" s="410"/>
      <c r="Z52" s="410"/>
      <c r="AA52" s="410"/>
      <c r="AB52" s="410"/>
      <c r="AC52" s="410"/>
      <c r="AD52" s="409"/>
      <c r="AE52" s="410"/>
      <c r="AF52" s="410"/>
      <c r="AG52" s="410"/>
      <c r="AH52" s="410"/>
      <c r="AI52" s="410"/>
      <c r="AJ52" s="410"/>
      <c r="AK52" s="411"/>
      <c r="AL52" s="409"/>
      <c r="AM52" s="410"/>
      <c r="AN52" s="410"/>
      <c r="AO52" s="410"/>
      <c r="AP52" s="410"/>
      <c r="AQ52" s="410"/>
      <c r="AR52" s="411"/>
      <c r="AS52" s="488"/>
      <c r="AT52" s="489"/>
      <c r="AU52" s="489"/>
      <c r="AV52" s="489"/>
      <c r="AW52" s="489"/>
      <c r="AX52" s="489"/>
      <c r="AY52" s="490"/>
      <c r="AZ52" s="464"/>
      <c r="BA52" s="465"/>
      <c r="BB52" s="62">
        <v>6</v>
      </c>
      <c r="BC52" s="426"/>
      <c r="BD52" s="427"/>
      <c r="BE52" s="427"/>
      <c r="BF52" s="428"/>
      <c r="BG52" s="429"/>
      <c r="BH52" s="430"/>
      <c r="BI52" s="196"/>
      <c r="BJ52" s="474"/>
      <c r="BK52" s="475"/>
      <c r="BL52" s="475"/>
      <c r="BM52" s="475"/>
      <c r="BN52" s="475"/>
      <c r="BO52" s="476"/>
      <c r="BP52" s="474"/>
      <c r="BQ52" s="475"/>
      <c r="BR52" s="475"/>
      <c r="BS52" s="475"/>
      <c r="BT52" s="475"/>
      <c r="BU52" s="476"/>
      <c r="BV52" s="474"/>
      <c r="BW52" s="475"/>
      <c r="BX52" s="475"/>
      <c r="BY52" s="475"/>
      <c r="BZ52" s="475"/>
      <c r="CA52" s="476"/>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5">
      <c r="A53" s="434">
        <v>8</v>
      </c>
      <c r="B53" s="36"/>
      <c r="C53" s="198" t="str">
        <f t="shared" ca="1" si="2"/>
        <v/>
      </c>
      <c r="D53" s="477" t="s">
        <v>482</v>
      </c>
      <c r="E53" s="478"/>
      <c r="F53" s="478"/>
      <c r="G53" s="478"/>
      <c r="H53" s="478"/>
      <c r="I53" s="478"/>
      <c r="J53" s="478"/>
      <c r="K53" s="438" t="s">
        <v>483</v>
      </c>
      <c r="L53" s="439"/>
      <c r="M53" s="439"/>
      <c r="N53" s="439"/>
      <c r="O53" s="439"/>
      <c r="P53" s="439"/>
      <c r="Q53" s="439"/>
      <c r="R53" s="442" t="s">
        <v>186</v>
      </c>
      <c r="S53" s="443"/>
      <c r="T53" s="442"/>
      <c r="U53" s="443"/>
      <c r="V53" s="438"/>
      <c r="W53" s="439"/>
      <c r="X53" s="439"/>
      <c r="Y53" s="439"/>
      <c r="Z53" s="439"/>
      <c r="AA53" s="439"/>
      <c r="AB53" s="439"/>
      <c r="AC53" s="439"/>
      <c r="AD53" s="438"/>
      <c r="AE53" s="439"/>
      <c r="AF53" s="439"/>
      <c r="AG53" s="439"/>
      <c r="AH53" s="439"/>
      <c r="AI53" s="439"/>
      <c r="AJ53" s="439"/>
      <c r="AK53" s="449"/>
      <c r="AL53" s="438"/>
      <c r="AM53" s="439"/>
      <c r="AN53" s="439"/>
      <c r="AO53" s="439"/>
      <c r="AP53" s="439"/>
      <c r="AQ53" s="439"/>
      <c r="AR53" s="449"/>
      <c r="AS53" s="500"/>
      <c r="AT53" s="483"/>
      <c r="AU53" s="483"/>
      <c r="AV53" s="483"/>
      <c r="AW53" s="483"/>
      <c r="AX53" s="483"/>
      <c r="AY53" s="484"/>
      <c r="AZ53" s="460"/>
      <c r="BA53" s="461"/>
      <c r="BB53" s="60">
        <v>1</v>
      </c>
      <c r="BC53" s="466"/>
      <c r="BD53" s="467"/>
      <c r="BE53" s="467"/>
      <c r="BF53" s="468"/>
      <c r="BG53" s="469"/>
      <c r="BH53" s="470"/>
      <c r="BI53" s="194"/>
      <c r="BJ53" s="471"/>
      <c r="BK53" s="472"/>
      <c r="BL53" s="472"/>
      <c r="BM53" s="472"/>
      <c r="BN53" s="472"/>
      <c r="BO53" s="473"/>
      <c r="BP53" s="471"/>
      <c r="BQ53" s="472"/>
      <c r="BR53" s="472"/>
      <c r="BS53" s="472"/>
      <c r="BT53" s="472"/>
      <c r="BU53" s="473"/>
      <c r="BV53" s="471"/>
      <c r="BW53" s="472"/>
      <c r="BX53" s="472"/>
      <c r="BY53" s="472"/>
      <c r="BZ53" s="472"/>
      <c r="CA53" s="473"/>
      <c r="CB53" s="466"/>
      <c r="CC53" s="467"/>
      <c r="CD53" s="467"/>
      <c r="CE53" s="468"/>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5">
      <c r="A54" s="435"/>
      <c r="B54" s="36"/>
      <c r="C54" s="199" t="str">
        <f t="shared" ca="1" si="2"/>
        <v/>
      </c>
      <c r="D54" s="479"/>
      <c r="E54" s="480"/>
      <c r="F54" s="480"/>
      <c r="G54" s="480"/>
      <c r="H54" s="480"/>
      <c r="I54" s="480"/>
      <c r="J54" s="480"/>
      <c r="K54" s="440"/>
      <c r="L54" s="441"/>
      <c r="M54" s="441"/>
      <c r="N54" s="441"/>
      <c r="O54" s="441"/>
      <c r="P54" s="441"/>
      <c r="Q54" s="441"/>
      <c r="R54" s="444"/>
      <c r="S54" s="445"/>
      <c r="T54" s="444"/>
      <c r="U54" s="445"/>
      <c r="V54" s="440"/>
      <c r="W54" s="441"/>
      <c r="X54" s="441"/>
      <c r="Y54" s="441"/>
      <c r="Z54" s="441"/>
      <c r="AA54" s="441"/>
      <c r="AB54" s="441"/>
      <c r="AC54" s="441"/>
      <c r="AD54" s="440"/>
      <c r="AE54" s="441"/>
      <c r="AF54" s="441"/>
      <c r="AG54" s="441"/>
      <c r="AH54" s="441"/>
      <c r="AI54" s="441"/>
      <c r="AJ54" s="441"/>
      <c r="AK54" s="450"/>
      <c r="AL54" s="440"/>
      <c r="AM54" s="441"/>
      <c r="AN54" s="441"/>
      <c r="AO54" s="441"/>
      <c r="AP54" s="441"/>
      <c r="AQ54" s="441"/>
      <c r="AR54" s="450"/>
      <c r="AS54" s="485"/>
      <c r="AT54" s="486"/>
      <c r="AU54" s="486"/>
      <c r="AV54" s="486"/>
      <c r="AW54" s="486"/>
      <c r="AX54" s="486"/>
      <c r="AY54" s="487"/>
      <c r="AZ54" s="462"/>
      <c r="BA54" s="463"/>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5">
      <c r="A55" s="435"/>
      <c r="B55" s="36"/>
      <c r="C55" s="199" t="str">
        <f t="shared" ca="1" si="2"/>
        <v/>
      </c>
      <c r="D55" s="479"/>
      <c r="E55" s="480"/>
      <c r="F55" s="480"/>
      <c r="G55" s="480"/>
      <c r="H55" s="480"/>
      <c r="I55" s="480"/>
      <c r="J55" s="480"/>
      <c r="K55" s="440"/>
      <c r="L55" s="441"/>
      <c r="M55" s="441"/>
      <c r="N55" s="441"/>
      <c r="O55" s="441"/>
      <c r="P55" s="441"/>
      <c r="Q55" s="441"/>
      <c r="R55" s="444"/>
      <c r="S55" s="445"/>
      <c r="T55" s="444"/>
      <c r="U55" s="445"/>
      <c r="V55" s="440"/>
      <c r="W55" s="441"/>
      <c r="X55" s="441"/>
      <c r="Y55" s="441"/>
      <c r="Z55" s="441"/>
      <c r="AA55" s="441"/>
      <c r="AB55" s="441"/>
      <c r="AC55" s="441"/>
      <c r="AD55" s="440"/>
      <c r="AE55" s="441"/>
      <c r="AF55" s="441"/>
      <c r="AG55" s="441"/>
      <c r="AH55" s="441"/>
      <c r="AI55" s="441"/>
      <c r="AJ55" s="441"/>
      <c r="AK55" s="450"/>
      <c r="AL55" s="440"/>
      <c r="AM55" s="441"/>
      <c r="AN55" s="441"/>
      <c r="AO55" s="441"/>
      <c r="AP55" s="441"/>
      <c r="AQ55" s="441"/>
      <c r="AR55" s="450"/>
      <c r="AS55" s="485"/>
      <c r="AT55" s="486"/>
      <c r="AU55" s="486"/>
      <c r="AV55" s="486"/>
      <c r="AW55" s="486"/>
      <c r="AX55" s="486"/>
      <c r="AY55" s="487"/>
      <c r="AZ55" s="462"/>
      <c r="BA55" s="463"/>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5">
      <c r="A56" s="435"/>
      <c r="B56" s="36"/>
      <c r="C56" s="199" t="str">
        <f t="shared" ca="1" si="2"/>
        <v/>
      </c>
      <c r="D56" s="479"/>
      <c r="E56" s="480"/>
      <c r="F56" s="480"/>
      <c r="G56" s="480"/>
      <c r="H56" s="480"/>
      <c r="I56" s="480"/>
      <c r="J56" s="480"/>
      <c r="K56" s="440"/>
      <c r="L56" s="441"/>
      <c r="M56" s="441"/>
      <c r="N56" s="441"/>
      <c r="O56" s="441"/>
      <c r="P56" s="441"/>
      <c r="Q56" s="441"/>
      <c r="R56" s="444"/>
      <c r="S56" s="445"/>
      <c r="T56" s="444"/>
      <c r="U56" s="445"/>
      <c r="V56" s="440"/>
      <c r="W56" s="441"/>
      <c r="X56" s="441"/>
      <c r="Y56" s="441"/>
      <c r="Z56" s="441"/>
      <c r="AA56" s="441"/>
      <c r="AB56" s="441"/>
      <c r="AC56" s="441"/>
      <c r="AD56" s="440"/>
      <c r="AE56" s="441"/>
      <c r="AF56" s="441"/>
      <c r="AG56" s="441"/>
      <c r="AH56" s="441"/>
      <c r="AI56" s="441"/>
      <c r="AJ56" s="441"/>
      <c r="AK56" s="450"/>
      <c r="AL56" s="440"/>
      <c r="AM56" s="441"/>
      <c r="AN56" s="441"/>
      <c r="AO56" s="441"/>
      <c r="AP56" s="441"/>
      <c r="AQ56" s="441"/>
      <c r="AR56" s="450"/>
      <c r="AS56" s="485"/>
      <c r="AT56" s="486"/>
      <c r="AU56" s="486"/>
      <c r="AV56" s="486"/>
      <c r="AW56" s="486"/>
      <c r="AX56" s="486"/>
      <c r="AY56" s="487"/>
      <c r="AZ56" s="462"/>
      <c r="BA56" s="463"/>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5">
      <c r="A57" s="435"/>
      <c r="B57" s="36"/>
      <c r="C57" s="199" t="str">
        <f t="shared" ca="1" si="2"/>
        <v/>
      </c>
      <c r="D57" s="479"/>
      <c r="E57" s="480"/>
      <c r="F57" s="480"/>
      <c r="G57" s="480"/>
      <c r="H57" s="480"/>
      <c r="I57" s="480"/>
      <c r="J57" s="480"/>
      <c r="K57" s="440"/>
      <c r="L57" s="441"/>
      <c r="M57" s="441"/>
      <c r="N57" s="441"/>
      <c r="O57" s="441"/>
      <c r="P57" s="441"/>
      <c r="Q57" s="441"/>
      <c r="R57" s="444"/>
      <c r="S57" s="445"/>
      <c r="T57" s="444"/>
      <c r="U57" s="445"/>
      <c r="V57" s="440"/>
      <c r="W57" s="441"/>
      <c r="X57" s="441"/>
      <c r="Y57" s="441"/>
      <c r="Z57" s="441"/>
      <c r="AA57" s="441"/>
      <c r="AB57" s="441"/>
      <c r="AC57" s="441"/>
      <c r="AD57" s="440"/>
      <c r="AE57" s="441"/>
      <c r="AF57" s="441"/>
      <c r="AG57" s="441"/>
      <c r="AH57" s="441"/>
      <c r="AI57" s="441"/>
      <c r="AJ57" s="441"/>
      <c r="AK57" s="450"/>
      <c r="AL57" s="440"/>
      <c r="AM57" s="441"/>
      <c r="AN57" s="441"/>
      <c r="AO57" s="441"/>
      <c r="AP57" s="441"/>
      <c r="AQ57" s="441"/>
      <c r="AR57" s="450"/>
      <c r="AS57" s="485"/>
      <c r="AT57" s="486"/>
      <c r="AU57" s="486"/>
      <c r="AV57" s="486"/>
      <c r="AW57" s="486"/>
      <c r="AX57" s="486"/>
      <c r="AY57" s="487"/>
      <c r="AZ57" s="462"/>
      <c r="BA57" s="463"/>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5">
      <c r="A58" s="436"/>
      <c r="B58" s="37"/>
      <c r="C58" s="200" t="str">
        <f t="shared" ca="1" si="2"/>
        <v/>
      </c>
      <c r="D58" s="481"/>
      <c r="E58" s="482"/>
      <c r="F58" s="482"/>
      <c r="G58" s="482"/>
      <c r="H58" s="482"/>
      <c r="I58" s="482"/>
      <c r="J58" s="482"/>
      <c r="K58" s="409"/>
      <c r="L58" s="410"/>
      <c r="M58" s="410"/>
      <c r="N58" s="410"/>
      <c r="O58" s="410"/>
      <c r="P58" s="410"/>
      <c r="Q58" s="410"/>
      <c r="R58" s="446"/>
      <c r="S58" s="447"/>
      <c r="T58" s="446"/>
      <c r="U58" s="447"/>
      <c r="V58" s="409"/>
      <c r="W58" s="410"/>
      <c r="X58" s="410"/>
      <c r="Y58" s="410"/>
      <c r="Z58" s="410"/>
      <c r="AA58" s="410"/>
      <c r="AB58" s="410"/>
      <c r="AC58" s="410"/>
      <c r="AD58" s="409"/>
      <c r="AE58" s="410"/>
      <c r="AF58" s="410"/>
      <c r="AG58" s="410"/>
      <c r="AH58" s="410"/>
      <c r="AI58" s="410"/>
      <c r="AJ58" s="410"/>
      <c r="AK58" s="411"/>
      <c r="AL58" s="409"/>
      <c r="AM58" s="410"/>
      <c r="AN58" s="410"/>
      <c r="AO58" s="410"/>
      <c r="AP58" s="410"/>
      <c r="AQ58" s="410"/>
      <c r="AR58" s="411"/>
      <c r="AS58" s="488"/>
      <c r="AT58" s="489"/>
      <c r="AU58" s="489"/>
      <c r="AV58" s="489"/>
      <c r="AW58" s="489"/>
      <c r="AX58" s="489"/>
      <c r="AY58" s="490"/>
      <c r="AZ58" s="464"/>
      <c r="BA58" s="465"/>
      <c r="BB58" s="62">
        <v>6</v>
      </c>
      <c r="BC58" s="426"/>
      <c r="BD58" s="427"/>
      <c r="BE58" s="427"/>
      <c r="BF58" s="428"/>
      <c r="BG58" s="429"/>
      <c r="BH58" s="430"/>
      <c r="BI58" s="196"/>
      <c r="BJ58" s="474"/>
      <c r="BK58" s="475"/>
      <c r="BL58" s="475"/>
      <c r="BM58" s="475"/>
      <c r="BN58" s="475"/>
      <c r="BO58" s="476"/>
      <c r="BP58" s="474"/>
      <c r="BQ58" s="475"/>
      <c r="BR58" s="475"/>
      <c r="BS58" s="475"/>
      <c r="BT58" s="475"/>
      <c r="BU58" s="476"/>
      <c r="BV58" s="474"/>
      <c r="BW58" s="475"/>
      <c r="BX58" s="475"/>
      <c r="BY58" s="475"/>
      <c r="BZ58" s="475"/>
      <c r="CA58" s="476"/>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5">
      <c r="A59" s="434">
        <v>9</v>
      </c>
      <c r="B59" s="36"/>
      <c r="C59" s="198" t="str">
        <f t="shared" ca="1" si="2"/>
        <v/>
      </c>
      <c r="D59" s="477"/>
      <c r="E59" s="478"/>
      <c r="F59" s="478"/>
      <c r="G59" s="478"/>
      <c r="H59" s="478"/>
      <c r="I59" s="478"/>
      <c r="J59" s="478"/>
      <c r="K59" s="438" t="s">
        <v>484</v>
      </c>
      <c r="L59" s="439"/>
      <c r="M59" s="439"/>
      <c r="N59" s="439"/>
      <c r="O59" s="439"/>
      <c r="P59" s="439"/>
      <c r="Q59" s="439"/>
      <c r="R59" s="442" t="s">
        <v>186</v>
      </c>
      <c r="S59" s="443"/>
      <c r="T59" s="442"/>
      <c r="U59" s="443"/>
      <c r="V59" s="438"/>
      <c r="W59" s="439"/>
      <c r="X59" s="439"/>
      <c r="Y59" s="439"/>
      <c r="Z59" s="439"/>
      <c r="AA59" s="439"/>
      <c r="AB59" s="439"/>
      <c r="AC59" s="439"/>
      <c r="AD59" s="438"/>
      <c r="AE59" s="439"/>
      <c r="AF59" s="439"/>
      <c r="AG59" s="439"/>
      <c r="AH59" s="439"/>
      <c r="AI59" s="439"/>
      <c r="AJ59" s="439"/>
      <c r="AK59" s="449"/>
      <c r="AL59" s="438"/>
      <c r="AM59" s="439"/>
      <c r="AN59" s="439"/>
      <c r="AO59" s="439"/>
      <c r="AP59" s="439"/>
      <c r="AQ59" s="439"/>
      <c r="AR59" s="449"/>
      <c r="AS59" s="500"/>
      <c r="AT59" s="483"/>
      <c r="AU59" s="483"/>
      <c r="AV59" s="483"/>
      <c r="AW59" s="483"/>
      <c r="AX59" s="483"/>
      <c r="AY59" s="484"/>
      <c r="AZ59" s="460"/>
      <c r="BA59" s="461"/>
      <c r="BB59" s="60">
        <v>1</v>
      </c>
      <c r="BC59" s="466"/>
      <c r="BD59" s="467"/>
      <c r="BE59" s="467"/>
      <c r="BF59" s="468"/>
      <c r="BG59" s="469"/>
      <c r="BH59" s="470"/>
      <c r="BI59" s="194"/>
      <c r="BJ59" s="471"/>
      <c r="BK59" s="472"/>
      <c r="BL59" s="472"/>
      <c r="BM59" s="472"/>
      <c r="BN59" s="472"/>
      <c r="BO59" s="473"/>
      <c r="BP59" s="471"/>
      <c r="BQ59" s="472"/>
      <c r="BR59" s="472"/>
      <c r="BS59" s="472"/>
      <c r="BT59" s="472"/>
      <c r="BU59" s="473"/>
      <c r="BV59" s="471"/>
      <c r="BW59" s="472"/>
      <c r="BX59" s="472"/>
      <c r="BY59" s="472"/>
      <c r="BZ59" s="472"/>
      <c r="CA59" s="473"/>
      <c r="CB59" s="466"/>
      <c r="CC59" s="467"/>
      <c r="CD59" s="467"/>
      <c r="CE59" s="468"/>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5">
      <c r="A60" s="435"/>
      <c r="B60" s="36"/>
      <c r="C60" s="199" t="str">
        <f t="shared" ca="1" si="2"/>
        <v/>
      </c>
      <c r="D60" s="479"/>
      <c r="E60" s="480"/>
      <c r="F60" s="480"/>
      <c r="G60" s="480"/>
      <c r="H60" s="480"/>
      <c r="I60" s="480"/>
      <c r="J60" s="480"/>
      <c r="K60" s="440"/>
      <c r="L60" s="441"/>
      <c r="M60" s="441"/>
      <c r="N60" s="441"/>
      <c r="O60" s="441"/>
      <c r="P60" s="441"/>
      <c r="Q60" s="441"/>
      <c r="R60" s="444"/>
      <c r="S60" s="445"/>
      <c r="T60" s="444"/>
      <c r="U60" s="445"/>
      <c r="V60" s="440"/>
      <c r="W60" s="441"/>
      <c r="X60" s="441"/>
      <c r="Y60" s="441"/>
      <c r="Z60" s="441"/>
      <c r="AA60" s="441"/>
      <c r="AB60" s="441"/>
      <c r="AC60" s="441"/>
      <c r="AD60" s="440"/>
      <c r="AE60" s="441"/>
      <c r="AF60" s="441"/>
      <c r="AG60" s="441"/>
      <c r="AH60" s="441"/>
      <c r="AI60" s="441"/>
      <c r="AJ60" s="441"/>
      <c r="AK60" s="450"/>
      <c r="AL60" s="440"/>
      <c r="AM60" s="441"/>
      <c r="AN60" s="441"/>
      <c r="AO60" s="441"/>
      <c r="AP60" s="441"/>
      <c r="AQ60" s="441"/>
      <c r="AR60" s="450"/>
      <c r="AS60" s="485"/>
      <c r="AT60" s="486"/>
      <c r="AU60" s="486"/>
      <c r="AV60" s="486"/>
      <c r="AW60" s="486"/>
      <c r="AX60" s="486"/>
      <c r="AY60" s="487"/>
      <c r="AZ60" s="462"/>
      <c r="BA60" s="463"/>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5">
      <c r="A61" s="435"/>
      <c r="B61" s="36"/>
      <c r="C61" s="199" t="str">
        <f t="shared" ca="1" si="2"/>
        <v/>
      </c>
      <c r="D61" s="479"/>
      <c r="E61" s="480"/>
      <c r="F61" s="480"/>
      <c r="G61" s="480"/>
      <c r="H61" s="480"/>
      <c r="I61" s="480"/>
      <c r="J61" s="480"/>
      <c r="K61" s="440"/>
      <c r="L61" s="441"/>
      <c r="M61" s="441"/>
      <c r="N61" s="441"/>
      <c r="O61" s="441"/>
      <c r="P61" s="441"/>
      <c r="Q61" s="441"/>
      <c r="R61" s="444"/>
      <c r="S61" s="445"/>
      <c r="T61" s="444"/>
      <c r="U61" s="445"/>
      <c r="V61" s="440"/>
      <c r="W61" s="441"/>
      <c r="X61" s="441"/>
      <c r="Y61" s="441"/>
      <c r="Z61" s="441"/>
      <c r="AA61" s="441"/>
      <c r="AB61" s="441"/>
      <c r="AC61" s="441"/>
      <c r="AD61" s="440"/>
      <c r="AE61" s="441"/>
      <c r="AF61" s="441"/>
      <c r="AG61" s="441"/>
      <c r="AH61" s="441"/>
      <c r="AI61" s="441"/>
      <c r="AJ61" s="441"/>
      <c r="AK61" s="450"/>
      <c r="AL61" s="440"/>
      <c r="AM61" s="441"/>
      <c r="AN61" s="441"/>
      <c r="AO61" s="441"/>
      <c r="AP61" s="441"/>
      <c r="AQ61" s="441"/>
      <c r="AR61" s="450"/>
      <c r="AS61" s="485"/>
      <c r="AT61" s="486"/>
      <c r="AU61" s="486"/>
      <c r="AV61" s="486"/>
      <c r="AW61" s="486"/>
      <c r="AX61" s="486"/>
      <c r="AY61" s="487"/>
      <c r="AZ61" s="462"/>
      <c r="BA61" s="463"/>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5">
      <c r="A62" s="435"/>
      <c r="B62" s="36"/>
      <c r="C62" s="199" t="str">
        <f t="shared" ca="1" si="2"/>
        <v/>
      </c>
      <c r="D62" s="479"/>
      <c r="E62" s="480"/>
      <c r="F62" s="480"/>
      <c r="G62" s="480"/>
      <c r="H62" s="480"/>
      <c r="I62" s="480"/>
      <c r="J62" s="480"/>
      <c r="K62" s="440"/>
      <c r="L62" s="441"/>
      <c r="M62" s="441"/>
      <c r="N62" s="441"/>
      <c r="O62" s="441"/>
      <c r="P62" s="441"/>
      <c r="Q62" s="441"/>
      <c r="R62" s="444"/>
      <c r="S62" s="445"/>
      <c r="T62" s="444"/>
      <c r="U62" s="445"/>
      <c r="V62" s="440"/>
      <c r="W62" s="441"/>
      <c r="X62" s="441"/>
      <c r="Y62" s="441"/>
      <c r="Z62" s="441"/>
      <c r="AA62" s="441"/>
      <c r="AB62" s="441"/>
      <c r="AC62" s="441"/>
      <c r="AD62" s="440"/>
      <c r="AE62" s="441"/>
      <c r="AF62" s="441"/>
      <c r="AG62" s="441"/>
      <c r="AH62" s="441"/>
      <c r="AI62" s="441"/>
      <c r="AJ62" s="441"/>
      <c r="AK62" s="450"/>
      <c r="AL62" s="440"/>
      <c r="AM62" s="441"/>
      <c r="AN62" s="441"/>
      <c r="AO62" s="441"/>
      <c r="AP62" s="441"/>
      <c r="AQ62" s="441"/>
      <c r="AR62" s="450"/>
      <c r="AS62" s="485"/>
      <c r="AT62" s="486"/>
      <c r="AU62" s="486"/>
      <c r="AV62" s="486"/>
      <c r="AW62" s="486"/>
      <c r="AX62" s="486"/>
      <c r="AY62" s="487"/>
      <c r="AZ62" s="462"/>
      <c r="BA62" s="463"/>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5">
      <c r="A63" s="435"/>
      <c r="B63" s="36"/>
      <c r="C63" s="199" t="str">
        <f t="shared" ca="1" si="2"/>
        <v/>
      </c>
      <c r="D63" s="479"/>
      <c r="E63" s="480"/>
      <c r="F63" s="480"/>
      <c r="G63" s="480"/>
      <c r="H63" s="480"/>
      <c r="I63" s="480"/>
      <c r="J63" s="480"/>
      <c r="K63" s="440"/>
      <c r="L63" s="441"/>
      <c r="M63" s="441"/>
      <c r="N63" s="441"/>
      <c r="O63" s="441"/>
      <c r="P63" s="441"/>
      <c r="Q63" s="441"/>
      <c r="R63" s="444"/>
      <c r="S63" s="445"/>
      <c r="T63" s="444"/>
      <c r="U63" s="445"/>
      <c r="V63" s="440"/>
      <c r="W63" s="441"/>
      <c r="X63" s="441"/>
      <c r="Y63" s="441"/>
      <c r="Z63" s="441"/>
      <c r="AA63" s="441"/>
      <c r="AB63" s="441"/>
      <c r="AC63" s="441"/>
      <c r="AD63" s="440"/>
      <c r="AE63" s="441"/>
      <c r="AF63" s="441"/>
      <c r="AG63" s="441"/>
      <c r="AH63" s="441"/>
      <c r="AI63" s="441"/>
      <c r="AJ63" s="441"/>
      <c r="AK63" s="450"/>
      <c r="AL63" s="440"/>
      <c r="AM63" s="441"/>
      <c r="AN63" s="441"/>
      <c r="AO63" s="441"/>
      <c r="AP63" s="441"/>
      <c r="AQ63" s="441"/>
      <c r="AR63" s="450"/>
      <c r="AS63" s="485"/>
      <c r="AT63" s="486"/>
      <c r="AU63" s="486"/>
      <c r="AV63" s="486"/>
      <c r="AW63" s="486"/>
      <c r="AX63" s="486"/>
      <c r="AY63" s="487"/>
      <c r="AZ63" s="462"/>
      <c r="BA63" s="463"/>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5">
      <c r="A64" s="436"/>
      <c r="B64" s="37"/>
      <c r="C64" s="200" t="str">
        <f t="shared" ca="1" si="2"/>
        <v/>
      </c>
      <c r="D64" s="481"/>
      <c r="E64" s="482"/>
      <c r="F64" s="482"/>
      <c r="G64" s="482"/>
      <c r="H64" s="482"/>
      <c r="I64" s="482"/>
      <c r="J64" s="482"/>
      <c r="K64" s="409"/>
      <c r="L64" s="410"/>
      <c r="M64" s="410"/>
      <c r="N64" s="410"/>
      <c r="O64" s="410"/>
      <c r="P64" s="410"/>
      <c r="Q64" s="410"/>
      <c r="R64" s="446"/>
      <c r="S64" s="447"/>
      <c r="T64" s="446"/>
      <c r="U64" s="447"/>
      <c r="V64" s="409"/>
      <c r="W64" s="410"/>
      <c r="X64" s="410"/>
      <c r="Y64" s="410"/>
      <c r="Z64" s="410"/>
      <c r="AA64" s="410"/>
      <c r="AB64" s="410"/>
      <c r="AC64" s="410"/>
      <c r="AD64" s="409"/>
      <c r="AE64" s="410"/>
      <c r="AF64" s="410"/>
      <c r="AG64" s="410"/>
      <c r="AH64" s="410"/>
      <c r="AI64" s="410"/>
      <c r="AJ64" s="410"/>
      <c r="AK64" s="411"/>
      <c r="AL64" s="409"/>
      <c r="AM64" s="410"/>
      <c r="AN64" s="410"/>
      <c r="AO64" s="410"/>
      <c r="AP64" s="410"/>
      <c r="AQ64" s="410"/>
      <c r="AR64" s="411"/>
      <c r="AS64" s="488"/>
      <c r="AT64" s="489"/>
      <c r="AU64" s="489"/>
      <c r="AV64" s="489"/>
      <c r="AW64" s="489"/>
      <c r="AX64" s="489"/>
      <c r="AY64" s="490"/>
      <c r="AZ64" s="464"/>
      <c r="BA64" s="465"/>
      <c r="BB64" s="62">
        <v>6</v>
      </c>
      <c r="BC64" s="426"/>
      <c r="BD64" s="427"/>
      <c r="BE64" s="427"/>
      <c r="BF64" s="428"/>
      <c r="BG64" s="429"/>
      <c r="BH64" s="430"/>
      <c r="BI64" s="196"/>
      <c r="BJ64" s="474"/>
      <c r="BK64" s="475"/>
      <c r="BL64" s="475"/>
      <c r="BM64" s="475"/>
      <c r="BN64" s="475"/>
      <c r="BO64" s="476"/>
      <c r="BP64" s="474"/>
      <c r="BQ64" s="475"/>
      <c r="BR64" s="475"/>
      <c r="BS64" s="475"/>
      <c r="BT64" s="475"/>
      <c r="BU64" s="476"/>
      <c r="BV64" s="474"/>
      <c r="BW64" s="475"/>
      <c r="BX64" s="475"/>
      <c r="BY64" s="475"/>
      <c r="BZ64" s="475"/>
      <c r="CA64" s="476"/>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5">
      <c r="A65" s="434">
        <v>10</v>
      </c>
      <c r="B65" s="36"/>
      <c r="C65" s="198" t="str">
        <f t="shared" ca="1" si="2"/>
        <v/>
      </c>
      <c r="D65" s="477"/>
      <c r="E65" s="478"/>
      <c r="F65" s="478"/>
      <c r="G65" s="478"/>
      <c r="H65" s="478"/>
      <c r="I65" s="478"/>
      <c r="J65" s="478"/>
      <c r="K65" s="438" t="s">
        <v>485</v>
      </c>
      <c r="L65" s="439"/>
      <c r="M65" s="439"/>
      <c r="N65" s="439"/>
      <c r="O65" s="439"/>
      <c r="P65" s="439"/>
      <c r="Q65" s="439"/>
      <c r="R65" s="442" t="s">
        <v>186</v>
      </c>
      <c r="S65" s="443"/>
      <c r="T65" s="442"/>
      <c r="U65" s="443"/>
      <c r="V65" s="438"/>
      <c r="W65" s="439"/>
      <c r="X65" s="439"/>
      <c r="Y65" s="439"/>
      <c r="Z65" s="439"/>
      <c r="AA65" s="439"/>
      <c r="AB65" s="439"/>
      <c r="AC65" s="439"/>
      <c r="AD65" s="438"/>
      <c r="AE65" s="439"/>
      <c r="AF65" s="439"/>
      <c r="AG65" s="439"/>
      <c r="AH65" s="439"/>
      <c r="AI65" s="439"/>
      <c r="AJ65" s="439"/>
      <c r="AK65" s="449"/>
      <c r="AL65" s="438"/>
      <c r="AM65" s="439"/>
      <c r="AN65" s="439"/>
      <c r="AO65" s="439"/>
      <c r="AP65" s="439"/>
      <c r="AQ65" s="439"/>
      <c r="AR65" s="449"/>
      <c r="AS65" s="500"/>
      <c r="AT65" s="483"/>
      <c r="AU65" s="483"/>
      <c r="AV65" s="483"/>
      <c r="AW65" s="483"/>
      <c r="AX65" s="483"/>
      <c r="AY65" s="484"/>
      <c r="AZ65" s="460"/>
      <c r="BA65" s="461"/>
      <c r="BB65" s="60">
        <v>1</v>
      </c>
      <c r="BC65" s="466"/>
      <c r="BD65" s="467"/>
      <c r="BE65" s="467"/>
      <c r="BF65" s="468"/>
      <c r="BG65" s="469"/>
      <c r="BH65" s="470"/>
      <c r="BI65" s="194"/>
      <c r="BJ65" s="471"/>
      <c r="BK65" s="472"/>
      <c r="BL65" s="472"/>
      <c r="BM65" s="472"/>
      <c r="BN65" s="472"/>
      <c r="BO65" s="473"/>
      <c r="BP65" s="471"/>
      <c r="BQ65" s="472"/>
      <c r="BR65" s="472"/>
      <c r="BS65" s="472"/>
      <c r="BT65" s="472"/>
      <c r="BU65" s="473"/>
      <c r="BV65" s="471"/>
      <c r="BW65" s="472"/>
      <c r="BX65" s="472"/>
      <c r="BY65" s="472"/>
      <c r="BZ65" s="472"/>
      <c r="CA65" s="473"/>
      <c r="CB65" s="466"/>
      <c r="CC65" s="467"/>
      <c r="CD65" s="467"/>
      <c r="CE65" s="468"/>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5">
      <c r="A66" s="435"/>
      <c r="B66" s="36"/>
      <c r="C66" s="199" t="str">
        <f t="shared" ca="1" si="2"/>
        <v/>
      </c>
      <c r="D66" s="479"/>
      <c r="E66" s="480"/>
      <c r="F66" s="480"/>
      <c r="G66" s="480"/>
      <c r="H66" s="480"/>
      <c r="I66" s="480"/>
      <c r="J66" s="480"/>
      <c r="K66" s="440"/>
      <c r="L66" s="441"/>
      <c r="M66" s="441"/>
      <c r="N66" s="441"/>
      <c r="O66" s="441"/>
      <c r="P66" s="441"/>
      <c r="Q66" s="441"/>
      <c r="R66" s="444"/>
      <c r="S66" s="445"/>
      <c r="T66" s="444"/>
      <c r="U66" s="445"/>
      <c r="V66" s="440"/>
      <c r="W66" s="441"/>
      <c r="X66" s="441"/>
      <c r="Y66" s="441"/>
      <c r="Z66" s="441"/>
      <c r="AA66" s="441"/>
      <c r="AB66" s="441"/>
      <c r="AC66" s="441"/>
      <c r="AD66" s="440"/>
      <c r="AE66" s="441"/>
      <c r="AF66" s="441"/>
      <c r="AG66" s="441"/>
      <c r="AH66" s="441"/>
      <c r="AI66" s="441"/>
      <c r="AJ66" s="441"/>
      <c r="AK66" s="450"/>
      <c r="AL66" s="440"/>
      <c r="AM66" s="441"/>
      <c r="AN66" s="441"/>
      <c r="AO66" s="441"/>
      <c r="AP66" s="441"/>
      <c r="AQ66" s="441"/>
      <c r="AR66" s="450"/>
      <c r="AS66" s="485"/>
      <c r="AT66" s="486"/>
      <c r="AU66" s="486"/>
      <c r="AV66" s="486"/>
      <c r="AW66" s="486"/>
      <c r="AX66" s="486"/>
      <c r="AY66" s="487"/>
      <c r="AZ66" s="462"/>
      <c r="BA66" s="463"/>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5">
      <c r="A67" s="435"/>
      <c r="B67" s="36"/>
      <c r="C67" s="199" t="str">
        <f t="shared" ca="1" si="2"/>
        <v/>
      </c>
      <c r="D67" s="479"/>
      <c r="E67" s="480"/>
      <c r="F67" s="480"/>
      <c r="G67" s="480"/>
      <c r="H67" s="480"/>
      <c r="I67" s="480"/>
      <c r="J67" s="480"/>
      <c r="K67" s="440"/>
      <c r="L67" s="441"/>
      <c r="M67" s="441"/>
      <c r="N67" s="441"/>
      <c r="O67" s="441"/>
      <c r="P67" s="441"/>
      <c r="Q67" s="441"/>
      <c r="R67" s="444"/>
      <c r="S67" s="445"/>
      <c r="T67" s="444"/>
      <c r="U67" s="445"/>
      <c r="V67" s="440"/>
      <c r="W67" s="441"/>
      <c r="X67" s="441"/>
      <c r="Y67" s="441"/>
      <c r="Z67" s="441"/>
      <c r="AA67" s="441"/>
      <c r="AB67" s="441"/>
      <c r="AC67" s="441"/>
      <c r="AD67" s="440"/>
      <c r="AE67" s="441"/>
      <c r="AF67" s="441"/>
      <c r="AG67" s="441"/>
      <c r="AH67" s="441"/>
      <c r="AI67" s="441"/>
      <c r="AJ67" s="441"/>
      <c r="AK67" s="450"/>
      <c r="AL67" s="440"/>
      <c r="AM67" s="441"/>
      <c r="AN67" s="441"/>
      <c r="AO67" s="441"/>
      <c r="AP67" s="441"/>
      <c r="AQ67" s="441"/>
      <c r="AR67" s="450"/>
      <c r="AS67" s="485"/>
      <c r="AT67" s="486"/>
      <c r="AU67" s="486"/>
      <c r="AV67" s="486"/>
      <c r="AW67" s="486"/>
      <c r="AX67" s="486"/>
      <c r="AY67" s="487"/>
      <c r="AZ67" s="462"/>
      <c r="BA67" s="463"/>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5">
      <c r="A68" s="435"/>
      <c r="B68" s="36"/>
      <c r="C68" s="199" t="str">
        <f t="shared" ca="1" si="2"/>
        <v/>
      </c>
      <c r="D68" s="479"/>
      <c r="E68" s="480"/>
      <c r="F68" s="480"/>
      <c r="G68" s="480"/>
      <c r="H68" s="480"/>
      <c r="I68" s="480"/>
      <c r="J68" s="480"/>
      <c r="K68" s="440"/>
      <c r="L68" s="441"/>
      <c r="M68" s="441"/>
      <c r="N68" s="441"/>
      <c r="O68" s="441"/>
      <c r="P68" s="441"/>
      <c r="Q68" s="441"/>
      <c r="R68" s="444"/>
      <c r="S68" s="445"/>
      <c r="T68" s="444"/>
      <c r="U68" s="445"/>
      <c r="V68" s="440"/>
      <c r="W68" s="441"/>
      <c r="X68" s="441"/>
      <c r="Y68" s="441"/>
      <c r="Z68" s="441"/>
      <c r="AA68" s="441"/>
      <c r="AB68" s="441"/>
      <c r="AC68" s="441"/>
      <c r="AD68" s="440"/>
      <c r="AE68" s="441"/>
      <c r="AF68" s="441"/>
      <c r="AG68" s="441"/>
      <c r="AH68" s="441"/>
      <c r="AI68" s="441"/>
      <c r="AJ68" s="441"/>
      <c r="AK68" s="450"/>
      <c r="AL68" s="440"/>
      <c r="AM68" s="441"/>
      <c r="AN68" s="441"/>
      <c r="AO68" s="441"/>
      <c r="AP68" s="441"/>
      <c r="AQ68" s="441"/>
      <c r="AR68" s="450"/>
      <c r="AS68" s="485"/>
      <c r="AT68" s="486"/>
      <c r="AU68" s="486"/>
      <c r="AV68" s="486"/>
      <c r="AW68" s="486"/>
      <c r="AX68" s="486"/>
      <c r="AY68" s="487"/>
      <c r="AZ68" s="462"/>
      <c r="BA68" s="463"/>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5">
      <c r="A69" s="435"/>
      <c r="B69" s="36"/>
      <c r="C69" s="199" t="str">
        <f t="shared" ca="1" si="2"/>
        <v/>
      </c>
      <c r="D69" s="479"/>
      <c r="E69" s="480"/>
      <c r="F69" s="480"/>
      <c r="G69" s="480"/>
      <c r="H69" s="480"/>
      <c r="I69" s="480"/>
      <c r="J69" s="480"/>
      <c r="K69" s="440"/>
      <c r="L69" s="441"/>
      <c r="M69" s="441"/>
      <c r="N69" s="441"/>
      <c r="O69" s="441"/>
      <c r="P69" s="441"/>
      <c r="Q69" s="441"/>
      <c r="R69" s="444"/>
      <c r="S69" s="445"/>
      <c r="T69" s="444"/>
      <c r="U69" s="445"/>
      <c r="V69" s="440"/>
      <c r="W69" s="441"/>
      <c r="X69" s="441"/>
      <c r="Y69" s="441"/>
      <c r="Z69" s="441"/>
      <c r="AA69" s="441"/>
      <c r="AB69" s="441"/>
      <c r="AC69" s="441"/>
      <c r="AD69" s="440"/>
      <c r="AE69" s="441"/>
      <c r="AF69" s="441"/>
      <c r="AG69" s="441"/>
      <c r="AH69" s="441"/>
      <c r="AI69" s="441"/>
      <c r="AJ69" s="441"/>
      <c r="AK69" s="450"/>
      <c r="AL69" s="440"/>
      <c r="AM69" s="441"/>
      <c r="AN69" s="441"/>
      <c r="AO69" s="441"/>
      <c r="AP69" s="441"/>
      <c r="AQ69" s="441"/>
      <c r="AR69" s="450"/>
      <c r="AS69" s="485"/>
      <c r="AT69" s="486"/>
      <c r="AU69" s="486"/>
      <c r="AV69" s="486"/>
      <c r="AW69" s="486"/>
      <c r="AX69" s="486"/>
      <c r="AY69" s="487"/>
      <c r="AZ69" s="462"/>
      <c r="BA69" s="463"/>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5">
      <c r="A70" s="436"/>
      <c r="B70" s="37"/>
      <c r="C70" s="200" t="str">
        <f t="shared" ca="1" si="2"/>
        <v/>
      </c>
      <c r="D70" s="481"/>
      <c r="E70" s="482"/>
      <c r="F70" s="482"/>
      <c r="G70" s="482"/>
      <c r="H70" s="482"/>
      <c r="I70" s="482"/>
      <c r="J70" s="482"/>
      <c r="K70" s="409"/>
      <c r="L70" s="410"/>
      <c r="M70" s="410"/>
      <c r="N70" s="410"/>
      <c r="O70" s="410"/>
      <c r="P70" s="410"/>
      <c r="Q70" s="410"/>
      <c r="R70" s="446"/>
      <c r="S70" s="447"/>
      <c r="T70" s="446"/>
      <c r="U70" s="44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88"/>
      <c r="AT70" s="489"/>
      <c r="AU70" s="489"/>
      <c r="AV70" s="489"/>
      <c r="AW70" s="489"/>
      <c r="AX70" s="489"/>
      <c r="AY70" s="490"/>
      <c r="AZ70" s="464"/>
      <c r="BA70" s="465"/>
      <c r="BB70" s="62">
        <v>6</v>
      </c>
      <c r="BC70" s="426"/>
      <c r="BD70" s="427"/>
      <c r="BE70" s="427"/>
      <c r="BF70" s="428"/>
      <c r="BG70" s="429"/>
      <c r="BH70" s="430"/>
      <c r="BI70" s="196"/>
      <c r="BJ70" s="474"/>
      <c r="BK70" s="475"/>
      <c r="BL70" s="475"/>
      <c r="BM70" s="475"/>
      <c r="BN70" s="475"/>
      <c r="BO70" s="476"/>
      <c r="BP70" s="474"/>
      <c r="BQ70" s="475"/>
      <c r="BR70" s="475"/>
      <c r="BS70" s="475"/>
      <c r="BT70" s="475"/>
      <c r="BU70" s="476"/>
      <c r="BV70" s="474"/>
      <c r="BW70" s="475"/>
      <c r="BX70" s="475"/>
      <c r="BY70" s="475"/>
      <c r="BZ70" s="475"/>
      <c r="CA70" s="476"/>
      <c r="CB70" s="426"/>
      <c r="CC70" s="427"/>
      <c r="CD70" s="427"/>
      <c r="CE70" s="428"/>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5">
      <c r="A71" s="434">
        <v>11</v>
      </c>
      <c r="B71" s="36"/>
      <c r="C71" s="198" t="str">
        <f t="shared" ca="1" si="2"/>
        <v/>
      </c>
      <c r="D71" s="477" t="s">
        <v>486</v>
      </c>
      <c r="E71" s="478"/>
      <c r="F71" s="478"/>
      <c r="G71" s="478"/>
      <c r="H71" s="478"/>
      <c r="I71" s="478"/>
      <c r="J71" s="478"/>
      <c r="K71" s="438" t="s">
        <v>487</v>
      </c>
      <c r="L71" s="439"/>
      <c r="M71" s="439"/>
      <c r="N71" s="439"/>
      <c r="O71" s="439"/>
      <c r="P71" s="439"/>
      <c r="Q71" s="439"/>
      <c r="R71" s="442" t="s">
        <v>186</v>
      </c>
      <c r="S71" s="443"/>
      <c r="T71" s="442"/>
      <c r="U71" s="443"/>
      <c r="V71" s="438"/>
      <c r="W71" s="439"/>
      <c r="X71" s="439"/>
      <c r="Y71" s="439"/>
      <c r="Z71" s="439"/>
      <c r="AA71" s="439"/>
      <c r="AB71" s="439"/>
      <c r="AC71" s="439"/>
      <c r="AD71" s="438"/>
      <c r="AE71" s="439"/>
      <c r="AF71" s="439"/>
      <c r="AG71" s="439"/>
      <c r="AH71" s="439"/>
      <c r="AI71" s="439"/>
      <c r="AJ71" s="439"/>
      <c r="AK71" s="449"/>
      <c r="AL71" s="438"/>
      <c r="AM71" s="439"/>
      <c r="AN71" s="439"/>
      <c r="AO71" s="439"/>
      <c r="AP71" s="439"/>
      <c r="AQ71" s="439"/>
      <c r="AR71" s="449"/>
      <c r="AS71" s="500"/>
      <c r="AT71" s="483"/>
      <c r="AU71" s="483"/>
      <c r="AV71" s="483"/>
      <c r="AW71" s="483"/>
      <c r="AX71" s="483"/>
      <c r="AY71" s="484"/>
      <c r="AZ71" s="460"/>
      <c r="BA71" s="461"/>
      <c r="BB71" s="60">
        <v>1</v>
      </c>
      <c r="BC71" s="466"/>
      <c r="BD71" s="467"/>
      <c r="BE71" s="467"/>
      <c r="BF71" s="468"/>
      <c r="BG71" s="469"/>
      <c r="BH71" s="470"/>
      <c r="BI71" s="194"/>
      <c r="BJ71" s="471"/>
      <c r="BK71" s="472"/>
      <c r="BL71" s="472"/>
      <c r="BM71" s="472"/>
      <c r="BN71" s="472"/>
      <c r="BO71" s="473"/>
      <c r="BP71" s="471"/>
      <c r="BQ71" s="472"/>
      <c r="BR71" s="472"/>
      <c r="BS71" s="472"/>
      <c r="BT71" s="472"/>
      <c r="BU71" s="473"/>
      <c r="BV71" s="471"/>
      <c r="BW71" s="472"/>
      <c r="BX71" s="472"/>
      <c r="BY71" s="472"/>
      <c r="BZ71" s="472"/>
      <c r="CA71" s="473"/>
      <c r="CB71" s="466"/>
      <c r="CC71" s="467"/>
      <c r="CD71" s="467"/>
      <c r="CE71" s="468"/>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5">
      <c r="A72" s="435"/>
      <c r="B72" s="36"/>
      <c r="C72" s="199" t="str">
        <f t="shared" ca="1" si="2"/>
        <v/>
      </c>
      <c r="D72" s="479"/>
      <c r="E72" s="480"/>
      <c r="F72" s="480"/>
      <c r="G72" s="480"/>
      <c r="H72" s="480"/>
      <c r="I72" s="480"/>
      <c r="J72" s="480"/>
      <c r="K72" s="440"/>
      <c r="L72" s="441"/>
      <c r="M72" s="441"/>
      <c r="N72" s="441"/>
      <c r="O72" s="441"/>
      <c r="P72" s="441"/>
      <c r="Q72" s="441"/>
      <c r="R72" s="444"/>
      <c r="S72" s="445"/>
      <c r="T72" s="444"/>
      <c r="U72" s="445"/>
      <c r="V72" s="440"/>
      <c r="W72" s="441"/>
      <c r="X72" s="441"/>
      <c r="Y72" s="441"/>
      <c r="Z72" s="441"/>
      <c r="AA72" s="441"/>
      <c r="AB72" s="441"/>
      <c r="AC72" s="441"/>
      <c r="AD72" s="440"/>
      <c r="AE72" s="441"/>
      <c r="AF72" s="441"/>
      <c r="AG72" s="441"/>
      <c r="AH72" s="441"/>
      <c r="AI72" s="441"/>
      <c r="AJ72" s="441"/>
      <c r="AK72" s="450"/>
      <c r="AL72" s="440"/>
      <c r="AM72" s="441"/>
      <c r="AN72" s="441"/>
      <c r="AO72" s="441"/>
      <c r="AP72" s="441"/>
      <c r="AQ72" s="441"/>
      <c r="AR72" s="450"/>
      <c r="AS72" s="485"/>
      <c r="AT72" s="486"/>
      <c r="AU72" s="486"/>
      <c r="AV72" s="486"/>
      <c r="AW72" s="486"/>
      <c r="AX72" s="486"/>
      <c r="AY72" s="487"/>
      <c r="AZ72" s="462"/>
      <c r="BA72" s="463"/>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5">
      <c r="A73" s="435"/>
      <c r="B73" s="36"/>
      <c r="C73" s="199" t="str">
        <f t="shared" ca="1" si="2"/>
        <v/>
      </c>
      <c r="D73" s="479"/>
      <c r="E73" s="480"/>
      <c r="F73" s="480"/>
      <c r="G73" s="480"/>
      <c r="H73" s="480"/>
      <c r="I73" s="480"/>
      <c r="J73" s="480"/>
      <c r="K73" s="440"/>
      <c r="L73" s="441"/>
      <c r="M73" s="441"/>
      <c r="N73" s="441"/>
      <c r="O73" s="441"/>
      <c r="P73" s="441"/>
      <c r="Q73" s="441"/>
      <c r="R73" s="444"/>
      <c r="S73" s="445"/>
      <c r="T73" s="444"/>
      <c r="U73" s="445"/>
      <c r="V73" s="440"/>
      <c r="W73" s="441"/>
      <c r="X73" s="441"/>
      <c r="Y73" s="441"/>
      <c r="Z73" s="441"/>
      <c r="AA73" s="441"/>
      <c r="AB73" s="441"/>
      <c r="AC73" s="441"/>
      <c r="AD73" s="440"/>
      <c r="AE73" s="441"/>
      <c r="AF73" s="441"/>
      <c r="AG73" s="441"/>
      <c r="AH73" s="441"/>
      <c r="AI73" s="441"/>
      <c r="AJ73" s="441"/>
      <c r="AK73" s="450"/>
      <c r="AL73" s="440"/>
      <c r="AM73" s="441"/>
      <c r="AN73" s="441"/>
      <c r="AO73" s="441"/>
      <c r="AP73" s="441"/>
      <c r="AQ73" s="441"/>
      <c r="AR73" s="450"/>
      <c r="AS73" s="485"/>
      <c r="AT73" s="486"/>
      <c r="AU73" s="486"/>
      <c r="AV73" s="486"/>
      <c r="AW73" s="486"/>
      <c r="AX73" s="486"/>
      <c r="AY73" s="487"/>
      <c r="AZ73" s="462"/>
      <c r="BA73" s="463"/>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5">
      <c r="A74" s="435"/>
      <c r="B74" s="36"/>
      <c r="C74" s="199" t="str">
        <f t="shared" ca="1" si="2"/>
        <v/>
      </c>
      <c r="D74" s="479"/>
      <c r="E74" s="480"/>
      <c r="F74" s="480"/>
      <c r="G74" s="480"/>
      <c r="H74" s="480"/>
      <c r="I74" s="480"/>
      <c r="J74" s="480"/>
      <c r="K74" s="440"/>
      <c r="L74" s="441"/>
      <c r="M74" s="441"/>
      <c r="N74" s="441"/>
      <c r="O74" s="441"/>
      <c r="P74" s="441"/>
      <c r="Q74" s="441"/>
      <c r="R74" s="444"/>
      <c r="S74" s="445"/>
      <c r="T74" s="444"/>
      <c r="U74" s="445"/>
      <c r="V74" s="440"/>
      <c r="W74" s="441"/>
      <c r="X74" s="441"/>
      <c r="Y74" s="441"/>
      <c r="Z74" s="441"/>
      <c r="AA74" s="441"/>
      <c r="AB74" s="441"/>
      <c r="AC74" s="441"/>
      <c r="AD74" s="440"/>
      <c r="AE74" s="441"/>
      <c r="AF74" s="441"/>
      <c r="AG74" s="441"/>
      <c r="AH74" s="441"/>
      <c r="AI74" s="441"/>
      <c r="AJ74" s="441"/>
      <c r="AK74" s="450"/>
      <c r="AL74" s="440"/>
      <c r="AM74" s="441"/>
      <c r="AN74" s="441"/>
      <c r="AO74" s="441"/>
      <c r="AP74" s="441"/>
      <c r="AQ74" s="441"/>
      <c r="AR74" s="450"/>
      <c r="AS74" s="485"/>
      <c r="AT74" s="486"/>
      <c r="AU74" s="486"/>
      <c r="AV74" s="486"/>
      <c r="AW74" s="486"/>
      <c r="AX74" s="486"/>
      <c r="AY74" s="487"/>
      <c r="AZ74" s="462"/>
      <c r="BA74" s="463"/>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5">
      <c r="A75" s="435"/>
      <c r="B75" s="36"/>
      <c r="C75" s="199" t="str">
        <f t="shared" ca="1" si="2"/>
        <v/>
      </c>
      <c r="D75" s="479"/>
      <c r="E75" s="480"/>
      <c r="F75" s="480"/>
      <c r="G75" s="480"/>
      <c r="H75" s="480"/>
      <c r="I75" s="480"/>
      <c r="J75" s="480"/>
      <c r="K75" s="440"/>
      <c r="L75" s="441"/>
      <c r="M75" s="441"/>
      <c r="N75" s="441"/>
      <c r="O75" s="441"/>
      <c r="P75" s="441"/>
      <c r="Q75" s="441"/>
      <c r="R75" s="444"/>
      <c r="S75" s="445"/>
      <c r="T75" s="444"/>
      <c r="U75" s="445"/>
      <c r="V75" s="440"/>
      <c r="W75" s="441"/>
      <c r="X75" s="441"/>
      <c r="Y75" s="441"/>
      <c r="Z75" s="441"/>
      <c r="AA75" s="441"/>
      <c r="AB75" s="441"/>
      <c r="AC75" s="441"/>
      <c r="AD75" s="440"/>
      <c r="AE75" s="441"/>
      <c r="AF75" s="441"/>
      <c r="AG75" s="441"/>
      <c r="AH75" s="441"/>
      <c r="AI75" s="441"/>
      <c r="AJ75" s="441"/>
      <c r="AK75" s="450"/>
      <c r="AL75" s="440"/>
      <c r="AM75" s="441"/>
      <c r="AN75" s="441"/>
      <c r="AO75" s="441"/>
      <c r="AP75" s="441"/>
      <c r="AQ75" s="441"/>
      <c r="AR75" s="450"/>
      <c r="AS75" s="485"/>
      <c r="AT75" s="486"/>
      <c r="AU75" s="486"/>
      <c r="AV75" s="486"/>
      <c r="AW75" s="486"/>
      <c r="AX75" s="486"/>
      <c r="AY75" s="487"/>
      <c r="AZ75" s="462"/>
      <c r="BA75" s="463"/>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5">
      <c r="A76" s="436"/>
      <c r="B76" s="37"/>
      <c r="C76" s="200" t="str">
        <f t="shared" ref="C76:C139" ca="1" si="3">IF(AND(OFFSET($K76,-($BB76-1),0)&lt;&gt;"",OFFSET($R76,-($BB76-1),0)&lt;&gt;"x"),"●","")</f>
        <v/>
      </c>
      <c r="D76" s="481"/>
      <c r="E76" s="482"/>
      <c r="F76" s="482"/>
      <c r="G76" s="482"/>
      <c r="H76" s="482"/>
      <c r="I76" s="482"/>
      <c r="J76" s="482"/>
      <c r="K76" s="409"/>
      <c r="L76" s="410"/>
      <c r="M76" s="410"/>
      <c r="N76" s="410"/>
      <c r="O76" s="410"/>
      <c r="P76" s="410"/>
      <c r="Q76" s="410"/>
      <c r="R76" s="446"/>
      <c r="S76" s="447"/>
      <c r="T76" s="446"/>
      <c r="U76" s="447"/>
      <c r="V76" s="409"/>
      <c r="W76" s="410"/>
      <c r="X76" s="410"/>
      <c r="Y76" s="410"/>
      <c r="Z76" s="410"/>
      <c r="AA76" s="410"/>
      <c r="AB76" s="410"/>
      <c r="AC76" s="410"/>
      <c r="AD76" s="409"/>
      <c r="AE76" s="410"/>
      <c r="AF76" s="410"/>
      <c r="AG76" s="410"/>
      <c r="AH76" s="410"/>
      <c r="AI76" s="410"/>
      <c r="AJ76" s="410"/>
      <c r="AK76" s="411"/>
      <c r="AL76" s="409"/>
      <c r="AM76" s="410"/>
      <c r="AN76" s="410"/>
      <c r="AO76" s="410"/>
      <c r="AP76" s="410"/>
      <c r="AQ76" s="410"/>
      <c r="AR76" s="411"/>
      <c r="AS76" s="488"/>
      <c r="AT76" s="489"/>
      <c r="AU76" s="489"/>
      <c r="AV76" s="489"/>
      <c r="AW76" s="489"/>
      <c r="AX76" s="489"/>
      <c r="AY76" s="490"/>
      <c r="AZ76" s="464"/>
      <c r="BA76" s="465"/>
      <c r="BB76" s="62">
        <v>6</v>
      </c>
      <c r="BC76" s="426"/>
      <c r="BD76" s="427"/>
      <c r="BE76" s="427"/>
      <c r="BF76" s="428"/>
      <c r="BG76" s="429"/>
      <c r="BH76" s="430"/>
      <c r="BI76" s="196"/>
      <c r="BJ76" s="474"/>
      <c r="BK76" s="475"/>
      <c r="BL76" s="475"/>
      <c r="BM76" s="475"/>
      <c r="BN76" s="475"/>
      <c r="BO76" s="476"/>
      <c r="BP76" s="474"/>
      <c r="BQ76" s="475"/>
      <c r="BR76" s="475"/>
      <c r="BS76" s="475"/>
      <c r="BT76" s="475"/>
      <c r="BU76" s="476"/>
      <c r="BV76" s="474"/>
      <c r="BW76" s="475"/>
      <c r="BX76" s="475"/>
      <c r="BY76" s="475"/>
      <c r="BZ76" s="475"/>
      <c r="CA76" s="476"/>
      <c r="CB76" s="426"/>
      <c r="CC76" s="427"/>
      <c r="CD76" s="427"/>
      <c r="CE76" s="428"/>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5">
      <c r="A77" s="434">
        <v>12</v>
      </c>
      <c r="B77" s="36"/>
      <c r="C77" s="198" t="str">
        <f t="shared" ca="1" si="3"/>
        <v/>
      </c>
      <c r="D77" s="477"/>
      <c r="E77" s="478"/>
      <c r="F77" s="478"/>
      <c r="G77" s="478"/>
      <c r="H77" s="478"/>
      <c r="I77" s="478"/>
      <c r="J77" s="478"/>
      <c r="K77" s="438" t="s">
        <v>488</v>
      </c>
      <c r="L77" s="439"/>
      <c r="M77" s="439"/>
      <c r="N77" s="439"/>
      <c r="O77" s="439"/>
      <c r="P77" s="439"/>
      <c r="Q77" s="439"/>
      <c r="R77" s="442" t="s">
        <v>186</v>
      </c>
      <c r="S77" s="443"/>
      <c r="T77" s="442"/>
      <c r="U77" s="443"/>
      <c r="V77" s="438"/>
      <c r="W77" s="439"/>
      <c r="X77" s="439"/>
      <c r="Y77" s="439"/>
      <c r="Z77" s="439"/>
      <c r="AA77" s="439"/>
      <c r="AB77" s="439"/>
      <c r="AC77" s="439"/>
      <c r="AD77" s="438"/>
      <c r="AE77" s="439"/>
      <c r="AF77" s="439"/>
      <c r="AG77" s="439"/>
      <c r="AH77" s="439"/>
      <c r="AI77" s="439"/>
      <c r="AJ77" s="439"/>
      <c r="AK77" s="449"/>
      <c r="AL77" s="438"/>
      <c r="AM77" s="439"/>
      <c r="AN77" s="439"/>
      <c r="AO77" s="439"/>
      <c r="AP77" s="439"/>
      <c r="AQ77" s="439"/>
      <c r="AR77" s="449"/>
      <c r="AS77" s="500"/>
      <c r="AT77" s="483"/>
      <c r="AU77" s="483"/>
      <c r="AV77" s="483"/>
      <c r="AW77" s="483"/>
      <c r="AX77" s="483"/>
      <c r="AY77" s="484"/>
      <c r="AZ77" s="460"/>
      <c r="BA77" s="461"/>
      <c r="BB77" s="60">
        <v>1</v>
      </c>
      <c r="BC77" s="466"/>
      <c r="BD77" s="467"/>
      <c r="BE77" s="467"/>
      <c r="BF77" s="468"/>
      <c r="BG77" s="469"/>
      <c r="BH77" s="470"/>
      <c r="BI77" s="194"/>
      <c r="BJ77" s="471"/>
      <c r="BK77" s="472"/>
      <c r="BL77" s="472"/>
      <c r="BM77" s="472"/>
      <c r="BN77" s="472"/>
      <c r="BO77" s="473"/>
      <c r="BP77" s="471"/>
      <c r="BQ77" s="472"/>
      <c r="BR77" s="472"/>
      <c r="BS77" s="472"/>
      <c r="BT77" s="472"/>
      <c r="BU77" s="473"/>
      <c r="BV77" s="471"/>
      <c r="BW77" s="472"/>
      <c r="BX77" s="472"/>
      <c r="BY77" s="472"/>
      <c r="BZ77" s="472"/>
      <c r="CA77" s="473"/>
      <c r="CB77" s="466"/>
      <c r="CC77" s="467"/>
      <c r="CD77" s="467"/>
      <c r="CE77" s="468"/>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5">
      <c r="A78" s="435"/>
      <c r="B78" s="36"/>
      <c r="C78" s="199" t="str">
        <f t="shared" ca="1" si="3"/>
        <v/>
      </c>
      <c r="D78" s="479"/>
      <c r="E78" s="480"/>
      <c r="F78" s="480"/>
      <c r="G78" s="480"/>
      <c r="H78" s="480"/>
      <c r="I78" s="480"/>
      <c r="J78" s="480"/>
      <c r="K78" s="440"/>
      <c r="L78" s="441"/>
      <c r="M78" s="441"/>
      <c r="N78" s="441"/>
      <c r="O78" s="441"/>
      <c r="P78" s="441"/>
      <c r="Q78" s="441"/>
      <c r="R78" s="444"/>
      <c r="S78" s="445"/>
      <c r="T78" s="444"/>
      <c r="U78" s="445"/>
      <c r="V78" s="440"/>
      <c r="W78" s="441"/>
      <c r="X78" s="441"/>
      <c r="Y78" s="441"/>
      <c r="Z78" s="441"/>
      <c r="AA78" s="441"/>
      <c r="AB78" s="441"/>
      <c r="AC78" s="441"/>
      <c r="AD78" s="440"/>
      <c r="AE78" s="441"/>
      <c r="AF78" s="441"/>
      <c r="AG78" s="441"/>
      <c r="AH78" s="441"/>
      <c r="AI78" s="441"/>
      <c r="AJ78" s="441"/>
      <c r="AK78" s="450"/>
      <c r="AL78" s="440"/>
      <c r="AM78" s="441"/>
      <c r="AN78" s="441"/>
      <c r="AO78" s="441"/>
      <c r="AP78" s="441"/>
      <c r="AQ78" s="441"/>
      <c r="AR78" s="450"/>
      <c r="AS78" s="485"/>
      <c r="AT78" s="486"/>
      <c r="AU78" s="486"/>
      <c r="AV78" s="486"/>
      <c r="AW78" s="486"/>
      <c r="AX78" s="486"/>
      <c r="AY78" s="487"/>
      <c r="AZ78" s="462"/>
      <c r="BA78" s="463"/>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5">
      <c r="A79" s="435"/>
      <c r="B79" s="36"/>
      <c r="C79" s="199" t="str">
        <f t="shared" ca="1" si="3"/>
        <v/>
      </c>
      <c r="D79" s="479"/>
      <c r="E79" s="480"/>
      <c r="F79" s="480"/>
      <c r="G79" s="480"/>
      <c r="H79" s="480"/>
      <c r="I79" s="480"/>
      <c r="J79" s="480"/>
      <c r="K79" s="440"/>
      <c r="L79" s="441"/>
      <c r="M79" s="441"/>
      <c r="N79" s="441"/>
      <c r="O79" s="441"/>
      <c r="P79" s="441"/>
      <c r="Q79" s="441"/>
      <c r="R79" s="444"/>
      <c r="S79" s="445"/>
      <c r="T79" s="444"/>
      <c r="U79" s="445"/>
      <c r="V79" s="440"/>
      <c r="W79" s="441"/>
      <c r="X79" s="441"/>
      <c r="Y79" s="441"/>
      <c r="Z79" s="441"/>
      <c r="AA79" s="441"/>
      <c r="AB79" s="441"/>
      <c r="AC79" s="441"/>
      <c r="AD79" s="440"/>
      <c r="AE79" s="441"/>
      <c r="AF79" s="441"/>
      <c r="AG79" s="441"/>
      <c r="AH79" s="441"/>
      <c r="AI79" s="441"/>
      <c r="AJ79" s="441"/>
      <c r="AK79" s="450"/>
      <c r="AL79" s="440"/>
      <c r="AM79" s="441"/>
      <c r="AN79" s="441"/>
      <c r="AO79" s="441"/>
      <c r="AP79" s="441"/>
      <c r="AQ79" s="441"/>
      <c r="AR79" s="450"/>
      <c r="AS79" s="485"/>
      <c r="AT79" s="486"/>
      <c r="AU79" s="486"/>
      <c r="AV79" s="486"/>
      <c r="AW79" s="486"/>
      <c r="AX79" s="486"/>
      <c r="AY79" s="487"/>
      <c r="AZ79" s="462"/>
      <c r="BA79" s="463"/>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5">
      <c r="A80" s="435"/>
      <c r="B80" s="36"/>
      <c r="C80" s="199" t="str">
        <f t="shared" ca="1" si="3"/>
        <v/>
      </c>
      <c r="D80" s="479"/>
      <c r="E80" s="480"/>
      <c r="F80" s="480"/>
      <c r="G80" s="480"/>
      <c r="H80" s="480"/>
      <c r="I80" s="480"/>
      <c r="J80" s="480"/>
      <c r="K80" s="440"/>
      <c r="L80" s="441"/>
      <c r="M80" s="441"/>
      <c r="N80" s="441"/>
      <c r="O80" s="441"/>
      <c r="P80" s="441"/>
      <c r="Q80" s="441"/>
      <c r="R80" s="444"/>
      <c r="S80" s="445"/>
      <c r="T80" s="444"/>
      <c r="U80" s="445"/>
      <c r="V80" s="440"/>
      <c r="W80" s="441"/>
      <c r="X80" s="441"/>
      <c r="Y80" s="441"/>
      <c r="Z80" s="441"/>
      <c r="AA80" s="441"/>
      <c r="AB80" s="441"/>
      <c r="AC80" s="441"/>
      <c r="AD80" s="440"/>
      <c r="AE80" s="441"/>
      <c r="AF80" s="441"/>
      <c r="AG80" s="441"/>
      <c r="AH80" s="441"/>
      <c r="AI80" s="441"/>
      <c r="AJ80" s="441"/>
      <c r="AK80" s="450"/>
      <c r="AL80" s="440"/>
      <c r="AM80" s="441"/>
      <c r="AN80" s="441"/>
      <c r="AO80" s="441"/>
      <c r="AP80" s="441"/>
      <c r="AQ80" s="441"/>
      <c r="AR80" s="450"/>
      <c r="AS80" s="485"/>
      <c r="AT80" s="486"/>
      <c r="AU80" s="486"/>
      <c r="AV80" s="486"/>
      <c r="AW80" s="486"/>
      <c r="AX80" s="486"/>
      <c r="AY80" s="487"/>
      <c r="AZ80" s="462"/>
      <c r="BA80" s="463"/>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5">
      <c r="A81" s="435"/>
      <c r="B81" s="36"/>
      <c r="C81" s="199" t="str">
        <f t="shared" ca="1" si="3"/>
        <v/>
      </c>
      <c r="D81" s="479"/>
      <c r="E81" s="480"/>
      <c r="F81" s="480"/>
      <c r="G81" s="480"/>
      <c r="H81" s="480"/>
      <c r="I81" s="480"/>
      <c r="J81" s="480"/>
      <c r="K81" s="440"/>
      <c r="L81" s="441"/>
      <c r="M81" s="441"/>
      <c r="N81" s="441"/>
      <c r="O81" s="441"/>
      <c r="P81" s="441"/>
      <c r="Q81" s="441"/>
      <c r="R81" s="444"/>
      <c r="S81" s="445"/>
      <c r="T81" s="444"/>
      <c r="U81" s="445"/>
      <c r="V81" s="440"/>
      <c r="W81" s="441"/>
      <c r="X81" s="441"/>
      <c r="Y81" s="441"/>
      <c r="Z81" s="441"/>
      <c r="AA81" s="441"/>
      <c r="AB81" s="441"/>
      <c r="AC81" s="441"/>
      <c r="AD81" s="440"/>
      <c r="AE81" s="441"/>
      <c r="AF81" s="441"/>
      <c r="AG81" s="441"/>
      <c r="AH81" s="441"/>
      <c r="AI81" s="441"/>
      <c r="AJ81" s="441"/>
      <c r="AK81" s="450"/>
      <c r="AL81" s="440"/>
      <c r="AM81" s="441"/>
      <c r="AN81" s="441"/>
      <c r="AO81" s="441"/>
      <c r="AP81" s="441"/>
      <c r="AQ81" s="441"/>
      <c r="AR81" s="450"/>
      <c r="AS81" s="485"/>
      <c r="AT81" s="486"/>
      <c r="AU81" s="486"/>
      <c r="AV81" s="486"/>
      <c r="AW81" s="486"/>
      <c r="AX81" s="486"/>
      <c r="AY81" s="487"/>
      <c r="AZ81" s="462"/>
      <c r="BA81" s="463"/>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5">
      <c r="A82" s="436"/>
      <c r="B82" s="37"/>
      <c r="C82" s="200" t="str">
        <f t="shared" ca="1" si="3"/>
        <v/>
      </c>
      <c r="D82" s="481"/>
      <c r="E82" s="482"/>
      <c r="F82" s="482"/>
      <c r="G82" s="482"/>
      <c r="H82" s="482"/>
      <c r="I82" s="482"/>
      <c r="J82" s="482"/>
      <c r="K82" s="409"/>
      <c r="L82" s="410"/>
      <c r="M82" s="410"/>
      <c r="N82" s="410"/>
      <c r="O82" s="410"/>
      <c r="P82" s="410"/>
      <c r="Q82" s="410"/>
      <c r="R82" s="446"/>
      <c r="S82" s="447"/>
      <c r="T82" s="446"/>
      <c r="U82" s="447"/>
      <c r="V82" s="409"/>
      <c r="W82" s="410"/>
      <c r="X82" s="410"/>
      <c r="Y82" s="410"/>
      <c r="Z82" s="410"/>
      <c r="AA82" s="410"/>
      <c r="AB82" s="410"/>
      <c r="AC82" s="410"/>
      <c r="AD82" s="409"/>
      <c r="AE82" s="410"/>
      <c r="AF82" s="410"/>
      <c r="AG82" s="410"/>
      <c r="AH82" s="410"/>
      <c r="AI82" s="410"/>
      <c r="AJ82" s="410"/>
      <c r="AK82" s="411"/>
      <c r="AL82" s="409"/>
      <c r="AM82" s="410"/>
      <c r="AN82" s="410"/>
      <c r="AO82" s="410"/>
      <c r="AP82" s="410"/>
      <c r="AQ82" s="410"/>
      <c r="AR82" s="411"/>
      <c r="AS82" s="488"/>
      <c r="AT82" s="489"/>
      <c r="AU82" s="489"/>
      <c r="AV82" s="489"/>
      <c r="AW82" s="489"/>
      <c r="AX82" s="489"/>
      <c r="AY82" s="490"/>
      <c r="AZ82" s="464"/>
      <c r="BA82" s="465"/>
      <c r="BB82" s="62">
        <v>6</v>
      </c>
      <c r="BC82" s="426"/>
      <c r="BD82" s="427"/>
      <c r="BE82" s="427"/>
      <c r="BF82" s="428"/>
      <c r="BG82" s="429"/>
      <c r="BH82" s="430"/>
      <c r="BI82" s="196"/>
      <c r="BJ82" s="474"/>
      <c r="BK82" s="475"/>
      <c r="BL82" s="475"/>
      <c r="BM82" s="475"/>
      <c r="BN82" s="475"/>
      <c r="BO82" s="476"/>
      <c r="BP82" s="474"/>
      <c r="BQ82" s="475"/>
      <c r="BR82" s="475"/>
      <c r="BS82" s="475"/>
      <c r="BT82" s="475"/>
      <c r="BU82" s="476"/>
      <c r="BV82" s="474"/>
      <c r="BW82" s="475"/>
      <c r="BX82" s="475"/>
      <c r="BY82" s="475"/>
      <c r="BZ82" s="475"/>
      <c r="CA82" s="476"/>
      <c r="CB82" s="426"/>
      <c r="CC82" s="427"/>
      <c r="CD82" s="427"/>
      <c r="CE82" s="428"/>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5">
      <c r="A83" s="434">
        <v>13</v>
      </c>
      <c r="B83" s="36"/>
      <c r="C83" s="198" t="str">
        <f t="shared" ca="1" si="3"/>
        <v/>
      </c>
      <c r="D83" s="477"/>
      <c r="E83" s="478"/>
      <c r="F83" s="478"/>
      <c r="G83" s="478"/>
      <c r="H83" s="478"/>
      <c r="I83" s="478"/>
      <c r="J83" s="478"/>
      <c r="K83" s="438" t="s">
        <v>489</v>
      </c>
      <c r="L83" s="439"/>
      <c r="M83" s="439"/>
      <c r="N83" s="439"/>
      <c r="O83" s="439"/>
      <c r="P83" s="439"/>
      <c r="Q83" s="439"/>
      <c r="R83" s="442" t="s">
        <v>186</v>
      </c>
      <c r="S83" s="443"/>
      <c r="T83" s="442"/>
      <c r="U83" s="443"/>
      <c r="V83" s="438"/>
      <c r="W83" s="439"/>
      <c r="X83" s="439"/>
      <c r="Y83" s="439"/>
      <c r="Z83" s="439"/>
      <c r="AA83" s="439"/>
      <c r="AB83" s="439"/>
      <c r="AC83" s="439"/>
      <c r="AD83" s="438"/>
      <c r="AE83" s="439"/>
      <c r="AF83" s="439"/>
      <c r="AG83" s="439"/>
      <c r="AH83" s="439"/>
      <c r="AI83" s="439"/>
      <c r="AJ83" s="439"/>
      <c r="AK83" s="449"/>
      <c r="AL83" s="438"/>
      <c r="AM83" s="439"/>
      <c r="AN83" s="439"/>
      <c r="AO83" s="439"/>
      <c r="AP83" s="439"/>
      <c r="AQ83" s="439"/>
      <c r="AR83" s="449"/>
      <c r="AS83" s="500"/>
      <c r="AT83" s="483"/>
      <c r="AU83" s="483"/>
      <c r="AV83" s="483"/>
      <c r="AW83" s="483"/>
      <c r="AX83" s="483"/>
      <c r="AY83" s="484"/>
      <c r="AZ83" s="460"/>
      <c r="BA83" s="461"/>
      <c r="BB83" s="60">
        <v>1</v>
      </c>
      <c r="BC83" s="466"/>
      <c r="BD83" s="467"/>
      <c r="BE83" s="467"/>
      <c r="BF83" s="468"/>
      <c r="BG83" s="469"/>
      <c r="BH83" s="470"/>
      <c r="BI83" s="194"/>
      <c r="BJ83" s="471"/>
      <c r="BK83" s="472"/>
      <c r="BL83" s="472"/>
      <c r="BM83" s="472"/>
      <c r="BN83" s="472"/>
      <c r="BO83" s="473"/>
      <c r="BP83" s="471"/>
      <c r="BQ83" s="472"/>
      <c r="BR83" s="472"/>
      <c r="BS83" s="472"/>
      <c r="BT83" s="472"/>
      <c r="BU83" s="473"/>
      <c r="BV83" s="471"/>
      <c r="BW83" s="472"/>
      <c r="BX83" s="472"/>
      <c r="BY83" s="472"/>
      <c r="BZ83" s="472"/>
      <c r="CA83" s="473"/>
      <c r="CB83" s="466"/>
      <c r="CC83" s="467"/>
      <c r="CD83" s="467"/>
      <c r="CE83" s="468"/>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5">
      <c r="A84" s="435"/>
      <c r="B84" s="36"/>
      <c r="C84" s="199" t="str">
        <f t="shared" ca="1" si="3"/>
        <v/>
      </c>
      <c r="D84" s="479"/>
      <c r="E84" s="480"/>
      <c r="F84" s="480"/>
      <c r="G84" s="480"/>
      <c r="H84" s="480"/>
      <c r="I84" s="480"/>
      <c r="J84" s="480"/>
      <c r="K84" s="440"/>
      <c r="L84" s="441"/>
      <c r="M84" s="441"/>
      <c r="N84" s="441"/>
      <c r="O84" s="441"/>
      <c r="P84" s="441"/>
      <c r="Q84" s="441"/>
      <c r="R84" s="444"/>
      <c r="S84" s="445"/>
      <c r="T84" s="444"/>
      <c r="U84" s="445"/>
      <c r="V84" s="440"/>
      <c r="W84" s="441"/>
      <c r="X84" s="441"/>
      <c r="Y84" s="441"/>
      <c r="Z84" s="441"/>
      <c r="AA84" s="441"/>
      <c r="AB84" s="441"/>
      <c r="AC84" s="441"/>
      <c r="AD84" s="440"/>
      <c r="AE84" s="441"/>
      <c r="AF84" s="441"/>
      <c r="AG84" s="441"/>
      <c r="AH84" s="441"/>
      <c r="AI84" s="441"/>
      <c r="AJ84" s="441"/>
      <c r="AK84" s="450"/>
      <c r="AL84" s="440"/>
      <c r="AM84" s="441"/>
      <c r="AN84" s="441"/>
      <c r="AO84" s="441"/>
      <c r="AP84" s="441"/>
      <c r="AQ84" s="441"/>
      <c r="AR84" s="450"/>
      <c r="AS84" s="485"/>
      <c r="AT84" s="486"/>
      <c r="AU84" s="486"/>
      <c r="AV84" s="486"/>
      <c r="AW84" s="486"/>
      <c r="AX84" s="486"/>
      <c r="AY84" s="487"/>
      <c r="AZ84" s="462"/>
      <c r="BA84" s="463"/>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5">
      <c r="A85" s="435"/>
      <c r="B85" s="36"/>
      <c r="C85" s="199" t="str">
        <f t="shared" ca="1" si="3"/>
        <v/>
      </c>
      <c r="D85" s="479"/>
      <c r="E85" s="480"/>
      <c r="F85" s="480"/>
      <c r="G85" s="480"/>
      <c r="H85" s="480"/>
      <c r="I85" s="480"/>
      <c r="J85" s="480"/>
      <c r="K85" s="440"/>
      <c r="L85" s="441"/>
      <c r="M85" s="441"/>
      <c r="N85" s="441"/>
      <c r="O85" s="441"/>
      <c r="P85" s="441"/>
      <c r="Q85" s="441"/>
      <c r="R85" s="444"/>
      <c r="S85" s="445"/>
      <c r="T85" s="444"/>
      <c r="U85" s="445"/>
      <c r="V85" s="440"/>
      <c r="W85" s="441"/>
      <c r="X85" s="441"/>
      <c r="Y85" s="441"/>
      <c r="Z85" s="441"/>
      <c r="AA85" s="441"/>
      <c r="AB85" s="441"/>
      <c r="AC85" s="441"/>
      <c r="AD85" s="440"/>
      <c r="AE85" s="441"/>
      <c r="AF85" s="441"/>
      <c r="AG85" s="441"/>
      <c r="AH85" s="441"/>
      <c r="AI85" s="441"/>
      <c r="AJ85" s="441"/>
      <c r="AK85" s="450"/>
      <c r="AL85" s="440"/>
      <c r="AM85" s="441"/>
      <c r="AN85" s="441"/>
      <c r="AO85" s="441"/>
      <c r="AP85" s="441"/>
      <c r="AQ85" s="441"/>
      <c r="AR85" s="450"/>
      <c r="AS85" s="485"/>
      <c r="AT85" s="486"/>
      <c r="AU85" s="486"/>
      <c r="AV85" s="486"/>
      <c r="AW85" s="486"/>
      <c r="AX85" s="486"/>
      <c r="AY85" s="487"/>
      <c r="AZ85" s="462"/>
      <c r="BA85" s="463"/>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5">
      <c r="A86" s="435"/>
      <c r="B86" s="36"/>
      <c r="C86" s="199" t="str">
        <f t="shared" ca="1" si="3"/>
        <v/>
      </c>
      <c r="D86" s="479"/>
      <c r="E86" s="480"/>
      <c r="F86" s="480"/>
      <c r="G86" s="480"/>
      <c r="H86" s="480"/>
      <c r="I86" s="480"/>
      <c r="J86" s="480"/>
      <c r="K86" s="440"/>
      <c r="L86" s="441"/>
      <c r="M86" s="441"/>
      <c r="N86" s="441"/>
      <c r="O86" s="441"/>
      <c r="P86" s="441"/>
      <c r="Q86" s="441"/>
      <c r="R86" s="444"/>
      <c r="S86" s="445"/>
      <c r="T86" s="444"/>
      <c r="U86" s="445"/>
      <c r="V86" s="440"/>
      <c r="W86" s="441"/>
      <c r="X86" s="441"/>
      <c r="Y86" s="441"/>
      <c r="Z86" s="441"/>
      <c r="AA86" s="441"/>
      <c r="AB86" s="441"/>
      <c r="AC86" s="441"/>
      <c r="AD86" s="440"/>
      <c r="AE86" s="441"/>
      <c r="AF86" s="441"/>
      <c r="AG86" s="441"/>
      <c r="AH86" s="441"/>
      <c r="AI86" s="441"/>
      <c r="AJ86" s="441"/>
      <c r="AK86" s="450"/>
      <c r="AL86" s="440"/>
      <c r="AM86" s="441"/>
      <c r="AN86" s="441"/>
      <c r="AO86" s="441"/>
      <c r="AP86" s="441"/>
      <c r="AQ86" s="441"/>
      <c r="AR86" s="450"/>
      <c r="AS86" s="485"/>
      <c r="AT86" s="486"/>
      <c r="AU86" s="486"/>
      <c r="AV86" s="486"/>
      <c r="AW86" s="486"/>
      <c r="AX86" s="486"/>
      <c r="AY86" s="487"/>
      <c r="AZ86" s="462"/>
      <c r="BA86" s="463"/>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5">
      <c r="A87" s="435"/>
      <c r="B87" s="36"/>
      <c r="C87" s="199" t="str">
        <f t="shared" ca="1" si="3"/>
        <v/>
      </c>
      <c r="D87" s="479"/>
      <c r="E87" s="480"/>
      <c r="F87" s="480"/>
      <c r="G87" s="480"/>
      <c r="H87" s="480"/>
      <c r="I87" s="480"/>
      <c r="J87" s="480"/>
      <c r="K87" s="440"/>
      <c r="L87" s="441"/>
      <c r="M87" s="441"/>
      <c r="N87" s="441"/>
      <c r="O87" s="441"/>
      <c r="P87" s="441"/>
      <c r="Q87" s="441"/>
      <c r="R87" s="444"/>
      <c r="S87" s="445"/>
      <c r="T87" s="444"/>
      <c r="U87" s="445"/>
      <c r="V87" s="440"/>
      <c r="W87" s="441"/>
      <c r="X87" s="441"/>
      <c r="Y87" s="441"/>
      <c r="Z87" s="441"/>
      <c r="AA87" s="441"/>
      <c r="AB87" s="441"/>
      <c r="AC87" s="441"/>
      <c r="AD87" s="440"/>
      <c r="AE87" s="441"/>
      <c r="AF87" s="441"/>
      <c r="AG87" s="441"/>
      <c r="AH87" s="441"/>
      <c r="AI87" s="441"/>
      <c r="AJ87" s="441"/>
      <c r="AK87" s="450"/>
      <c r="AL87" s="440"/>
      <c r="AM87" s="441"/>
      <c r="AN87" s="441"/>
      <c r="AO87" s="441"/>
      <c r="AP87" s="441"/>
      <c r="AQ87" s="441"/>
      <c r="AR87" s="450"/>
      <c r="AS87" s="485"/>
      <c r="AT87" s="486"/>
      <c r="AU87" s="486"/>
      <c r="AV87" s="486"/>
      <c r="AW87" s="486"/>
      <c r="AX87" s="486"/>
      <c r="AY87" s="487"/>
      <c r="AZ87" s="462"/>
      <c r="BA87" s="463"/>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5">
      <c r="A88" s="436"/>
      <c r="B88" s="37"/>
      <c r="C88" s="200" t="str">
        <f t="shared" ca="1" si="3"/>
        <v/>
      </c>
      <c r="D88" s="481"/>
      <c r="E88" s="482"/>
      <c r="F88" s="482"/>
      <c r="G88" s="482"/>
      <c r="H88" s="482"/>
      <c r="I88" s="482"/>
      <c r="J88" s="482"/>
      <c r="K88" s="409"/>
      <c r="L88" s="410"/>
      <c r="M88" s="410"/>
      <c r="N88" s="410"/>
      <c r="O88" s="410"/>
      <c r="P88" s="410"/>
      <c r="Q88" s="410"/>
      <c r="R88" s="446"/>
      <c r="S88" s="447"/>
      <c r="T88" s="446"/>
      <c r="U88" s="44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88"/>
      <c r="AT88" s="489"/>
      <c r="AU88" s="489"/>
      <c r="AV88" s="489"/>
      <c r="AW88" s="489"/>
      <c r="AX88" s="489"/>
      <c r="AY88" s="490"/>
      <c r="AZ88" s="464"/>
      <c r="BA88" s="465"/>
      <c r="BB88" s="62">
        <v>6</v>
      </c>
      <c r="BC88" s="426"/>
      <c r="BD88" s="427"/>
      <c r="BE88" s="427"/>
      <c r="BF88" s="428"/>
      <c r="BG88" s="429"/>
      <c r="BH88" s="430"/>
      <c r="BI88" s="196"/>
      <c r="BJ88" s="474"/>
      <c r="BK88" s="475"/>
      <c r="BL88" s="475"/>
      <c r="BM88" s="475"/>
      <c r="BN88" s="475"/>
      <c r="BO88" s="476"/>
      <c r="BP88" s="474"/>
      <c r="BQ88" s="475"/>
      <c r="BR88" s="475"/>
      <c r="BS88" s="475"/>
      <c r="BT88" s="475"/>
      <c r="BU88" s="476"/>
      <c r="BV88" s="474"/>
      <c r="BW88" s="475"/>
      <c r="BX88" s="475"/>
      <c r="BY88" s="475"/>
      <c r="BZ88" s="475"/>
      <c r="CA88" s="476"/>
      <c r="CB88" s="426"/>
      <c r="CC88" s="427"/>
      <c r="CD88" s="427"/>
      <c r="CE88" s="428"/>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5">
      <c r="A89" s="434">
        <v>14</v>
      </c>
      <c r="B89" s="36"/>
      <c r="C89" s="198" t="str">
        <f t="shared" ca="1" si="3"/>
        <v/>
      </c>
      <c r="D89" s="477"/>
      <c r="E89" s="478"/>
      <c r="F89" s="478"/>
      <c r="G89" s="478"/>
      <c r="H89" s="478"/>
      <c r="I89" s="478"/>
      <c r="J89" s="478"/>
      <c r="K89" s="438" t="s">
        <v>490</v>
      </c>
      <c r="L89" s="439"/>
      <c r="M89" s="439"/>
      <c r="N89" s="439"/>
      <c r="O89" s="439"/>
      <c r="P89" s="439"/>
      <c r="Q89" s="439"/>
      <c r="R89" s="442" t="s">
        <v>186</v>
      </c>
      <c r="S89" s="443"/>
      <c r="T89" s="442"/>
      <c r="U89" s="443"/>
      <c r="V89" s="438"/>
      <c r="W89" s="439"/>
      <c r="X89" s="439"/>
      <c r="Y89" s="439"/>
      <c r="Z89" s="439"/>
      <c r="AA89" s="439"/>
      <c r="AB89" s="439"/>
      <c r="AC89" s="439"/>
      <c r="AD89" s="438"/>
      <c r="AE89" s="439"/>
      <c r="AF89" s="439"/>
      <c r="AG89" s="439"/>
      <c r="AH89" s="439"/>
      <c r="AI89" s="439"/>
      <c r="AJ89" s="439"/>
      <c r="AK89" s="449"/>
      <c r="AL89" s="438"/>
      <c r="AM89" s="439"/>
      <c r="AN89" s="439"/>
      <c r="AO89" s="439"/>
      <c r="AP89" s="439"/>
      <c r="AQ89" s="439"/>
      <c r="AR89" s="449"/>
      <c r="AS89" s="500"/>
      <c r="AT89" s="483"/>
      <c r="AU89" s="483"/>
      <c r="AV89" s="483"/>
      <c r="AW89" s="483"/>
      <c r="AX89" s="483"/>
      <c r="AY89" s="484"/>
      <c r="AZ89" s="460"/>
      <c r="BA89" s="461"/>
      <c r="BB89" s="60">
        <v>1</v>
      </c>
      <c r="BC89" s="466"/>
      <c r="BD89" s="467"/>
      <c r="BE89" s="467"/>
      <c r="BF89" s="468"/>
      <c r="BG89" s="469"/>
      <c r="BH89" s="470"/>
      <c r="BI89" s="194"/>
      <c r="BJ89" s="471"/>
      <c r="BK89" s="472"/>
      <c r="BL89" s="472"/>
      <c r="BM89" s="472"/>
      <c r="BN89" s="472"/>
      <c r="BO89" s="473"/>
      <c r="BP89" s="471"/>
      <c r="BQ89" s="472"/>
      <c r="BR89" s="472"/>
      <c r="BS89" s="472"/>
      <c r="BT89" s="472"/>
      <c r="BU89" s="473"/>
      <c r="BV89" s="471"/>
      <c r="BW89" s="472"/>
      <c r="BX89" s="472"/>
      <c r="BY89" s="472"/>
      <c r="BZ89" s="472"/>
      <c r="CA89" s="473"/>
      <c r="CB89" s="466"/>
      <c r="CC89" s="467"/>
      <c r="CD89" s="467"/>
      <c r="CE89" s="468"/>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5">
      <c r="A90" s="435"/>
      <c r="B90" s="36"/>
      <c r="C90" s="199" t="str">
        <f t="shared" ca="1" si="3"/>
        <v/>
      </c>
      <c r="D90" s="479"/>
      <c r="E90" s="480"/>
      <c r="F90" s="480"/>
      <c r="G90" s="480"/>
      <c r="H90" s="480"/>
      <c r="I90" s="480"/>
      <c r="J90" s="480"/>
      <c r="K90" s="440"/>
      <c r="L90" s="441"/>
      <c r="M90" s="441"/>
      <c r="N90" s="441"/>
      <c r="O90" s="441"/>
      <c r="P90" s="441"/>
      <c r="Q90" s="441"/>
      <c r="R90" s="444"/>
      <c r="S90" s="445"/>
      <c r="T90" s="444"/>
      <c r="U90" s="445"/>
      <c r="V90" s="440"/>
      <c r="W90" s="441"/>
      <c r="X90" s="441"/>
      <c r="Y90" s="441"/>
      <c r="Z90" s="441"/>
      <c r="AA90" s="441"/>
      <c r="AB90" s="441"/>
      <c r="AC90" s="441"/>
      <c r="AD90" s="440"/>
      <c r="AE90" s="441"/>
      <c r="AF90" s="441"/>
      <c r="AG90" s="441"/>
      <c r="AH90" s="441"/>
      <c r="AI90" s="441"/>
      <c r="AJ90" s="441"/>
      <c r="AK90" s="450"/>
      <c r="AL90" s="440"/>
      <c r="AM90" s="441"/>
      <c r="AN90" s="441"/>
      <c r="AO90" s="441"/>
      <c r="AP90" s="441"/>
      <c r="AQ90" s="441"/>
      <c r="AR90" s="450"/>
      <c r="AS90" s="485"/>
      <c r="AT90" s="486"/>
      <c r="AU90" s="486"/>
      <c r="AV90" s="486"/>
      <c r="AW90" s="486"/>
      <c r="AX90" s="486"/>
      <c r="AY90" s="487"/>
      <c r="AZ90" s="462"/>
      <c r="BA90" s="463"/>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5">
      <c r="A91" s="435"/>
      <c r="B91" s="36"/>
      <c r="C91" s="199" t="str">
        <f t="shared" ca="1" si="3"/>
        <v/>
      </c>
      <c r="D91" s="479"/>
      <c r="E91" s="480"/>
      <c r="F91" s="480"/>
      <c r="G91" s="480"/>
      <c r="H91" s="480"/>
      <c r="I91" s="480"/>
      <c r="J91" s="480"/>
      <c r="K91" s="440"/>
      <c r="L91" s="441"/>
      <c r="M91" s="441"/>
      <c r="N91" s="441"/>
      <c r="O91" s="441"/>
      <c r="P91" s="441"/>
      <c r="Q91" s="441"/>
      <c r="R91" s="444"/>
      <c r="S91" s="445"/>
      <c r="T91" s="444"/>
      <c r="U91" s="445"/>
      <c r="V91" s="440"/>
      <c r="W91" s="441"/>
      <c r="X91" s="441"/>
      <c r="Y91" s="441"/>
      <c r="Z91" s="441"/>
      <c r="AA91" s="441"/>
      <c r="AB91" s="441"/>
      <c r="AC91" s="441"/>
      <c r="AD91" s="440"/>
      <c r="AE91" s="441"/>
      <c r="AF91" s="441"/>
      <c r="AG91" s="441"/>
      <c r="AH91" s="441"/>
      <c r="AI91" s="441"/>
      <c r="AJ91" s="441"/>
      <c r="AK91" s="450"/>
      <c r="AL91" s="440"/>
      <c r="AM91" s="441"/>
      <c r="AN91" s="441"/>
      <c r="AO91" s="441"/>
      <c r="AP91" s="441"/>
      <c r="AQ91" s="441"/>
      <c r="AR91" s="450"/>
      <c r="AS91" s="485"/>
      <c r="AT91" s="486"/>
      <c r="AU91" s="486"/>
      <c r="AV91" s="486"/>
      <c r="AW91" s="486"/>
      <c r="AX91" s="486"/>
      <c r="AY91" s="487"/>
      <c r="AZ91" s="462"/>
      <c r="BA91" s="463"/>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5">
      <c r="A92" s="435"/>
      <c r="B92" s="36"/>
      <c r="C92" s="199" t="str">
        <f t="shared" ca="1" si="3"/>
        <v/>
      </c>
      <c r="D92" s="479"/>
      <c r="E92" s="480"/>
      <c r="F92" s="480"/>
      <c r="G92" s="480"/>
      <c r="H92" s="480"/>
      <c r="I92" s="480"/>
      <c r="J92" s="480"/>
      <c r="K92" s="440"/>
      <c r="L92" s="441"/>
      <c r="M92" s="441"/>
      <c r="N92" s="441"/>
      <c r="O92" s="441"/>
      <c r="P92" s="441"/>
      <c r="Q92" s="441"/>
      <c r="R92" s="444"/>
      <c r="S92" s="445"/>
      <c r="T92" s="444"/>
      <c r="U92" s="445"/>
      <c r="V92" s="440"/>
      <c r="W92" s="441"/>
      <c r="X92" s="441"/>
      <c r="Y92" s="441"/>
      <c r="Z92" s="441"/>
      <c r="AA92" s="441"/>
      <c r="AB92" s="441"/>
      <c r="AC92" s="441"/>
      <c r="AD92" s="440"/>
      <c r="AE92" s="441"/>
      <c r="AF92" s="441"/>
      <c r="AG92" s="441"/>
      <c r="AH92" s="441"/>
      <c r="AI92" s="441"/>
      <c r="AJ92" s="441"/>
      <c r="AK92" s="450"/>
      <c r="AL92" s="440"/>
      <c r="AM92" s="441"/>
      <c r="AN92" s="441"/>
      <c r="AO92" s="441"/>
      <c r="AP92" s="441"/>
      <c r="AQ92" s="441"/>
      <c r="AR92" s="450"/>
      <c r="AS92" s="485"/>
      <c r="AT92" s="486"/>
      <c r="AU92" s="486"/>
      <c r="AV92" s="486"/>
      <c r="AW92" s="486"/>
      <c r="AX92" s="486"/>
      <c r="AY92" s="487"/>
      <c r="AZ92" s="462"/>
      <c r="BA92" s="463"/>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5">
      <c r="A93" s="435"/>
      <c r="B93" s="36"/>
      <c r="C93" s="199" t="str">
        <f t="shared" ca="1" si="3"/>
        <v/>
      </c>
      <c r="D93" s="479"/>
      <c r="E93" s="480"/>
      <c r="F93" s="480"/>
      <c r="G93" s="480"/>
      <c r="H93" s="480"/>
      <c r="I93" s="480"/>
      <c r="J93" s="480"/>
      <c r="K93" s="440"/>
      <c r="L93" s="441"/>
      <c r="M93" s="441"/>
      <c r="N93" s="441"/>
      <c r="O93" s="441"/>
      <c r="P93" s="441"/>
      <c r="Q93" s="441"/>
      <c r="R93" s="444"/>
      <c r="S93" s="445"/>
      <c r="T93" s="444"/>
      <c r="U93" s="445"/>
      <c r="V93" s="440"/>
      <c r="W93" s="441"/>
      <c r="X93" s="441"/>
      <c r="Y93" s="441"/>
      <c r="Z93" s="441"/>
      <c r="AA93" s="441"/>
      <c r="AB93" s="441"/>
      <c r="AC93" s="441"/>
      <c r="AD93" s="440"/>
      <c r="AE93" s="441"/>
      <c r="AF93" s="441"/>
      <c r="AG93" s="441"/>
      <c r="AH93" s="441"/>
      <c r="AI93" s="441"/>
      <c r="AJ93" s="441"/>
      <c r="AK93" s="450"/>
      <c r="AL93" s="440"/>
      <c r="AM93" s="441"/>
      <c r="AN93" s="441"/>
      <c r="AO93" s="441"/>
      <c r="AP93" s="441"/>
      <c r="AQ93" s="441"/>
      <c r="AR93" s="450"/>
      <c r="AS93" s="485"/>
      <c r="AT93" s="486"/>
      <c r="AU93" s="486"/>
      <c r="AV93" s="486"/>
      <c r="AW93" s="486"/>
      <c r="AX93" s="486"/>
      <c r="AY93" s="487"/>
      <c r="AZ93" s="462"/>
      <c r="BA93" s="463"/>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5">
      <c r="A94" s="436"/>
      <c r="B94" s="37"/>
      <c r="C94" s="200" t="str">
        <f t="shared" ca="1" si="3"/>
        <v/>
      </c>
      <c r="D94" s="481"/>
      <c r="E94" s="482"/>
      <c r="F94" s="482"/>
      <c r="G94" s="482"/>
      <c r="H94" s="482"/>
      <c r="I94" s="482"/>
      <c r="J94" s="482"/>
      <c r="K94" s="409"/>
      <c r="L94" s="410"/>
      <c r="M94" s="410"/>
      <c r="N94" s="410"/>
      <c r="O94" s="410"/>
      <c r="P94" s="410"/>
      <c r="Q94" s="410"/>
      <c r="R94" s="446"/>
      <c r="S94" s="447"/>
      <c r="T94" s="446"/>
      <c r="U94" s="447"/>
      <c r="V94" s="409"/>
      <c r="W94" s="410"/>
      <c r="X94" s="410"/>
      <c r="Y94" s="410"/>
      <c r="Z94" s="410"/>
      <c r="AA94" s="410"/>
      <c r="AB94" s="410"/>
      <c r="AC94" s="410"/>
      <c r="AD94" s="409"/>
      <c r="AE94" s="410"/>
      <c r="AF94" s="410"/>
      <c r="AG94" s="410"/>
      <c r="AH94" s="410"/>
      <c r="AI94" s="410"/>
      <c r="AJ94" s="410"/>
      <c r="AK94" s="411"/>
      <c r="AL94" s="409"/>
      <c r="AM94" s="410"/>
      <c r="AN94" s="410"/>
      <c r="AO94" s="410"/>
      <c r="AP94" s="410"/>
      <c r="AQ94" s="410"/>
      <c r="AR94" s="411"/>
      <c r="AS94" s="488"/>
      <c r="AT94" s="489"/>
      <c r="AU94" s="489"/>
      <c r="AV94" s="489"/>
      <c r="AW94" s="489"/>
      <c r="AX94" s="489"/>
      <c r="AY94" s="490"/>
      <c r="AZ94" s="464"/>
      <c r="BA94" s="465"/>
      <c r="BB94" s="62">
        <v>6</v>
      </c>
      <c r="BC94" s="426"/>
      <c r="BD94" s="427"/>
      <c r="BE94" s="427"/>
      <c r="BF94" s="428"/>
      <c r="BG94" s="429"/>
      <c r="BH94" s="430"/>
      <c r="BI94" s="196"/>
      <c r="BJ94" s="474"/>
      <c r="BK94" s="475"/>
      <c r="BL94" s="475"/>
      <c r="BM94" s="475"/>
      <c r="BN94" s="475"/>
      <c r="BO94" s="476"/>
      <c r="BP94" s="474"/>
      <c r="BQ94" s="475"/>
      <c r="BR94" s="475"/>
      <c r="BS94" s="475"/>
      <c r="BT94" s="475"/>
      <c r="BU94" s="476"/>
      <c r="BV94" s="474"/>
      <c r="BW94" s="475"/>
      <c r="BX94" s="475"/>
      <c r="BY94" s="475"/>
      <c r="BZ94" s="475"/>
      <c r="CA94" s="476"/>
      <c r="CB94" s="426"/>
      <c r="CC94" s="427"/>
      <c r="CD94" s="427"/>
      <c r="CE94" s="428"/>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5">
      <c r="A95" s="434">
        <v>15</v>
      </c>
      <c r="B95" s="36"/>
      <c r="C95" s="198" t="str">
        <f t="shared" ca="1" si="3"/>
        <v/>
      </c>
      <c r="D95" s="477" t="s">
        <v>491</v>
      </c>
      <c r="E95" s="478"/>
      <c r="F95" s="478"/>
      <c r="G95" s="478"/>
      <c r="H95" s="478"/>
      <c r="I95" s="478"/>
      <c r="J95" s="478"/>
      <c r="K95" s="438" t="s">
        <v>492</v>
      </c>
      <c r="L95" s="439"/>
      <c r="M95" s="439"/>
      <c r="N95" s="439"/>
      <c r="O95" s="439"/>
      <c r="P95" s="439"/>
      <c r="Q95" s="439"/>
      <c r="R95" s="442" t="s">
        <v>186</v>
      </c>
      <c r="S95" s="443"/>
      <c r="T95" s="442"/>
      <c r="U95" s="443"/>
      <c r="V95" s="438"/>
      <c r="W95" s="439"/>
      <c r="X95" s="439"/>
      <c r="Y95" s="439"/>
      <c r="Z95" s="439"/>
      <c r="AA95" s="439"/>
      <c r="AB95" s="439"/>
      <c r="AC95" s="439"/>
      <c r="AD95" s="438"/>
      <c r="AE95" s="439"/>
      <c r="AF95" s="439"/>
      <c r="AG95" s="439"/>
      <c r="AH95" s="439"/>
      <c r="AI95" s="439"/>
      <c r="AJ95" s="439"/>
      <c r="AK95" s="449"/>
      <c r="AL95" s="438"/>
      <c r="AM95" s="439"/>
      <c r="AN95" s="439"/>
      <c r="AO95" s="439"/>
      <c r="AP95" s="439"/>
      <c r="AQ95" s="439"/>
      <c r="AR95" s="449"/>
      <c r="AS95" s="500"/>
      <c r="AT95" s="483"/>
      <c r="AU95" s="483"/>
      <c r="AV95" s="483"/>
      <c r="AW95" s="483"/>
      <c r="AX95" s="483"/>
      <c r="AY95" s="484"/>
      <c r="AZ95" s="460"/>
      <c r="BA95" s="461"/>
      <c r="BB95" s="60">
        <v>1</v>
      </c>
      <c r="BC95" s="466"/>
      <c r="BD95" s="467"/>
      <c r="BE95" s="467"/>
      <c r="BF95" s="468"/>
      <c r="BG95" s="469"/>
      <c r="BH95" s="470"/>
      <c r="BI95" s="194"/>
      <c r="BJ95" s="471"/>
      <c r="BK95" s="472"/>
      <c r="BL95" s="472"/>
      <c r="BM95" s="472"/>
      <c r="BN95" s="472"/>
      <c r="BO95" s="473"/>
      <c r="BP95" s="471"/>
      <c r="BQ95" s="472"/>
      <c r="BR95" s="472"/>
      <c r="BS95" s="472"/>
      <c r="BT95" s="472"/>
      <c r="BU95" s="473"/>
      <c r="BV95" s="471"/>
      <c r="BW95" s="472"/>
      <c r="BX95" s="472"/>
      <c r="BY95" s="472"/>
      <c r="BZ95" s="472"/>
      <c r="CA95" s="473"/>
      <c r="CB95" s="466"/>
      <c r="CC95" s="467"/>
      <c r="CD95" s="467"/>
      <c r="CE95" s="468"/>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5">
      <c r="A96" s="435"/>
      <c r="B96" s="36"/>
      <c r="C96" s="199" t="str">
        <f t="shared" ca="1" si="3"/>
        <v/>
      </c>
      <c r="D96" s="479"/>
      <c r="E96" s="480"/>
      <c r="F96" s="480"/>
      <c r="G96" s="480"/>
      <c r="H96" s="480"/>
      <c r="I96" s="480"/>
      <c r="J96" s="480"/>
      <c r="K96" s="440"/>
      <c r="L96" s="441"/>
      <c r="M96" s="441"/>
      <c r="N96" s="441"/>
      <c r="O96" s="441"/>
      <c r="P96" s="441"/>
      <c r="Q96" s="441"/>
      <c r="R96" s="444"/>
      <c r="S96" s="445"/>
      <c r="T96" s="444"/>
      <c r="U96" s="445"/>
      <c r="V96" s="440"/>
      <c r="W96" s="441"/>
      <c r="X96" s="441"/>
      <c r="Y96" s="441"/>
      <c r="Z96" s="441"/>
      <c r="AA96" s="441"/>
      <c r="AB96" s="441"/>
      <c r="AC96" s="441"/>
      <c r="AD96" s="440"/>
      <c r="AE96" s="441"/>
      <c r="AF96" s="441"/>
      <c r="AG96" s="441"/>
      <c r="AH96" s="441"/>
      <c r="AI96" s="441"/>
      <c r="AJ96" s="441"/>
      <c r="AK96" s="450"/>
      <c r="AL96" s="440"/>
      <c r="AM96" s="441"/>
      <c r="AN96" s="441"/>
      <c r="AO96" s="441"/>
      <c r="AP96" s="441"/>
      <c r="AQ96" s="441"/>
      <c r="AR96" s="450"/>
      <c r="AS96" s="485"/>
      <c r="AT96" s="486"/>
      <c r="AU96" s="486"/>
      <c r="AV96" s="486"/>
      <c r="AW96" s="486"/>
      <c r="AX96" s="486"/>
      <c r="AY96" s="487"/>
      <c r="AZ96" s="462"/>
      <c r="BA96" s="463"/>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5">
      <c r="A97" s="435"/>
      <c r="B97" s="36"/>
      <c r="C97" s="199" t="str">
        <f t="shared" ca="1" si="3"/>
        <v/>
      </c>
      <c r="D97" s="479"/>
      <c r="E97" s="480"/>
      <c r="F97" s="480"/>
      <c r="G97" s="480"/>
      <c r="H97" s="480"/>
      <c r="I97" s="480"/>
      <c r="J97" s="480"/>
      <c r="K97" s="440"/>
      <c r="L97" s="441"/>
      <c r="M97" s="441"/>
      <c r="N97" s="441"/>
      <c r="O97" s="441"/>
      <c r="P97" s="441"/>
      <c r="Q97" s="441"/>
      <c r="R97" s="444"/>
      <c r="S97" s="445"/>
      <c r="T97" s="444"/>
      <c r="U97" s="445"/>
      <c r="V97" s="440"/>
      <c r="W97" s="441"/>
      <c r="X97" s="441"/>
      <c r="Y97" s="441"/>
      <c r="Z97" s="441"/>
      <c r="AA97" s="441"/>
      <c r="AB97" s="441"/>
      <c r="AC97" s="441"/>
      <c r="AD97" s="440"/>
      <c r="AE97" s="441"/>
      <c r="AF97" s="441"/>
      <c r="AG97" s="441"/>
      <c r="AH97" s="441"/>
      <c r="AI97" s="441"/>
      <c r="AJ97" s="441"/>
      <c r="AK97" s="450"/>
      <c r="AL97" s="440"/>
      <c r="AM97" s="441"/>
      <c r="AN97" s="441"/>
      <c r="AO97" s="441"/>
      <c r="AP97" s="441"/>
      <c r="AQ97" s="441"/>
      <c r="AR97" s="450"/>
      <c r="AS97" s="485"/>
      <c r="AT97" s="486"/>
      <c r="AU97" s="486"/>
      <c r="AV97" s="486"/>
      <c r="AW97" s="486"/>
      <c r="AX97" s="486"/>
      <c r="AY97" s="487"/>
      <c r="AZ97" s="462"/>
      <c r="BA97" s="463"/>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5">
      <c r="A98" s="435"/>
      <c r="B98" s="36"/>
      <c r="C98" s="199" t="str">
        <f t="shared" ca="1" si="3"/>
        <v/>
      </c>
      <c r="D98" s="479"/>
      <c r="E98" s="480"/>
      <c r="F98" s="480"/>
      <c r="G98" s="480"/>
      <c r="H98" s="480"/>
      <c r="I98" s="480"/>
      <c r="J98" s="480"/>
      <c r="K98" s="440"/>
      <c r="L98" s="441"/>
      <c r="M98" s="441"/>
      <c r="N98" s="441"/>
      <c r="O98" s="441"/>
      <c r="P98" s="441"/>
      <c r="Q98" s="441"/>
      <c r="R98" s="444"/>
      <c r="S98" s="445"/>
      <c r="T98" s="444"/>
      <c r="U98" s="445"/>
      <c r="V98" s="440"/>
      <c r="W98" s="441"/>
      <c r="X98" s="441"/>
      <c r="Y98" s="441"/>
      <c r="Z98" s="441"/>
      <c r="AA98" s="441"/>
      <c r="AB98" s="441"/>
      <c r="AC98" s="441"/>
      <c r="AD98" s="440"/>
      <c r="AE98" s="441"/>
      <c r="AF98" s="441"/>
      <c r="AG98" s="441"/>
      <c r="AH98" s="441"/>
      <c r="AI98" s="441"/>
      <c r="AJ98" s="441"/>
      <c r="AK98" s="450"/>
      <c r="AL98" s="440"/>
      <c r="AM98" s="441"/>
      <c r="AN98" s="441"/>
      <c r="AO98" s="441"/>
      <c r="AP98" s="441"/>
      <c r="AQ98" s="441"/>
      <c r="AR98" s="450"/>
      <c r="AS98" s="485"/>
      <c r="AT98" s="486"/>
      <c r="AU98" s="486"/>
      <c r="AV98" s="486"/>
      <c r="AW98" s="486"/>
      <c r="AX98" s="486"/>
      <c r="AY98" s="487"/>
      <c r="AZ98" s="462"/>
      <c r="BA98" s="463"/>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5">
      <c r="A99" s="435"/>
      <c r="B99" s="36"/>
      <c r="C99" s="199" t="str">
        <f t="shared" ca="1" si="3"/>
        <v/>
      </c>
      <c r="D99" s="479"/>
      <c r="E99" s="480"/>
      <c r="F99" s="480"/>
      <c r="G99" s="480"/>
      <c r="H99" s="480"/>
      <c r="I99" s="480"/>
      <c r="J99" s="480"/>
      <c r="K99" s="440"/>
      <c r="L99" s="441"/>
      <c r="M99" s="441"/>
      <c r="N99" s="441"/>
      <c r="O99" s="441"/>
      <c r="P99" s="441"/>
      <c r="Q99" s="441"/>
      <c r="R99" s="444"/>
      <c r="S99" s="445"/>
      <c r="T99" s="444"/>
      <c r="U99" s="445"/>
      <c r="V99" s="440"/>
      <c r="W99" s="441"/>
      <c r="X99" s="441"/>
      <c r="Y99" s="441"/>
      <c r="Z99" s="441"/>
      <c r="AA99" s="441"/>
      <c r="AB99" s="441"/>
      <c r="AC99" s="441"/>
      <c r="AD99" s="440"/>
      <c r="AE99" s="441"/>
      <c r="AF99" s="441"/>
      <c r="AG99" s="441"/>
      <c r="AH99" s="441"/>
      <c r="AI99" s="441"/>
      <c r="AJ99" s="441"/>
      <c r="AK99" s="450"/>
      <c r="AL99" s="440"/>
      <c r="AM99" s="441"/>
      <c r="AN99" s="441"/>
      <c r="AO99" s="441"/>
      <c r="AP99" s="441"/>
      <c r="AQ99" s="441"/>
      <c r="AR99" s="450"/>
      <c r="AS99" s="485"/>
      <c r="AT99" s="486"/>
      <c r="AU99" s="486"/>
      <c r="AV99" s="486"/>
      <c r="AW99" s="486"/>
      <c r="AX99" s="486"/>
      <c r="AY99" s="487"/>
      <c r="AZ99" s="462"/>
      <c r="BA99" s="463"/>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5">
      <c r="A100" s="436"/>
      <c r="B100" s="37"/>
      <c r="C100" s="200" t="str">
        <f t="shared" ca="1" si="3"/>
        <v/>
      </c>
      <c r="D100" s="481"/>
      <c r="E100" s="482"/>
      <c r="F100" s="482"/>
      <c r="G100" s="482"/>
      <c r="H100" s="482"/>
      <c r="I100" s="482"/>
      <c r="J100" s="482"/>
      <c r="K100" s="409"/>
      <c r="L100" s="410"/>
      <c r="M100" s="410"/>
      <c r="N100" s="410"/>
      <c r="O100" s="410"/>
      <c r="P100" s="410"/>
      <c r="Q100" s="410"/>
      <c r="R100" s="446"/>
      <c r="S100" s="447"/>
      <c r="T100" s="446"/>
      <c r="U100" s="44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88"/>
      <c r="AT100" s="489"/>
      <c r="AU100" s="489"/>
      <c r="AV100" s="489"/>
      <c r="AW100" s="489"/>
      <c r="AX100" s="489"/>
      <c r="AY100" s="490"/>
      <c r="AZ100" s="464"/>
      <c r="BA100" s="465"/>
      <c r="BB100" s="62">
        <v>6</v>
      </c>
      <c r="BC100" s="426"/>
      <c r="BD100" s="427"/>
      <c r="BE100" s="427"/>
      <c r="BF100" s="428"/>
      <c r="BG100" s="429"/>
      <c r="BH100" s="430"/>
      <c r="BI100" s="196"/>
      <c r="BJ100" s="474"/>
      <c r="BK100" s="475"/>
      <c r="BL100" s="475"/>
      <c r="BM100" s="475"/>
      <c r="BN100" s="475"/>
      <c r="BO100" s="476"/>
      <c r="BP100" s="474"/>
      <c r="BQ100" s="475"/>
      <c r="BR100" s="475"/>
      <c r="BS100" s="475"/>
      <c r="BT100" s="475"/>
      <c r="BU100" s="476"/>
      <c r="BV100" s="474"/>
      <c r="BW100" s="475"/>
      <c r="BX100" s="475"/>
      <c r="BY100" s="475"/>
      <c r="BZ100" s="475"/>
      <c r="CA100" s="476"/>
      <c r="CB100" s="426"/>
      <c r="CC100" s="427"/>
      <c r="CD100" s="427"/>
      <c r="CE100" s="428"/>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5">
      <c r="A101" s="434">
        <v>16</v>
      </c>
      <c r="B101" s="36"/>
      <c r="C101" s="198" t="str">
        <f t="shared" ca="1" si="3"/>
        <v/>
      </c>
      <c r="D101" s="477"/>
      <c r="E101" s="478"/>
      <c r="F101" s="478"/>
      <c r="G101" s="478"/>
      <c r="H101" s="478"/>
      <c r="I101" s="478"/>
      <c r="J101" s="478"/>
      <c r="K101" s="438" t="s">
        <v>493</v>
      </c>
      <c r="L101" s="439"/>
      <c r="M101" s="439"/>
      <c r="N101" s="439"/>
      <c r="O101" s="439"/>
      <c r="P101" s="439"/>
      <c r="Q101" s="439"/>
      <c r="R101" s="442" t="s">
        <v>186</v>
      </c>
      <c r="S101" s="443"/>
      <c r="T101" s="442"/>
      <c r="U101" s="443"/>
      <c r="V101" s="438"/>
      <c r="W101" s="439"/>
      <c r="X101" s="439"/>
      <c r="Y101" s="439"/>
      <c r="Z101" s="439"/>
      <c r="AA101" s="439"/>
      <c r="AB101" s="439"/>
      <c r="AC101" s="439"/>
      <c r="AD101" s="438"/>
      <c r="AE101" s="439"/>
      <c r="AF101" s="439"/>
      <c r="AG101" s="439"/>
      <c r="AH101" s="439"/>
      <c r="AI101" s="439"/>
      <c r="AJ101" s="439"/>
      <c r="AK101" s="449"/>
      <c r="AL101" s="438"/>
      <c r="AM101" s="439"/>
      <c r="AN101" s="439"/>
      <c r="AO101" s="439"/>
      <c r="AP101" s="439"/>
      <c r="AQ101" s="439"/>
      <c r="AR101" s="449"/>
      <c r="AS101" s="500"/>
      <c r="AT101" s="483"/>
      <c r="AU101" s="483"/>
      <c r="AV101" s="483"/>
      <c r="AW101" s="483"/>
      <c r="AX101" s="483"/>
      <c r="AY101" s="484"/>
      <c r="AZ101" s="460"/>
      <c r="BA101" s="461"/>
      <c r="BB101" s="60">
        <v>1</v>
      </c>
      <c r="BC101" s="466"/>
      <c r="BD101" s="467"/>
      <c r="BE101" s="467"/>
      <c r="BF101" s="468"/>
      <c r="BG101" s="469"/>
      <c r="BH101" s="470"/>
      <c r="BI101" s="194"/>
      <c r="BJ101" s="471"/>
      <c r="BK101" s="472"/>
      <c r="BL101" s="472"/>
      <c r="BM101" s="472"/>
      <c r="BN101" s="472"/>
      <c r="BO101" s="473"/>
      <c r="BP101" s="471"/>
      <c r="BQ101" s="472"/>
      <c r="BR101" s="472"/>
      <c r="BS101" s="472"/>
      <c r="BT101" s="472"/>
      <c r="BU101" s="473"/>
      <c r="BV101" s="471"/>
      <c r="BW101" s="472"/>
      <c r="BX101" s="472"/>
      <c r="BY101" s="472"/>
      <c r="BZ101" s="472"/>
      <c r="CA101" s="473"/>
      <c r="CB101" s="466"/>
      <c r="CC101" s="467"/>
      <c r="CD101" s="467"/>
      <c r="CE101" s="468"/>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5">
      <c r="A102" s="435"/>
      <c r="B102" s="36"/>
      <c r="C102" s="199" t="str">
        <f t="shared" ca="1" si="3"/>
        <v/>
      </c>
      <c r="D102" s="479"/>
      <c r="E102" s="480"/>
      <c r="F102" s="480"/>
      <c r="G102" s="480"/>
      <c r="H102" s="480"/>
      <c r="I102" s="480"/>
      <c r="J102" s="480"/>
      <c r="K102" s="440"/>
      <c r="L102" s="441"/>
      <c r="M102" s="441"/>
      <c r="N102" s="441"/>
      <c r="O102" s="441"/>
      <c r="P102" s="441"/>
      <c r="Q102" s="441"/>
      <c r="R102" s="444"/>
      <c r="S102" s="445"/>
      <c r="T102" s="444"/>
      <c r="U102" s="445"/>
      <c r="V102" s="440"/>
      <c r="W102" s="441"/>
      <c r="X102" s="441"/>
      <c r="Y102" s="441"/>
      <c r="Z102" s="441"/>
      <c r="AA102" s="441"/>
      <c r="AB102" s="441"/>
      <c r="AC102" s="441"/>
      <c r="AD102" s="440"/>
      <c r="AE102" s="441"/>
      <c r="AF102" s="441"/>
      <c r="AG102" s="441"/>
      <c r="AH102" s="441"/>
      <c r="AI102" s="441"/>
      <c r="AJ102" s="441"/>
      <c r="AK102" s="450"/>
      <c r="AL102" s="440"/>
      <c r="AM102" s="441"/>
      <c r="AN102" s="441"/>
      <c r="AO102" s="441"/>
      <c r="AP102" s="441"/>
      <c r="AQ102" s="441"/>
      <c r="AR102" s="450"/>
      <c r="AS102" s="485"/>
      <c r="AT102" s="486"/>
      <c r="AU102" s="486"/>
      <c r="AV102" s="486"/>
      <c r="AW102" s="486"/>
      <c r="AX102" s="486"/>
      <c r="AY102" s="487"/>
      <c r="AZ102" s="462"/>
      <c r="BA102" s="463"/>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5">
      <c r="A103" s="435"/>
      <c r="B103" s="36"/>
      <c r="C103" s="199" t="str">
        <f t="shared" ca="1" si="3"/>
        <v/>
      </c>
      <c r="D103" s="479"/>
      <c r="E103" s="480"/>
      <c r="F103" s="480"/>
      <c r="G103" s="480"/>
      <c r="H103" s="480"/>
      <c r="I103" s="480"/>
      <c r="J103" s="480"/>
      <c r="K103" s="440"/>
      <c r="L103" s="441"/>
      <c r="M103" s="441"/>
      <c r="N103" s="441"/>
      <c r="O103" s="441"/>
      <c r="P103" s="441"/>
      <c r="Q103" s="441"/>
      <c r="R103" s="444"/>
      <c r="S103" s="445"/>
      <c r="T103" s="444"/>
      <c r="U103" s="445"/>
      <c r="V103" s="440"/>
      <c r="W103" s="441"/>
      <c r="X103" s="441"/>
      <c r="Y103" s="441"/>
      <c r="Z103" s="441"/>
      <c r="AA103" s="441"/>
      <c r="AB103" s="441"/>
      <c r="AC103" s="441"/>
      <c r="AD103" s="440"/>
      <c r="AE103" s="441"/>
      <c r="AF103" s="441"/>
      <c r="AG103" s="441"/>
      <c r="AH103" s="441"/>
      <c r="AI103" s="441"/>
      <c r="AJ103" s="441"/>
      <c r="AK103" s="450"/>
      <c r="AL103" s="440"/>
      <c r="AM103" s="441"/>
      <c r="AN103" s="441"/>
      <c r="AO103" s="441"/>
      <c r="AP103" s="441"/>
      <c r="AQ103" s="441"/>
      <c r="AR103" s="450"/>
      <c r="AS103" s="485"/>
      <c r="AT103" s="486"/>
      <c r="AU103" s="486"/>
      <c r="AV103" s="486"/>
      <c r="AW103" s="486"/>
      <c r="AX103" s="486"/>
      <c r="AY103" s="487"/>
      <c r="AZ103" s="462"/>
      <c r="BA103" s="463"/>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5">
      <c r="A104" s="435"/>
      <c r="B104" s="36"/>
      <c r="C104" s="199" t="str">
        <f t="shared" ca="1" si="3"/>
        <v/>
      </c>
      <c r="D104" s="479"/>
      <c r="E104" s="480"/>
      <c r="F104" s="480"/>
      <c r="G104" s="480"/>
      <c r="H104" s="480"/>
      <c r="I104" s="480"/>
      <c r="J104" s="480"/>
      <c r="K104" s="440"/>
      <c r="L104" s="441"/>
      <c r="M104" s="441"/>
      <c r="N104" s="441"/>
      <c r="O104" s="441"/>
      <c r="P104" s="441"/>
      <c r="Q104" s="441"/>
      <c r="R104" s="444"/>
      <c r="S104" s="445"/>
      <c r="T104" s="444"/>
      <c r="U104" s="445"/>
      <c r="V104" s="440"/>
      <c r="W104" s="441"/>
      <c r="X104" s="441"/>
      <c r="Y104" s="441"/>
      <c r="Z104" s="441"/>
      <c r="AA104" s="441"/>
      <c r="AB104" s="441"/>
      <c r="AC104" s="441"/>
      <c r="AD104" s="440"/>
      <c r="AE104" s="441"/>
      <c r="AF104" s="441"/>
      <c r="AG104" s="441"/>
      <c r="AH104" s="441"/>
      <c r="AI104" s="441"/>
      <c r="AJ104" s="441"/>
      <c r="AK104" s="450"/>
      <c r="AL104" s="440"/>
      <c r="AM104" s="441"/>
      <c r="AN104" s="441"/>
      <c r="AO104" s="441"/>
      <c r="AP104" s="441"/>
      <c r="AQ104" s="441"/>
      <c r="AR104" s="450"/>
      <c r="AS104" s="485"/>
      <c r="AT104" s="486"/>
      <c r="AU104" s="486"/>
      <c r="AV104" s="486"/>
      <c r="AW104" s="486"/>
      <c r="AX104" s="486"/>
      <c r="AY104" s="487"/>
      <c r="AZ104" s="462"/>
      <c r="BA104" s="463"/>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5">
      <c r="A105" s="435"/>
      <c r="B105" s="36"/>
      <c r="C105" s="199" t="str">
        <f t="shared" ca="1" si="3"/>
        <v/>
      </c>
      <c r="D105" s="479"/>
      <c r="E105" s="480"/>
      <c r="F105" s="480"/>
      <c r="G105" s="480"/>
      <c r="H105" s="480"/>
      <c r="I105" s="480"/>
      <c r="J105" s="480"/>
      <c r="K105" s="440"/>
      <c r="L105" s="441"/>
      <c r="M105" s="441"/>
      <c r="N105" s="441"/>
      <c r="O105" s="441"/>
      <c r="P105" s="441"/>
      <c r="Q105" s="441"/>
      <c r="R105" s="444"/>
      <c r="S105" s="445"/>
      <c r="T105" s="444"/>
      <c r="U105" s="445"/>
      <c r="V105" s="440"/>
      <c r="W105" s="441"/>
      <c r="X105" s="441"/>
      <c r="Y105" s="441"/>
      <c r="Z105" s="441"/>
      <c r="AA105" s="441"/>
      <c r="AB105" s="441"/>
      <c r="AC105" s="441"/>
      <c r="AD105" s="440"/>
      <c r="AE105" s="441"/>
      <c r="AF105" s="441"/>
      <c r="AG105" s="441"/>
      <c r="AH105" s="441"/>
      <c r="AI105" s="441"/>
      <c r="AJ105" s="441"/>
      <c r="AK105" s="450"/>
      <c r="AL105" s="440"/>
      <c r="AM105" s="441"/>
      <c r="AN105" s="441"/>
      <c r="AO105" s="441"/>
      <c r="AP105" s="441"/>
      <c r="AQ105" s="441"/>
      <c r="AR105" s="450"/>
      <c r="AS105" s="485"/>
      <c r="AT105" s="486"/>
      <c r="AU105" s="486"/>
      <c r="AV105" s="486"/>
      <c r="AW105" s="486"/>
      <c r="AX105" s="486"/>
      <c r="AY105" s="487"/>
      <c r="AZ105" s="462"/>
      <c r="BA105" s="463"/>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5">
      <c r="A106" s="436"/>
      <c r="B106" s="37"/>
      <c r="C106" s="200" t="str">
        <f t="shared" ca="1" si="3"/>
        <v/>
      </c>
      <c r="D106" s="481"/>
      <c r="E106" s="482"/>
      <c r="F106" s="482"/>
      <c r="G106" s="482"/>
      <c r="H106" s="482"/>
      <c r="I106" s="482"/>
      <c r="J106" s="482"/>
      <c r="K106" s="409"/>
      <c r="L106" s="410"/>
      <c r="M106" s="410"/>
      <c r="N106" s="410"/>
      <c r="O106" s="410"/>
      <c r="P106" s="410"/>
      <c r="Q106" s="410"/>
      <c r="R106" s="446"/>
      <c r="S106" s="447"/>
      <c r="T106" s="446"/>
      <c r="U106" s="44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88"/>
      <c r="AT106" s="489"/>
      <c r="AU106" s="489"/>
      <c r="AV106" s="489"/>
      <c r="AW106" s="489"/>
      <c r="AX106" s="489"/>
      <c r="AY106" s="490"/>
      <c r="AZ106" s="464"/>
      <c r="BA106" s="465"/>
      <c r="BB106" s="62">
        <v>6</v>
      </c>
      <c r="BC106" s="426"/>
      <c r="BD106" s="427"/>
      <c r="BE106" s="427"/>
      <c r="BF106" s="428"/>
      <c r="BG106" s="429"/>
      <c r="BH106" s="430"/>
      <c r="BI106" s="196"/>
      <c r="BJ106" s="474"/>
      <c r="BK106" s="475"/>
      <c r="BL106" s="475"/>
      <c r="BM106" s="475"/>
      <c r="BN106" s="475"/>
      <c r="BO106" s="476"/>
      <c r="BP106" s="474"/>
      <c r="BQ106" s="475"/>
      <c r="BR106" s="475"/>
      <c r="BS106" s="475"/>
      <c r="BT106" s="475"/>
      <c r="BU106" s="476"/>
      <c r="BV106" s="474"/>
      <c r="BW106" s="475"/>
      <c r="BX106" s="475"/>
      <c r="BY106" s="475"/>
      <c r="BZ106" s="475"/>
      <c r="CA106" s="476"/>
      <c r="CB106" s="426"/>
      <c r="CC106" s="427"/>
      <c r="CD106" s="427"/>
      <c r="CE106" s="428"/>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5">
      <c r="A107" s="434">
        <v>17</v>
      </c>
      <c r="B107" s="36"/>
      <c r="C107" s="198" t="str">
        <f t="shared" ca="1" si="3"/>
        <v/>
      </c>
      <c r="D107" s="477"/>
      <c r="E107" s="478"/>
      <c r="F107" s="478"/>
      <c r="G107" s="478"/>
      <c r="H107" s="478"/>
      <c r="I107" s="478"/>
      <c r="J107" s="478"/>
      <c r="K107" s="438" t="s">
        <v>494</v>
      </c>
      <c r="L107" s="439"/>
      <c r="M107" s="439"/>
      <c r="N107" s="439"/>
      <c r="O107" s="439"/>
      <c r="P107" s="439"/>
      <c r="Q107" s="439"/>
      <c r="R107" s="442" t="s">
        <v>186</v>
      </c>
      <c r="S107" s="443"/>
      <c r="T107" s="442"/>
      <c r="U107" s="443"/>
      <c r="V107" s="438"/>
      <c r="W107" s="439"/>
      <c r="X107" s="439"/>
      <c r="Y107" s="439"/>
      <c r="Z107" s="439"/>
      <c r="AA107" s="439"/>
      <c r="AB107" s="439"/>
      <c r="AC107" s="439"/>
      <c r="AD107" s="438"/>
      <c r="AE107" s="439"/>
      <c r="AF107" s="439"/>
      <c r="AG107" s="439"/>
      <c r="AH107" s="439"/>
      <c r="AI107" s="439"/>
      <c r="AJ107" s="439"/>
      <c r="AK107" s="449"/>
      <c r="AL107" s="438"/>
      <c r="AM107" s="439"/>
      <c r="AN107" s="439"/>
      <c r="AO107" s="439"/>
      <c r="AP107" s="439"/>
      <c r="AQ107" s="439"/>
      <c r="AR107" s="449"/>
      <c r="AS107" s="500"/>
      <c r="AT107" s="483"/>
      <c r="AU107" s="483"/>
      <c r="AV107" s="483"/>
      <c r="AW107" s="483"/>
      <c r="AX107" s="483"/>
      <c r="AY107" s="484"/>
      <c r="AZ107" s="460"/>
      <c r="BA107" s="461"/>
      <c r="BB107" s="60">
        <v>1</v>
      </c>
      <c r="BC107" s="466"/>
      <c r="BD107" s="467"/>
      <c r="BE107" s="467"/>
      <c r="BF107" s="468"/>
      <c r="BG107" s="469"/>
      <c r="BH107" s="470"/>
      <c r="BI107" s="194"/>
      <c r="BJ107" s="471"/>
      <c r="BK107" s="472"/>
      <c r="BL107" s="472"/>
      <c r="BM107" s="472"/>
      <c r="BN107" s="472"/>
      <c r="BO107" s="473"/>
      <c r="BP107" s="471"/>
      <c r="BQ107" s="472"/>
      <c r="BR107" s="472"/>
      <c r="BS107" s="472"/>
      <c r="BT107" s="472"/>
      <c r="BU107" s="473"/>
      <c r="BV107" s="471"/>
      <c r="BW107" s="472"/>
      <c r="BX107" s="472"/>
      <c r="BY107" s="472"/>
      <c r="BZ107" s="472"/>
      <c r="CA107" s="473"/>
      <c r="CB107" s="466"/>
      <c r="CC107" s="467"/>
      <c r="CD107" s="467"/>
      <c r="CE107" s="468"/>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5">
      <c r="A108" s="435"/>
      <c r="B108" s="36"/>
      <c r="C108" s="199" t="str">
        <f t="shared" ca="1" si="3"/>
        <v/>
      </c>
      <c r="D108" s="479"/>
      <c r="E108" s="480"/>
      <c r="F108" s="480"/>
      <c r="G108" s="480"/>
      <c r="H108" s="480"/>
      <c r="I108" s="480"/>
      <c r="J108" s="480"/>
      <c r="K108" s="440"/>
      <c r="L108" s="441"/>
      <c r="M108" s="441"/>
      <c r="N108" s="441"/>
      <c r="O108" s="441"/>
      <c r="P108" s="441"/>
      <c r="Q108" s="441"/>
      <c r="R108" s="444"/>
      <c r="S108" s="445"/>
      <c r="T108" s="444"/>
      <c r="U108" s="445"/>
      <c r="V108" s="440"/>
      <c r="W108" s="441"/>
      <c r="X108" s="441"/>
      <c r="Y108" s="441"/>
      <c r="Z108" s="441"/>
      <c r="AA108" s="441"/>
      <c r="AB108" s="441"/>
      <c r="AC108" s="441"/>
      <c r="AD108" s="440"/>
      <c r="AE108" s="441"/>
      <c r="AF108" s="441"/>
      <c r="AG108" s="441"/>
      <c r="AH108" s="441"/>
      <c r="AI108" s="441"/>
      <c r="AJ108" s="441"/>
      <c r="AK108" s="450"/>
      <c r="AL108" s="440"/>
      <c r="AM108" s="441"/>
      <c r="AN108" s="441"/>
      <c r="AO108" s="441"/>
      <c r="AP108" s="441"/>
      <c r="AQ108" s="441"/>
      <c r="AR108" s="450"/>
      <c r="AS108" s="485"/>
      <c r="AT108" s="486"/>
      <c r="AU108" s="486"/>
      <c r="AV108" s="486"/>
      <c r="AW108" s="486"/>
      <c r="AX108" s="486"/>
      <c r="AY108" s="487"/>
      <c r="AZ108" s="462"/>
      <c r="BA108" s="463"/>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5">
      <c r="A109" s="435"/>
      <c r="B109" s="36"/>
      <c r="C109" s="199" t="str">
        <f t="shared" ca="1" si="3"/>
        <v/>
      </c>
      <c r="D109" s="479"/>
      <c r="E109" s="480"/>
      <c r="F109" s="480"/>
      <c r="G109" s="480"/>
      <c r="H109" s="480"/>
      <c r="I109" s="480"/>
      <c r="J109" s="480"/>
      <c r="K109" s="440"/>
      <c r="L109" s="441"/>
      <c r="M109" s="441"/>
      <c r="N109" s="441"/>
      <c r="O109" s="441"/>
      <c r="P109" s="441"/>
      <c r="Q109" s="441"/>
      <c r="R109" s="444"/>
      <c r="S109" s="445"/>
      <c r="T109" s="444"/>
      <c r="U109" s="445"/>
      <c r="V109" s="440"/>
      <c r="W109" s="441"/>
      <c r="X109" s="441"/>
      <c r="Y109" s="441"/>
      <c r="Z109" s="441"/>
      <c r="AA109" s="441"/>
      <c r="AB109" s="441"/>
      <c r="AC109" s="441"/>
      <c r="AD109" s="440"/>
      <c r="AE109" s="441"/>
      <c r="AF109" s="441"/>
      <c r="AG109" s="441"/>
      <c r="AH109" s="441"/>
      <c r="AI109" s="441"/>
      <c r="AJ109" s="441"/>
      <c r="AK109" s="450"/>
      <c r="AL109" s="440"/>
      <c r="AM109" s="441"/>
      <c r="AN109" s="441"/>
      <c r="AO109" s="441"/>
      <c r="AP109" s="441"/>
      <c r="AQ109" s="441"/>
      <c r="AR109" s="450"/>
      <c r="AS109" s="485"/>
      <c r="AT109" s="486"/>
      <c r="AU109" s="486"/>
      <c r="AV109" s="486"/>
      <c r="AW109" s="486"/>
      <c r="AX109" s="486"/>
      <c r="AY109" s="487"/>
      <c r="AZ109" s="462"/>
      <c r="BA109" s="463"/>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5">
      <c r="A110" s="435"/>
      <c r="B110" s="36"/>
      <c r="C110" s="199" t="str">
        <f t="shared" ca="1" si="3"/>
        <v/>
      </c>
      <c r="D110" s="479"/>
      <c r="E110" s="480"/>
      <c r="F110" s="480"/>
      <c r="G110" s="480"/>
      <c r="H110" s="480"/>
      <c r="I110" s="480"/>
      <c r="J110" s="480"/>
      <c r="K110" s="440"/>
      <c r="L110" s="441"/>
      <c r="M110" s="441"/>
      <c r="N110" s="441"/>
      <c r="O110" s="441"/>
      <c r="P110" s="441"/>
      <c r="Q110" s="441"/>
      <c r="R110" s="444"/>
      <c r="S110" s="445"/>
      <c r="T110" s="444"/>
      <c r="U110" s="445"/>
      <c r="V110" s="440"/>
      <c r="W110" s="441"/>
      <c r="X110" s="441"/>
      <c r="Y110" s="441"/>
      <c r="Z110" s="441"/>
      <c r="AA110" s="441"/>
      <c r="AB110" s="441"/>
      <c r="AC110" s="441"/>
      <c r="AD110" s="440"/>
      <c r="AE110" s="441"/>
      <c r="AF110" s="441"/>
      <c r="AG110" s="441"/>
      <c r="AH110" s="441"/>
      <c r="AI110" s="441"/>
      <c r="AJ110" s="441"/>
      <c r="AK110" s="450"/>
      <c r="AL110" s="440"/>
      <c r="AM110" s="441"/>
      <c r="AN110" s="441"/>
      <c r="AO110" s="441"/>
      <c r="AP110" s="441"/>
      <c r="AQ110" s="441"/>
      <c r="AR110" s="450"/>
      <c r="AS110" s="485"/>
      <c r="AT110" s="486"/>
      <c r="AU110" s="486"/>
      <c r="AV110" s="486"/>
      <c r="AW110" s="486"/>
      <c r="AX110" s="486"/>
      <c r="AY110" s="487"/>
      <c r="AZ110" s="462"/>
      <c r="BA110" s="463"/>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5">
      <c r="A111" s="435"/>
      <c r="B111" s="36"/>
      <c r="C111" s="199" t="str">
        <f t="shared" ca="1" si="3"/>
        <v/>
      </c>
      <c r="D111" s="479"/>
      <c r="E111" s="480"/>
      <c r="F111" s="480"/>
      <c r="G111" s="480"/>
      <c r="H111" s="480"/>
      <c r="I111" s="480"/>
      <c r="J111" s="480"/>
      <c r="K111" s="440"/>
      <c r="L111" s="441"/>
      <c r="M111" s="441"/>
      <c r="N111" s="441"/>
      <c r="O111" s="441"/>
      <c r="P111" s="441"/>
      <c r="Q111" s="441"/>
      <c r="R111" s="444"/>
      <c r="S111" s="445"/>
      <c r="T111" s="444"/>
      <c r="U111" s="445"/>
      <c r="V111" s="440"/>
      <c r="W111" s="441"/>
      <c r="X111" s="441"/>
      <c r="Y111" s="441"/>
      <c r="Z111" s="441"/>
      <c r="AA111" s="441"/>
      <c r="AB111" s="441"/>
      <c r="AC111" s="441"/>
      <c r="AD111" s="440"/>
      <c r="AE111" s="441"/>
      <c r="AF111" s="441"/>
      <c r="AG111" s="441"/>
      <c r="AH111" s="441"/>
      <c r="AI111" s="441"/>
      <c r="AJ111" s="441"/>
      <c r="AK111" s="450"/>
      <c r="AL111" s="440"/>
      <c r="AM111" s="441"/>
      <c r="AN111" s="441"/>
      <c r="AO111" s="441"/>
      <c r="AP111" s="441"/>
      <c r="AQ111" s="441"/>
      <c r="AR111" s="450"/>
      <c r="AS111" s="485"/>
      <c r="AT111" s="486"/>
      <c r="AU111" s="486"/>
      <c r="AV111" s="486"/>
      <c r="AW111" s="486"/>
      <c r="AX111" s="486"/>
      <c r="AY111" s="487"/>
      <c r="AZ111" s="462"/>
      <c r="BA111" s="463"/>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5">
      <c r="A112" s="436"/>
      <c r="B112" s="37"/>
      <c r="C112" s="200" t="str">
        <f t="shared" ca="1" si="3"/>
        <v/>
      </c>
      <c r="D112" s="481"/>
      <c r="E112" s="482"/>
      <c r="F112" s="482"/>
      <c r="G112" s="482"/>
      <c r="H112" s="482"/>
      <c r="I112" s="482"/>
      <c r="J112" s="482"/>
      <c r="K112" s="409"/>
      <c r="L112" s="410"/>
      <c r="M112" s="410"/>
      <c r="N112" s="410"/>
      <c r="O112" s="410"/>
      <c r="P112" s="410"/>
      <c r="Q112" s="410"/>
      <c r="R112" s="446"/>
      <c r="S112" s="447"/>
      <c r="T112" s="446"/>
      <c r="U112" s="44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88"/>
      <c r="AT112" s="489"/>
      <c r="AU112" s="489"/>
      <c r="AV112" s="489"/>
      <c r="AW112" s="489"/>
      <c r="AX112" s="489"/>
      <c r="AY112" s="490"/>
      <c r="AZ112" s="464"/>
      <c r="BA112" s="465"/>
      <c r="BB112" s="62">
        <v>6</v>
      </c>
      <c r="BC112" s="426"/>
      <c r="BD112" s="427"/>
      <c r="BE112" s="427"/>
      <c r="BF112" s="428"/>
      <c r="BG112" s="429"/>
      <c r="BH112" s="430"/>
      <c r="BI112" s="196"/>
      <c r="BJ112" s="474"/>
      <c r="BK112" s="475"/>
      <c r="BL112" s="475"/>
      <c r="BM112" s="475"/>
      <c r="BN112" s="475"/>
      <c r="BO112" s="476"/>
      <c r="BP112" s="474"/>
      <c r="BQ112" s="475"/>
      <c r="BR112" s="475"/>
      <c r="BS112" s="475"/>
      <c r="BT112" s="475"/>
      <c r="BU112" s="476"/>
      <c r="BV112" s="474"/>
      <c r="BW112" s="475"/>
      <c r="BX112" s="475"/>
      <c r="BY112" s="475"/>
      <c r="BZ112" s="475"/>
      <c r="CA112" s="476"/>
      <c r="CB112" s="426"/>
      <c r="CC112" s="427"/>
      <c r="CD112" s="427"/>
      <c r="CE112" s="428"/>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5">
      <c r="A113" s="434">
        <v>18</v>
      </c>
      <c r="B113" s="36"/>
      <c r="C113" s="198" t="str">
        <f t="shared" ca="1" si="3"/>
        <v/>
      </c>
      <c r="D113" s="477" t="s">
        <v>495</v>
      </c>
      <c r="E113" s="478"/>
      <c r="F113" s="478"/>
      <c r="G113" s="478"/>
      <c r="H113" s="478"/>
      <c r="I113" s="478"/>
      <c r="J113" s="478"/>
      <c r="K113" s="438" t="s">
        <v>496</v>
      </c>
      <c r="L113" s="439"/>
      <c r="M113" s="439"/>
      <c r="N113" s="439"/>
      <c r="O113" s="439"/>
      <c r="P113" s="439"/>
      <c r="Q113" s="439"/>
      <c r="R113" s="442" t="s">
        <v>186</v>
      </c>
      <c r="S113" s="443"/>
      <c r="T113" s="442"/>
      <c r="U113" s="443"/>
      <c r="V113" s="438"/>
      <c r="W113" s="439"/>
      <c r="X113" s="439"/>
      <c r="Y113" s="439"/>
      <c r="Z113" s="439"/>
      <c r="AA113" s="439"/>
      <c r="AB113" s="439"/>
      <c r="AC113" s="439"/>
      <c r="AD113" s="438"/>
      <c r="AE113" s="439"/>
      <c r="AF113" s="439"/>
      <c r="AG113" s="439"/>
      <c r="AH113" s="439"/>
      <c r="AI113" s="439"/>
      <c r="AJ113" s="439"/>
      <c r="AK113" s="449"/>
      <c r="AL113" s="438"/>
      <c r="AM113" s="439"/>
      <c r="AN113" s="439"/>
      <c r="AO113" s="439"/>
      <c r="AP113" s="439"/>
      <c r="AQ113" s="439"/>
      <c r="AR113" s="449"/>
      <c r="AS113" s="500"/>
      <c r="AT113" s="483"/>
      <c r="AU113" s="483"/>
      <c r="AV113" s="483"/>
      <c r="AW113" s="483"/>
      <c r="AX113" s="483"/>
      <c r="AY113" s="484"/>
      <c r="AZ113" s="460"/>
      <c r="BA113" s="461"/>
      <c r="BB113" s="60">
        <v>1</v>
      </c>
      <c r="BC113" s="466"/>
      <c r="BD113" s="467"/>
      <c r="BE113" s="467"/>
      <c r="BF113" s="468"/>
      <c r="BG113" s="469"/>
      <c r="BH113" s="470"/>
      <c r="BI113" s="194"/>
      <c r="BJ113" s="471"/>
      <c r="BK113" s="472"/>
      <c r="BL113" s="472"/>
      <c r="BM113" s="472"/>
      <c r="BN113" s="472"/>
      <c r="BO113" s="473"/>
      <c r="BP113" s="471"/>
      <c r="BQ113" s="472"/>
      <c r="BR113" s="472"/>
      <c r="BS113" s="472"/>
      <c r="BT113" s="472"/>
      <c r="BU113" s="473"/>
      <c r="BV113" s="471"/>
      <c r="BW113" s="472"/>
      <c r="BX113" s="472"/>
      <c r="BY113" s="472"/>
      <c r="BZ113" s="472"/>
      <c r="CA113" s="473"/>
      <c r="CB113" s="466"/>
      <c r="CC113" s="467"/>
      <c r="CD113" s="467"/>
      <c r="CE113" s="468"/>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5">
      <c r="A114" s="435"/>
      <c r="B114" s="36"/>
      <c r="C114" s="199" t="str">
        <f t="shared" ca="1" si="3"/>
        <v/>
      </c>
      <c r="D114" s="479"/>
      <c r="E114" s="480"/>
      <c r="F114" s="480"/>
      <c r="G114" s="480"/>
      <c r="H114" s="480"/>
      <c r="I114" s="480"/>
      <c r="J114" s="480"/>
      <c r="K114" s="440"/>
      <c r="L114" s="441"/>
      <c r="M114" s="441"/>
      <c r="N114" s="441"/>
      <c r="O114" s="441"/>
      <c r="P114" s="441"/>
      <c r="Q114" s="441"/>
      <c r="R114" s="444"/>
      <c r="S114" s="445"/>
      <c r="T114" s="444"/>
      <c r="U114" s="445"/>
      <c r="V114" s="440"/>
      <c r="W114" s="441"/>
      <c r="X114" s="441"/>
      <c r="Y114" s="441"/>
      <c r="Z114" s="441"/>
      <c r="AA114" s="441"/>
      <c r="AB114" s="441"/>
      <c r="AC114" s="441"/>
      <c r="AD114" s="440"/>
      <c r="AE114" s="441"/>
      <c r="AF114" s="441"/>
      <c r="AG114" s="441"/>
      <c r="AH114" s="441"/>
      <c r="AI114" s="441"/>
      <c r="AJ114" s="441"/>
      <c r="AK114" s="450"/>
      <c r="AL114" s="440"/>
      <c r="AM114" s="441"/>
      <c r="AN114" s="441"/>
      <c r="AO114" s="441"/>
      <c r="AP114" s="441"/>
      <c r="AQ114" s="441"/>
      <c r="AR114" s="450"/>
      <c r="AS114" s="485"/>
      <c r="AT114" s="486"/>
      <c r="AU114" s="486"/>
      <c r="AV114" s="486"/>
      <c r="AW114" s="486"/>
      <c r="AX114" s="486"/>
      <c r="AY114" s="487"/>
      <c r="AZ114" s="462"/>
      <c r="BA114" s="463"/>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5">
      <c r="A115" s="435"/>
      <c r="B115" s="36"/>
      <c r="C115" s="199" t="str">
        <f t="shared" ca="1" si="3"/>
        <v/>
      </c>
      <c r="D115" s="479"/>
      <c r="E115" s="480"/>
      <c r="F115" s="480"/>
      <c r="G115" s="480"/>
      <c r="H115" s="480"/>
      <c r="I115" s="480"/>
      <c r="J115" s="480"/>
      <c r="K115" s="440"/>
      <c r="L115" s="441"/>
      <c r="M115" s="441"/>
      <c r="N115" s="441"/>
      <c r="O115" s="441"/>
      <c r="P115" s="441"/>
      <c r="Q115" s="441"/>
      <c r="R115" s="444"/>
      <c r="S115" s="445"/>
      <c r="T115" s="444"/>
      <c r="U115" s="445"/>
      <c r="V115" s="440"/>
      <c r="W115" s="441"/>
      <c r="X115" s="441"/>
      <c r="Y115" s="441"/>
      <c r="Z115" s="441"/>
      <c r="AA115" s="441"/>
      <c r="AB115" s="441"/>
      <c r="AC115" s="441"/>
      <c r="AD115" s="440"/>
      <c r="AE115" s="441"/>
      <c r="AF115" s="441"/>
      <c r="AG115" s="441"/>
      <c r="AH115" s="441"/>
      <c r="AI115" s="441"/>
      <c r="AJ115" s="441"/>
      <c r="AK115" s="450"/>
      <c r="AL115" s="440"/>
      <c r="AM115" s="441"/>
      <c r="AN115" s="441"/>
      <c r="AO115" s="441"/>
      <c r="AP115" s="441"/>
      <c r="AQ115" s="441"/>
      <c r="AR115" s="450"/>
      <c r="AS115" s="485"/>
      <c r="AT115" s="486"/>
      <c r="AU115" s="486"/>
      <c r="AV115" s="486"/>
      <c r="AW115" s="486"/>
      <c r="AX115" s="486"/>
      <c r="AY115" s="487"/>
      <c r="AZ115" s="462"/>
      <c r="BA115" s="463"/>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5">
      <c r="A116" s="435"/>
      <c r="B116" s="36"/>
      <c r="C116" s="199" t="str">
        <f t="shared" ca="1" si="3"/>
        <v/>
      </c>
      <c r="D116" s="479"/>
      <c r="E116" s="480"/>
      <c r="F116" s="480"/>
      <c r="G116" s="480"/>
      <c r="H116" s="480"/>
      <c r="I116" s="480"/>
      <c r="J116" s="480"/>
      <c r="K116" s="440"/>
      <c r="L116" s="441"/>
      <c r="M116" s="441"/>
      <c r="N116" s="441"/>
      <c r="O116" s="441"/>
      <c r="P116" s="441"/>
      <c r="Q116" s="441"/>
      <c r="R116" s="444"/>
      <c r="S116" s="445"/>
      <c r="T116" s="444"/>
      <c r="U116" s="445"/>
      <c r="V116" s="440"/>
      <c r="W116" s="441"/>
      <c r="X116" s="441"/>
      <c r="Y116" s="441"/>
      <c r="Z116" s="441"/>
      <c r="AA116" s="441"/>
      <c r="AB116" s="441"/>
      <c r="AC116" s="441"/>
      <c r="AD116" s="440"/>
      <c r="AE116" s="441"/>
      <c r="AF116" s="441"/>
      <c r="AG116" s="441"/>
      <c r="AH116" s="441"/>
      <c r="AI116" s="441"/>
      <c r="AJ116" s="441"/>
      <c r="AK116" s="450"/>
      <c r="AL116" s="440"/>
      <c r="AM116" s="441"/>
      <c r="AN116" s="441"/>
      <c r="AO116" s="441"/>
      <c r="AP116" s="441"/>
      <c r="AQ116" s="441"/>
      <c r="AR116" s="450"/>
      <c r="AS116" s="485"/>
      <c r="AT116" s="486"/>
      <c r="AU116" s="486"/>
      <c r="AV116" s="486"/>
      <c r="AW116" s="486"/>
      <c r="AX116" s="486"/>
      <c r="AY116" s="487"/>
      <c r="AZ116" s="462"/>
      <c r="BA116" s="463"/>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5">
      <c r="A117" s="435"/>
      <c r="B117" s="36"/>
      <c r="C117" s="199" t="str">
        <f t="shared" ca="1" si="3"/>
        <v/>
      </c>
      <c r="D117" s="479"/>
      <c r="E117" s="480"/>
      <c r="F117" s="480"/>
      <c r="G117" s="480"/>
      <c r="H117" s="480"/>
      <c r="I117" s="480"/>
      <c r="J117" s="480"/>
      <c r="K117" s="440"/>
      <c r="L117" s="441"/>
      <c r="M117" s="441"/>
      <c r="N117" s="441"/>
      <c r="O117" s="441"/>
      <c r="P117" s="441"/>
      <c r="Q117" s="441"/>
      <c r="R117" s="444"/>
      <c r="S117" s="445"/>
      <c r="T117" s="444"/>
      <c r="U117" s="445"/>
      <c r="V117" s="440"/>
      <c r="W117" s="441"/>
      <c r="X117" s="441"/>
      <c r="Y117" s="441"/>
      <c r="Z117" s="441"/>
      <c r="AA117" s="441"/>
      <c r="AB117" s="441"/>
      <c r="AC117" s="441"/>
      <c r="AD117" s="440"/>
      <c r="AE117" s="441"/>
      <c r="AF117" s="441"/>
      <c r="AG117" s="441"/>
      <c r="AH117" s="441"/>
      <c r="AI117" s="441"/>
      <c r="AJ117" s="441"/>
      <c r="AK117" s="450"/>
      <c r="AL117" s="440"/>
      <c r="AM117" s="441"/>
      <c r="AN117" s="441"/>
      <c r="AO117" s="441"/>
      <c r="AP117" s="441"/>
      <c r="AQ117" s="441"/>
      <c r="AR117" s="450"/>
      <c r="AS117" s="485"/>
      <c r="AT117" s="486"/>
      <c r="AU117" s="486"/>
      <c r="AV117" s="486"/>
      <c r="AW117" s="486"/>
      <c r="AX117" s="486"/>
      <c r="AY117" s="487"/>
      <c r="AZ117" s="462"/>
      <c r="BA117" s="463"/>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5">
      <c r="A118" s="436"/>
      <c r="B118" s="37"/>
      <c r="C118" s="200" t="str">
        <f t="shared" ca="1" si="3"/>
        <v/>
      </c>
      <c r="D118" s="481"/>
      <c r="E118" s="482"/>
      <c r="F118" s="482"/>
      <c r="G118" s="482"/>
      <c r="H118" s="482"/>
      <c r="I118" s="482"/>
      <c r="J118" s="482"/>
      <c r="K118" s="409"/>
      <c r="L118" s="410"/>
      <c r="M118" s="410"/>
      <c r="N118" s="410"/>
      <c r="O118" s="410"/>
      <c r="P118" s="410"/>
      <c r="Q118" s="410"/>
      <c r="R118" s="446"/>
      <c r="S118" s="447"/>
      <c r="T118" s="446"/>
      <c r="U118" s="44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88"/>
      <c r="AT118" s="489"/>
      <c r="AU118" s="489"/>
      <c r="AV118" s="489"/>
      <c r="AW118" s="489"/>
      <c r="AX118" s="489"/>
      <c r="AY118" s="490"/>
      <c r="AZ118" s="464"/>
      <c r="BA118" s="465"/>
      <c r="BB118" s="62">
        <v>6</v>
      </c>
      <c r="BC118" s="426"/>
      <c r="BD118" s="427"/>
      <c r="BE118" s="427"/>
      <c r="BF118" s="428"/>
      <c r="BG118" s="429"/>
      <c r="BH118" s="430"/>
      <c r="BI118" s="196"/>
      <c r="BJ118" s="474"/>
      <c r="BK118" s="475"/>
      <c r="BL118" s="475"/>
      <c r="BM118" s="475"/>
      <c r="BN118" s="475"/>
      <c r="BO118" s="476"/>
      <c r="BP118" s="474"/>
      <c r="BQ118" s="475"/>
      <c r="BR118" s="475"/>
      <c r="BS118" s="475"/>
      <c r="BT118" s="475"/>
      <c r="BU118" s="476"/>
      <c r="BV118" s="474"/>
      <c r="BW118" s="475"/>
      <c r="BX118" s="475"/>
      <c r="BY118" s="475"/>
      <c r="BZ118" s="475"/>
      <c r="CA118" s="476"/>
      <c r="CB118" s="426"/>
      <c r="CC118" s="427"/>
      <c r="CD118" s="427"/>
      <c r="CE118" s="428"/>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5">
      <c r="A119" s="434">
        <v>19</v>
      </c>
      <c r="B119" s="36"/>
      <c r="C119" s="198" t="str">
        <f t="shared" ca="1" si="3"/>
        <v/>
      </c>
      <c r="D119" s="477"/>
      <c r="E119" s="478"/>
      <c r="F119" s="478"/>
      <c r="G119" s="478"/>
      <c r="H119" s="478"/>
      <c r="I119" s="478"/>
      <c r="J119" s="478"/>
      <c r="K119" s="438" t="s">
        <v>497</v>
      </c>
      <c r="L119" s="439"/>
      <c r="M119" s="439"/>
      <c r="N119" s="439"/>
      <c r="O119" s="439"/>
      <c r="P119" s="439"/>
      <c r="Q119" s="439"/>
      <c r="R119" s="442" t="s">
        <v>186</v>
      </c>
      <c r="S119" s="443"/>
      <c r="T119" s="442"/>
      <c r="U119" s="443"/>
      <c r="V119" s="438"/>
      <c r="W119" s="439"/>
      <c r="X119" s="439"/>
      <c r="Y119" s="439"/>
      <c r="Z119" s="439"/>
      <c r="AA119" s="439"/>
      <c r="AB119" s="439"/>
      <c r="AC119" s="439"/>
      <c r="AD119" s="438"/>
      <c r="AE119" s="439"/>
      <c r="AF119" s="439"/>
      <c r="AG119" s="439"/>
      <c r="AH119" s="439"/>
      <c r="AI119" s="439"/>
      <c r="AJ119" s="439"/>
      <c r="AK119" s="449"/>
      <c r="AL119" s="438"/>
      <c r="AM119" s="439"/>
      <c r="AN119" s="439"/>
      <c r="AO119" s="439"/>
      <c r="AP119" s="439"/>
      <c r="AQ119" s="439"/>
      <c r="AR119" s="449"/>
      <c r="AS119" s="500"/>
      <c r="AT119" s="483"/>
      <c r="AU119" s="483"/>
      <c r="AV119" s="483"/>
      <c r="AW119" s="483"/>
      <c r="AX119" s="483"/>
      <c r="AY119" s="484"/>
      <c r="AZ119" s="460"/>
      <c r="BA119" s="461"/>
      <c r="BB119" s="60">
        <v>1</v>
      </c>
      <c r="BC119" s="466"/>
      <c r="BD119" s="467"/>
      <c r="BE119" s="467"/>
      <c r="BF119" s="468"/>
      <c r="BG119" s="469"/>
      <c r="BH119" s="470"/>
      <c r="BI119" s="194"/>
      <c r="BJ119" s="471"/>
      <c r="BK119" s="472"/>
      <c r="BL119" s="472"/>
      <c r="BM119" s="472"/>
      <c r="BN119" s="472"/>
      <c r="BO119" s="473"/>
      <c r="BP119" s="471"/>
      <c r="BQ119" s="472"/>
      <c r="BR119" s="472"/>
      <c r="BS119" s="472"/>
      <c r="BT119" s="472"/>
      <c r="BU119" s="473"/>
      <c r="BV119" s="471"/>
      <c r="BW119" s="472"/>
      <c r="BX119" s="472"/>
      <c r="BY119" s="472"/>
      <c r="BZ119" s="472"/>
      <c r="CA119" s="473"/>
      <c r="CB119" s="466"/>
      <c r="CC119" s="467"/>
      <c r="CD119" s="467"/>
      <c r="CE119" s="468"/>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5">
      <c r="A120" s="435"/>
      <c r="B120" s="36"/>
      <c r="C120" s="199" t="str">
        <f t="shared" ca="1" si="3"/>
        <v/>
      </c>
      <c r="D120" s="479"/>
      <c r="E120" s="480"/>
      <c r="F120" s="480"/>
      <c r="G120" s="480"/>
      <c r="H120" s="480"/>
      <c r="I120" s="480"/>
      <c r="J120" s="480"/>
      <c r="K120" s="440"/>
      <c r="L120" s="441"/>
      <c r="M120" s="441"/>
      <c r="N120" s="441"/>
      <c r="O120" s="441"/>
      <c r="P120" s="441"/>
      <c r="Q120" s="441"/>
      <c r="R120" s="444"/>
      <c r="S120" s="445"/>
      <c r="T120" s="444"/>
      <c r="U120" s="445"/>
      <c r="V120" s="440"/>
      <c r="W120" s="441"/>
      <c r="X120" s="441"/>
      <c r="Y120" s="441"/>
      <c r="Z120" s="441"/>
      <c r="AA120" s="441"/>
      <c r="AB120" s="441"/>
      <c r="AC120" s="441"/>
      <c r="AD120" s="440"/>
      <c r="AE120" s="441"/>
      <c r="AF120" s="441"/>
      <c r="AG120" s="441"/>
      <c r="AH120" s="441"/>
      <c r="AI120" s="441"/>
      <c r="AJ120" s="441"/>
      <c r="AK120" s="450"/>
      <c r="AL120" s="440"/>
      <c r="AM120" s="441"/>
      <c r="AN120" s="441"/>
      <c r="AO120" s="441"/>
      <c r="AP120" s="441"/>
      <c r="AQ120" s="441"/>
      <c r="AR120" s="450"/>
      <c r="AS120" s="485"/>
      <c r="AT120" s="486"/>
      <c r="AU120" s="486"/>
      <c r="AV120" s="486"/>
      <c r="AW120" s="486"/>
      <c r="AX120" s="486"/>
      <c r="AY120" s="487"/>
      <c r="AZ120" s="462"/>
      <c r="BA120" s="463"/>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5">
      <c r="A121" s="435"/>
      <c r="B121" s="36"/>
      <c r="C121" s="199" t="str">
        <f t="shared" ca="1" si="3"/>
        <v/>
      </c>
      <c r="D121" s="479"/>
      <c r="E121" s="480"/>
      <c r="F121" s="480"/>
      <c r="G121" s="480"/>
      <c r="H121" s="480"/>
      <c r="I121" s="480"/>
      <c r="J121" s="480"/>
      <c r="K121" s="440"/>
      <c r="L121" s="441"/>
      <c r="M121" s="441"/>
      <c r="N121" s="441"/>
      <c r="O121" s="441"/>
      <c r="P121" s="441"/>
      <c r="Q121" s="441"/>
      <c r="R121" s="444"/>
      <c r="S121" s="445"/>
      <c r="T121" s="444"/>
      <c r="U121" s="445"/>
      <c r="V121" s="440"/>
      <c r="W121" s="441"/>
      <c r="X121" s="441"/>
      <c r="Y121" s="441"/>
      <c r="Z121" s="441"/>
      <c r="AA121" s="441"/>
      <c r="AB121" s="441"/>
      <c r="AC121" s="441"/>
      <c r="AD121" s="440"/>
      <c r="AE121" s="441"/>
      <c r="AF121" s="441"/>
      <c r="AG121" s="441"/>
      <c r="AH121" s="441"/>
      <c r="AI121" s="441"/>
      <c r="AJ121" s="441"/>
      <c r="AK121" s="450"/>
      <c r="AL121" s="440"/>
      <c r="AM121" s="441"/>
      <c r="AN121" s="441"/>
      <c r="AO121" s="441"/>
      <c r="AP121" s="441"/>
      <c r="AQ121" s="441"/>
      <c r="AR121" s="450"/>
      <c r="AS121" s="485"/>
      <c r="AT121" s="486"/>
      <c r="AU121" s="486"/>
      <c r="AV121" s="486"/>
      <c r="AW121" s="486"/>
      <c r="AX121" s="486"/>
      <c r="AY121" s="487"/>
      <c r="AZ121" s="462"/>
      <c r="BA121" s="463"/>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5">
      <c r="A122" s="435"/>
      <c r="B122" s="36"/>
      <c r="C122" s="199" t="str">
        <f t="shared" ca="1" si="3"/>
        <v/>
      </c>
      <c r="D122" s="479"/>
      <c r="E122" s="480"/>
      <c r="F122" s="480"/>
      <c r="G122" s="480"/>
      <c r="H122" s="480"/>
      <c r="I122" s="480"/>
      <c r="J122" s="480"/>
      <c r="K122" s="440"/>
      <c r="L122" s="441"/>
      <c r="M122" s="441"/>
      <c r="N122" s="441"/>
      <c r="O122" s="441"/>
      <c r="P122" s="441"/>
      <c r="Q122" s="441"/>
      <c r="R122" s="444"/>
      <c r="S122" s="445"/>
      <c r="T122" s="444"/>
      <c r="U122" s="445"/>
      <c r="V122" s="440"/>
      <c r="W122" s="441"/>
      <c r="X122" s="441"/>
      <c r="Y122" s="441"/>
      <c r="Z122" s="441"/>
      <c r="AA122" s="441"/>
      <c r="AB122" s="441"/>
      <c r="AC122" s="441"/>
      <c r="AD122" s="440"/>
      <c r="AE122" s="441"/>
      <c r="AF122" s="441"/>
      <c r="AG122" s="441"/>
      <c r="AH122" s="441"/>
      <c r="AI122" s="441"/>
      <c r="AJ122" s="441"/>
      <c r="AK122" s="450"/>
      <c r="AL122" s="440"/>
      <c r="AM122" s="441"/>
      <c r="AN122" s="441"/>
      <c r="AO122" s="441"/>
      <c r="AP122" s="441"/>
      <c r="AQ122" s="441"/>
      <c r="AR122" s="450"/>
      <c r="AS122" s="485"/>
      <c r="AT122" s="486"/>
      <c r="AU122" s="486"/>
      <c r="AV122" s="486"/>
      <c r="AW122" s="486"/>
      <c r="AX122" s="486"/>
      <c r="AY122" s="487"/>
      <c r="AZ122" s="462"/>
      <c r="BA122" s="463"/>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5">
      <c r="A123" s="435"/>
      <c r="B123" s="36"/>
      <c r="C123" s="199" t="str">
        <f t="shared" ca="1" si="3"/>
        <v/>
      </c>
      <c r="D123" s="479"/>
      <c r="E123" s="480"/>
      <c r="F123" s="480"/>
      <c r="G123" s="480"/>
      <c r="H123" s="480"/>
      <c r="I123" s="480"/>
      <c r="J123" s="480"/>
      <c r="K123" s="440"/>
      <c r="L123" s="441"/>
      <c r="M123" s="441"/>
      <c r="N123" s="441"/>
      <c r="O123" s="441"/>
      <c r="P123" s="441"/>
      <c r="Q123" s="441"/>
      <c r="R123" s="444"/>
      <c r="S123" s="445"/>
      <c r="T123" s="444"/>
      <c r="U123" s="445"/>
      <c r="V123" s="440"/>
      <c r="W123" s="441"/>
      <c r="X123" s="441"/>
      <c r="Y123" s="441"/>
      <c r="Z123" s="441"/>
      <c r="AA123" s="441"/>
      <c r="AB123" s="441"/>
      <c r="AC123" s="441"/>
      <c r="AD123" s="440"/>
      <c r="AE123" s="441"/>
      <c r="AF123" s="441"/>
      <c r="AG123" s="441"/>
      <c r="AH123" s="441"/>
      <c r="AI123" s="441"/>
      <c r="AJ123" s="441"/>
      <c r="AK123" s="450"/>
      <c r="AL123" s="440"/>
      <c r="AM123" s="441"/>
      <c r="AN123" s="441"/>
      <c r="AO123" s="441"/>
      <c r="AP123" s="441"/>
      <c r="AQ123" s="441"/>
      <c r="AR123" s="450"/>
      <c r="AS123" s="485"/>
      <c r="AT123" s="486"/>
      <c r="AU123" s="486"/>
      <c r="AV123" s="486"/>
      <c r="AW123" s="486"/>
      <c r="AX123" s="486"/>
      <c r="AY123" s="487"/>
      <c r="AZ123" s="462"/>
      <c r="BA123" s="463"/>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5">
      <c r="A124" s="436"/>
      <c r="B124" s="37"/>
      <c r="C124" s="200" t="str">
        <f t="shared" ca="1" si="3"/>
        <v/>
      </c>
      <c r="D124" s="481"/>
      <c r="E124" s="482"/>
      <c r="F124" s="482"/>
      <c r="G124" s="482"/>
      <c r="H124" s="482"/>
      <c r="I124" s="482"/>
      <c r="J124" s="482"/>
      <c r="K124" s="409"/>
      <c r="L124" s="410"/>
      <c r="M124" s="410"/>
      <c r="N124" s="410"/>
      <c r="O124" s="410"/>
      <c r="P124" s="410"/>
      <c r="Q124" s="410"/>
      <c r="R124" s="446"/>
      <c r="S124" s="447"/>
      <c r="T124" s="446"/>
      <c r="U124" s="44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88"/>
      <c r="AT124" s="489"/>
      <c r="AU124" s="489"/>
      <c r="AV124" s="489"/>
      <c r="AW124" s="489"/>
      <c r="AX124" s="489"/>
      <c r="AY124" s="490"/>
      <c r="AZ124" s="464"/>
      <c r="BA124" s="465"/>
      <c r="BB124" s="62">
        <v>6</v>
      </c>
      <c r="BC124" s="426"/>
      <c r="BD124" s="427"/>
      <c r="BE124" s="427"/>
      <c r="BF124" s="428"/>
      <c r="BG124" s="429"/>
      <c r="BH124" s="430"/>
      <c r="BI124" s="196"/>
      <c r="BJ124" s="474"/>
      <c r="BK124" s="475"/>
      <c r="BL124" s="475"/>
      <c r="BM124" s="475"/>
      <c r="BN124" s="475"/>
      <c r="BO124" s="476"/>
      <c r="BP124" s="474"/>
      <c r="BQ124" s="475"/>
      <c r="BR124" s="475"/>
      <c r="BS124" s="475"/>
      <c r="BT124" s="475"/>
      <c r="BU124" s="476"/>
      <c r="BV124" s="474"/>
      <c r="BW124" s="475"/>
      <c r="BX124" s="475"/>
      <c r="BY124" s="475"/>
      <c r="BZ124" s="475"/>
      <c r="CA124" s="476"/>
      <c r="CB124" s="426"/>
      <c r="CC124" s="427"/>
      <c r="CD124" s="427"/>
      <c r="CE124" s="428"/>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5">
      <c r="A125" s="434">
        <v>20</v>
      </c>
      <c r="B125" s="36"/>
      <c r="C125" s="198" t="str">
        <f t="shared" ca="1" si="3"/>
        <v/>
      </c>
      <c r="D125" s="477"/>
      <c r="E125" s="478"/>
      <c r="F125" s="478"/>
      <c r="G125" s="478"/>
      <c r="H125" s="478"/>
      <c r="I125" s="478"/>
      <c r="J125" s="478"/>
      <c r="K125" s="438" t="s">
        <v>498</v>
      </c>
      <c r="L125" s="439"/>
      <c r="M125" s="439"/>
      <c r="N125" s="439"/>
      <c r="O125" s="439"/>
      <c r="P125" s="439"/>
      <c r="Q125" s="439"/>
      <c r="R125" s="442" t="s">
        <v>186</v>
      </c>
      <c r="S125" s="443"/>
      <c r="T125" s="442"/>
      <c r="U125" s="443"/>
      <c r="V125" s="438"/>
      <c r="W125" s="439"/>
      <c r="X125" s="439"/>
      <c r="Y125" s="439"/>
      <c r="Z125" s="439"/>
      <c r="AA125" s="439"/>
      <c r="AB125" s="439"/>
      <c r="AC125" s="439"/>
      <c r="AD125" s="438"/>
      <c r="AE125" s="439"/>
      <c r="AF125" s="439"/>
      <c r="AG125" s="439"/>
      <c r="AH125" s="439"/>
      <c r="AI125" s="439"/>
      <c r="AJ125" s="439"/>
      <c r="AK125" s="449"/>
      <c r="AL125" s="438"/>
      <c r="AM125" s="439"/>
      <c r="AN125" s="439"/>
      <c r="AO125" s="439"/>
      <c r="AP125" s="439"/>
      <c r="AQ125" s="439"/>
      <c r="AR125" s="449"/>
      <c r="AS125" s="500"/>
      <c r="AT125" s="483"/>
      <c r="AU125" s="483"/>
      <c r="AV125" s="483"/>
      <c r="AW125" s="483"/>
      <c r="AX125" s="483"/>
      <c r="AY125" s="484"/>
      <c r="AZ125" s="460"/>
      <c r="BA125" s="461"/>
      <c r="BB125" s="60">
        <v>1</v>
      </c>
      <c r="BC125" s="466"/>
      <c r="BD125" s="467"/>
      <c r="BE125" s="467"/>
      <c r="BF125" s="468"/>
      <c r="BG125" s="469"/>
      <c r="BH125" s="470"/>
      <c r="BI125" s="194"/>
      <c r="BJ125" s="471"/>
      <c r="BK125" s="472"/>
      <c r="BL125" s="472"/>
      <c r="BM125" s="472"/>
      <c r="BN125" s="472"/>
      <c r="BO125" s="473"/>
      <c r="BP125" s="471"/>
      <c r="BQ125" s="472"/>
      <c r="BR125" s="472"/>
      <c r="BS125" s="472"/>
      <c r="BT125" s="472"/>
      <c r="BU125" s="473"/>
      <c r="BV125" s="471"/>
      <c r="BW125" s="472"/>
      <c r="BX125" s="472"/>
      <c r="BY125" s="472"/>
      <c r="BZ125" s="472"/>
      <c r="CA125" s="473"/>
      <c r="CB125" s="466"/>
      <c r="CC125" s="467"/>
      <c r="CD125" s="467"/>
      <c r="CE125" s="468"/>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5">
      <c r="A126" s="435"/>
      <c r="B126" s="36"/>
      <c r="C126" s="199" t="str">
        <f t="shared" ca="1" si="3"/>
        <v/>
      </c>
      <c r="D126" s="479"/>
      <c r="E126" s="480"/>
      <c r="F126" s="480"/>
      <c r="G126" s="480"/>
      <c r="H126" s="480"/>
      <c r="I126" s="480"/>
      <c r="J126" s="480"/>
      <c r="K126" s="440"/>
      <c r="L126" s="441"/>
      <c r="M126" s="441"/>
      <c r="N126" s="441"/>
      <c r="O126" s="441"/>
      <c r="P126" s="441"/>
      <c r="Q126" s="441"/>
      <c r="R126" s="444"/>
      <c r="S126" s="445"/>
      <c r="T126" s="444"/>
      <c r="U126" s="445"/>
      <c r="V126" s="440"/>
      <c r="W126" s="441"/>
      <c r="X126" s="441"/>
      <c r="Y126" s="441"/>
      <c r="Z126" s="441"/>
      <c r="AA126" s="441"/>
      <c r="AB126" s="441"/>
      <c r="AC126" s="441"/>
      <c r="AD126" s="440"/>
      <c r="AE126" s="441"/>
      <c r="AF126" s="441"/>
      <c r="AG126" s="441"/>
      <c r="AH126" s="441"/>
      <c r="AI126" s="441"/>
      <c r="AJ126" s="441"/>
      <c r="AK126" s="450"/>
      <c r="AL126" s="440"/>
      <c r="AM126" s="441"/>
      <c r="AN126" s="441"/>
      <c r="AO126" s="441"/>
      <c r="AP126" s="441"/>
      <c r="AQ126" s="441"/>
      <c r="AR126" s="450"/>
      <c r="AS126" s="485"/>
      <c r="AT126" s="486"/>
      <c r="AU126" s="486"/>
      <c r="AV126" s="486"/>
      <c r="AW126" s="486"/>
      <c r="AX126" s="486"/>
      <c r="AY126" s="487"/>
      <c r="AZ126" s="462"/>
      <c r="BA126" s="463"/>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5">
      <c r="A127" s="435"/>
      <c r="B127" s="36"/>
      <c r="C127" s="199" t="str">
        <f t="shared" ca="1" si="3"/>
        <v/>
      </c>
      <c r="D127" s="479"/>
      <c r="E127" s="480"/>
      <c r="F127" s="480"/>
      <c r="G127" s="480"/>
      <c r="H127" s="480"/>
      <c r="I127" s="480"/>
      <c r="J127" s="480"/>
      <c r="K127" s="440"/>
      <c r="L127" s="441"/>
      <c r="M127" s="441"/>
      <c r="N127" s="441"/>
      <c r="O127" s="441"/>
      <c r="P127" s="441"/>
      <c r="Q127" s="441"/>
      <c r="R127" s="444"/>
      <c r="S127" s="445"/>
      <c r="T127" s="444"/>
      <c r="U127" s="445"/>
      <c r="V127" s="440"/>
      <c r="W127" s="441"/>
      <c r="X127" s="441"/>
      <c r="Y127" s="441"/>
      <c r="Z127" s="441"/>
      <c r="AA127" s="441"/>
      <c r="AB127" s="441"/>
      <c r="AC127" s="441"/>
      <c r="AD127" s="440"/>
      <c r="AE127" s="441"/>
      <c r="AF127" s="441"/>
      <c r="AG127" s="441"/>
      <c r="AH127" s="441"/>
      <c r="AI127" s="441"/>
      <c r="AJ127" s="441"/>
      <c r="AK127" s="450"/>
      <c r="AL127" s="440"/>
      <c r="AM127" s="441"/>
      <c r="AN127" s="441"/>
      <c r="AO127" s="441"/>
      <c r="AP127" s="441"/>
      <c r="AQ127" s="441"/>
      <c r="AR127" s="450"/>
      <c r="AS127" s="485"/>
      <c r="AT127" s="486"/>
      <c r="AU127" s="486"/>
      <c r="AV127" s="486"/>
      <c r="AW127" s="486"/>
      <c r="AX127" s="486"/>
      <c r="AY127" s="487"/>
      <c r="AZ127" s="462"/>
      <c r="BA127" s="463"/>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5">
      <c r="A128" s="435"/>
      <c r="B128" s="36"/>
      <c r="C128" s="199" t="str">
        <f t="shared" ca="1" si="3"/>
        <v/>
      </c>
      <c r="D128" s="479"/>
      <c r="E128" s="480"/>
      <c r="F128" s="480"/>
      <c r="G128" s="480"/>
      <c r="H128" s="480"/>
      <c r="I128" s="480"/>
      <c r="J128" s="480"/>
      <c r="K128" s="440"/>
      <c r="L128" s="441"/>
      <c r="M128" s="441"/>
      <c r="N128" s="441"/>
      <c r="O128" s="441"/>
      <c r="P128" s="441"/>
      <c r="Q128" s="441"/>
      <c r="R128" s="444"/>
      <c r="S128" s="445"/>
      <c r="T128" s="444"/>
      <c r="U128" s="445"/>
      <c r="V128" s="440"/>
      <c r="W128" s="441"/>
      <c r="X128" s="441"/>
      <c r="Y128" s="441"/>
      <c r="Z128" s="441"/>
      <c r="AA128" s="441"/>
      <c r="AB128" s="441"/>
      <c r="AC128" s="441"/>
      <c r="AD128" s="440"/>
      <c r="AE128" s="441"/>
      <c r="AF128" s="441"/>
      <c r="AG128" s="441"/>
      <c r="AH128" s="441"/>
      <c r="AI128" s="441"/>
      <c r="AJ128" s="441"/>
      <c r="AK128" s="450"/>
      <c r="AL128" s="440"/>
      <c r="AM128" s="441"/>
      <c r="AN128" s="441"/>
      <c r="AO128" s="441"/>
      <c r="AP128" s="441"/>
      <c r="AQ128" s="441"/>
      <c r="AR128" s="450"/>
      <c r="AS128" s="485"/>
      <c r="AT128" s="486"/>
      <c r="AU128" s="486"/>
      <c r="AV128" s="486"/>
      <c r="AW128" s="486"/>
      <c r="AX128" s="486"/>
      <c r="AY128" s="487"/>
      <c r="AZ128" s="462"/>
      <c r="BA128" s="463"/>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5">
      <c r="A129" s="435"/>
      <c r="B129" s="36"/>
      <c r="C129" s="199" t="str">
        <f t="shared" ca="1" si="3"/>
        <v/>
      </c>
      <c r="D129" s="479"/>
      <c r="E129" s="480"/>
      <c r="F129" s="480"/>
      <c r="G129" s="480"/>
      <c r="H129" s="480"/>
      <c r="I129" s="480"/>
      <c r="J129" s="480"/>
      <c r="K129" s="440"/>
      <c r="L129" s="441"/>
      <c r="M129" s="441"/>
      <c r="N129" s="441"/>
      <c r="O129" s="441"/>
      <c r="P129" s="441"/>
      <c r="Q129" s="441"/>
      <c r="R129" s="444"/>
      <c r="S129" s="445"/>
      <c r="T129" s="444"/>
      <c r="U129" s="445"/>
      <c r="V129" s="440"/>
      <c r="W129" s="441"/>
      <c r="X129" s="441"/>
      <c r="Y129" s="441"/>
      <c r="Z129" s="441"/>
      <c r="AA129" s="441"/>
      <c r="AB129" s="441"/>
      <c r="AC129" s="441"/>
      <c r="AD129" s="440"/>
      <c r="AE129" s="441"/>
      <c r="AF129" s="441"/>
      <c r="AG129" s="441"/>
      <c r="AH129" s="441"/>
      <c r="AI129" s="441"/>
      <c r="AJ129" s="441"/>
      <c r="AK129" s="450"/>
      <c r="AL129" s="440"/>
      <c r="AM129" s="441"/>
      <c r="AN129" s="441"/>
      <c r="AO129" s="441"/>
      <c r="AP129" s="441"/>
      <c r="AQ129" s="441"/>
      <c r="AR129" s="450"/>
      <c r="AS129" s="485"/>
      <c r="AT129" s="486"/>
      <c r="AU129" s="486"/>
      <c r="AV129" s="486"/>
      <c r="AW129" s="486"/>
      <c r="AX129" s="486"/>
      <c r="AY129" s="487"/>
      <c r="AZ129" s="462"/>
      <c r="BA129" s="463"/>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5">
      <c r="A130" s="436"/>
      <c r="B130" s="37"/>
      <c r="C130" s="200" t="str">
        <f t="shared" ca="1" si="3"/>
        <v/>
      </c>
      <c r="D130" s="481"/>
      <c r="E130" s="482"/>
      <c r="F130" s="482"/>
      <c r="G130" s="482"/>
      <c r="H130" s="482"/>
      <c r="I130" s="482"/>
      <c r="J130" s="482"/>
      <c r="K130" s="409"/>
      <c r="L130" s="410"/>
      <c r="M130" s="410"/>
      <c r="N130" s="410"/>
      <c r="O130" s="410"/>
      <c r="P130" s="410"/>
      <c r="Q130" s="410"/>
      <c r="R130" s="446"/>
      <c r="S130" s="447"/>
      <c r="T130" s="446"/>
      <c r="U130" s="44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88"/>
      <c r="AT130" s="489"/>
      <c r="AU130" s="489"/>
      <c r="AV130" s="489"/>
      <c r="AW130" s="489"/>
      <c r="AX130" s="489"/>
      <c r="AY130" s="490"/>
      <c r="AZ130" s="464"/>
      <c r="BA130" s="465"/>
      <c r="BB130" s="62">
        <v>6</v>
      </c>
      <c r="BC130" s="426"/>
      <c r="BD130" s="427"/>
      <c r="BE130" s="427"/>
      <c r="BF130" s="428"/>
      <c r="BG130" s="429"/>
      <c r="BH130" s="430"/>
      <c r="BI130" s="196"/>
      <c r="BJ130" s="474"/>
      <c r="BK130" s="475"/>
      <c r="BL130" s="475"/>
      <c r="BM130" s="475"/>
      <c r="BN130" s="475"/>
      <c r="BO130" s="476"/>
      <c r="BP130" s="474"/>
      <c r="BQ130" s="475"/>
      <c r="BR130" s="475"/>
      <c r="BS130" s="475"/>
      <c r="BT130" s="475"/>
      <c r="BU130" s="476"/>
      <c r="BV130" s="474"/>
      <c r="BW130" s="475"/>
      <c r="BX130" s="475"/>
      <c r="BY130" s="475"/>
      <c r="BZ130" s="475"/>
      <c r="CA130" s="476"/>
      <c r="CB130" s="426"/>
      <c r="CC130" s="427"/>
      <c r="CD130" s="427"/>
      <c r="CE130" s="428"/>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5">
      <c r="A131" s="434">
        <v>21</v>
      </c>
      <c r="B131" s="36"/>
      <c r="C131" s="198" t="str">
        <f t="shared" ca="1" si="3"/>
        <v/>
      </c>
      <c r="D131" s="477"/>
      <c r="E131" s="478"/>
      <c r="F131" s="478"/>
      <c r="G131" s="478"/>
      <c r="H131" s="478"/>
      <c r="I131" s="478"/>
      <c r="J131" s="478"/>
      <c r="K131" s="438" t="s">
        <v>499</v>
      </c>
      <c r="L131" s="439"/>
      <c r="M131" s="439"/>
      <c r="N131" s="439"/>
      <c r="O131" s="439"/>
      <c r="P131" s="439"/>
      <c r="Q131" s="439"/>
      <c r="R131" s="442" t="s">
        <v>186</v>
      </c>
      <c r="S131" s="443"/>
      <c r="T131" s="442"/>
      <c r="U131" s="443"/>
      <c r="V131" s="438"/>
      <c r="W131" s="439"/>
      <c r="X131" s="439"/>
      <c r="Y131" s="439"/>
      <c r="Z131" s="439"/>
      <c r="AA131" s="439"/>
      <c r="AB131" s="439"/>
      <c r="AC131" s="439"/>
      <c r="AD131" s="438"/>
      <c r="AE131" s="439"/>
      <c r="AF131" s="439"/>
      <c r="AG131" s="439"/>
      <c r="AH131" s="439"/>
      <c r="AI131" s="439"/>
      <c r="AJ131" s="439"/>
      <c r="AK131" s="449"/>
      <c r="AL131" s="438"/>
      <c r="AM131" s="439"/>
      <c r="AN131" s="439"/>
      <c r="AO131" s="439"/>
      <c r="AP131" s="439"/>
      <c r="AQ131" s="439"/>
      <c r="AR131" s="449"/>
      <c r="AS131" s="500"/>
      <c r="AT131" s="483"/>
      <c r="AU131" s="483"/>
      <c r="AV131" s="483"/>
      <c r="AW131" s="483"/>
      <c r="AX131" s="483"/>
      <c r="AY131" s="484"/>
      <c r="AZ131" s="460"/>
      <c r="BA131" s="461"/>
      <c r="BB131" s="60">
        <v>1</v>
      </c>
      <c r="BC131" s="466"/>
      <c r="BD131" s="467"/>
      <c r="BE131" s="467"/>
      <c r="BF131" s="468"/>
      <c r="BG131" s="469"/>
      <c r="BH131" s="470"/>
      <c r="BI131" s="194"/>
      <c r="BJ131" s="471"/>
      <c r="BK131" s="472"/>
      <c r="BL131" s="472"/>
      <c r="BM131" s="472"/>
      <c r="BN131" s="472"/>
      <c r="BO131" s="473"/>
      <c r="BP131" s="471"/>
      <c r="BQ131" s="472"/>
      <c r="BR131" s="472"/>
      <c r="BS131" s="472"/>
      <c r="BT131" s="472"/>
      <c r="BU131" s="473"/>
      <c r="BV131" s="471"/>
      <c r="BW131" s="472"/>
      <c r="BX131" s="472"/>
      <c r="BY131" s="472"/>
      <c r="BZ131" s="472"/>
      <c r="CA131" s="473"/>
      <c r="CB131" s="466"/>
      <c r="CC131" s="467"/>
      <c r="CD131" s="467"/>
      <c r="CE131" s="468"/>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5">
      <c r="A132" s="435"/>
      <c r="B132" s="36"/>
      <c r="C132" s="199" t="str">
        <f t="shared" ca="1" si="3"/>
        <v/>
      </c>
      <c r="D132" s="479"/>
      <c r="E132" s="480"/>
      <c r="F132" s="480"/>
      <c r="G132" s="480"/>
      <c r="H132" s="480"/>
      <c r="I132" s="480"/>
      <c r="J132" s="480"/>
      <c r="K132" s="440"/>
      <c r="L132" s="441"/>
      <c r="M132" s="441"/>
      <c r="N132" s="441"/>
      <c r="O132" s="441"/>
      <c r="P132" s="441"/>
      <c r="Q132" s="441"/>
      <c r="R132" s="444"/>
      <c r="S132" s="445"/>
      <c r="T132" s="444"/>
      <c r="U132" s="445"/>
      <c r="V132" s="440"/>
      <c r="W132" s="441"/>
      <c r="X132" s="441"/>
      <c r="Y132" s="441"/>
      <c r="Z132" s="441"/>
      <c r="AA132" s="441"/>
      <c r="AB132" s="441"/>
      <c r="AC132" s="441"/>
      <c r="AD132" s="440"/>
      <c r="AE132" s="441"/>
      <c r="AF132" s="441"/>
      <c r="AG132" s="441"/>
      <c r="AH132" s="441"/>
      <c r="AI132" s="441"/>
      <c r="AJ132" s="441"/>
      <c r="AK132" s="450"/>
      <c r="AL132" s="440"/>
      <c r="AM132" s="441"/>
      <c r="AN132" s="441"/>
      <c r="AO132" s="441"/>
      <c r="AP132" s="441"/>
      <c r="AQ132" s="441"/>
      <c r="AR132" s="450"/>
      <c r="AS132" s="485"/>
      <c r="AT132" s="486"/>
      <c r="AU132" s="486"/>
      <c r="AV132" s="486"/>
      <c r="AW132" s="486"/>
      <c r="AX132" s="486"/>
      <c r="AY132" s="487"/>
      <c r="AZ132" s="462"/>
      <c r="BA132" s="463"/>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5">
      <c r="A133" s="435"/>
      <c r="B133" s="36"/>
      <c r="C133" s="199" t="str">
        <f t="shared" ca="1" si="3"/>
        <v/>
      </c>
      <c r="D133" s="479"/>
      <c r="E133" s="480"/>
      <c r="F133" s="480"/>
      <c r="G133" s="480"/>
      <c r="H133" s="480"/>
      <c r="I133" s="480"/>
      <c r="J133" s="480"/>
      <c r="K133" s="440"/>
      <c r="L133" s="441"/>
      <c r="M133" s="441"/>
      <c r="N133" s="441"/>
      <c r="O133" s="441"/>
      <c r="P133" s="441"/>
      <c r="Q133" s="441"/>
      <c r="R133" s="444"/>
      <c r="S133" s="445"/>
      <c r="T133" s="444"/>
      <c r="U133" s="445"/>
      <c r="V133" s="440"/>
      <c r="W133" s="441"/>
      <c r="X133" s="441"/>
      <c r="Y133" s="441"/>
      <c r="Z133" s="441"/>
      <c r="AA133" s="441"/>
      <c r="AB133" s="441"/>
      <c r="AC133" s="441"/>
      <c r="AD133" s="440"/>
      <c r="AE133" s="441"/>
      <c r="AF133" s="441"/>
      <c r="AG133" s="441"/>
      <c r="AH133" s="441"/>
      <c r="AI133" s="441"/>
      <c r="AJ133" s="441"/>
      <c r="AK133" s="450"/>
      <c r="AL133" s="440"/>
      <c r="AM133" s="441"/>
      <c r="AN133" s="441"/>
      <c r="AO133" s="441"/>
      <c r="AP133" s="441"/>
      <c r="AQ133" s="441"/>
      <c r="AR133" s="450"/>
      <c r="AS133" s="485"/>
      <c r="AT133" s="486"/>
      <c r="AU133" s="486"/>
      <c r="AV133" s="486"/>
      <c r="AW133" s="486"/>
      <c r="AX133" s="486"/>
      <c r="AY133" s="487"/>
      <c r="AZ133" s="462"/>
      <c r="BA133" s="463"/>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5">
      <c r="A134" s="435"/>
      <c r="B134" s="36"/>
      <c r="C134" s="199" t="str">
        <f t="shared" ca="1" si="3"/>
        <v/>
      </c>
      <c r="D134" s="479"/>
      <c r="E134" s="480"/>
      <c r="F134" s="480"/>
      <c r="G134" s="480"/>
      <c r="H134" s="480"/>
      <c r="I134" s="480"/>
      <c r="J134" s="480"/>
      <c r="K134" s="440"/>
      <c r="L134" s="441"/>
      <c r="M134" s="441"/>
      <c r="N134" s="441"/>
      <c r="O134" s="441"/>
      <c r="P134" s="441"/>
      <c r="Q134" s="441"/>
      <c r="R134" s="444"/>
      <c r="S134" s="445"/>
      <c r="T134" s="444"/>
      <c r="U134" s="445"/>
      <c r="V134" s="440"/>
      <c r="W134" s="441"/>
      <c r="X134" s="441"/>
      <c r="Y134" s="441"/>
      <c r="Z134" s="441"/>
      <c r="AA134" s="441"/>
      <c r="AB134" s="441"/>
      <c r="AC134" s="441"/>
      <c r="AD134" s="440"/>
      <c r="AE134" s="441"/>
      <c r="AF134" s="441"/>
      <c r="AG134" s="441"/>
      <c r="AH134" s="441"/>
      <c r="AI134" s="441"/>
      <c r="AJ134" s="441"/>
      <c r="AK134" s="450"/>
      <c r="AL134" s="440"/>
      <c r="AM134" s="441"/>
      <c r="AN134" s="441"/>
      <c r="AO134" s="441"/>
      <c r="AP134" s="441"/>
      <c r="AQ134" s="441"/>
      <c r="AR134" s="450"/>
      <c r="AS134" s="485"/>
      <c r="AT134" s="486"/>
      <c r="AU134" s="486"/>
      <c r="AV134" s="486"/>
      <c r="AW134" s="486"/>
      <c r="AX134" s="486"/>
      <c r="AY134" s="487"/>
      <c r="AZ134" s="462"/>
      <c r="BA134" s="463"/>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5">
      <c r="A135" s="435"/>
      <c r="B135" s="36"/>
      <c r="C135" s="199" t="str">
        <f t="shared" ca="1" si="3"/>
        <v/>
      </c>
      <c r="D135" s="479"/>
      <c r="E135" s="480"/>
      <c r="F135" s="480"/>
      <c r="G135" s="480"/>
      <c r="H135" s="480"/>
      <c r="I135" s="480"/>
      <c r="J135" s="480"/>
      <c r="K135" s="440"/>
      <c r="L135" s="441"/>
      <c r="M135" s="441"/>
      <c r="N135" s="441"/>
      <c r="O135" s="441"/>
      <c r="P135" s="441"/>
      <c r="Q135" s="441"/>
      <c r="R135" s="444"/>
      <c r="S135" s="445"/>
      <c r="T135" s="444"/>
      <c r="U135" s="445"/>
      <c r="V135" s="440"/>
      <c r="W135" s="441"/>
      <c r="X135" s="441"/>
      <c r="Y135" s="441"/>
      <c r="Z135" s="441"/>
      <c r="AA135" s="441"/>
      <c r="AB135" s="441"/>
      <c r="AC135" s="441"/>
      <c r="AD135" s="440"/>
      <c r="AE135" s="441"/>
      <c r="AF135" s="441"/>
      <c r="AG135" s="441"/>
      <c r="AH135" s="441"/>
      <c r="AI135" s="441"/>
      <c r="AJ135" s="441"/>
      <c r="AK135" s="450"/>
      <c r="AL135" s="440"/>
      <c r="AM135" s="441"/>
      <c r="AN135" s="441"/>
      <c r="AO135" s="441"/>
      <c r="AP135" s="441"/>
      <c r="AQ135" s="441"/>
      <c r="AR135" s="450"/>
      <c r="AS135" s="485"/>
      <c r="AT135" s="486"/>
      <c r="AU135" s="486"/>
      <c r="AV135" s="486"/>
      <c r="AW135" s="486"/>
      <c r="AX135" s="486"/>
      <c r="AY135" s="487"/>
      <c r="AZ135" s="462"/>
      <c r="BA135" s="463"/>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5">
      <c r="A136" s="436"/>
      <c r="B136" s="37"/>
      <c r="C136" s="200" t="str">
        <f t="shared" ca="1" si="3"/>
        <v/>
      </c>
      <c r="D136" s="481"/>
      <c r="E136" s="482"/>
      <c r="F136" s="482"/>
      <c r="G136" s="482"/>
      <c r="H136" s="482"/>
      <c r="I136" s="482"/>
      <c r="J136" s="482"/>
      <c r="K136" s="409"/>
      <c r="L136" s="410"/>
      <c r="M136" s="410"/>
      <c r="N136" s="410"/>
      <c r="O136" s="410"/>
      <c r="P136" s="410"/>
      <c r="Q136" s="410"/>
      <c r="R136" s="446"/>
      <c r="S136" s="447"/>
      <c r="T136" s="446"/>
      <c r="U136" s="44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88"/>
      <c r="AT136" s="489"/>
      <c r="AU136" s="489"/>
      <c r="AV136" s="489"/>
      <c r="AW136" s="489"/>
      <c r="AX136" s="489"/>
      <c r="AY136" s="490"/>
      <c r="AZ136" s="464"/>
      <c r="BA136" s="465"/>
      <c r="BB136" s="62">
        <v>6</v>
      </c>
      <c r="BC136" s="426"/>
      <c r="BD136" s="427"/>
      <c r="BE136" s="427"/>
      <c r="BF136" s="428"/>
      <c r="BG136" s="429"/>
      <c r="BH136" s="430"/>
      <c r="BI136" s="196"/>
      <c r="BJ136" s="474"/>
      <c r="BK136" s="475"/>
      <c r="BL136" s="475"/>
      <c r="BM136" s="475"/>
      <c r="BN136" s="475"/>
      <c r="BO136" s="476"/>
      <c r="BP136" s="474"/>
      <c r="BQ136" s="475"/>
      <c r="BR136" s="475"/>
      <c r="BS136" s="475"/>
      <c r="BT136" s="475"/>
      <c r="BU136" s="476"/>
      <c r="BV136" s="474"/>
      <c r="BW136" s="475"/>
      <c r="BX136" s="475"/>
      <c r="BY136" s="475"/>
      <c r="BZ136" s="475"/>
      <c r="CA136" s="476"/>
      <c r="CB136" s="426"/>
      <c r="CC136" s="427"/>
      <c r="CD136" s="427"/>
      <c r="CE136" s="428"/>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5">
      <c r="A137" s="434">
        <v>22</v>
      </c>
      <c r="B137" s="36"/>
      <c r="C137" s="198" t="str">
        <f t="shared" ca="1" si="3"/>
        <v/>
      </c>
      <c r="D137" s="477"/>
      <c r="E137" s="478"/>
      <c r="F137" s="478"/>
      <c r="G137" s="478"/>
      <c r="H137" s="478"/>
      <c r="I137" s="478"/>
      <c r="J137" s="478"/>
      <c r="K137" s="438" t="s">
        <v>500</v>
      </c>
      <c r="L137" s="439"/>
      <c r="M137" s="439"/>
      <c r="N137" s="439"/>
      <c r="O137" s="439"/>
      <c r="P137" s="439"/>
      <c r="Q137" s="439"/>
      <c r="R137" s="442" t="s">
        <v>186</v>
      </c>
      <c r="S137" s="443"/>
      <c r="T137" s="442"/>
      <c r="U137" s="443"/>
      <c r="V137" s="438"/>
      <c r="W137" s="439"/>
      <c r="X137" s="439"/>
      <c r="Y137" s="439"/>
      <c r="Z137" s="439"/>
      <c r="AA137" s="439"/>
      <c r="AB137" s="439"/>
      <c r="AC137" s="439"/>
      <c r="AD137" s="438"/>
      <c r="AE137" s="439"/>
      <c r="AF137" s="439"/>
      <c r="AG137" s="439"/>
      <c r="AH137" s="439"/>
      <c r="AI137" s="439"/>
      <c r="AJ137" s="439"/>
      <c r="AK137" s="449"/>
      <c r="AL137" s="438"/>
      <c r="AM137" s="439"/>
      <c r="AN137" s="439"/>
      <c r="AO137" s="439"/>
      <c r="AP137" s="439"/>
      <c r="AQ137" s="439"/>
      <c r="AR137" s="449"/>
      <c r="AS137" s="500"/>
      <c r="AT137" s="483"/>
      <c r="AU137" s="483"/>
      <c r="AV137" s="483"/>
      <c r="AW137" s="483"/>
      <c r="AX137" s="483"/>
      <c r="AY137" s="484"/>
      <c r="AZ137" s="460"/>
      <c r="BA137" s="461"/>
      <c r="BB137" s="60">
        <v>1</v>
      </c>
      <c r="BC137" s="466"/>
      <c r="BD137" s="467"/>
      <c r="BE137" s="467"/>
      <c r="BF137" s="468"/>
      <c r="BG137" s="469"/>
      <c r="BH137" s="470"/>
      <c r="BI137" s="194"/>
      <c r="BJ137" s="471"/>
      <c r="BK137" s="472"/>
      <c r="BL137" s="472"/>
      <c r="BM137" s="472"/>
      <c r="BN137" s="472"/>
      <c r="BO137" s="473"/>
      <c r="BP137" s="471"/>
      <c r="BQ137" s="472"/>
      <c r="BR137" s="472"/>
      <c r="BS137" s="472"/>
      <c r="BT137" s="472"/>
      <c r="BU137" s="473"/>
      <c r="BV137" s="471"/>
      <c r="BW137" s="472"/>
      <c r="BX137" s="472"/>
      <c r="BY137" s="472"/>
      <c r="BZ137" s="472"/>
      <c r="CA137" s="473"/>
      <c r="CB137" s="466"/>
      <c r="CC137" s="467"/>
      <c r="CD137" s="467"/>
      <c r="CE137" s="468"/>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5">
      <c r="A138" s="435"/>
      <c r="B138" s="36"/>
      <c r="C138" s="199" t="str">
        <f t="shared" ca="1" si="3"/>
        <v/>
      </c>
      <c r="D138" s="479"/>
      <c r="E138" s="480"/>
      <c r="F138" s="480"/>
      <c r="G138" s="480"/>
      <c r="H138" s="480"/>
      <c r="I138" s="480"/>
      <c r="J138" s="480"/>
      <c r="K138" s="440"/>
      <c r="L138" s="441"/>
      <c r="M138" s="441"/>
      <c r="N138" s="441"/>
      <c r="O138" s="441"/>
      <c r="P138" s="441"/>
      <c r="Q138" s="441"/>
      <c r="R138" s="444"/>
      <c r="S138" s="445"/>
      <c r="T138" s="444"/>
      <c r="U138" s="445"/>
      <c r="V138" s="440"/>
      <c r="W138" s="441"/>
      <c r="X138" s="441"/>
      <c r="Y138" s="441"/>
      <c r="Z138" s="441"/>
      <c r="AA138" s="441"/>
      <c r="AB138" s="441"/>
      <c r="AC138" s="441"/>
      <c r="AD138" s="440"/>
      <c r="AE138" s="441"/>
      <c r="AF138" s="441"/>
      <c r="AG138" s="441"/>
      <c r="AH138" s="441"/>
      <c r="AI138" s="441"/>
      <c r="AJ138" s="441"/>
      <c r="AK138" s="450"/>
      <c r="AL138" s="440"/>
      <c r="AM138" s="441"/>
      <c r="AN138" s="441"/>
      <c r="AO138" s="441"/>
      <c r="AP138" s="441"/>
      <c r="AQ138" s="441"/>
      <c r="AR138" s="450"/>
      <c r="AS138" s="485"/>
      <c r="AT138" s="486"/>
      <c r="AU138" s="486"/>
      <c r="AV138" s="486"/>
      <c r="AW138" s="486"/>
      <c r="AX138" s="486"/>
      <c r="AY138" s="487"/>
      <c r="AZ138" s="462"/>
      <c r="BA138" s="463"/>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5">
      <c r="A139" s="435"/>
      <c r="B139" s="36"/>
      <c r="C139" s="199" t="str">
        <f t="shared" ca="1" si="3"/>
        <v/>
      </c>
      <c r="D139" s="479"/>
      <c r="E139" s="480"/>
      <c r="F139" s="480"/>
      <c r="G139" s="480"/>
      <c r="H139" s="480"/>
      <c r="I139" s="480"/>
      <c r="J139" s="480"/>
      <c r="K139" s="440"/>
      <c r="L139" s="441"/>
      <c r="M139" s="441"/>
      <c r="N139" s="441"/>
      <c r="O139" s="441"/>
      <c r="P139" s="441"/>
      <c r="Q139" s="441"/>
      <c r="R139" s="444"/>
      <c r="S139" s="445"/>
      <c r="T139" s="444"/>
      <c r="U139" s="445"/>
      <c r="V139" s="440"/>
      <c r="W139" s="441"/>
      <c r="X139" s="441"/>
      <c r="Y139" s="441"/>
      <c r="Z139" s="441"/>
      <c r="AA139" s="441"/>
      <c r="AB139" s="441"/>
      <c r="AC139" s="441"/>
      <c r="AD139" s="440"/>
      <c r="AE139" s="441"/>
      <c r="AF139" s="441"/>
      <c r="AG139" s="441"/>
      <c r="AH139" s="441"/>
      <c r="AI139" s="441"/>
      <c r="AJ139" s="441"/>
      <c r="AK139" s="450"/>
      <c r="AL139" s="440"/>
      <c r="AM139" s="441"/>
      <c r="AN139" s="441"/>
      <c r="AO139" s="441"/>
      <c r="AP139" s="441"/>
      <c r="AQ139" s="441"/>
      <c r="AR139" s="450"/>
      <c r="AS139" s="485"/>
      <c r="AT139" s="486"/>
      <c r="AU139" s="486"/>
      <c r="AV139" s="486"/>
      <c r="AW139" s="486"/>
      <c r="AX139" s="486"/>
      <c r="AY139" s="487"/>
      <c r="AZ139" s="462"/>
      <c r="BA139" s="463"/>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5">
      <c r="A140" s="435"/>
      <c r="B140" s="36"/>
      <c r="C140" s="199" t="str">
        <f t="shared" ref="C140:C203" ca="1" si="4">IF(AND(OFFSET($K140,-($BB140-1),0)&lt;&gt;"",OFFSET($R140,-($BB140-1),0)&lt;&gt;"x"),"●","")</f>
        <v/>
      </c>
      <c r="D140" s="479"/>
      <c r="E140" s="480"/>
      <c r="F140" s="480"/>
      <c r="G140" s="480"/>
      <c r="H140" s="480"/>
      <c r="I140" s="480"/>
      <c r="J140" s="480"/>
      <c r="K140" s="440"/>
      <c r="L140" s="441"/>
      <c r="M140" s="441"/>
      <c r="N140" s="441"/>
      <c r="O140" s="441"/>
      <c r="P140" s="441"/>
      <c r="Q140" s="441"/>
      <c r="R140" s="444"/>
      <c r="S140" s="445"/>
      <c r="T140" s="444"/>
      <c r="U140" s="445"/>
      <c r="V140" s="440"/>
      <c r="W140" s="441"/>
      <c r="X140" s="441"/>
      <c r="Y140" s="441"/>
      <c r="Z140" s="441"/>
      <c r="AA140" s="441"/>
      <c r="AB140" s="441"/>
      <c r="AC140" s="441"/>
      <c r="AD140" s="440"/>
      <c r="AE140" s="441"/>
      <c r="AF140" s="441"/>
      <c r="AG140" s="441"/>
      <c r="AH140" s="441"/>
      <c r="AI140" s="441"/>
      <c r="AJ140" s="441"/>
      <c r="AK140" s="450"/>
      <c r="AL140" s="440"/>
      <c r="AM140" s="441"/>
      <c r="AN140" s="441"/>
      <c r="AO140" s="441"/>
      <c r="AP140" s="441"/>
      <c r="AQ140" s="441"/>
      <c r="AR140" s="450"/>
      <c r="AS140" s="485"/>
      <c r="AT140" s="486"/>
      <c r="AU140" s="486"/>
      <c r="AV140" s="486"/>
      <c r="AW140" s="486"/>
      <c r="AX140" s="486"/>
      <c r="AY140" s="487"/>
      <c r="AZ140" s="462"/>
      <c r="BA140" s="463"/>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5">
      <c r="A141" s="435"/>
      <c r="B141" s="36"/>
      <c r="C141" s="199" t="str">
        <f t="shared" ca="1" si="4"/>
        <v/>
      </c>
      <c r="D141" s="479"/>
      <c r="E141" s="480"/>
      <c r="F141" s="480"/>
      <c r="G141" s="480"/>
      <c r="H141" s="480"/>
      <c r="I141" s="480"/>
      <c r="J141" s="480"/>
      <c r="K141" s="440"/>
      <c r="L141" s="441"/>
      <c r="M141" s="441"/>
      <c r="N141" s="441"/>
      <c r="O141" s="441"/>
      <c r="P141" s="441"/>
      <c r="Q141" s="441"/>
      <c r="R141" s="444"/>
      <c r="S141" s="445"/>
      <c r="T141" s="444"/>
      <c r="U141" s="445"/>
      <c r="V141" s="440"/>
      <c r="W141" s="441"/>
      <c r="X141" s="441"/>
      <c r="Y141" s="441"/>
      <c r="Z141" s="441"/>
      <c r="AA141" s="441"/>
      <c r="AB141" s="441"/>
      <c r="AC141" s="441"/>
      <c r="AD141" s="440"/>
      <c r="AE141" s="441"/>
      <c r="AF141" s="441"/>
      <c r="AG141" s="441"/>
      <c r="AH141" s="441"/>
      <c r="AI141" s="441"/>
      <c r="AJ141" s="441"/>
      <c r="AK141" s="450"/>
      <c r="AL141" s="440"/>
      <c r="AM141" s="441"/>
      <c r="AN141" s="441"/>
      <c r="AO141" s="441"/>
      <c r="AP141" s="441"/>
      <c r="AQ141" s="441"/>
      <c r="AR141" s="450"/>
      <c r="AS141" s="485"/>
      <c r="AT141" s="486"/>
      <c r="AU141" s="486"/>
      <c r="AV141" s="486"/>
      <c r="AW141" s="486"/>
      <c r="AX141" s="486"/>
      <c r="AY141" s="487"/>
      <c r="AZ141" s="462"/>
      <c r="BA141" s="463"/>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5">
      <c r="A142" s="436"/>
      <c r="B142" s="37"/>
      <c r="C142" s="200" t="str">
        <f t="shared" ca="1" si="4"/>
        <v/>
      </c>
      <c r="D142" s="481"/>
      <c r="E142" s="482"/>
      <c r="F142" s="482"/>
      <c r="G142" s="482"/>
      <c r="H142" s="482"/>
      <c r="I142" s="482"/>
      <c r="J142" s="482"/>
      <c r="K142" s="409"/>
      <c r="L142" s="410"/>
      <c r="M142" s="410"/>
      <c r="N142" s="410"/>
      <c r="O142" s="410"/>
      <c r="P142" s="410"/>
      <c r="Q142" s="410"/>
      <c r="R142" s="446"/>
      <c r="S142" s="447"/>
      <c r="T142" s="446"/>
      <c r="U142" s="44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88"/>
      <c r="AT142" s="489"/>
      <c r="AU142" s="489"/>
      <c r="AV142" s="489"/>
      <c r="AW142" s="489"/>
      <c r="AX142" s="489"/>
      <c r="AY142" s="490"/>
      <c r="AZ142" s="464"/>
      <c r="BA142" s="465"/>
      <c r="BB142" s="62">
        <v>6</v>
      </c>
      <c r="BC142" s="426"/>
      <c r="BD142" s="427"/>
      <c r="BE142" s="427"/>
      <c r="BF142" s="428"/>
      <c r="BG142" s="429"/>
      <c r="BH142" s="430"/>
      <c r="BI142" s="196"/>
      <c r="BJ142" s="474"/>
      <c r="BK142" s="475"/>
      <c r="BL142" s="475"/>
      <c r="BM142" s="475"/>
      <c r="BN142" s="475"/>
      <c r="BO142" s="476"/>
      <c r="BP142" s="474"/>
      <c r="BQ142" s="475"/>
      <c r="BR142" s="475"/>
      <c r="BS142" s="475"/>
      <c r="BT142" s="475"/>
      <c r="BU142" s="476"/>
      <c r="BV142" s="474"/>
      <c r="BW142" s="475"/>
      <c r="BX142" s="475"/>
      <c r="BY142" s="475"/>
      <c r="BZ142" s="475"/>
      <c r="CA142" s="476"/>
      <c r="CB142" s="426"/>
      <c r="CC142" s="427"/>
      <c r="CD142" s="427"/>
      <c r="CE142" s="428"/>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5">
      <c r="A143" s="434">
        <v>23</v>
      </c>
      <c r="B143" s="36"/>
      <c r="C143" s="198" t="str">
        <f t="shared" ca="1" si="4"/>
        <v/>
      </c>
      <c r="D143" s="477"/>
      <c r="E143" s="478"/>
      <c r="F143" s="478"/>
      <c r="G143" s="478"/>
      <c r="H143" s="478"/>
      <c r="I143" s="478"/>
      <c r="J143" s="478"/>
      <c r="K143" s="438" t="s">
        <v>501</v>
      </c>
      <c r="L143" s="439"/>
      <c r="M143" s="439"/>
      <c r="N143" s="439"/>
      <c r="O143" s="439"/>
      <c r="P143" s="439"/>
      <c r="Q143" s="439"/>
      <c r="R143" s="442" t="s">
        <v>186</v>
      </c>
      <c r="S143" s="443"/>
      <c r="T143" s="442"/>
      <c r="U143" s="443"/>
      <c r="V143" s="438"/>
      <c r="W143" s="439"/>
      <c r="X143" s="439"/>
      <c r="Y143" s="439"/>
      <c r="Z143" s="439"/>
      <c r="AA143" s="439"/>
      <c r="AB143" s="439"/>
      <c r="AC143" s="439"/>
      <c r="AD143" s="438"/>
      <c r="AE143" s="439"/>
      <c r="AF143" s="439"/>
      <c r="AG143" s="439"/>
      <c r="AH143" s="439"/>
      <c r="AI143" s="439"/>
      <c r="AJ143" s="439"/>
      <c r="AK143" s="449"/>
      <c r="AL143" s="438"/>
      <c r="AM143" s="439"/>
      <c r="AN143" s="439"/>
      <c r="AO143" s="439"/>
      <c r="AP143" s="439"/>
      <c r="AQ143" s="439"/>
      <c r="AR143" s="449"/>
      <c r="AS143" s="500"/>
      <c r="AT143" s="483"/>
      <c r="AU143" s="483"/>
      <c r="AV143" s="483"/>
      <c r="AW143" s="483"/>
      <c r="AX143" s="483"/>
      <c r="AY143" s="484"/>
      <c r="AZ143" s="460"/>
      <c r="BA143" s="461"/>
      <c r="BB143" s="60">
        <v>1</v>
      </c>
      <c r="BC143" s="466"/>
      <c r="BD143" s="467"/>
      <c r="BE143" s="467"/>
      <c r="BF143" s="468"/>
      <c r="BG143" s="469"/>
      <c r="BH143" s="470"/>
      <c r="BI143" s="194"/>
      <c r="BJ143" s="471"/>
      <c r="BK143" s="472"/>
      <c r="BL143" s="472"/>
      <c r="BM143" s="472"/>
      <c r="BN143" s="472"/>
      <c r="BO143" s="473"/>
      <c r="BP143" s="471"/>
      <c r="BQ143" s="472"/>
      <c r="BR143" s="472"/>
      <c r="BS143" s="472"/>
      <c r="BT143" s="472"/>
      <c r="BU143" s="473"/>
      <c r="BV143" s="471"/>
      <c r="BW143" s="472"/>
      <c r="BX143" s="472"/>
      <c r="BY143" s="472"/>
      <c r="BZ143" s="472"/>
      <c r="CA143" s="473"/>
      <c r="CB143" s="466"/>
      <c r="CC143" s="467"/>
      <c r="CD143" s="467"/>
      <c r="CE143" s="468"/>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5">
      <c r="A144" s="435"/>
      <c r="B144" s="36"/>
      <c r="C144" s="199" t="str">
        <f t="shared" ca="1" si="4"/>
        <v/>
      </c>
      <c r="D144" s="479"/>
      <c r="E144" s="480"/>
      <c r="F144" s="480"/>
      <c r="G144" s="480"/>
      <c r="H144" s="480"/>
      <c r="I144" s="480"/>
      <c r="J144" s="480"/>
      <c r="K144" s="440"/>
      <c r="L144" s="441"/>
      <c r="M144" s="441"/>
      <c r="N144" s="441"/>
      <c r="O144" s="441"/>
      <c r="P144" s="441"/>
      <c r="Q144" s="441"/>
      <c r="R144" s="444"/>
      <c r="S144" s="445"/>
      <c r="T144" s="444"/>
      <c r="U144" s="445"/>
      <c r="V144" s="440"/>
      <c r="W144" s="441"/>
      <c r="X144" s="441"/>
      <c r="Y144" s="441"/>
      <c r="Z144" s="441"/>
      <c r="AA144" s="441"/>
      <c r="AB144" s="441"/>
      <c r="AC144" s="441"/>
      <c r="AD144" s="440"/>
      <c r="AE144" s="441"/>
      <c r="AF144" s="441"/>
      <c r="AG144" s="441"/>
      <c r="AH144" s="441"/>
      <c r="AI144" s="441"/>
      <c r="AJ144" s="441"/>
      <c r="AK144" s="450"/>
      <c r="AL144" s="440"/>
      <c r="AM144" s="441"/>
      <c r="AN144" s="441"/>
      <c r="AO144" s="441"/>
      <c r="AP144" s="441"/>
      <c r="AQ144" s="441"/>
      <c r="AR144" s="450"/>
      <c r="AS144" s="485"/>
      <c r="AT144" s="486"/>
      <c r="AU144" s="486"/>
      <c r="AV144" s="486"/>
      <c r="AW144" s="486"/>
      <c r="AX144" s="486"/>
      <c r="AY144" s="487"/>
      <c r="AZ144" s="462"/>
      <c r="BA144" s="463"/>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5">
      <c r="A145" s="435"/>
      <c r="B145" s="36"/>
      <c r="C145" s="199" t="str">
        <f t="shared" ca="1" si="4"/>
        <v/>
      </c>
      <c r="D145" s="479"/>
      <c r="E145" s="480"/>
      <c r="F145" s="480"/>
      <c r="G145" s="480"/>
      <c r="H145" s="480"/>
      <c r="I145" s="480"/>
      <c r="J145" s="480"/>
      <c r="K145" s="440"/>
      <c r="L145" s="441"/>
      <c r="M145" s="441"/>
      <c r="N145" s="441"/>
      <c r="O145" s="441"/>
      <c r="P145" s="441"/>
      <c r="Q145" s="441"/>
      <c r="R145" s="444"/>
      <c r="S145" s="445"/>
      <c r="T145" s="444"/>
      <c r="U145" s="445"/>
      <c r="V145" s="440"/>
      <c r="W145" s="441"/>
      <c r="X145" s="441"/>
      <c r="Y145" s="441"/>
      <c r="Z145" s="441"/>
      <c r="AA145" s="441"/>
      <c r="AB145" s="441"/>
      <c r="AC145" s="441"/>
      <c r="AD145" s="440"/>
      <c r="AE145" s="441"/>
      <c r="AF145" s="441"/>
      <c r="AG145" s="441"/>
      <c r="AH145" s="441"/>
      <c r="AI145" s="441"/>
      <c r="AJ145" s="441"/>
      <c r="AK145" s="450"/>
      <c r="AL145" s="440"/>
      <c r="AM145" s="441"/>
      <c r="AN145" s="441"/>
      <c r="AO145" s="441"/>
      <c r="AP145" s="441"/>
      <c r="AQ145" s="441"/>
      <c r="AR145" s="450"/>
      <c r="AS145" s="485"/>
      <c r="AT145" s="486"/>
      <c r="AU145" s="486"/>
      <c r="AV145" s="486"/>
      <c r="AW145" s="486"/>
      <c r="AX145" s="486"/>
      <c r="AY145" s="487"/>
      <c r="AZ145" s="462"/>
      <c r="BA145" s="463"/>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5">
      <c r="A146" s="435"/>
      <c r="B146" s="36"/>
      <c r="C146" s="199" t="str">
        <f t="shared" ca="1" si="4"/>
        <v/>
      </c>
      <c r="D146" s="479"/>
      <c r="E146" s="480"/>
      <c r="F146" s="480"/>
      <c r="G146" s="480"/>
      <c r="H146" s="480"/>
      <c r="I146" s="480"/>
      <c r="J146" s="480"/>
      <c r="K146" s="440"/>
      <c r="L146" s="441"/>
      <c r="M146" s="441"/>
      <c r="N146" s="441"/>
      <c r="O146" s="441"/>
      <c r="P146" s="441"/>
      <c r="Q146" s="441"/>
      <c r="R146" s="444"/>
      <c r="S146" s="445"/>
      <c r="T146" s="444"/>
      <c r="U146" s="445"/>
      <c r="V146" s="440"/>
      <c r="W146" s="441"/>
      <c r="X146" s="441"/>
      <c r="Y146" s="441"/>
      <c r="Z146" s="441"/>
      <c r="AA146" s="441"/>
      <c r="AB146" s="441"/>
      <c r="AC146" s="441"/>
      <c r="AD146" s="440"/>
      <c r="AE146" s="441"/>
      <c r="AF146" s="441"/>
      <c r="AG146" s="441"/>
      <c r="AH146" s="441"/>
      <c r="AI146" s="441"/>
      <c r="AJ146" s="441"/>
      <c r="AK146" s="450"/>
      <c r="AL146" s="440"/>
      <c r="AM146" s="441"/>
      <c r="AN146" s="441"/>
      <c r="AO146" s="441"/>
      <c r="AP146" s="441"/>
      <c r="AQ146" s="441"/>
      <c r="AR146" s="450"/>
      <c r="AS146" s="485"/>
      <c r="AT146" s="486"/>
      <c r="AU146" s="486"/>
      <c r="AV146" s="486"/>
      <c r="AW146" s="486"/>
      <c r="AX146" s="486"/>
      <c r="AY146" s="487"/>
      <c r="AZ146" s="462"/>
      <c r="BA146" s="463"/>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5">
      <c r="A147" s="435"/>
      <c r="B147" s="36"/>
      <c r="C147" s="199" t="str">
        <f t="shared" ca="1" si="4"/>
        <v/>
      </c>
      <c r="D147" s="479"/>
      <c r="E147" s="480"/>
      <c r="F147" s="480"/>
      <c r="G147" s="480"/>
      <c r="H147" s="480"/>
      <c r="I147" s="480"/>
      <c r="J147" s="480"/>
      <c r="K147" s="440"/>
      <c r="L147" s="441"/>
      <c r="M147" s="441"/>
      <c r="N147" s="441"/>
      <c r="O147" s="441"/>
      <c r="P147" s="441"/>
      <c r="Q147" s="441"/>
      <c r="R147" s="444"/>
      <c r="S147" s="445"/>
      <c r="T147" s="444"/>
      <c r="U147" s="445"/>
      <c r="V147" s="440"/>
      <c r="W147" s="441"/>
      <c r="X147" s="441"/>
      <c r="Y147" s="441"/>
      <c r="Z147" s="441"/>
      <c r="AA147" s="441"/>
      <c r="AB147" s="441"/>
      <c r="AC147" s="441"/>
      <c r="AD147" s="440"/>
      <c r="AE147" s="441"/>
      <c r="AF147" s="441"/>
      <c r="AG147" s="441"/>
      <c r="AH147" s="441"/>
      <c r="AI147" s="441"/>
      <c r="AJ147" s="441"/>
      <c r="AK147" s="450"/>
      <c r="AL147" s="440"/>
      <c r="AM147" s="441"/>
      <c r="AN147" s="441"/>
      <c r="AO147" s="441"/>
      <c r="AP147" s="441"/>
      <c r="AQ147" s="441"/>
      <c r="AR147" s="450"/>
      <c r="AS147" s="485"/>
      <c r="AT147" s="486"/>
      <c r="AU147" s="486"/>
      <c r="AV147" s="486"/>
      <c r="AW147" s="486"/>
      <c r="AX147" s="486"/>
      <c r="AY147" s="487"/>
      <c r="AZ147" s="462"/>
      <c r="BA147" s="463"/>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5">
      <c r="A148" s="436"/>
      <c r="B148" s="37"/>
      <c r="C148" s="200" t="str">
        <f t="shared" ca="1" si="4"/>
        <v/>
      </c>
      <c r="D148" s="481"/>
      <c r="E148" s="482"/>
      <c r="F148" s="482"/>
      <c r="G148" s="482"/>
      <c r="H148" s="482"/>
      <c r="I148" s="482"/>
      <c r="J148" s="482"/>
      <c r="K148" s="409"/>
      <c r="L148" s="410"/>
      <c r="M148" s="410"/>
      <c r="N148" s="410"/>
      <c r="O148" s="410"/>
      <c r="P148" s="410"/>
      <c r="Q148" s="410"/>
      <c r="R148" s="446"/>
      <c r="S148" s="447"/>
      <c r="T148" s="446"/>
      <c r="U148" s="44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88"/>
      <c r="AT148" s="489"/>
      <c r="AU148" s="489"/>
      <c r="AV148" s="489"/>
      <c r="AW148" s="489"/>
      <c r="AX148" s="489"/>
      <c r="AY148" s="490"/>
      <c r="AZ148" s="464"/>
      <c r="BA148" s="465"/>
      <c r="BB148" s="62">
        <v>6</v>
      </c>
      <c r="BC148" s="426"/>
      <c r="BD148" s="427"/>
      <c r="BE148" s="427"/>
      <c r="BF148" s="428"/>
      <c r="BG148" s="429"/>
      <c r="BH148" s="430"/>
      <c r="BI148" s="196"/>
      <c r="BJ148" s="474"/>
      <c r="BK148" s="475"/>
      <c r="BL148" s="475"/>
      <c r="BM148" s="475"/>
      <c r="BN148" s="475"/>
      <c r="BO148" s="476"/>
      <c r="BP148" s="474"/>
      <c r="BQ148" s="475"/>
      <c r="BR148" s="475"/>
      <c r="BS148" s="475"/>
      <c r="BT148" s="475"/>
      <c r="BU148" s="476"/>
      <c r="BV148" s="474"/>
      <c r="BW148" s="475"/>
      <c r="BX148" s="475"/>
      <c r="BY148" s="475"/>
      <c r="BZ148" s="475"/>
      <c r="CA148" s="476"/>
      <c r="CB148" s="426"/>
      <c r="CC148" s="427"/>
      <c r="CD148" s="427"/>
      <c r="CE148" s="428"/>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5">
      <c r="A149" s="434">
        <v>24</v>
      </c>
      <c r="B149" s="36"/>
      <c r="C149" s="198" t="str">
        <f t="shared" ca="1" si="4"/>
        <v/>
      </c>
      <c r="D149" s="477"/>
      <c r="E149" s="478"/>
      <c r="F149" s="478"/>
      <c r="G149" s="478"/>
      <c r="H149" s="478"/>
      <c r="I149" s="478"/>
      <c r="J149" s="478"/>
      <c r="K149" s="438" t="s">
        <v>502</v>
      </c>
      <c r="L149" s="439"/>
      <c r="M149" s="439"/>
      <c r="N149" s="439"/>
      <c r="O149" s="439"/>
      <c r="P149" s="439"/>
      <c r="Q149" s="439"/>
      <c r="R149" s="442" t="s">
        <v>186</v>
      </c>
      <c r="S149" s="443"/>
      <c r="T149" s="442"/>
      <c r="U149" s="443"/>
      <c r="V149" s="438"/>
      <c r="W149" s="439"/>
      <c r="X149" s="439"/>
      <c r="Y149" s="439"/>
      <c r="Z149" s="439"/>
      <c r="AA149" s="439"/>
      <c r="AB149" s="439"/>
      <c r="AC149" s="439"/>
      <c r="AD149" s="438"/>
      <c r="AE149" s="439"/>
      <c r="AF149" s="439"/>
      <c r="AG149" s="439"/>
      <c r="AH149" s="439"/>
      <c r="AI149" s="439"/>
      <c r="AJ149" s="439"/>
      <c r="AK149" s="449"/>
      <c r="AL149" s="438"/>
      <c r="AM149" s="439"/>
      <c r="AN149" s="439"/>
      <c r="AO149" s="439"/>
      <c r="AP149" s="439"/>
      <c r="AQ149" s="439"/>
      <c r="AR149" s="449"/>
      <c r="AS149" s="500"/>
      <c r="AT149" s="483"/>
      <c r="AU149" s="483"/>
      <c r="AV149" s="483"/>
      <c r="AW149" s="483"/>
      <c r="AX149" s="483"/>
      <c r="AY149" s="484"/>
      <c r="AZ149" s="460"/>
      <c r="BA149" s="461"/>
      <c r="BB149" s="60">
        <v>1</v>
      </c>
      <c r="BC149" s="466"/>
      <c r="BD149" s="467"/>
      <c r="BE149" s="467"/>
      <c r="BF149" s="468"/>
      <c r="BG149" s="469"/>
      <c r="BH149" s="470"/>
      <c r="BI149" s="194"/>
      <c r="BJ149" s="471"/>
      <c r="BK149" s="472"/>
      <c r="BL149" s="472"/>
      <c r="BM149" s="472"/>
      <c r="BN149" s="472"/>
      <c r="BO149" s="473"/>
      <c r="BP149" s="471"/>
      <c r="BQ149" s="472"/>
      <c r="BR149" s="472"/>
      <c r="BS149" s="472"/>
      <c r="BT149" s="472"/>
      <c r="BU149" s="473"/>
      <c r="BV149" s="471"/>
      <c r="BW149" s="472"/>
      <c r="BX149" s="472"/>
      <c r="BY149" s="472"/>
      <c r="BZ149" s="472"/>
      <c r="CA149" s="473"/>
      <c r="CB149" s="466"/>
      <c r="CC149" s="467"/>
      <c r="CD149" s="467"/>
      <c r="CE149" s="468"/>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5">
      <c r="A150" s="435"/>
      <c r="B150" s="36"/>
      <c r="C150" s="199" t="str">
        <f t="shared" ca="1" si="4"/>
        <v/>
      </c>
      <c r="D150" s="479"/>
      <c r="E150" s="480"/>
      <c r="F150" s="480"/>
      <c r="G150" s="480"/>
      <c r="H150" s="480"/>
      <c r="I150" s="480"/>
      <c r="J150" s="480"/>
      <c r="K150" s="440"/>
      <c r="L150" s="441"/>
      <c r="M150" s="441"/>
      <c r="N150" s="441"/>
      <c r="O150" s="441"/>
      <c r="P150" s="441"/>
      <c r="Q150" s="441"/>
      <c r="R150" s="444"/>
      <c r="S150" s="445"/>
      <c r="T150" s="444"/>
      <c r="U150" s="445"/>
      <c r="V150" s="440"/>
      <c r="W150" s="441"/>
      <c r="X150" s="441"/>
      <c r="Y150" s="441"/>
      <c r="Z150" s="441"/>
      <c r="AA150" s="441"/>
      <c r="AB150" s="441"/>
      <c r="AC150" s="441"/>
      <c r="AD150" s="440"/>
      <c r="AE150" s="441"/>
      <c r="AF150" s="441"/>
      <c r="AG150" s="441"/>
      <c r="AH150" s="441"/>
      <c r="AI150" s="441"/>
      <c r="AJ150" s="441"/>
      <c r="AK150" s="450"/>
      <c r="AL150" s="440"/>
      <c r="AM150" s="441"/>
      <c r="AN150" s="441"/>
      <c r="AO150" s="441"/>
      <c r="AP150" s="441"/>
      <c r="AQ150" s="441"/>
      <c r="AR150" s="450"/>
      <c r="AS150" s="485"/>
      <c r="AT150" s="486"/>
      <c r="AU150" s="486"/>
      <c r="AV150" s="486"/>
      <c r="AW150" s="486"/>
      <c r="AX150" s="486"/>
      <c r="AY150" s="487"/>
      <c r="AZ150" s="462"/>
      <c r="BA150" s="463"/>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5">
      <c r="A151" s="435"/>
      <c r="B151" s="36"/>
      <c r="C151" s="199" t="str">
        <f t="shared" ca="1" si="4"/>
        <v/>
      </c>
      <c r="D151" s="479"/>
      <c r="E151" s="480"/>
      <c r="F151" s="480"/>
      <c r="G151" s="480"/>
      <c r="H151" s="480"/>
      <c r="I151" s="480"/>
      <c r="J151" s="480"/>
      <c r="K151" s="440"/>
      <c r="L151" s="441"/>
      <c r="M151" s="441"/>
      <c r="N151" s="441"/>
      <c r="O151" s="441"/>
      <c r="P151" s="441"/>
      <c r="Q151" s="441"/>
      <c r="R151" s="444"/>
      <c r="S151" s="445"/>
      <c r="T151" s="444"/>
      <c r="U151" s="445"/>
      <c r="V151" s="440"/>
      <c r="W151" s="441"/>
      <c r="X151" s="441"/>
      <c r="Y151" s="441"/>
      <c r="Z151" s="441"/>
      <c r="AA151" s="441"/>
      <c r="AB151" s="441"/>
      <c r="AC151" s="441"/>
      <c r="AD151" s="440"/>
      <c r="AE151" s="441"/>
      <c r="AF151" s="441"/>
      <c r="AG151" s="441"/>
      <c r="AH151" s="441"/>
      <c r="AI151" s="441"/>
      <c r="AJ151" s="441"/>
      <c r="AK151" s="450"/>
      <c r="AL151" s="440"/>
      <c r="AM151" s="441"/>
      <c r="AN151" s="441"/>
      <c r="AO151" s="441"/>
      <c r="AP151" s="441"/>
      <c r="AQ151" s="441"/>
      <c r="AR151" s="450"/>
      <c r="AS151" s="485"/>
      <c r="AT151" s="486"/>
      <c r="AU151" s="486"/>
      <c r="AV151" s="486"/>
      <c r="AW151" s="486"/>
      <c r="AX151" s="486"/>
      <c r="AY151" s="487"/>
      <c r="AZ151" s="462"/>
      <c r="BA151" s="463"/>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5">
      <c r="A152" s="435"/>
      <c r="B152" s="36"/>
      <c r="C152" s="199" t="str">
        <f t="shared" ca="1" si="4"/>
        <v/>
      </c>
      <c r="D152" s="479"/>
      <c r="E152" s="480"/>
      <c r="F152" s="480"/>
      <c r="G152" s="480"/>
      <c r="H152" s="480"/>
      <c r="I152" s="480"/>
      <c r="J152" s="480"/>
      <c r="K152" s="440"/>
      <c r="L152" s="441"/>
      <c r="M152" s="441"/>
      <c r="N152" s="441"/>
      <c r="O152" s="441"/>
      <c r="P152" s="441"/>
      <c r="Q152" s="441"/>
      <c r="R152" s="444"/>
      <c r="S152" s="445"/>
      <c r="T152" s="444"/>
      <c r="U152" s="445"/>
      <c r="V152" s="440"/>
      <c r="W152" s="441"/>
      <c r="X152" s="441"/>
      <c r="Y152" s="441"/>
      <c r="Z152" s="441"/>
      <c r="AA152" s="441"/>
      <c r="AB152" s="441"/>
      <c r="AC152" s="441"/>
      <c r="AD152" s="440"/>
      <c r="AE152" s="441"/>
      <c r="AF152" s="441"/>
      <c r="AG152" s="441"/>
      <c r="AH152" s="441"/>
      <c r="AI152" s="441"/>
      <c r="AJ152" s="441"/>
      <c r="AK152" s="450"/>
      <c r="AL152" s="440"/>
      <c r="AM152" s="441"/>
      <c r="AN152" s="441"/>
      <c r="AO152" s="441"/>
      <c r="AP152" s="441"/>
      <c r="AQ152" s="441"/>
      <c r="AR152" s="450"/>
      <c r="AS152" s="485"/>
      <c r="AT152" s="486"/>
      <c r="AU152" s="486"/>
      <c r="AV152" s="486"/>
      <c r="AW152" s="486"/>
      <c r="AX152" s="486"/>
      <c r="AY152" s="487"/>
      <c r="AZ152" s="462"/>
      <c r="BA152" s="463"/>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5">
      <c r="A153" s="435"/>
      <c r="B153" s="36"/>
      <c r="C153" s="199" t="str">
        <f t="shared" ca="1" si="4"/>
        <v/>
      </c>
      <c r="D153" s="479"/>
      <c r="E153" s="480"/>
      <c r="F153" s="480"/>
      <c r="G153" s="480"/>
      <c r="H153" s="480"/>
      <c r="I153" s="480"/>
      <c r="J153" s="480"/>
      <c r="K153" s="440"/>
      <c r="L153" s="441"/>
      <c r="M153" s="441"/>
      <c r="N153" s="441"/>
      <c r="O153" s="441"/>
      <c r="P153" s="441"/>
      <c r="Q153" s="441"/>
      <c r="R153" s="444"/>
      <c r="S153" s="445"/>
      <c r="T153" s="444"/>
      <c r="U153" s="445"/>
      <c r="V153" s="440"/>
      <c r="W153" s="441"/>
      <c r="X153" s="441"/>
      <c r="Y153" s="441"/>
      <c r="Z153" s="441"/>
      <c r="AA153" s="441"/>
      <c r="AB153" s="441"/>
      <c r="AC153" s="441"/>
      <c r="AD153" s="440"/>
      <c r="AE153" s="441"/>
      <c r="AF153" s="441"/>
      <c r="AG153" s="441"/>
      <c r="AH153" s="441"/>
      <c r="AI153" s="441"/>
      <c r="AJ153" s="441"/>
      <c r="AK153" s="450"/>
      <c r="AL153" s="440"/>
      <c r="AM153" s="441"/>
      <c r="AN153" s="441"/>
      <c r="AO153" s="441"/>
      <c r="AP153" s="441"/>
      <c r="AQ153" s="441"/>
      <c r="AR153" s="450"/>
      <c r="AS153" s="485"/>
      <c r="AT153" s="486"/>
      <c r="AU153" s="486"/>
      <c r="AV153" s="486"/>
      <c r="AW153" s="486"/>
      <c r="AX153" s="486"/>
      <c r="AY153" s="487"/>
      <c r="AZ153" s="462"/>
      <c r="BA153" s="463"/>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5">
      <c r="A154" s="436"/>
      <c r="B154" s="37"/>
      <c r="C154" s="200" t="str">
        <f t="shared" ca="1" si="4"/>
        <v/>
      </c>
      <c r="D154" s="481"/>
      <c r="E154" s="482"/>
      <c r="F154" s="482"/>
      <c r="G154" s="482"/>
      <c r="H154" s="482"/>
      <c r="I154" s="482"/>
      <c r="J154" s="482"/>
      <c r="K154" s="409"/>
      <c r="L154" s="410"/>
      <c r="M154" s="410"/>
      <c r="N154" s="410"/>
      <c r="O154" s="410"/>
      <c r="P154" s="410"/>
      <c r="Q154" s="410"/>
      <c r="R154" s="446"/>
      <c r="S154" s="447"/>
      <c r="T154" s="446"/>
      <c r="U154" s="44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88"/>
      <c r="AT154" s="489"/>
      <c r="AU154" s="489"/>
      <c r="AV154" s="489"/>
      <c r="AW154" s="489"/>
      <c r="AX154" s="489"/>
      <c r="AY154" s="490"/>
      <c r="AZ154" s="464"/>
      <c r="BA154" s="465"/>
      <c r="BB154" s="62">
        <v>6</v>
      </c>
      <c r="BC154" s="426"/>
      <c r="BD154" s="427"/>
      <c r="BE154" s="427"/>
      <c r="BF154" s="428"/>
      <c r="BG154" s="429"/>
      <c r="BH154" s="430"/>
      <c r="BI154" s="196"/>
      <c r="BJ154" s="474"/>
      <c r="BK154" s="475"/>
      <c r="BL154" s="475"/>
      <c r="BM154" s="475"/>
      <c r="BN154" s="475"/>
      <c r="BO154" s="476"/>
      <c r="BP154" s="474"/>
      <c r="BQ154" s="475"/>
      <c r="BR154" s="475"/>
      <c r="BS154" s="475"/>
      <c r="BT154" s="475"/>
      <c r="BU154" s="476"/>
      <c r="BV154" s="474"/>
      <c r="BW154" s="475"/>
      <c r="BX154" s="475"/>
      <c r="BY154" s="475"/>
      <c r="BZ154" s="475"/>
      <c r="CA154" s="476"/>
      <c r="CB154" s="426"/>
      <c r="CC154" s="427"/>
      <c r="CD154" s="427"/>
      <c r="CE154" s="428"/>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5">
      <c r="A155" s="434">
        <v>25</v>
      </c>
      <c r="B155" s="36"/>
      <c r="C155" s="198" t="str">
        <f t="shared" ca="1" si="4"/>
        <v/>
      </c>
      <c r="D155" s="477"/>
      <c r="E155" s="478"/>
      <c r="F155" s="478"/>
      <c r="G155" s="478"/>
      <c r="H155" s="478"/>
      <c r="I155" s="478"/>
      <c r="J155" s="478"/>
      <c r="K155" s="438" t="s">
        <v>503</v>
      </c>
      <c r="L155" s="439"/>
      <c r="M155" s="439"/>
      <c r="N155" s="439"/>
      <c r="O155" s="439"/>
      <c r="P155" s="439"/>
      <c r="Q155" s="439"/>
      <c r="R155" s="442" t="s">
        <v>186</v>
      </c>
      <c r="S155" s="443"/>
      <c r="T155" s="442"/>
      <c r="U155" s="443"/>
      <c r="V155" s="438"/>
      <c r="W155" s="439"/>
      <c r="X155" s="439"/>
      <c r="Y155" s="439"/>
      <c r="Z155" s="439"/>
      <c r="AA155" s="439"/>
      <c r="AB155" s="439"/>
      <c r="AC155" s="439"/>
      <c r="AD155" s="438"/>
      <c r="AE155" s="439"/>
      <c r="AF155" s="439"/>
      <c r="AG155" s="439"/>
      <c r="AH155" s="439"/>
      <c r="AI155" s="439"/>
      <c r="AJ155" s="439"/>
      <c r="AK155" s="449"/>
      <c r="AL155" s="438"/>
      <c r="AM155" s="439"/>
      <c r="AN155" s="439"/>
      <c r="AO155" s="439"/>
      <c r="AP155" s="439"/>
      <c r="AQ155" s="439"/>
      <c r="AR155" s="449"/>
      <c r="AS155" s="500"/>
      <c r="AT155" s="483"/>
      <c r="AU155" s="483"/>
      <c r="AV155" s="483"/>
      <c r="AW155" s="483"/>
      <c r="AX155" s="483"/>
      <c r="AY155" s="484"/>
      <c r="AZ155" s="460"/>
      <c r="BA155" s="461"/>
      <c r="BB155" s="60">
        <v>1</v>
      </c>
      <c r="BC155" s="466"/>
      <c r="BD155" s="467"/>
      <c r="BE155" s="467"/>
      <c r="BF155" s="468"/>
      <c r="BG155" s="469"/>
      <c r="BH155" s="470"/>
      <c r="BI155" s="194"/>
      <c r="BJ155" s="471"/>
      <c r="BK155" s="472"/>
      <c r="BL155" s="472"/>
      <c r="BM155" s="472"/>
      <c r="BN155" s="472"/>
      <c r="BO155" s="473"/>
      <c r="BP155" s="471"/>
      <c r="BQ155" s="472"/>
      <c r="BR155" s="472"/>
      <c r="BS155" s="472"/>
      <c r="BT155" s="472"/>
      <c r="BU155" s="473"/>
      <c r="BV155" s="471"/>
      <c r="BW155" s="472"/>
      <c r="BX155" s="472"/>
      <c r="BY155" s="472"/>
      <c r="BZ155" s="472"/>
      <c r="CA155" s="473"/>
      <c r="CB155" s="466"/>
      <c r="CC155" s="467"/>
      <c r="CD155" s="467"/>
      <c r="CE155" s="468"/>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5">
      <c r="A156" s="435"/>
      <c r="B156" s="36"/>
      <c r="C156" s="199" t="str">
        <f t="shared" ca="1" si="4"/>
        <v/>
      </c>
      <c r="D156" s="479"/>
      <c r="E156" s="480"/>
      <c r="F156" s="480"/>
      <c r="G156" s="480"/>
      <c r="H156" s="480"/>
      <c r="I156" s="480"/>
      <c r="J156" s="480"/>
      <c r="K156" s="440"/>
      <c r="L156" s="441"/>
      <c r="M156" s="441"/>
      <c r="N156" s="441"/>
      <c r="O156" s="441"/>
      <c r="P156" s="441"/>
      <c r="Q156" s="441"/>
      <c r="R156" s="444"/>
      <c r="S156" s="445"/>
      <c r="T156" s="444"/>
      <c r="U156" s="445"/>
      <c r="V156" s="440"/>
      <c r="W156" s="441"/>
      <c r="X156" s="441"/>
      <c r="Y156" s="441"/>
      <c r="Z156" s="441"/>
      <c r="AA156" s="441"/>
      <c r="AB156" s="441"/>
      <c r="AC156" s="441"/>
      <c r="AD156" s="440"/>
      <c r="AE156" s="441"/>
      <c r="AF156" s="441"/>
      <c r="AG156" s="441"/>
      <c r="AH156" s="441"/>
      <c r="AI156" s="441"/>
      <c r="AJ156" s="441"/>
      <c r="AK156" s="450"/>
      <c r="AL156" s="440"/>
      <c r="AM156" s="441"/>
      <c r="AN156" s="441"/>
      <c r="AO156" s="441"/>
      <c r="AP156" s="441"/>
      <c r="AQ156" s="441"/>
      <c r="AR156" s="450"/>
      <c r="AS156" s="485"/>
      <c r="AT156" s="486"/>
      <c r="AU156" s="486"/>
      <c r="AV156" s="486"/>
      <c r="AW156" s="486"/>
      <c r="AX156" s="486"/>
      <c r="AY156" s="487"/>
      <c r="AZ156" s="462"/>
      <c r="BA156" s="463"/>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5">
      <c r="A157" s="435"/>
      <c r="B157" s="36"/>
      <c r="C157" s="199" t="str">
        <f t="shared" ca="1" si="4"/>
        <v/>
      </c>
      <c r="D157" s="479"/>
      <c r="E157" s="480"/>
      <c r="F157" s="480"/>
      <c r="G157" s="480"/>
      <c r="H157" s="480"/>
      <c r="I157" s="480"/>
      <c r="J157" s="480"/>
      <c r="K157" s="440"/>
      <c r="L157" s="441"/>
      <c r="M157" s="441"/>
      <c r="N157" s="441"/>
      <c r="O157" s="441"/>
      <c r="P157" s="441"/>
      <c r="Q157" s="441"/>
      <c r="R157" s="444"/>
      <c r="S157" s="445"/>
      <c r="T157" s="444"/>
      <c r="U157" s="445"/>
      <c r="V157" s="440"/>
      <c r="W157" s="441"/>
      <c r="X157" s="441"/>
      <c r="Y157" s="441"/>
      <c r="Z157" s="441"/>
      <c r="AA157" s="441"/>
      <c r="AB157" s="441"/>
      <c r="AC157" s="441"/>
      <c r="AD157" s="440"/>
      <c r="AE157" s="441"/>
      <c r="AF157" s="441"/>
      <c r="AG157" s="441"/>
      <c r="AH157" s="441"/>
      <c r="AI157" s="441"/>
      <c r="AJ157" s="441"/>
      <c r="AK157" s="450"/>
      <c r="AL157" s="440"/>
      <c r="AM157" s="441"/>
      <c r="AN157" s="441"/>
      <c r="AO157" s="441"/>
      <c r="AP157" s="441"/>
      <c r="AQ157" s="441"/>
      <c r="AR157" s="450"/>
      <c r="AS157" s="485"/>
      <c r="AT157" s="486"/>
      <c r="AU157" s="486"/>
      <c r="AV157" s="486"/>
      <c r="AW157" s="486"/>
      <c r="AX157" s="486"/>
      <c r="AY157" s="487"/>
      <c r="AZ157" s="462"/>
      <c r="BA157" s="463"/>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5">
      <c r="A158" s="435"/>
      <c r="B158" s="36"/>
      <c r="C158" s="199" t="str">
        <f t="shared" ca="1" si="4"/>
        <v/>
      </c>
      <c r="D158" s="479"/>
      <c r="E158" s="480"/>
      <c r="F158" s="480"/>
      <c r="G158" s="480"/>
      <c r="H158" s="480"/>
      <c r="I158" s="480"/>
      <c r="J158" s="480"/>
      <c r="K158" s="440"/>
      <c r="L158" s="441"/>
      <c r="M158" s="441"/>
      <c r="N158" s="441"/>
      <c r="O158" s="441"/>
      <c r="P158" s="441"/>
      <c r="Q158" s="441"/>
      <c r="R158" s="444"/>
      <c r="S158" s="445"/>
      <c r="T158" s="444"/>
      <c r="U158" s="445"/>
      <c r="V158" s="440"/>
      <c r="W158" s="441"/>
      <c r="X158" s="441"/>
      <c r="Y158" s="441"/>
      <c r="Z158" s="441"/>
      <c r="AA158" s="441"/>
      <c r="AB158" s="441"/>
      <c r="AC158" s="441"/>
      <c r="AD158" s="440"/>
      <c r="AE158" s="441"/>
      <c r="AF158" s="441"/>
      <c r="AG158" s="441"/>
      <c r="AH158" s="441"/>
      <c r="AI158" s="441"/>
      <c r="AJ158" s="441"/>
      <c r="AK158" s="450"/>
      <c r="AL158" s="440"/>
      <c r="AM158" s="441"/>
      <c r="AN158" s="441"/>
      <c r="AO158" s="441"/>
      <c r="AP158" s="441"/>
      <c r="AQ158" s="441"/>
      <c r="AR158" s="450"/>
      <c r="AS158" s="485"/>
      <c r="AT158" s="486"/>
      <c r="AU158" s="486"/>
      <c r="AV158" s="486"/>
      <c r="AW158" s="486"/>
      <c r="AX158" s="486"/>
      <c r="AY158" s="487"/>
      <c r="AZ158" s="462"/>
      <c r="BA158" s="463"/>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5">
      <c r="A159" s="435"/>
      <c r="B159" s="36"/>
      <c r="C159" s="199" t="str">
        <f t="shared" ca="1" si="4"/>
        <v/>
      </c>
      <c r="D159" s="479"/>
      <c r="E159" s="480"/>
      <c r="F159" s="480"/>
      <c r="G159" s="480"/>
      <c r="H159" s="480"/>
      <c r="I159" s="480"/>
      <c r="J159" s="480"/>
      <c r="K159" s="440"/>
      <c r="L159" s="441"/>
      <c r="M159" s="441"/>
      <c r="N159" s="441"/>
      <c r="O159" s="441"/>
      <c r="P159" s="441"/>
      <c r="Q159" s="441"/>
      <c r="R159" s="444"/>
      <c r="S159" s="445"/>
      <c r="T159" s="444"/>
      <c r="U159" s="445"/>
      <c r="V159" s="440"/>
      <c r="W159" s="441"/>
      <c r="X159" s="441"/>
      <c r="Y159" s="441"/>
      <c r="Z159" s="441"/>
      <c r="AA159" s="441"/>
      <c r="AB159" s="441"/>
      <c r="AC159" s="441"/>
      <c r="AD159" s="440"/>
      <c r="AE159" s="441"/>
      <c r="AF159" s="441"/>
      <c r="AG159" s="441"/>
      <c r="AH159" s="441"/>
      <c r="AI159" s="441"/>
      <c r="AJ159" s="441"/>
      <c r="AK159" s="450"/>
      <c r="AL159" s="440"/>
      <c r="AM159" s="441"/>
      <c r="AN159" s="441"/>
      <c r="AO159" s="441"/>
      <c r="AP159" s="441"/>
      <c r="AQ159" s="441"/>
      <c r="AR159" s="450"/>
      <c r="AS159" s="485"/>
      <c r="AT159" s="486"/>
      <c r="AU159" s="486"/>
      <c r="AV159" s="486"/>
      <c r="AW159" s="486"/>
      <c r="AX159" s="486"/>
      <c r="AY159" s="487"/>
      <c r="AZ159" s="462"/>
      <c r="BA159" s="463"/>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5">
      <c r="A160" s="436"/>
      <c r="B160" s="37"/>
      <c r="C160" s="200" t="str">
        <f t="shared" ca="1" si="4"/>
        <v/>
      </c>
      <c r="D160" s="481"/>
      <c r="E160" s="482"/>
      <c r="F160" s="482"/>
      <c r="G160" s="482"/>
      <c r="H160" s="482"/>
      <c r="I160" s="482"/>
      <c r="J160" s="482"/>
      <c r="K160" s="409"/>
      <c r="L160" s="410"/>
      <c r="M160" s="410"/>
      <c r="N160" s="410"/>
      <c r="O160" s="410"/>
      <c r="P160" s="410"/>
      <c r="Q160" s="410"/>
      <c r="R160" s="446"/>
      <c r="S160" s="447"/>
      <c r="T160" s="446"/>
      <c r="U160" s="44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88"/>
      <c r="AT160" s="489"/>
      <c r="AU160" s="489"/>
      <c r="AV160" s="489"/>
      <c r="AW160" s="489"/>
      <c r="AX160" s="489"/>
      <c r="AY160" s="490"/>
      <c r="AZ160" s="464"/>
      <c r="BA160" s="465"/>
      <c r="BB160" s="62">
        <v>6</v>
      </c>
      <c r="BC160" s="426"/>
      <c r="BD160" s="427"/>
      <c r="BE160" s="427"/>
      <c r="BF160" s="428"/>
      <c r="BG160" s="429"/>
      <c r="BH160" s="430"/>
      <c r="BI160" s="196"/>
      <c r="BJ160" s="474"/>
      <c r="BK160" s="475"/>
      <c r="BL160" s="475"/>
      <c r="BM160" s="475"/>
      <c r="BN160" s="475"/>
      <c r="BO160" s="476"/>
      <c r="BP160" s="474"/>
      <c r="BQ160" s="475"/>
      <c r="BR160" s="475"/>
      <c r="BS160" s="475"/>
      <c r="BT160" s="475"/>
      <c r="BU160" s="476"/>
      <c r="BV160" s="474"/>
      <c r="BW160" s="475"/>
      <c r="BX160" s="475"/>
      <c r="BY160" s="475"/>
      <c r="BZ160" s="475"/>
      <c r="CA160" s="476"/>
      <c r="CB160" s="426"/>
      <c r="CC160" s="427"/>
      <c r="CD160" s="427"/>
      <c r="CE160" s="428"/>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5">
      <c r="A161" s="434">
        <v>26</v>
      </c>
      <c r="B161" s="36"/>
      <c r="C161" s="198" t="str">
        <f t="shared" ca="1" si="4"/>
        <v/>
      </c>
      <c r="D161" s="477"/>
      <c r="E161" s="478"/>
      <c r="F161" s="478"/>
      <c r="G161" s="478"/>
      <c r="H161" s="478"/>
      <c r="I161" s="478"/>
      <c r="J161" s="478"/>
      <c r="K161" s="438" t="s">
        <v>504</v>
      </c>
      <c r="L161" s="439"/>
      <c r="M161" s="439"/>
      <c r="N161" s="439"/>
      <c r="O161" s="439"/>
      <c r="P161" s="439"/>
      <c r="Q161" s="439"/>
      <c r="R161" s="442" t="s">
        <v>186</v>
      </c>
      <c r="S161" s="443"/>
      <c r="T161" s="442"/>
      <c r="U161" s="443"/>
      <c r="V161" s="438"/>
      <c r="W161" s="439"/>
      <c r="X161" s="439"/>
      <c r="Y161" s="439"/>
      <c r="Z161" s="439"/>
      <c r="AA161" s="439"/>
      <c r="AB161" s="439"/>
      <c r="AC161" s="439"/>
      <c r="AD161" s="438"/>
      <c r="AE161" s="439"/>
      <c r="AF161" s="439"/>
      <c r="AG161" s="439"/>
      <c r="AH161" s="439"/>
      <c r="AI161" s="439"/>
      <c r="AJ161" s="439"/>
      <c r="AK161" s="449"/>
      <c r="AL161" s="438"/>
      <c r="AM161" s="439"/>
      <c r="AN161" s="439"/>
      <c r="AO161" s="439"/>
      <c r="AP161" s="439"/>
      <c r="AQ161" s="439"/>
      <c r="AR161" s="449"/>
      <c r="AS161" s="500"/>
      <c r="AT161" s="483"/>
      <c r="AU161" s="483"/>
      <c r="AV161" s="483"/>
      <c r="AW161" s="483"/>
      <c r="AX161" s="483"/>
      <c r="AY161" s="484"/>
      <c r="AZ161" s="460"/>
      <c r="BA161" s="461"/>
      <c r="BB161" s="60">
        <v>1</v>
      </c>
      <c r="BC161" s="466"/>
      <c r="BD161" s="467"/>
      <c r="BE161" s="467"/>
      <c r="BF161" s="468"/>
      <c r="BG161" s="469"/>
      <c r="BH161" s="470"/>
      <c r="BI161" s="194"/>
      <c r="BJ161" s="471"/>
      <c r="BK161" s="472"/>
      <c r="BL161" s="472"/>
      <c r="BM161" s="472"/>
      <c r="BN161" s="472"/>
      <c r="BO161" s="473"/>
      <c r="BP161" s="471"/>
      <c r="BQ161" s="472"/>
      <c r="BR161" s="472"/>
      <c r="BS161" s="472"/>
      <c r="BT161" s="472"/>
      <c r="BU161" s="473"/>
      <c r="BV161" s="471"/>
      <c r="BW161" s="472"/>
      <c r="BX161" s="472"/>
      <c r="BY161" s="472"/>
      <c r="BZ161" s="472"/>
      <c r="CA161" s="473"/>
      <c r="CB161" s="466"/>
      <c r="CC161" s="467"/>
      <c r="CD161" s="467"/>
      <c r="CE161" s="468"/>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5">
      <c r="A162" s="435"/>
      <c r="B162" s="36"/>
      <c r="C162" s="199" t="str">
        <f t="shared" ca="1" si="4"/>
        <v/>
      </c>
      <c r="D162" s="479"/>
      <c r="E162" s="480"/>
      <c r="F162" s="480"/>
      <c r="G162" s="480"/>
      <c r="H162" s="480"/>
      <c r="I162" s="480"/>
      <c r="J162" s="480"/>
      <c r="K162" s="440"/>
      <c r="L162" s="441"/>
      <c r="M162" s="441"/>
      <c r="N162" s="441"/>
      <c r="O162" s="441"/>
      <c r="P162" s="441"/>
      <c r="Q162" s="441"/>
      <c r="R162" s="444"/>
      <c r="S162" s="445"/>
      <c r="T162" s="444"/>
      <c r="U162" s="445"/>
      <c r="V162" s="440"/>
      <c r="W162" s="441"/>
      <c r="X162" s="441"/>
      <c r="Y162" s="441"/>
      <c r="Z162" s="441"/>
      <c r="AA162" s="441"/>
      <c r="AB162" s="441"/>
      <c r="AC162" s="441"/>
      <c r="AD162" s="440"/>
      <c r="AE162" s="441"/>
      <c r="AF162" s="441"/>
      <c r="AG162" s="441"/>
      <c r="AH162" s="441"/>
      <c r="AI162" s="441"/>
      <c r="AJ162" s="441"/>
      <c r="AK162" s="450"/>
      <c r="AL162" s="440"/>
      <c r="AM162" s="441"/>
      <c r="AN162" s="441"/>
      <c r="AO162" s="441"/>
      <c r="AP162" s="441"/>
      <c r="AQ162" s="441"/>
      <c r="AR162" s="450"/>
      <c r="AS162" s="485"/>
      <c r="AT162" s="486"/>
      <c r="AU162" s="486"/>
      <c r="AV162" s="486"/>
      <c r="AW162" s="486"/>
      <c r="AX162" s="486"/>
      <c r="AY162" s="487"/>
      <c r="AZ162" s="462"/>
      <c r="BA162" s="463"/>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5">
      <c r="A163" s="435"/>
      <c r="B163" s="36"/>
      <c r="C163" s="199" t="str">
        <f t="shared" ca="1" si="4"/>
        <v/>
      </c>
      <c r="D163" s="479"/>
      <c r="E163" s="480"/>
      <c r="F163" s="480"/>
      <c r="G163" s="480"/>
      <c r="H163" s="480"/>
      <c r="I163" s="480"/>
      <c r="J163" s="480"/>
      <c r="K163" s="440"/>
      <c r="L163" s="441"/>
      <c r="M163" s="441"/>
      <c r="N163" s="441"/>
      <c r="O163" s="441"/>
      <c r="P163" s="441"/>
      <c r="Q163" s="441"/>
      <c r="R163" s="444"/>
      <c r="S163" s="445"/>
      <c r="T163" s="444"/>
      <c r="U163" s="445"/>
      <c r="V163" s="440"/>
      <c r="W163" s="441"/>
      <c r="X163" s="441"/>
      <c r="Y163" s="441"/>
      <c r="Z163" s="441"/>
      <c r="AA163" s="441"/>
      <c r="AB163" s="441"/>
      <c r="AC163" s="441"/>
      <c r="AD163" s="440"/>
      <c r="AE163" s="441"/>
      <c r="AF163" s="441"/>
      <c r="AG163" s="441"/>
      <c r="AH163" s="441"/>
      <c r="AI163" s="441"/>
      <c r="AJ163" s="441"/>
      <c r="AK163" s="450"/>
      <c r="AL163" s="440"/>
      <c r="AM163" s="441"/>
      <c r="AN163" s="441"/>
      <c r="AO163" s="441"/>
      <c r="AP163" s="441"/>
      <c r="AQ163" s="441"/>
      <c r="AR163" s="450"/>
      <c r="AS163" s="485"/>
      <c r="AT163" s="486"/>
      <c r="AU163" s="486"/>
      <c r="AV163" s="486"/>
      <c r="AW163" s="486"/>
      <c r="AX163" s="486"/>
      <c r="AY163" s="487"/>
      <c r="AZ163" s="462"/>
      <c r="BA163" s="463"/>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5">
      <c r="A164" s="435"/>
      <c r="B164" s="36"/>
      <c r="C164" s="199" t="str">
        <f t="shared" ca="1" si="4"/>
        <v/>
      </c>
      <c r="D164" s="479"/>
      <c r="E164" s="480"/>
      <c r="F164" s="480"/>
      <c r="G164" s="480"/>
      <c r="H164" s="480"/>
      <c r="I164" s="480"/>
      <c r="J164" s="480"/>
      <c r="K164" s="440"/>
      <c r="L164" s="441"/>
      <c r="M164" s="441"/>
      <c r="N164" s="441"/>
      <c r="O164" s="441"/>
      <c r="P164" s="441"/>
      <c r="Q164" s="441"/>
      <c r="R164" s="444"/>
      <c r="S164" s="445"/>
      <c r="T164" s="444"/>
      <c r="U164" s="445"/>
      <c r="V164" s="440"/>
      <c r="W164" s="441"/>
      <c r="X164" s="441"/>
      <c r="Y164" s="441"/>
      <c r="Z164" s="441"/>
      <c r="AA164" s="441"/>
      <c r="AB164" s="441"/>
      <c r="AC164" s="441"/>
      <c r="AD164" s="440"/>
      <c r="AE164" s="441"/>
      <c r="AF164" s="441"/>
      <c r="AG164" s="441"/>
      <c r="AH164" s="441"/>
      <c r="AI164" s="441"/>
      <c r="AJ164" s="441"/>
      <c r="AK164" s="450"/>
      <c r="AL164" s="440"/>
      <c r="AM164" s="441"/>
      <c r="AN164" s="441"/>
      <c r="AO164" s="441"/>
      <c r="AP164" s="441"/>
      <c r="AQ164" s="441"/>
      <c r="AR164" s="450"/>
      <c r="AS164" s="485"/>
      <c r="AT164" s="486"/>
      <c r="AU164" s="486"/>
      <c r="AV164" s="486"/>
      <c r="AW164" s="486"/>
      <c r="AX164" s="486"/>
      <c r="AY164" s="487"/>
      <c r="AZ164" s="462"/>
      <c r="BA164" s="463"/>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5">
      <c r="A165" s="435"/>
      <c r="B165" s="36"/>
      <c r="C165" s="199" t="str">
        <f t="shared" ca="1" si="4"/>
        <v/>
      </c>
      <c r="D165" s="479"/>
      <c r="E165" s="480"/>
      <c r="F165" s="480"/>
      <c r="G165" s="480"/>
      <c r="H165" s="480"/>
      <c r="I165" s="480"/>
      <c r="J165" s="480"/>
      <c r="K165" s="440"/>
      <c r="L165" s="441"/>
      <c r="M165" s="441"/>
      <c r="N165" s="441"/>
      <c r="O165" s="441"/>
      <c r="P165" s="441"/>
      <c r="Q165" s="441"/>
      <c r="R165" s="444"/>
      <c r="S165" s="445"/>
      <c r="T165" s="444"/>
      <c r="U165" s="445"/>
      <c r="V165" s="440"/>
      <c r="W165" s="441"/>
      <c r="X165" s="441"/>
      <c r="Y165" s="441"/>
      <c r="Z165" s="441"/>
      <c r="AA165" s="441"/>
      <c r="AB165" s="441"/>
      <c r="AC165" s="441"/>
      <c r="AD165" s="440"/>
      <c r="AE165" s="441"/>
      <c r="AF165" s="441"/>
      <c r="AG165" s="441"/>
      <c r="AH165" s="441"/>
      <c r="AI165" s="441"/>
      <c r="AJ165" s="441"/>
      <c r="AK165" s="450"/>
      <c r="AL165" s="440"/>
      <c r="AM165" s="441"/>
      <c r="AN165" s="441"/>
      <c r="AO165" s="441"/>
      <c r="AP165" s="441"/>
      <c r="AQ165" s="441"/>
      <c r="AR165" s="450"/>
      <c r="AS165" s="485"/>
      <c r="AT165" s="486"/>
      <c r="AU165" s="486"/>
      <c r="AV165" s="486"/>
      <c r="AW165" s="486"/>
      <c r="AX165" s="486"/>
      <c r="AY165" s="487"/>
      <c r="AZ165" s="462"/>
      <c r="BA165" s="463"/>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5">
      <c r="A166" s="436"/>
      <c r="B166" s="37"/>
      <c r="C166" s="200" t="str">
        <f t="shared" ca="1" si="4"/>
        <v/>
      </c>
      <c r="D166" s="481"/>
      <c r="E166" s="482"/>
      <c r="F166" s="482"/>
      <c r="G166" s="482"/>
      <c r="H166" s="482"/>
      <c r="I166" s="482"/>
      <c r="J166" s="482"/>
      <c r="K166" s="409"/>
      <c r="L166" s="410"/>
      <c r="M166" s="410"/>
      <c r="N166" s="410"/>
      <c r="O166" s="410"/>
      <c r="P166" s="410"/>
      <c r="Q166" s="410"/>
      <c r="R166" s="446"/>
      <c r="S166" s="447"/>
      <c r="T166" s="446"/>
      <c r="U166" s="44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88"/>
      <c r="AT166" s="489"/>
      <c r="AU166" s="489"/>
      <c r="AV166" s="489"/>
      <c r="AW166" s="489"/>
      <c r="AX166" s="489"/>
      <c r="AY166" s="490"/>
      <c r="AZ166" s="464"/>
      <c r="BA166" s="465"/>
      <c r="BB166" s="62">
        <v>6</v>
      </c>
      <c r="BC166" s="426"/>
      <c r="BD166" s="427"/>
      <c r="BE166" s="427"/>
      <c r="BF166" s="428"/>
      <c r="BG166" s="429"/>
      <c r="BH166" s="430"/>
      <c r="BI166" s="196"/>
      <c r="BJ166" s="474"/>
      <c r="BK166" s="475"/>
      <c r="BL166" s="475"/>
      <c r="BM166" s="475"/>
      <c r="BN166" s="475"/>
      <c r="BO166" s="476"/>
      <c r="BP166" s="474"/>
      <c r="BQ166" s="475"/>
      <c r="BR166" s="475"/>
      <c r="BS166" s="475"/>
      <c r="BT166" s="475"/>
      <c r="BU166" s="476"/>
      <c r="BV166" s="474"/>
      <c r="BW166" s="475"/>
      <c r="BX166" s="475"/>
      <c r="BY166" s="475"/>
      <c r="BZ166" s="475"/>
      <c r="CA166" s="476"/>
      <c r="CB166" s="426"/>
      <c r="CC166" s="427"/>
      <c r="CD166" s="427"/>
      <c r="CE166" s="428"/>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5">
      <c r="A167" s="434">
        <v>27</v>
      </c>
      <c r="B167" s="36"/>
      <c r="C167" s="198" t="str">
        <f t="shared" ca="1" si="4"/>
        <v/>
      </c>
      <c r="D167" s="477" t="s">
        <v>505</v>
      </c>
      <c r="E167" s="478"/>
      <c r="F167" s="478"/>
      <c r="G167" s="478"/>
      <c r="H167" s="478"/>
      <c r="I167" s="478"/>
      <c r="J167" s="478"/>
      <c r="K167" s="438" t="s">
        <v>506</v>
      </c>
      <c r="L167" s="439"/>
      <c r="M167" s="439"/>
      <c r="N167" s="439"/>
      <c r="O167" s="439"/>
      <c r="P167" s="439"/>
      <c r="Q167" s="439"/>
      <c r="R167" s="442" t="s">
        <v>186</v>
      </c>
      <c r="S167" s="443"/>
      <c r="T167" s="442"/>
      <c r="U167" s="443"/>
      <c r="V167" s="438"/>
      <c r="W167" s="439"/>
      <c r="X167" s="439"/>
      <c r="Y167" s="439"/>
      <c r="Z167" s="439"/>
      <c r="AA167" s="439"/>
      <c r="AB167" s="439"/>
      <c r="AC167" s="439"/>
      <c r="AD167" s="438"/>
      <c r="AE167" s="439"/>
      <c r="AF167" s="439"/>
      <c r="AG167" s="439"/>
      <c r="AH167" s="439"/>
      <c r="AI167" s="439"/>
      <c r="AJ167" s="439"/>
      <c r="AK167" s="449"/>
      <c r="AL167" s="438"/>
      <c r="AM167" s="439"/>
      <c r="AN167" s="439"/>
      <c r="AO167" s="439"/>
      <c r="AP167" s="439"/>
      <c r="AQ167" s="439"/>
      <c r="AR167" s="449"/>
      <c r="AS167" s="500"/>
      <c r="AT167" s="483"/>
      <c r="AU167" s="483"/>
      <c r="AV167" s="483"/>
      <c r="AW167" s="483"/>
      <c r="AX167" s="483"/>
      <c r="AY167" s="484"/>
      <c r="AZ167" s="460"/>
      <c r="BA167" s="461"/>
      <c r="BB167" s="60">
        <v>1</v>
      </c>
      <c r="BC167" s="466"/>
      <c r="BD167" s="467"/>
      <c r="BE167" s="467"/>
      <c r="BF167" s="468"/>
      <c r="BG167" s="469"/>
      <c r="BH167" s="470"/>
      <c r="BI167" s="194"/>
      <c r="BJ167" s="471"/>
      <c r="BK167" s="472"/>
      <c r="BL167" s="472"/>
      <c r="BM167" s="472"/>
      <c r="BN167" s="472"/>
      <c r="BO167" s="473"/>
      <c r="BP167" s="471"/>
      <c r="BQ167" s="472"/>
      <c r="BR167" s="472"/>
      <c r="BS167" s="472"/>
      <c r="BT167" s="472"/>
      <c r="BU167" s="473"/>
      <c r="BV167" s="471"/>
      <c r="BW167" s="472"/>
      <c r="BX167" s="472"/>
      <c r="BY167" s="472"/>
      <c r="BZ167" s="472"/>
      <c r="CA167" s="473"/>
      <c r="CB167" s="466"/>
      <c r="CC167" s="467"/>
      <c r="CD167" s="467"/>
      <c r="CE167" s="468"/>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5">
      <c r="A168" s="435"/>
      <c r="B168" s="36"/>
      <c r="C168" s="199" t="str">
        <f t="shared" ca="1" si="4"/>
        <v/>
      </c>
      <c r="D168" s="479"/>
      <c r="E168" s="480"/>
      <c r="F168" s="480"/>
      <c r="G168" s="480"/>
      <c r="H168" s="480"/>
      <c r="I168" s="480"/>
      <c r="J168" s="480"/>
      <c r="K168" s="440"/>
      <c r="L168" s="441"/>
      <c r="M168" s="441"/>
      <c r="N168" s="441"/>
      <c r="O168" s="441"/>
      <c r="P168" s="441"/>
      <c r="Q168" s="441"/>
      <c r="R168" s="444"/>
      <c r="S168" s="445"/>
      <c r="T168" s="444"/>
      <c r="U168" s="445"/>
      <c r="V168" s="440"/>
      <c r="W168" s="441"/>
      <c r="X168" s="441"/>
      <c r="Y168" s="441"/>
      <c r="Z168" s="441"/>
      <c r="AA168" s="441"/>
      <c r="AB168" s="441"/>
      <c r="AC168" s="441"/>
      <c r="AD168" s="440"/>
      <c r="AE168" s="441"/>
      <c r="AF168" s="441"/>
      <c r="AG168" s="441"/>
      <c r="AH168" s="441"/>
      <c r="AI168" s="441"/>
      <c r="AJ168" s="441"/>
      <c r="AK168" s="450"/>
      <c r="AL168" s="440"/>
      <c r="AM168" s="441"/>
      <c r="AN168" s="441"/>
      <c r="AO168" s="441"/>
      <c r="AP168" s="441"/>
      <c r="AQ168" s="441"/>
      <c r="AR168" s="450"/>
      <c r="AS168" s="485"/>
      <c r="AT168" s="486"/>
      <c r="AU168" s="486"/>
      <c r="AV168" s="486"/>
      <c r="AW168" s="486"/>
      <c r="AX168" s="486"/>
      <c r="AY168" s="487"/>
      <c r="AZ168" s="462"/>
      <c r="BA168" s="463"/>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5">
      <c r="A169" s="435"/>
      <c r="B169" s="36"/>
      <c r="C169" s="199" t="str">
        <f t="shared" ca="1" si="4"/>
        <v/>
      </c>
      <c r="D169" s="479"/>
      <c r="E169" s="480"/>
      <c r="F169" s="480"/>
      <c r="G169" s="480"/>
      <c r="H169" s="480"/>
      <c r="I169" s="480"/>
      <c r="J169" s="480"/>
      <c r="K169" s="440"/>
      <c r="L169" s="441"/>
      <c r="M169" s="441"/>
      <c r="N169" s="441"/>
      <c r="O169" s="441"/>
      <c r="P169" s="441"/>
      <c r="Q169" s="441"/>
      <c r="R169" s="444"/>
      <c r="S169" s="445"/>
      <c r="T169" s="444"/>
      <c r="U169" s="445"/>
      <c r="V169" s="440"/>
      <c r="W169" s="441"/>
      <c r="X169" s="441"/>
      <c r="Y169" s="441"/>
      <c r="Z169" s="441"/>
      <c r="AA169" s="441"/>
      <c r="AB169" s="441"/>
      <c r="AC169" s="441"/>
      <c r="AD169" s="440"/>
      <c r="AE169" s="441"/>
      <c r="AF169" s="441"/>
      <c r="AG169" s="441"/>
      <c r="AH169" s="441"/>
      <c r="AI169" s="441"/>
      <c r="AJ169" s="441"/>
      <c r="AK169" s="450"/>
      <c r="AL169" s="440"/>
      <c r="AM169" s="441"/>
      <c r="AN169" s="441"/>
      <c r="AO169" s="441"/>
      <c r="AP169" s="441"/>
      <c r="AQ169" s="441"/>
      <c r="AR169" s="450"/>
      <c r="AS169" s="485"/>
      <c r="AT169" s="486"/>
      <c r="AU169" s="486"/>
      <c r="AV169" s="486"/>
      <c r="AW169" s="486"/>
      <c r="AX169" s="486"/>
      <c r="AY169" s="487"/>
      <c r="AZ169" s="462"/>
      <c r="BA169" s="463"/>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5">
      <c r="A170" s="435"/>
      <c r="B170" s="36"/>
      <c r="C170" s="199" t="str">
        <f t="shared" ca="1" si="4"/>
        <v/>
      </c>
      <c r="D170" s="479"/>
      <c r="E170" s="480"/>
      <c r="F170" s="480"/>
      <c r="G170" s="480"/>
      <c r="H170" s="480"/>
      <c r="I170" s="480"/>
      <c r="J170" s="480"/>
      <c r="K170" s="440"/>
      <c r="L170" s="441"/>
      <c r="M170" s="441"/>
      <c r="N170" s="441"/>
      <c r="O170" s="441"/>
      <c r="P170" s="441"/>
      <c r="Q170" s="441"/>
      <c r="R170" s="444"/>
      <c r="S170" s="445"/>
      <c r="T170" s="444"/>
      <c r="U170" s="445"/>
      <c r="V170" s="440"/>
      <c r="W170" s="441"/>
      <c r="X170" s="441"/>
      <c r="Y170" s="441"/>
      <c r="Z170" s="441"/>
      <c r="AA170" s="441"/>
      <c r="AB170" s="441"/>
      <c r="AC170" s="441"/>
      <c r="AD170" s="440"/>
      <c r="AE170" s="441"/>
      <c r="AF170" s="441"/>
      <c r="AG170" s="441"/>
      <c r="AH170" s="441"/>
      <c r="AI170" s="441"/>
      <c r="AJ170" s="441"/>
      <c r="AK170" s="450"/>
      <c r="AL170" s="440"/>
      <c r="AM170" s="441"/>
      <c r="AN170" s="441"/>
      <c r="AO170" s="441"/>
      <c r="AP170" s="441"/>
      <c r="AQ170" s="441"/>
      <c r="AR170" s="450"/>
      <c r="AS170" s="485"/>
      <c r="AT170" s="486"/>
      <c r="AU170" s="486"/>
      <c r="AV170" s="486"/>
      <c r="AW170" s="486"/>
      <c r="AX170" s="486"/>
      <c r="AY170" s="487"/>
      <c r="AZ170" s="462"/>
      <c r="BA170" s="463"/>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5">
      <c r="A171" s="435"/>
      <c r="B171" s="36"/>
      <c r="C171" s="199" t="str">
        <f t="shared" ca="1" si="4"/>
        <v/>
      </c>
      <c r="D171" s="479"/>
      <c r="E171" s="480"/>
      <c r="F171" s="480"/>
      <c r="G171" s="480"/>
      <c r="H171" s="480"/>
      <c r="I171" s="480"/>
      <c r="J171" s="480"/>
      <c r="K171" s="440"/>
      <c r="L171" s="441"/>
      <c r="M171" s="441"/>
      <c r="N171" s="441"/>
      <c r="O171" s="441"/>
      <c r="P171" s="441"/>
      <c r="Q171" s="441"/>
      <c r="R171" s="444"/>
      <c r="S171" s="445"/>
      <c r="T171" s="444"/>
      <c r="U171" s="445"/>
      <c r="V171" s="440"/>
      <c r="W171" s="441"/>
      <c r="X171" s="441"/>
      <c r="Y171" s="441"/>
      <c r="Z171" s="441"/>
      <c r="AA171" s="441"/>
      <c r="AB171" s="441"/>
      <c r="AC171" s="441"/>
      <c r="AD171" s="440"/>
      <c r="AE171" s="441"/>
      <c r="AF171" s="441"/>
      <c r="AG171" s="441"/>
      <c r="AH171" s="441"/>
      <c r="AI171" s="441"/>
      <c r="AJ171" s="441"/>
      <c r="AK171" s="450"/>
      <c r="AL171" s="440"/>
      <c r="AM171" s="441"/>
      <c r="AN171" s="441"/>
      <c r="AO171" s="441"/>
      <c r="AP171" s="441"/>
      <c r="AQ171" s="441"/>
      <c r="AR171" s="450"/>
      <c r="AS171" s="485"/>
      <c r="AT171" s="486"/>
      <c r="AU171" s="486"/>
      <c r="AV171" s="486"/>
      <c r="AW171" s="486"/>
      <c r="AX171" s="486"/>
      <c r="AY171" s="487"/>
      <c r="AZ171" s="462"/>
      <c r="BA171" s="463"/>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5">
      <c r="A172" s="436"/>
      <c r="B172" s="37"/>
      <c r="C172" s="200" t="str">
        <f t="shared" ca="1" si="4"/>
        <v/>
      </c>
      <c r="D172" s="481"/>
      <c r="E172" s="482"/>
      <c r="F172" s="482"/>
      <c r="G172" s="482"/>
      <c r="H172" s="482"/>
      <c r="I172" s="482"/>
      <c r="J172" s="482"/>
      <c r="K172" s="409"/>
      <c r="L172" s="410"/>
      <c r="M172" s="410"/>
      <c r="N172" s="410"/>
      <c r="O172" s="410"/>
      <c r="P172" s="410"/>
      <c r="Q172" s="410"/>
      <c r="R172" s="446"/>
      <c r="S172" s="447"/>
      <c r="T172" s="446"/>
      <c r="U172" s="44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88"/>
      <c r="AT172" s="489"/>
      <c r="AU172" s="489"/>
      <c r="AV172" s="489"/>
      <c r="AW172" s="489"/>
      <c r="AX172" s="489"/>
      <c r="AY172" s="490"/>
      <c r="AZ172" s="464"/>
      <c r="BA172" s="465"/>
      <c r="BB172" s="62">
        <v>6</v>
      </c>
      <c r="BC172" s="426"/>
      <c r="BD172" s="427"/>
      <c r="BE172" s="427"/>
      <c r="BF172" s="428"/>
      <c r="BG172" s="429"/>
      <c r="BH172" s="430"/>
      <c r="BI172" s="196"/>
      <c r="BJ172" s="474"/>
      <c r="BK172" s="475"/>
      <c r="BL172" s="475"/>
      <c r="BM172" s="475"/>
      <c r="BN172" s="475"/>
      <c r="BO172" s="476"/>
      <c r="BP172" s="474"/>
      <c r="BQ172" s="475"/>
      <c r="BR172" s="475"/>
      <c r="BS172" s="475"/>
      <c r="BT172" s="475"/>
      <c r="BU172" s="476"/>
      <c r="BV172" s="474"/>
      <c r="BW172" s="475"/>
      <c r="BX172" s="475"/>
      <c r="BY172" s="475"/>
      <c r="BZ172" s="475"/>
      <c r="CA172" s="476"/>
      <c r="CB172" s="426"/>
      <c r="CC172" s="427"/>
      <c r="CD172" s="427"/>
      <c r="CE172" s="428"/>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5">
      <c r="A173" s="434">
        <v>28</v>
      </c>
      <c r="B173" s="36"/>
      <c r="C173" s="198" t="str">
        <f t="shared" ca="1" si="4"/>
        <v/>
      </c>
      <c r="D173" s="477"/>
      <c r="E173" s="478"/>
      <c r="F173" s="478"/>
      <c r="G173" s="478"/>
      <c r="H173" s="478"/>
      <c r="I173" s="478"/>
      <c r="J173" s="478"/>
      <c r="K173" s="438" t="s">
        <v>507</v>
      </c>
      <c r="L173" s="439"/>
      <c r="M173" s="439"/>
      <c r="N173" s="439"/>
      <c r="O173" s="439"/>
      <c r="P173" s="439"/>
      <c r="Q173" s="439"/>
      <c r="R173" s="442" t="s">
        <v>186</v>
      </c>
      <c r="S173" s="443"/>
      <c r="T173" s="442"/>
      <c r="U173" s="443"/>
      <c r="V173" s="438"/>
      <c r="W173" s="439"/>
      <c r="X173" s="439"/>
      <c r="Y173" s="439"/>
      <c r="Z173" s="439"/>
      <c r="AA173" s="439"/>
      <c r="AB173" s="439"/>
      <c r="AC173" s="439"/>
      <c r="AD173" s="438"/>
      <c r="AE173" s="439"/>
      <c r="AF173" s="439"/>
      <c r="AG173" s="439"/>
      <c r="AH173" s="439"/>
      <c r="AI173" s="439"/>
      <c r="AJ173" s="439"/>
      <c r="AK173" s="449"/>
      <c r="AL173" s="438"/>
      <c r="AM173" s="439"/>
      <c r="AN173" s="439"/>
      <c r="AO173" s="439"/>
      <c r="AP173" s="439"/>
      <c r="AQ173" s="439"/>
      <c r="AR173" s="449"/>
      <c r="AS173" s="500"/>
      <c r="AT173" s="483"/>
      <c r="AU173" s="483"/>
      <c r="AV173" s="483"/>
      <c r="AW173" s="483"/>
      <c r="AX173" s="483"/>
      <c r="AY173" s="484"/>
      <c r="AZ173" s="460"/>
      <c r="BA173" s="461"/>
      <c r="BB173" s="60">
        <v>1</v>
      </c>
      <c r="BC173" s="466"/>
      <c r="BD173" s="467"/>
      <c r="BE173" s="467"/>
      <c r="BF173" s="468"/>
      <c r="BG173" s="469"/>
      <c r="BH173" s="470"/>
      <c r="BI173" s="194"/>
      <c r="BJ173" s="471"/>
      <c r="BK173" s="472"/>
      <c r="BL173" s="472"/>
      <c r="BM173" s="472"/>
      <c r="BN173" s="472"/>
      <c r="BO173" s="473"/>
      <c r="BP173" s="471"/>
      <c r="BQ173" s="472"/>
      <c r="BR173" s="472"/>
      <c r="BS173" s="472"/>
      <c r="BT173" s="472"/>
      <c r="BU173" s="473"/>
      <c r="BV173" s="471"/>
      <c r="BW173" s="472"/>
      <c r="BX173" s="472"/>
      <c r="BY173" s="472"/>
      <c r="BZ173" s="472"/>
      <c r="CA173" s="473"/>
      <c r="CB173" s="466"/>
      <c r="CC173" s="467"/>
      <c r="CD173" s="467"/>
      <c r="CE173" s="468"/>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5">
      <c r="A174" s="435"/>
      <c r="B174" s="36"/>
      <c r="C174" s="199" t="str">
        <f t="shared" ca="1" si="4"/>
        <v/>
      </c>
      <c r="D174" s="479"/>
      <c r="E174" s="480"/>
      <c r="F174" s="480"/>
      <c r="G174" s="480"/>
      <c r="H174" s="480"/>
      <c r="I174" s="480"/>
      <c r="J174" s="480"/>
      <c r="K174" s="440"/>
      <c r="L174" s="441"/>
      <c r="M174" s="441"/>
      <c r="N174" s="441"/>
      <c r="O174" s="441"/>
      <c r="P174" s="441"/>
      <c r="Q174" s="441"/>
      <c r="R174" s="444"/>
      <c r="S174" s="445"/>
      <c r="T174" s="444"/>
      <c r="U174" s="445"/>
      <c r="V174" s="440"/>
      <c r="W174" s="441"/>
      <c r="X174" s="441"/>
      <c r="Y174" s="441"/>
      <c r="Z174" s="441"/>
      <c r="AA174" s="441"/>
      <c r="AB174" s="441"/>
      <c r="AC174" s="441"/>
      <c r="AD174" s="440"/>
      <c r="AE174" s="441"/>
      <c r="AF174" s="441"/>
      <c r="AG174" s="441"/>
      <c r="AH174" s="441"/>
      <c r="AI174" s="441"/>
      <c r="AJ174" s="441"/>
      <c r="AK174" s="450"/>
      <c r="AL174" s="440"/>
      <c r="AM174" s="441"/>
      <c r="AN174" s="441"/>
      <c r="AO174" s="441"/>
      <c r="AP174" s="441"/>
      <c r="AQ174" s="441"/>
      <c r="AR174" s="450"/>
      <c r="AS174" s="485"/>
      <c r="AT174" s="486"/>
      <c r="AU174" s="486"/>
      <c r="AV174" s="486"/>
      <c r="AW174" s="486"/>
      <c r="AX174" s="486"/>
      <c r="AY174" s="487"/>
      <c r="AZ174" s="462"/>
      <c r="BA174" s="463"/>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5">
      <c r="A175" s="435"/>
      <c r="B175" s="36"/>
      <c r="C175" s="199" t="str">
        <f t="shared" ca="1" si="4"/>
        <v/>
      </c>
      <c r="D175" s="479"/>
      <c r="E175" s="480"/>
      <c r="F175" s="480"/>
      <c r="G175" s="480"/>
      <c r="H175" s="480"/>
      <c r="I175" s="480"/>
      <c r="J175" s="480"/>
      <c r="K175" s="440"/>
      <c r="L175" s="441"/>
      <c r="M175" s="441"/>
      <c r="N175" s="441"/>
      <c r="O175" s="441"/>
      <c r="P175" s="441"/>
      <c r="Q175" s="441"/>
      <c r="R175" s="444"/>
      <c r="S175" s="445"/>
      <c r="T175" s="444"/>
      <c r="U175" s="445"/>
      <c r="V175" s="440"/>
      <c r="W175" s="441"/>
      <c r="X175" s="441"/>
      <c r="Y175" s="441"/>
      <c r="Z175" s="441"/>
      <c r="AA175" s="441"/>
      <c r="AB175" s="441"/>
      <c r="AC175" s="441"/>
      <c r="AD175" s="440"/>
      <c r="AE175" s="441"/>
      <c r="AF175" s="441"/>
      <c r="AG175" s="441"/>
      <c r="AH175" s="441"/>
      <c r="AI175" s="441"/>
      <c r="AJ175" s="441"/>
      <c r="AK175" s="450"/>
      <c r="AL175" s="440"/>
      <c r="AM175" s="441"/>
      <c r="AN175" s="441"/>
      <c r="AO175" s="441"/>
      <c r="AP175" s="441"/>
      <c r="AQ175" s="441"/>
      <c r="AR175" s="450"/>
      <c r="AS175" s="485"/>
      <c r="AT175" s="486"/>
      <c r="AU175" s="486"/>
      <c r="AV175" s="486"/>
      <c r="AW175" s="486"/>
      <c r="AX175" s="486"/>
      <c r="AY175" s="487"/>
      <c r="AZ175" s="462"/>
      <c r="BA175" s="463"/>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5">
      <c r="A176" s="435"/>
      <c r="B176" s="36"/>
      <c r="C176" s="199" t="str">
        <f t="shared" ca="1" si="4"/>
        <v/>
      </c>
      <c r="D176" s="479"/>
      <c r="E176" s="480"/>
      <c r="F176" s="480"/>
      <c r="G176" s="480"/>
      <c r="H176" s="480"/>
      <c r="I176" s="480"/>
      <c r="J176" s="480"/>
      <c r="K176" s="440"/>
      <c r="L176" s="441"/>
      <c r="M176" s="441"/>
      <c r="N176" s="441"/>
      <c r="O176" s="441"/>
      <c r="P176" s="441"/>
      <c r="Q176" s="441"/>
      <c r="R176" s="444"/>
      <c r="S176" s="445"/>
      <c r="T176" s="444"/>
      <c r="U176" s="445"/>
      <c r="V176" s="440"/>
      <c r="W176" s="441"/>
      <c r="X176" s="441"/>
      <c r="Y176" s="441"/>
      <c r="Z176" s="441"/>
      <c r="AA176" s="441"/>
      <c r="AB176" s="441"/>
      <c r="AC176" s="441"/>
      <c r="AD176" s="440"/>
      <c r="AE176" s="441"/>
      <c r="AF176" s="441"/>
      <c r="AG176" s="441"/>
      <c r="AH176" s="441"/>
      <c r="AI176" s="441"/>
      <c r="AJ176" s="441"/>
      <c r="AK176" s="450"/>
      <c r="AL176" s="440"/>
      <c r="AM176" s="441"/>
      <c r="AN176" s="441"/>
      <c r="AO176" s="441"/>
      <c r="AP176" s="441"/>
      <c r="AQ176" s="441"/>
      <c r="AR176" s="450"/>
      <c r="AS176" s="485"/>
      <c r="AT176" s="486"/>
      <c r="AU176" s="486"/>
      <c r="AV176" s="486"/>
      <c r="AW176" s="486"/>
      <c r="AX176" s="486"/>
      <c r="AY176" s="487"/>
      <c r="AZ176" s="462"/>
      <c r="BA176" s="463"/>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5">
      <c r="A177" s="435"/>
      <c r="B177" s="36"/>
      <c r="C177" s="199" t="str">
        <f t="shared" ca="1" si="4"/>
        <v/>
      </c>
      <c r="D177" s="479"/>
      <c r="E177" s="480"/>
      <c r="F177" s="480"/>
      <c r="G177" s="480"/>
      <c r="H177" s="480"/>
      <c r="I177" s="480"/>
      <c r="J177" s="480"/>
      <c r="K177" s="440"/>
      <c r="L177" s="441"/>
      <c r="M177" s="441"/>
      <c r="N177" s="441"/>
      <c r="O177" s="441"/>
      <c r="P177" s="441"/>
      <c r="Q177" s="441"/>
      <c r="R177" s="444"/>
      <c r="S177" s="445"/>
      <c r="T177" s="444"/>
      <c r="U177" s="445"/>
      <c r="V177" s="440"/>
      <c r="W177" s="441"/>
      <c r="X177" s="441"/>
      <c r="Y177" s="441"/>
      <c r="Z177" s="441"/>
      <c r="AA177" s="441"/>
      <c r="AB177" s="441"/>
      <c r="AC177" s="441"/>
      <c r="AD177" s="440"/>
      <c r="AE177" s="441"/>
      <c r="AF177" s="441"/>
      <c r="AG177" s="441"/>
      <c r="AH177" s="441"/>
      <c r="AI177" s="441"/>
      <c r="AJ177" s="441"/>
      <c r="AK177" s="450"/>
      <c r="AL177" s="440"/>
      <c r="AM177" s="441"/>
      <c r="AN177" s="441"/>
      <c r="AO177" s="441"/>
      <c r="AP177" s="441"/>
      <c r="AQ177" s="441"/>
      <c r="AR177" s="450"/>
      <c r="AS177" s="485"/>
      <c r="AT177" s="486"/>
      <c r="AU177" s="486"/>
      <c r="AV177" s="486"/>
      <c r="AW177" s="486"/>
      <c r="AX177" s="486"/>
      <c r="AY177" s="487"/>
      <c r="AZ177" s="462"/>
      <c r="BA177" s="463"/>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5">
      <c r="A178" s="436"/>
      <c r="B178" s="37"/>
      <c r="C178" s="200" t="str">
        <f t="shared" ca="1" si="4"/>
        <v/>
      </c>
      <c r="D178" s="481"/>
      <c r="E178" s="482"/>
      <c r="F178" s="482"/>
      <c r="G178" s="482"/>
      <c r="H178" s="482"/>
      <c r="I178" s="482"/>
      <c r="J178" s="482"/>
      <c r="K178" s="409"/>
      <c r="L178" s="410"/>
      <c r="M178" s="410"/>
      <c r="N178" s="410"/>
      <c r="O178" s="410"/>
      <c r="P178" s="410"/>
      <c r="Q178" s="410"/>
      <c r="R178" s="446"/>
      <c r="S178" s="447"/>
      <c r="T178" s="446"/>
      <c r="U178" s="44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88"/>
      <c r="AT178" s="489"/>
      <c r="AU178" s="489"/>
      <c r="AV178" s="489"/>
      <c r="AW178" s="489"/>
      <c r="AX178" s="489"/>
      <c r="AY178" s="490"/>
      <c r="AZ178" s="464"/>
      <c r="BA178" s="465"/>
      <c r="BB178" s="62">
        <v>6</v>
      </c>
      <c r="BC178" s="426"/>
      <c r="BD178" s="427"/>
      <c r="BE178" s="427"/>
      <c r="BF178" s="428"/>
      <c r="BG178" s="429"/>
      <c r="BH178" s="430"/>
      <c r="BI178" s="196"/>
      <c r="BJ178" s="474"/>
      <c r="BK178" s="475"/>
      <c r="BL178" s="475"/>
      <c r="BM178" s="475"/>
      <c r="BN178" s="475"/>
      <c r="BO178" s="476"/>
      <c r="BP178" s="474"/>
      <c r="BQ178" s="475"/>
      <c r="BR178" s="475"/>
      <c r="BS178" s="475"/>
      <c r="BT178" s="475"/>
      <c r="BU178" s="476"/>
      <c r="BV178" s="474"/>
      <c r="BW178" s="475"/>
      <c r="BX178" s="475"/>
      <c r="BY178" s="475"/>
      <c r="BZ178" s="475"/>
      <c r="CA178" s="476"/>
      <c r="CB178" s="426"/>
      <c r="CC178" s="427"/>
      <c r="CD178" s="427"/>
      <c r="CE178" s="428"/>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5">
      <c r="A179" s="434">
        <v>29</v>
      </c>
      <c r="B179" s="36"/>
      <c r="C179" s="198" t="str">
        <f t="shared" ca="1" si="4"/>
        <v/>
      </c>
      <c r="D179" s="477"/>
      <c r="E179" s="478"/>
      <c r="F179" s="478"/>
      <c r="G179" s="478"/>
      <c r="H179" s="478"/>
      <c r="I179" s="478"/>
      <c r="J179" s="478"/>
      <c r="K179" s="438" t="s">
        <v>508</v>
      </c>
      <c r="L179" s="439"/>
      <c r="M179" s="439"/>
      <c r="N179" s="439"/>
      <c r="O179" s="439"/>
      <c r="P179" s="439"/>
      <c r="Q179" s="439"/>
      <c r="R179" s="442" t="s">
        <v>186</v>
      </c>
      <c r="S179" s="443"/>
      <c r="T179" s="442"/>
      <c r="U179" s="443"/>
      <c r="V179" s="438"/>
      <c r="W179" s="439"/>
      <c r="X179" s="439"/>
      <c r="Y179" s="439"/>
      <c r="Z179" s="439"/>
      <c r="AA179" s="439"/>
      <c r="AB179" s="439"/>
      <c r="AC179" s="439"/>
      <c r="AD179" s="438"/>
      <c r="AE179" s="439"/>
      <c r="AF179" s="439"/>
      <c r="AG179" s="439"/>
      <c r="AH179" s="439"/>
      <c r="AI179" s="439"/>
      <c r="AJ179" s="439"/>
      <c r="AK179" s="449"/>
      <c r="AL179" s="438"/>
      <c r="AM179" s="439"/>
      <c r="AN179" s="439"/>
      <c r="AO179" s="439"/>
      <c r="AP179" s="439"/>
      <c r="AQ179" s="439"/>
      <c r="AR179" s="449"/>
      <c r="AS179" s="500"/>
      <c r="AT179" s="483"/>
      <c r="AU179" s="483"/>
      <c r="AV179" s="483"/>
      <c r="AW179" s="483"/>
      <c r="AX179" s="483"/>
      <c r="AY179" s="484"/>
      <c r="AZ179" s="460"/>
      <c r="BA179" s="461"/>
      <c r="BB179" s="60">
        <v>1</v>
      </c>
      <c r="BC179" s="466"/>
      <c r="BD179" s="467"/>
      <c r="BE179" s="467"/>
      <c r="BF179" s="468"/>
      <c r="BG179" s="469"/>
      <c r="BH179" s="470"/>
      <c r="BI179" s="194"/>
      <c r="BJ179" s="471"/>
      <c r="BK179" s="472"/>
      <c r="BL179" s="472"/>
      <c r="BM179" s="472"/>
      <c r="BN179" s="472"/>
      <c r="BO179" s="473"/>
      <c r="BP179" s="471"/>
      <c r="BQ179" s="472"/>
      <c r="BR179" s="472"/>
      <c r="BS179" s="472"/>
      <c r="BT179" s="472"/>
      <c r="BU179" s="473"/>
      <c r="BV179" s="471"/>
      <c r="BW179" s="472"/>
      <c r="BX179" s="472"/>
      <c r="BY179" s="472"/>
      <c r="BZ179" s="472"/>
      <c r="CA179" s="473"/>
      <c r="CB179" s="466"/>
      <c r="CC179" s="467"/>
      <c r="CD179" s="467"/>
      <c r="CE179" s="468"/>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5">
      <c r="A180" s="435"/>
      <c r="B180" s="36"/>
      <c r="C180" s="199" t="str">
        <f t="shared" ca="1" si="4"/>
        <v/>
      </c>
      <c r="D180" s="479"/>
      <c r="E180" s="480"/>
      <c r="F180" s="480"/>
      <c r="G180" s="480"/>
      <c r="H180" s="480"/>
      <c r="I180" s="480"/>
      <c r="J180" s="480"/>
      <c r="K180" s="440"/>
      <c r="L180" s="441"/>
      <c r="M180" s="441"/>
      <c r="N180" s="441"/>
      <c r="O180" s="441"/>
      <c r="P180" s="441"/>
      <c r="Q180" s="441"/>
      <c r="R180" s="444"/>
      <c r="S180" s="445"/>
      <c r="T180" s="444"/>
      <c r="U180" s="445"/>
      <c r="V180" s="440"/>
      <c r="W180" s="441"/>
      <c r="X180" s="441"/>
      <c r="Y180" s="441"/>
      <c r="Z180" s="441"/>
      <c r="AA180" s="441"/>
      <c r="AB180" s="441"/>
      <c r="AC180" s="441"/>
      <c r="AD180" s="440"/>
      <c r="AE180" s="441"/>
      <c r="AF180" s="441"/>
      <c r="AG180" s="441"/>
      <c r="AH180" s="441"/>
      <c r="AI180" s="441"/>
      <c r="AJ180" s="441"/>
      <c r="AK180" s="450"/>
      <c r="AL180" s="440"/>
      <c r="AM180" s="441"/>
      <c r="AN180" s="441"/>
      <c r="AO180" s="441"/>
      <c r="AP180" s="441"/>
      <c r="AQ180" s="441"/>
      <c r="AR180" s="450"/>
      <c r="AS180" s="485"/>
      <c r="AT180" s="486"/>
      <c r="AU180" s="486"/>
      <c r="AV180" s="486"/>
      <c r="AW180" s="486"/>
      <c r="AX180" s="486"/>
      <c r="AY180" s="487"/>
      <c r="AZ180" s="462"/>
      <c r="BA180" s="463"/>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5">
      <c r="A181" s="435"/>
      <c r="B181" s="36"/>
      <c r="C181" s="199" t="str">
        <f t="shared" ca="1" si="4"/>
        <v/>
      </c>
      <c r="D181" s="479"/>
      <c r="E181" s="480"/>
      <c r="F181" s="480"/>
      <c r="G181" s="480"/>
      <c r="H181" s="480"/>
      <c r="I181" s="480"/>
      <c r="J181" s="480"/>
      <c r="K181" s="440"/>
      <c r="L181" s="441"/>
      <c r="M181" s="441"/>
      <c r="N181" s="441"/>
      <c r="O181" s="441"/>
      <c r="P181" s="441"/>
      <c r="Q181" s="441"/>
      <c r="R181" s="444"/>
      <c r="S181" s="445"/>
      <c r="T181" s="444"/>
      <c r="U181" s="445"/>
      <c r="V181" s="440"/>
      <c r="W181" s="441"/>
      <c r="X181" s="441"/>
      <c r="Y181" s="441"/>
      <c r="Z181" s="441"/>
      <c r="AA181" s="441"/>
      <c r="AB181" s="441"/>
      <c r="AC181" s="441"/>
      <c r="AD181" s="440"/>
      <c r="AE181" s="441"/>
      <c r="AF181" s="441"/>
      <c r="AG181" s="441"/>
      <c r="AH181" s="441"/>
      <c r="AI181" s="441"/>
      <c r="AJ181" s="441"/>
      <c r="AK181" s="450"/>
      <c r="AL181" s="440"/>
      <c r="AM181" s="441"/>
      <c r="AN181" s="441"/>
      <c r="AO181" s="441"/>
      <c r="AP181" s="441"/>
      <c r="AQ181" s="441"/>
      <c r="AR181" s="450"/>
      <c r="AS181" s="485"/>
      <c r="AT181" s="486"/>
      <c r="AU181" s="486"/>
      <c r="AV181" s="486"/>
      <c r="AW181" s="486"/>
      <c r="AX181" s="486"/>
      <c r="AY181" s="487"/>
      <c r="AZ181" s="462"/>
      <c r="BA181" s="463"/>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5">
      <c r="A182" s="435"/>
      <c r="B182" s="36"/>
      <c r="C182" s="199" t="str">
        <f t="shared" ca="1" si="4"/>
        <v/>
      </c>
      <c r="D182" s="479"/>
      <c r="E182" s="480"/>
      <c r="F182" s="480"/>
      <c r="G182" s="480"/>
      <c r="H182" s="480"/>
      <c r="I182" s="480"/>
      <c r="J182" s="480"/>
      <c r="K182" s="440"/>
      <c r="L182" s="441"/>
      <c r="M182" s="441"/>
      <c r="N182" s="441"/>
      <c r="O182" s="441"/>
      <c r="P182" s="441"/>
      <c r="Q182" s="441"/>
      <c r="R182" s="444"/>
      <c r="S182" s="445"/>
      <c r="T182" s="444"/>
      <c r="U182" s="445"/>
      <c r="V182" s="440"/>
      <c r="W182" s="441"/>
      <c r="X182" s="441"/>
      <c r="Y182" s="441"/>
      <c r="Z182" s="441"/>
      <c r="AA182" s="441"/>
      <c r="AB182" s="441"/>
      <c r="AC182" s="441"/>
      <c r="AD182" s="440"/>
      <c r="AE182" s="441"/>
      <c r="AF182" s="441"/>
      <c r="AG182" s="441"/>
      <c r="AH182" s="441"/>
      <c r="AI182" s="441"/>
      <c r="AJ182" s="441"/>
      <c r="AK182" s="450"/>
      <c r="AL182" s="440"/>
      <c r="AM182" s="441"/>
      <c r="AN182" s="441"/>
      <c r="AO182" s="441"/>
      <c r="AP182" s="441"/>
      <c r="AQ182" s="441"/>
      <c r="AR182" s="450"/>
      <c r="AS182" s="485"/>
      <c r="AT182" s="486"/>
      <c r="AU182" s="486"/>
      <c r="AV182" s="486"/>
      <c r="AW182" s="486"/>
      <c r="AX182" s="486"/>
      <c r="AY182" s="487"/>
      <c r="AZ182" s="462"/>
      <c r="BA182" s="463"/>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5">
      <c r="A183" s="435"/>
      <c r="B183" s="36"/>
      <c r="C183" s="199" t="str">
        <f t="shared" ca="1" si="4"/>
        <v/>
      </c>
      <c r="D183" s="479"/>
      <c r="E183" s="480"/>
      <c r="F183" s="480"/>
      <c r="G183" s="480"/>
      <c r="H183" s="480"/>
      <c r="I183" s="480"/>
      <c r="J183" s="480"/>
      <c r="K183" s="440"/>
      <c r="L183" s="441"/>
      <c r="M183" s="441"/>
      <c r="N183" s="441"/>
      <c r="O183" s="441"/>
      <c r="P183" s="441"/>
      <c r="Q183" s="441"/>
      <c r="R183" s="444"/>
      <c r="S183" s="445"/>
      <c r="T183" s="444"/>
      <c r="U183" s="445"/>
      <c r="V183" s="440"/>
      <c r="W183" s="441"/>
      <c r="X183" s="441"/>
      <c r="Y183" s="441"/>
      <c r="Z183" s="441"/>
      <c r="AA183" s="441"/>
      <c r="AB183" s="441"/>
      <c r="AC183" s="441"/>
      <c r="AD183" s="440"/>
      <c r="AE183" s="441"/>
      <c r="AF183" s="441"/>
      <c r="AG183" s="441"/>
      <c r="AH183" s="441"/>
      <c r="AI183" s="441"/>
      <c r="AJ183" s="441"/>
      <c r="AK183" s="450"/>
      <c r="AL183" s="440"/>
      <c r="AM183" s="441"/>
      <c r="AN183" s="441"/>
      <c r="AO183" s="441"/>
      <c r="AP183" s="441"/>
      <c r="AQ183" s="441"/>
      <c r="AR183" s="450"/>
      <c r="AS183" s="485"/>
      <c r="AT183" s="486"/>
      <c r="AU183" s="486"/>
      <c r="AV183" s="486"/>
      <c r="AW183" s="486"/>
      <c r="AX183" s="486"/>
      <c r="AY183" s="487"/>
      <c r="AZ183" s="462"/>
      <c r="BA183" s="463"/>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5">
      <c r="A184" s="436"/>
      <c r="B184" s="37"/>
      <c r="C184" s="200" t="str">
        <f t="shared" ca="1" si="4"/>
        <v/>
      </c>
      <c r="D184" s="481"/>
      <c r="E184" s="482"/>
      <c r="F184" s="482"/>
      <c r="G184" s="482"/>
      <c r="H184" s="482"/>
      <c r="I184" s="482"/>
      <c r="J184" s="482"/>
      <c r="K184" s="409"/>
      <c r="L184" s="410"/>
      <c r="M184" s="410"/>
      <c r="N184" s="410"/>
      <c r="O184" s="410"/>
      <c r="P184" s="410"/>
      <c r="Q184" s="410"/>
      <c r="R184" s="446"/>
      <c r="S184" s="447"/>
      <c r="T184" s="446"/>
      <c r="U184" s="44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88"/>
      <c r="AT184" s="489"/>
      <c r="AU184" s="489"/>
      <c r="AV184" s="489"/>
      <c r="AW184" s="489"/>
      <c r="AX184" s="489"/>
      <c r="AY184" s="490"/>
      <c r="AZ184" s="464"/>
      <c r="BA184" s="465"/>
      <c r="BB184" s="62">
        <v>6</v>
      </c>
      <c r="BC184" s="426"/>
      <c r="BD184" s="427"/>
      <c r="BE184" s="427"/>
      <c r="BF184" s="428"/>
      <c r="BG184" s="429"/>
      <c r="BH184" s="430"/>
      <c r="BI184" s="196"/>
      <c r="BJ184" s="474"/>
      <c r="BK184" s="475"/>
      <c r="BL184" s="475"/>
      <c r="BM184" s="475"/>
      <c r="BN184" s="475"/>
      <c r="BO184" s="476"/>
      <c r="BP184" s="474"/>
      <c r="BQ184" s="475"/>
      <c r="BR184" s="475"/>
      <c r="BS184" s="475"/>
      <c r="BT184" s="475"/>
      <c r="BU184" s="476"/>
      <c r="BV184" s="474"/>
      <c r="BW184" s="475"/>
      <c r="BX184" s="475"/>
      <c r="BY184" s="475"/>
      <c r="BZ184" s="475"/>
      <c r="CA184" s="476"/>
      <c r="CB184" s="426"/>
      <c r="CC184" s="427"/>
      <c r="CD184" s="427"/>
      <c r="CE184" s="428"/>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5">
      <c r="A185" s="434">
        <v>30</v>
      </c>
      <c r="B185" s="36"/>
      <c r="C185" s="198" t="str">
        <f t="shared" ca="1" si="4"/>
        <v/>
      </c>
      <c r="D185" s="477"/>
      <c r="E185" s="478"/>
      <c r="F185" s="478"/>
      <c r="G185" s="478"/>
      <c r="H185" s="478"/>
      <c r="I185" s="478"/>
      <c r="J185" s="478"/>
      <c r="K185" s="438" t="s">
        <v>509</v>
      </c>
      <c r="L185" s="439"/>
      <c r="M185" s="439"/>
      <c r="N185" s="439"/>
      <c r="O185" s="439"/>
      <c r="P185" s="439"/>
      <c r="Q185" s="439"/>
      <c r="R185" s="442" t="s">
        <v>186</v>
      </c>
      <c r="S185" s="443"/>
      <c r="T185" s="442"/>
      <c r="U185" s="443"/>
      <c r="V185" s="438"/>
      <c r="W185" s="439"/>
      <c r="X185" s="439"/>
      <c r="Y185" s="439"/>
      <c r="Z185" s="439"/>
      <c r="AA185" s="439"/>
      <c r="AB185" s="439"/>
      <c r="AC185" s="439"/>
      <c r="AD185" s="438"/>
      <c r="AE185" s="439"/>
      <c r="AF185" s="439"/>
      <c r="AG185" s="439"/>
      <c r="AH185" s="439"/>
      <c r="AI185" s="439"/>
      <c r="AJ185" s="439"/>
      <c r="AK185" s="449"/>
      <c r="AL185" s="438"/>
      <c r="AM185" s="439"/>
      <c r="AN185" s="439"/>
      <c r="AO185" s="439"/>
      <c r="AP185" s="439"/>
      <c r="AQ185" s="439"/>
      <c r="AR185" s="449"/>
      <c r="AS185" s="500"/>
      <c r="AT185" s="483"/>
      <c r="AU185" s="483"/>
      <c r="AV185" s="483"/>
      <c r="AW185" s="483"/>
      <c r="AX185" s="483"/>
      <c r="AY185" s="484"/>
      <c r="AZ185" s="460"/>
      <c r="BA185" s="461"/>
      <c r="BB185" s="60">
        <v>1</v>
      </c>
      <c r="BC185" s="466"/>
      <c r="BD185" s="467"/>
      <c r="BE185" s="467"/>
      <c r="BF185" s="468"/>
      <c r="BG185" s="469"/>
      <c r="BH185" s="470"/>
      <c r="BI185" s="194"/>
      <c r="BJ185" s="471"/>
      <c r="BK185" s="472"/>
      <c r="BL185" s="472"/>
      <c r="BM185" s="472"/>
      <c r="BN185" s="472"/>
      <c r="BO185" s="473"/>
      <c r="BP185" s="471"/>
      <c r="BQ185" s="472"/>
      <c r="BR185" s="472"/>
      <c r="BS185" s="472"/>
      <c r="BT185" s="472"/>
      <c r="BU185" s="473"/>
      <c r="BV185" s="471"/>
      <c r="BW185" s="472"/>
      <c r="BX185" s="472"/>
      <c r="BY185" s="472"/>
      <c r="BZ185" s="472"/>
      <c r="CA185" s="473"/>
      <c r="CB185" s="466"/>
      <c r="CC185" s="467"/>
      <c r="CD185" s="467"/>
      <c r="CE185" s="468"/>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5">
      <c r="A186" s="435"/>
      <c r="B186" s="36"/>
      <c r="C186" s="199" t="str">
        <f t="shared" ca="1" si="4"/>
        <v/>
      </c>
      <c r="D186" s="479"/>
      <c r="E186" s="480"/>
      <c r="F186" s="480"/>
      <c r="G186" s="480"/>
      <c r="H186" s="480"/>
      <c r="I186" s="480"/>
      <c r="J186" s="480"/>
      <c r="K186" s="440"/>
      <c r="L186" s="441"/>
      <c r="M186" s="441"/>
      <c r="N186" s="441"/>
      <c r="O186" s="441"/>
      <c r="P186" s="441"/>
      <c r="Q186" s="441"/>
      <c r="R186" s="444"/>
      <c r="S186" s="445"/>
      <c r="T186" s="444"/>
      <c r="U186" s="445"/>
      <c r="V186" s="440"/>
      <c r="W186" s="441"/>
      <c r="X186" s="441"/>
      <c r="Y186" s="441"/>
      <c r="Z186" s="441"/>
      <c r="AA186" s="441"/>
      <c r="AB186" s="441"/>
      <c r="AC186" s="441"/>
      <c r="AD186" s="440"/>
      <c r="AE186" s="441"/>
      <c r="AF186" s="441"/>
      <c r="AG186" s="441"/>
      <c r="AH186" s="441"/>
      <c r="AI186" s="441"/>
      <c r="AJ186" s="441"/>
      <c r="AK186" s="450"/>
      <c r="AL186" s="440"/>
      <c r="AM186" s="441"/>
      <c r="AN186" s="441"/>
      <c r="AO186" s="441"/>
      <c r="AP186" s="441"/>
      <c r="AQ186" s="441"/>
      <c r="AR186" s="450"/>
      <c r="AS186" s="485"/>
      <c r="AT186" s="486"/>
      <c r="AU186" s="486"/>
      <c r="AV186" s="486"/>
      <c r="AW186" s="486"/>
      <c r="AX186" s="486"/>
      <c r="AY186" s="487"/>
      <c r="AZ186" s="462"/>
      <c r="BA186" s="463"/>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5">
      <c r="A187" s="435"/>
      <c r="B187" s="36"/>
      <c r="C187" s="199" t="str">
        <f t="shared" ca="1" si="4"/>
        <v/>
      </c>
      <c r="D187" s="479"/>
      <c r="E187" s="480"/>
      <c r="F187" s="480"/>
      <c r="G187" s="480"/>
      <c r="H187" s="480"/>
      <c r="I187" s="480"/>
      <c r="J187" s="480"/>
      <c r="K187" s="440"/>
      <c r="L187" s="441"/>
      <c r="M187" s="441"/>
      <c r="N187" s="441"/>
      <c r="O187" s="441"/>
      <c r="P187" s="441"/>
      <c r="Q187" s="441"/>
      <c r="R187" s="444"/>
      <c r="S187" s="445"/>
      <c r="T187" s="444"/>
      <c r="U187" s="445"/>
      <c r="V187" s="440"/>
      <c r="W187" s="441"/>
      <c r="X187" s="441"/>
      <c r="Y187" s="441"/>
      <c r="Z187" s="441"/>
      <c r="AA187" s="441"/>
      <c r="AB187" s="441"/>
      <c r="AC187" s="441"/>
      <c r="AD187" s="440"/>
      <c r="AE187" s="441"/>
      <c r="AF187" s="441"/>
      <c r="AG187" s="441"/>
      <c r="AH187" s="441"/>
      <c r="AI187" s="441"/>
      <c r="AJ187" s="441"/>
      <c r="AK187" s="450"/>
      <c r="AL187" s="440"/>
      <c r="AM187" s="441"/>
      <c r="AN187" s="441"/>
      <c r="AO187" s="441"/>
      <c r="AP187" s="441"/>
      <c r="AQ187" s="441"/>
      <c r="AR187" s="450"/>
      <c r="AS187" s="485"/>
      <c r="AT187" s="486"/>
      <c r="AU187" s="486"/>
      <c r="AV187" s="486"/>
      <c r="AW187" s="486"/>
      <c r="AX187" s="486"/>
      <c r="AY187" s="487"/>
      <c r="AZ187" s="462"/>
      <c r="BA187" s="463"/>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5">
      <c r="A188" s="435"/>
      <c r="B188" s="36"/>
      <c r="C188" s="199" t="str">
        <f t="shared" ca="1" si="4"/>
        <v/>
      </c>
      <c r="D188" s="479"/>
      <c r="E188" s="480"/>
      <c r="F188" s="480"/>
      <c r="G188" s="480"/>
      <c r="H188" s="480"/>
      <c r="I188" s="480"/>
      <c r="J188" s="480"/>
      <c r="K188" s="440"/>
      <c r="L188" s="441"/>
      <c r="M188" s="441"/>
      <c r="N188" s="441"/>
      <c r="O188" s="441"/>
      <c r="P188" s="441"/>
      <c r="Q188" s="441"/>
      <c r="R188" s="444"/>
      <c r="S188" s="445"/>
      <c r="T188" s="444"/>
      <c r="U188" s="445"/>
      <c r="V188" s="440"/>
      <c r="W188" s="441"/>
      <c r="X188" s="441"/>
      <c r="Y188" s="441"/>
      <c r="Z188" s="441"/>
      <c r="AA188" s="441"/>
      <c r="AB188" s="441"/>
      <c r="AC188" s="441"/>
      <c r="AD188" s="440"/>
      <c r="AE188" s="441"/>
      <c r="AF188" s="441"/>
      <c r="AG188" s="441"/>
      <c r="AH188" s="441"/>
      <c r="AI188" s="441"/>
      <c r="AJ188" s="441"/>
      <c r="AK188" s="450"/>
      <c r="AL188" s="440"/>
      <c r="AM188" s="441"/>
      <c r="AN188" s="441"/>
      <c r="AO188" s="441"/>
      <c r="AP188" s="441"/>
      <c r="AQ188" s="441"/>
      <c r="AR188" s="450"/>
      <c r="AS188" s="485"/>
      <c r="AT188" s="486"/>
      <c r="AU188" s="486"/>
      <c r="AV188" s="486"/>
      <c r="AW188" s="486"/>
      <c r="AX188" s="486"/>
      <c r="AY188" s="487"/>
      <c r="AZ188" s="462"/>
      <c r="BA188" s="463"/>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5">
      <c r="A189" s="435"/>
      <c r="B189" s="36"/>
      <c r="C189" s="199" t="str">
        <f t="shared" ca="1" si="4"/>
        <v/>
      </c>
      <c r="D189" s="479"/>
      <c r="E189" s="480"/>
      <c r="F189" s="480"/>
      <c r="G189" s="480"/>
      <c r="H189" s="480"/>
      <c r="I189" s="480"/>
      <c r="J189" s="480"/>
      <c r="K189" s="440"/>
      <c r="L189" s="441"/>
      <c r="M189" s="441"/>
      <c r="N189" s="441"/>
      <c r="O189" s="441"/>
      <c r="P189" s="441"/>
      <c r="Q189" s="441"/>
      <c r="R189" s="444"/>
      <c r="S189" s="445"/>
      <c r="T189" s="444"/>
      <c r="U189" s="445"/>
      <c r="V189" s="440"/>
      <c r="W189" s="441"/>
      <c r="X189" s="441"/>
      <c r="Y189" s="441"/>
      <c r="Z189" s="441"/>
      <c r="AA189" s="441"/>
      <c r="AB189" s="441"/>
      <c r="AC189" s="441"/>
      <c r="AD189" s="440"/>
      <c r="AE189" s="441"/>
      <c r="AF189" s="441"/>
      <c r="AG189" s="441"/>
      <c r="AH189" s="441"/>
      <c r="AI189" s="441"/>
      <c r="AJ189" s="441"/>
      <c r="AK189" s="450"/>
      <c r="AL189" s="440"/>
      <c r="AM189" s="441"/>
      <c r="AN189" s="441"/>
      <c r="AO189" s="441"/>
      <c r="AP189" s="441"/>
      <c r="AQ189" s="441"/>
      <c r="AR189" s="450"/>
      <c r="AS189" s="485"/>
      <c r="AT189" s="486"/>
      <c r="AU189" s="486"/>
      <c r="AV189" s="486"/>
      <c r="AW189" s="486"/>
      <c r="AX189" s="486"/>
      <c r="AY189" s="487"/>
      <c r="AZ189" s="462"/>
      <c r="BA189" s="463"/>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5">
      <c r="A190" s="436"/>
      <c r="B190" s="37"/>
      <c r="C190" s="200" t="str">
        <f t="shared" ca="1" si="4"/>
        <v/>
      </c>
      <c r="D190" s="481"/>
      <c r="E190" s="482"/>
      <c r="F190" s="482"/>
      <c r="G190" s="482"/>
      <c r="H190" s="482"/>
      <c r="I190" s="482"/>
      <c r="J190" s="482"/>
      <c r="K190" s="409"/>
      <c r="L190" s="410"/>
      <c r="M190" s="410"/>
      <c r="N190" s="410"/>
      <c r="O190" s="410"/>
      <c r="P190" s="410"/>
      <c r="Q190" s="410"/>
      <c r="R190" s="446"/>
      <c r="S190" s="447"/>
      <c r="T190" s="446"/>
      <c r="U190" s="44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88"/>
      <c r="AT190" s="489"/>
      <c r="AU190" s="489"/>
      <c r="AV190" s="489"/>
      <c r="AW190" s="489"/>
      <c r="AX190" s="489"/>
      <c r="AY190" s="490"/>
      <c r="AZ190" s="464"/>
      <c r="BA190" s="465"/>
      <c r="BB190" s="62">
        <v>6</v>
      </c>
      <c r="BC190" s="426"/>
      <c r="BD190" s="427"/>
      <c r="BE190" s="427"/>
      <c r="BF190" s="428"/>
      <c r="BG190" s="429"/>
      <c r="BH190" s="430"/>
      <c r="BI190" s="196"/>
      <c r="BJ190" s="474"/>
      <c r="BK190" s="475"/>
      <c r="BL190" s="475"/>
      <c r="BM190" s="475"/>
      <c r="BN190" s="475"/>
      <c r="BO190" s="476"/>
      <c r="BP190" s="474"/>
      <c r="BQ190" s="475"/>
      <c r="BR190" s="475"/>
      <c r="BS190" s="475"/>
      <c r="BT190" s="475"/>
      <c r="BU190" s="476"/>
      <c r="BV190" s="474"/>
      <c r="BW190" s="475"/>
      <c r="BX190" s="475"/>
      <c r="BY190" s="475"/>
      <c r="BZ190" s="475"/>
      <c r="CA190" s="476"/>
      <c r="CB190" s="426"/>
      <c r="CC190" s="427"/>
      <c r="CD190" s="427"/>
      <c r="CE190" s="428"/>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5">
      <c r="A191" s="434">
        <v>31</v>
      </c>
      <c r="B191" s="36"/>
      <c r="C191" s="198" t="str">
        <f t="shared" ca="1" si="4"/>
        <v/>
      </c>
      <c r="D191" s="477"/>
      <c r="E191" s="478"/>
      <c r="F191" s="478"/>
      <c r="G191" s="478"/>
      <c r="H191" s="478"/>
      <c r="I191" s="478"/>
      <c r="J191" s="478"/>
      <c r="K191" s="438" t="s">
        <v>510</v>
      </c>
      <c r="L191" s="439"/>
      <c r="M191" s="439"/>
      <c r="N191" s="439"/>
      <c r="O191" s="439"/>
      <c r="P191" s="439"/>
      <c r="Q191" s="439"/>
      <c r="R191" s="442" t="s">
        <v>186</v>
      </c>
      <c r="S191" s="443"/>
      <c r="T191" s="442"/>
      <c r="U191" s="443"/>
      <c r="V191" s="438"/>
      <c r="W191" s="439"/>
      <c r="X191" s="439"/>
      <c r="Y191" s="439"/>
      <c r="Z191" s="439"/>
      <c r="AA191" s="439"/>
      <c r="AB191" s="439"/>
      <c r="AC191" s="439"/>
      <c r="AD191" s="438"/>
      <c r="AE191" s="439"/>
      <c r="AF191" s="439"/>
      <c r="AG191" s="439"/>
      <c r="AH191" s="439"/>
      <c r="AI191" s="439"/>
      <c r="AJ191" s="439"/>
      <c r="AK191" s="449"/>
      <c r="AL191" s="438"/>
      <c r="AM191" s="439"/>
      <c r="AN191" s="439"/>
      <c r="AO191" s="439"/>
      <c r="AP191" s="439"/>
      <c r="AQ191" s="439"/>
      <c r="AR191" s="449"/>
      <c r="AS191" s="500"/>
      <c r="AT191" s="483"/>
      <c r="AU191" s="483"/>
      <c r="AV191" s="483"/>
      <c r="AW191" s="483"/>
      <c r="AX191" s="483"/>
      <c r="AY191" s="484"/>
      <c r="AZ191" s="460"/>
      <c r="BA191" s="461"/>
      <c r="BB191" s="60">
        <v>1</v>
      </c>
      <c r="BC191" s="466"/>
      <c r="BD191" s="467"/>
      <c r="BE191" s="467"/>
      <c r="BF191" s="468"/>
      <c r="BG191" s="469"/>
      <c r="BH191" s="470"/>
      <c r="BI191" s="194"/>
      <c r="BJ191" s="471"/>
      <c r="BK191" s="472"/>
      <c r="BL191" s="472"/>
      <c r="BM191" s="472"/>
      <c r="BN191" s="472"/>
      <c r="BO191" s="473"/>
      <c r="BP191" s="471"/>
      <c r="BQ191" s="472"/>
      <c r="BR191" s="472"/>
      <c r="BS191" s="472"/>
      <c r="BT191" s="472"/>
      <c r="BU191" s="473"/>
      <c r="BV191" s="471"/>
      <c r="BW191" s="472"/>
      <c r="BX191" s="472"/>
      <c r="BY191" s="472"/>
      <c r="BZ191" s="472"/>
      <c r="CA191" s="473"/>
      <c r="CB191" s="466"/>
      <c r="CC191" s="467"/>
      <c r="CD191" s="467"/>
      <c r="CE191" s="468"/>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5">
      <c r="A192" s="435"/>
      <c r="B192" s="36"/>
      <c r="C192" s="199" t="str">
        <f t="shared" ca="1" si="4"/>
        <v/>
      </c>
      <c r="D192" s="479"/>
      <c r="E192" s="480"/>
      <c r="F192" s="480"/>
      <c r="G192" s="480"/>
      <c r="H192" s="480"/>
      <c r="I192" s="480"/>
      <c r="J192" s="480"/>
      <c r="K192" s="440"/>
      <c r="L192" s="441"/>
      <c r="M192" s="441"/>
      <c r="N192" s="441"/>
      <c r="O192" s="441"/>
      <c r="P192" s="441"/>
      <c r="Q192" s="441"/>
      <c r="R192" s="444"/>
      <c r="S192" s="445"/>
      <c r="T192" s="444"/>
      <c r="U192" s="445"/>
      <c r="V192" s="440"/>
      <c r="W192" s="441"/>
      <c r="X192" s="441"/>
      <c r="Y192" s="441"/>
      <c r="Z192" s="441"/>
      <c r="AA192" s="441"/>
      <c r="AB192" s="441"/>
      <c r="AC192" s="441"/>
      <c r="AD192" s="440"/>
      <c r="AE192" s="441"/>
      <c r="AF192" s="441"/>
      <c r="AG192" s="441"/>
      <c r="AH192" s="441"/>
      <c r="AI192" s="441"/>
      <c r="AJ192" s="441"/>
      <c r="AK192" s="450"/>
      <c r="AL192" s="440"/>
      <c r="AM192" s="441"/>
      <c r="AN192" s="441"/>
      <c r="AO192" s="441"/>
      <c r="AP192" s="441"/>
      <c r="AQ192" s="441"/>
      <c r="AR192" s="450"/>
      <c r="AS192" s="485"/>
      <c r="AT192" s="486"/>
      <c r="AU192" s="486"/>
      <c r="AV192" s="486"/>
      <c r="AW192" s="486"/>
      <c r="AX192" s="486"/>
      <c r="AY192" s="487"/>
      <c r="AZ192" s="462"/>
      <c r="BA192" s="463"/>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5">
      <c r="A193" s="435"/>
      <c r="B193" s="36"/>
      <c r="C193" s="199" t="str">
        <f t="shared" ca="1" si="4"/>
        <v/>
      </c>
      <c r="D193" s="479"/>
      <c r="E193" s="480"/>
      <c r="F193" s="480"/>
      <c r="G193" s="480"/>
      <c r="H193" s="480"/>
      <c r="I193" s="480"/>
      <c r="J193" s="480"/>
      <c r="K193" s="440"/>
      <c r="L193" s="441"/>
      <c r="M193" s="441"/>
      <c r="N193" s="441"/>
      <c r="O193" s="441"/>
      <c r="P193" s="441"/>
      <c r="Q193" s="441"/>
      <c r="R193" s="444"/>
      <c r="S193" s="445"/>
      <c r="T193" s="444"/>
      <c r="U193" s="445"/>
      <c r="V193" s="440"/>
      <c r="W193" s="441"/>
      <c r="X193" s="441"/>
      <c r="Y193" s="441"/>
      <c r="Z193" s="441"/>
      <c r="AA193" s="441"/>
      <c r="AB193" s="441"/>
      <c r="AC193" s="441"/>
      <c r="AD193" s="440"/>
      <c r="AE193" s="441"/>
      <c r="AF193" s="441"/>
      <c r="AG193" s="441"/>
      <c r="AH193" s="441"/>
      <c r="AI193" s="441"/>
      <c r="AJ193" s="441"/>
      <c r="AK193" s="450"/>
      <c r="AL193" s="440"/>
      <c r="AM193" s="441"/>
      <c r="AN193" s="441"/>
      <c r="AO193" s="441"/>
      <c r="AP193" s="441"/>
      <c r="AQ193" s="441"/>
      <c r="AR193" s="450"/>
      <c r="AS193" s="485"/>
      <c r="AT193" s="486"/>
      <c r="AU193" s="486"/>
      <c r="AV193" s="486"/>
      <c r="AW193" s="486"/>
      <c r="AX193" s="486"/>
      <c r="AY193" s="487"/>
      <c r="AZ193" s="462"/>
      <c r="BA193" s="463"/>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5">
      <c r="A194" s="435"/>
      <c r="B194" s="36"/>
      <c r="C194" s="199" t="str">
        <f t="shared" ca="1" si="4"/>
        <v/>
      </c>
      <c r="D194" s="479"/>
      <c r="E194" s="480"/>
      <c r="F194" s="480"/>
      <c r="G194" s="480"/>
      <c r="H194" s="480"/>
      <c r="I194" s="480"/>
      <c r="J194" s="480"/>
      <c r="K194" s="440"/>
      <c r="L194" s="441"/>
      <c r="M194" s="441"/>
      <c r="N194" s="441"/>
      <c r="O194" s="441"/>
      <c r="P194" s="441"/>
      <c r="Q194" s="441"/>
      <c r="R194" s="444"/>
      <c r="S194" s="445"/>
      <c r="T194" s="444"/>
      <c r="U194" s="445"/>
      <c r="V194" s="440"/>
      <c r="W194" s="441"/>
      <c r="X194" s="441"/>
      <c r="Y194" s="441"/>
      <c r="Z194" s="441"/>
      <c r="AA194" s="441"/>
      <c r="AB194" s="441"/>
      <c r="AC194" s="441"/>
      <c r="AD194" s="440"/>
      <c r="AE194" s="441"/>
      <c r="AF194" s="441"/>
      <c r="AG194" s="441"/>
      <c r="AH194" s="441"/>
      <c r="AI194" s="441"/>
      <c r="AJ194" s="441"/>
      <c r="AK194" s="450"/>
      <c r="AL194" s="440"/>
      <c r="AM194" s="441"/>
      <c r="AN194" s="441"/>
      <c r="AO194" s="441"/>
      <c r="AP194" s="441"/>
      <c r="AQ194" s="441"/>
      <c r="AR194" s="450"/>
      <c r="AS194" s="485"/>
      <c r="AT194" s="486"/>
      <c r="AU194" s="486"/>
      <c r="AV194" s="486"/>
      <c r="AW194" s="486"/>
      <c r="AX194" s="486"/>
      <c r="AY194" s="487"/>
      <c r="AZ194" s="462"/>
      <c r="BA194" s="463"/>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5">
      <c r="A195" s="435"/>
      <c r="B195" s="36"/>
      <c r="C195" s="199" t="str">
        <f t="shared" ca="1" si="4"/>
        <v/>
      </c>
      <c r="D195" s="479"/>
      <c r="E195" s="480"/>
      <c r="F195" s="480"/>
      <c r="G195" s="480"/>
      <c r="H195" s="480"/>
      <c r="I195" s="480"/>
      <c r="J195" s="480"/>
      <c r="K195" s="440"/>
      <c r="L195" s="441"/>
      <c r="M195" s="441"/>
      <c r="N195" s="441"/>
      <c r="O195" s="441"/>
      <c r="P195" s="441"/>
      <c r="Q195" s="441"/>
      <c r="R195" s="444"/>
      <c r="S195" s="445"/>
      <c r="T195" s="444"/>
      <c r="U195" s="445"/>
      <c r="V195" s="440"/>
      <c r="W195" s="441"/>
      <c r="X195" s="441"/>
      <c r="Y195" s="441"/>
      <c r="Z195" s="441"/>
      <c r="AA195" s="441"/>
      <c r="AB195" s="441"/>
      <c r="AC195" s="441"/>
      <c r="AD195" s="440"/>
      <c r="AE195" s="441"/>
      <c r="AF195" s="441"/>
      <c r="AG195" s="441"/>
      <c r="AH195" s="441"/>
      <c r="AI195" s="441"/>
      <c r="AJ195" s="441"/>
      <c r="AK195" s="450"/>
      <c r="AL195" s="440"/>
      <c r="AM195" s="441"/>
      <c r="AN195" s="441"/>
      <c r="AO195" s="441"/>
      <c r="AP195" s="441"/>
      <c r="AQ195" s="441"/>
      <c r="AR195" s="450"/>
      <c r="AS195" s="485"/>
      <c r="AT195" s="486"/>
      <c r="AU195" s="486"/>
      <c r="AV195" s="486"/>
      <c r="AW195" s="486"/>
      <c r="AX195" s="486"/>
      <c r="AY195" s="487"/>
      <c r="AZ195" s="462"/>
      <c r="BA195" s="463"/>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5">
      <c r="A196" s="436"/>
      <c r="B196" s="37"/>
      <c r="C196" s="200" t="str">
        <f t="shared" ca="1" si="4"/>
        <v/>
      </c>
      <c r="D196" s="481"/>
      <c r="E196" s="482"/>
      <c r="F196" s="482"/>
      <c r="G196" s="482"/>
      <c r="H196" s="482"/>
      <c r="I196" s="482"/>
      <c r="J196" s="482"/>
      <c r="K196" s="409"/>
      <c r="L196" s="410"/>
      <c r="M196" s="410"/>
      <c r="N196" s="410"/>
      <c r="O196" s="410"/>
      <c r="P196" s="410"/>
      <c r="Q196" s="410"/>
      <c r="R196" s="446"/>
      <c r="S196" s="447"/>
      <c r="T196" s="446"/>
      <c r="U196" s="44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88"/>
      <c r="AT196" s="489"/>
      <c r="AU196" s="489"/>
      <c r="AV196" s="489"/>
      <c r="AW196" s="489"/>
      <c r="AX196" s="489"/>
      <c r="AY196" s="490"/>
      <c r="AZ196" s="464"/>
      <c r="BA196" s="465"/>
      <c r="BB196" s="62">
        <v>6</v>
      </c>
      <c r="BC196" s="426"/>
      <c r="BD196" s="427"/>
      <c r="BE196" s="427"/>
      <c r="BF196" s="428"/>
      <c r="BG196" s="429"/>
      <c r="BH196" s="430"/>
      <c r="BI196" s="196"/>
      <c r="BJ196" s="474"/>
      <c r="BK196" s="475"/>
      <c r="BL196" s="475"/>
      <c r="BM196" s="475"/>
      <c r="BN196" s="475"/>
      <c r="BO196" s="476"/>
      <c r="BP196" s="474"/>
      <c r="BQ196" s="475"/>
      <c r="BR196" s="475"/>
      <c r="BS196" s="475"/>
      <c r="BT196" s="475"/>
      <c r="BU196" s="476"/>
      <c r="BV196" s="474"/>
      <c r="BW196" s="475"/>
      <c r="BX196" s="475"/>
      <c r="BY196" s="475"/>
      <c r="BZ196" s="475"/>
      <c r="CA196" s="476"/>
      <c r="CB196" s="426"/>
      <c r="CC196" s="427"/>
      <c r="CD196" s="427"/>
      <c r="CE196" s="428"/>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5">
      <c r="A197" s="434">
        <v>32</v>
      </c>
      <c r="B197" s="36"/>
      <c r="C197" s="198" t="str">
        <f t="shared" ca="1" si="4"/>
        <v/>
      </c>
      <c r="D197" s="477" t="s">
        <v>511</v>
      </c>
      <c r="E197" s="478"/>
      <c r="F197" s="478"/>
      <c r="G197" s="478"/>
      <c r="H197" s="478"/>
      <c r="I197" s="478"/>
      <c r="J197" s="478"/>
      <c r="K197" s="438" t="s">
        <v>512</v>
      </c>
      <c r="L197" s="439"/>
      <c r="M197" s="439"/>
      <c r="N197" s="439"/>
      <c r="O197" s="439"/>
      <c r="P197" s="439"/>
      <c r="Q197" s="439"/>
      <c r="R197" s="442" t="s">
        <v>186</v>
      </c>
      <c r="S197" s="443"/>
      <c r="T197" s="442"/>
      <c r="U197" s="443"/>
      <c r="V197" s="438"/>
      <c r="W197" s="439"/>
      <c r="X197" s="439"/>
      <c r="Y197" s="439"/>
      <c r="Z197" s="439"/>
      <c r="AA197" s="439"/>
      <c r="AB197" s="439"/>
      <c r="AC197" s="439"/>
      <c r="AD197" s="438"/>
      <c r="AE197" s="439"/>
      <c r="AF197" s="439"/>
      <c r="AG197" s="439"/>
      <c r="AH197" s="439"/>
      <c r="AI197" s="439"/>
      <c r="AJ197" s="439"/>
      <c r="AK197" s="449"/>
      <c r="AL197" s="438"/>
      <c r="AM197" s="439"/>
      <c r="AN197" s="439"/>
      <c r="AO197" s="439"/>
      <c r="AP197" s="439"/>
      <c r="AQ197" s="439"/>
      <c r="AR197" s="449"/>
      <c r="AS197" s="500"/>
      <c r="AT197" s="483"/>
      <c r="AU197" s="483"/>
      <c r="AV197" s="483"/>
      <c r="AW197" s="483"/>
      <c r="AX197" s="483"/>
      <c r="AY197" s="484"/>
      <c r="AZ197" s="460"/>
      <c r="BA197" s="461"/>
      <c r="BB197" s="60">
        <v>1</v>
      </c>
      <c r="BC197" s="466"/>
      <c r="BD197" s="467"/>
      <c r="BE197" s="467"/>
      <c r="BF197" s="468"/>
      <c r="BG197" s="469"/>
      <c r="BH197" s="470"/>
      <c r="BI197" s="194"/>
      <c r="BJ197" s="471"/>
      <c r="BK197" s="472"/>
      <c r="BL197" s="472"/>
      <c r="BM197" s="472"/>
      <c r="BN197" s="472"/>
      <c r="BO197" s="473"/>
      <c r="BP197" s="471"/>
      <c r="BQ197" s="472"/>
      <c r="BR197" s="472"/>
      <c r="BS197" s="472"/>
      <c r="BT197" s="472"/>
      <c r="BU197" s="473"/>
      <c r="BV197" s="471"/>
      <c r="BW197" s="472"/>
      <c r="BX197" s="472"/>
      <c r="BY197" s="472"/>
      <c r="BZ197" s="472"/>
      <c r="CA197" s="473"/>
      <c r="CB197" s="466"/>
      <c r="CC197" s="467"/>
      <c r="CD197" s="467"/>
      <c r="CE197" s="468"/>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5">
      <c r="A198" s="435"/>
      <c r="B198" s="36"/>
      <c r="C198" s="199" t="str">
        <f t="shared" ca="1" si="4"/>
        <v/>
      </c>
      <c r="D198" s="479"/>
      <c r="E198" s="480"/>
      <c r="F198" s="480"/>
      <c r="G198" s="480"/>
      <c r="H198" s="480"/>
      <c r="I198" s="480"/>
      <c r="J198" s="480"/>
      <c r="K198" s="440"/>
      <c r="L198" s="441"/>
      <c r="M198" s="441"/>
      <c r="N198" s="441"/>
      <c r="O198" s="441"/>
      <c r="P198" s="441"/>
      <c r="Q198" s="441"/>
      <c r="R198" s="444"/>
      <c r="S198" s="445"/>
      <c r="T198" s="444"/>
      <c r="U198" s="445"/>
      <c r="V198" s="440"/>
      <c r="W198" s="441"/>
      <c r="X198" s="441"/>
      <c r="Y198" s="441"/>
      <c r="Z198" s="441"/>
      <c r="AA198" s="441"/>
      <c r="AB198" s="441"/>
      <c r="AC198" s="441"/>
      <c r="AD198" s="440"/>
      <c r="AE198" s="441"/>
      <c r="AF198" s="441"/>
      <c r="AG198" s="441"/>
      <c r="AH198" s="441"/>
      <c r="AI198" s="441"/>
      <c r="AJ198" s="441"/>
      <c r="AK198" s="450"/>
      <c r="AL198" s="440"/>
      <c r="AM198" s="441"/>
      <c r="AN198" s="441"/>
      <c r="AO198" s="441"/>
      <c r="AP198" s="441"/>
      <c r="AQ198" s="441"/>
      <c r="AR198" s="450"/>
      <c r="AS198" s="485"/>
      <c r="AT198" s="486"/>
      <c r="AU198" s="486"/>
      <c r="AV198" s="486"/>
      <c r="AW198" s="486"/>
      <c r="AX198" s="486"/>
      <c r="AY198" s="487"/>
      <c r="AZ198" s="462"/>
      <c r="BA198" s="463"/>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5">
      <c r="A199" s="435"/>
      <c r="B199" s="36"/>
      <c r="C199" s="199" t="str">
        <f t="shared" ca="1" si="4"/>
        <v/>
      </c>
      <c r="D199" s="479"/>
      <c r="E199" s="480"/>
      <c r="F199" s="480"/>
      <c r="G199" s="480"/>
      <c r="H199" s="480"/>
      <c r="I199" s="480"/>
      <c r="J199" s="480"/>
      <c r="K199" s="440"/>
      <c r="L199" s="441"/>
      <c r="M199" s="441"/>
      <c r="N199" s="441"/>
      <c r="O199" s="441"/>
      <c r="P199" s="441"/>
      <c r="Q199" s="441"/>
      <c r="R199" s="444"/>
      <c r="S199" s="445"/>
      <c r="T199" s="444"/>
      <c r="U199" s="445"/>
      <c r="V199" s="440"/>
      <c r="W199" s="441"/>
      <c r="X199" s="441"/>
      <c r="Y199" s="441"/>
      <c r="Z199" s="441"/>
      <c r="AA199" s="441"/>
      <c r="AB199" s="441"/>
      <c r="AC199" s="441"/>
      <c r="AD199" s="440"/>
      <c r="AE199" s="441"/>
      <c r="AF199" s="441"/>
      <c r="AG199" s="441"/>
      <c r="AH199" s="441"/>
      <c r="AI199" s="441"/>
      <c r="AJ199" s="441"/>
      <c r="AK199" s="450"/>
      <c r="AL199" s="440"/>
      <c r="AM199" s="441"/>
      <c r="AN199" s="441"/>
      <c r="AO199" s="441"/>
      <c r="AP199" s="441"/>
      <c r="AQ199" s="441"/>
      <c r="AR199" s="450"/>
      <c r="AS199" s="485"/>
      <c r="AT199" s="486"/>
      <c r="AU199" s="486"/>
      <c r="AV199" s="486"/>
      <c r="AW199" s="486"/>
      <c r="AX199" s="486"/>
      <c r="AY199" s="487"/>
      <c r="AZ199" s="462"/>
      <c r="BA199" s="463"/>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5">
      <c r="A200" s="435"/>
      <c r="B200" s="36"/>
      <c r="C200" s="199" t="str">
        <f t="shared" ca="1" si="4"/>
        <v/>
      </c>
      <c r="D200" s="479"/>
      <c r="E200" s="480"/>
      <c r="F200" s="480"/>
      <c r="G200" s="480"/>
      <c r="H200" s="480"/>
      <c r="I200" s="480"/>
      <c r="J200" s="480"/>
      <c r="K200" s="440"/>
      <c r="L200" s="441"/>
      <c r="M200" s="441"/>
      <c r="N200" s="441"/>
      <c r="O200" s="441"/>
      <c r="P200" s="441"/>
      <c r="Q200" s="441"/>
      <c r="R200" s="444"/>
      <c r="S200" s="445"/>
      <c r="T200" s="444"/>
      <c r="U200" s="445"/>
      <c r="V200" s="440"/>
      <c r="W200" s="441"/>
      <c r="X200" s="441"/>
      <c r="Y200" s="441"/>
      <c r="Z200" s="441"/>
      <c r="AA200" s="441"/>
      <c r="AB200" s="441"/>
      <c r="AC200" s="441"/>
      <c r="AD200" s="440"/>
      <c r="AE200" s="441"/>
      <c r="AF200" s="441"/>
      <c r="AG200" s="441"/>
      <c r="AH200" s="441"/>
      <c r="AI200" s="441"/>
      <c r="AJ200" s="441"/>
      <c r="AK200" s="450"/>
      <c r="AL200" s="440"/>
      <c r="AM200" s="441"/>
      <c r="AN200" s="441"/>
      <c r="AO200" s="441"/>
      <c r="AP200" s="441"/>
      <c r="AQ200" s="441"/>
      <c r="AR200" s="450"/>
      <c r="AS200" s="485"/>
      <c r="AT200" s="486"/>
      <c r="AU200" s="486"/>
      <c r="AV200" s="486"/>
      <c r="AW200" s="486"/>
      <c r="AX200" s="486"/>
      <c r="AY200" s="487"/>
      <c r="AZ200" s="462"/>
      <c r="BA200" s="463"/>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5">
      <c r="A201" s="435"/>
      <c r="B201" s="36"/>
      <c r="C201" s="199" t="str">
        <f t="shared" ca="1" si="4"/>
        <v/>
      </c>
      <c r="D201" s="479"/>
      <c r="E201" s="480"/>
      <c r="F201" s="480"/>
      <c r="G201" s="480"/>
      <c r="H201" s="480"/>
      <c r="I201" s="480"/>
      <c r="J201" s="480"/>
      <c r="K201" s="440"/>
      <c r="L201" s="441"/>
      <c r="M201" s="441"/>
      <c r="N201" s="441"/>
      <c r="O201" s="441"/>
      <c r="P201" s="441"/>
      <c r="Q201" s="441"/>
      <c r="R201" s="444"/>
      <c r="S201" s="445"/>
      <c r="T201" s="444"/>
      <c r="U201" s="445"/>
      <c r="V201" s="440"/>
      <c r="W201" s="441"/>
      <c r="X201" s="441"/>
      <c r="Y201" s="441"/>
      <c r="Z201" s="441"/>
      <c r="AA201" s="441"/>
      <c r="AB201" s="441"/>
      <c r="AC201" s="441"/>
      <c r="AD201" s="440"/>
      <c r="AE201" s="441"/>
      <c r="AF201" s="441"/>
      <c r="AG201" s="441"/>
      <c r="AH201" s="441"/>
      <c r="AI201" s="441"/>
      <c r="AJ201" s="441"/>
      <c r="AK201" s="450"/>
      <c r="AL201" s="440"/>
      <c r="AM201" s="441"/>
      <c r="AN201" s="441"/>
      <c r="AO201" s="441"/>
      <c r="AP201" s="441"/>
      <c r="AQ201" s="441"/>
      <c r="AR201" s="450"/>
      <c r="AS201" s="485"/>
      <c r="AT201" s="486"/>
      <c r="AU201" s="486"/>
      <c r="AV201" s="486"/>
      <c r="AW201" s="486"/>
      <c r="AX201" s="486"/>
      <c r="AY201" s="487"/>
      <c r="AZ201" s="462"/>
      <c r="BA201" s="463"/>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5">
      <c r="A202" s="436"/>
      <c r="B202" s="37"/>
      <c r="C202" s="200" t="str">
        <f t="shared" ca="1" si="4"/>
        <v/>
      </c>
      <c r="D202" s="481"/>
      <c r="E202" s="482"/>
      <c r="F202" s="482"/>
      <c r="G202" s="482"/>
      <c r="H202" s="482"/>
      <c r="I202" s="482"/>
      <c r="J202" s="482"/>
      <c r="K202" s="409"/>
      <c r="L202" s="410"/>
      <c r="M202" s="410"/>
      <c r="N202" s="410"/>
      <c r="O202" s="410"/>
      <c r="P202" s="410"/>
      <c r="Q202" s="410"/>
      <c r="R202" s="446"/>
      <c r="S202" s="447"/>
      <c r="T202" s="446"/>
      <c r="U202" s="44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88"/>
      <c r="AT202" s="489"/>
      <c r="AU202" s="489"/>
      <c r="AV202" s="489"/>
      <c r="AW202" s="489"/>
      <c r="AX202" s="489"/>
      <c r="AY202" s="490"/>
      <c r="AZ202" s="464"/>
      <c r="BA202" s="465"/>
      <c r="BB202" s="62">
        <v>6</v>
      </c>
      <c r="BC202" s="426"/>
      <c r="BD202" s="427"/>
      <c r="BE202" s="427"/>
      <c r="BF202" s="428"/>
      <c r="BG202" s="429"/>
      <c r="BH202" s="430"/>
      <c r="BI202" s="196"/>
      <c r="BJ202" s="474"/>
      <c r="BK202" s="475"/>
      <c r="BL202" s="475"/>
      <c r="BM202" s="475"/>
      <c r="BN202" s="475"/>
      <c r="BO202" s="476"/>
      <c r="BP202" s="474"/>
      <c r="BQ202" s="475"/>
      <c r="BR202" s="475"/>
      <c r="BS202" s="475"/>
      <c r="BT202" s="475"/>
      <c r="BU202" s="476"/>
      <c r="BV202" s="474"/>
      <c r="BW202" s="475"/>
      <c r="BX202" s="475"/>
      <c r="BY202" s="475"/>
      <c r="BZ202" s="475"/>
      <c r="CA202" s="476"/>
      <c r="CB202" s="426"/>
      <c r="CC202" s="427"/>
      <c r="CD202" s="427"/>
      <c r="CE202" s="428"/>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5">
      <c r="A203" s="434">
        <v>33</v>
      </c>
      <c r="B203" s="36"/>
      <c r="C203" s="198" t="str">
        <f t="shared" ca="1" si="4"/>
        <v/>
      </c>
      <c r="D203" s="477"/>
      <c r="E203" s="478"/>
      <c r="F203" s="478"/>
      <c r="G203" s="478"/>
      <c r="H203" s="478"/>
      <c r="I203" s="478"/>
      <c r="J203" s="478"/>
      <c r="K203" s="438" t="s">
        <v>513</v>
      </c>
      <c r="L203" s="439"/>
      <c r="M203" s="439"/>
      <c r="N203" s="439"/>
      <c r="O203" s="439"/>
      <c r="P203" s="439"/>
      <c r="Q203" s="439"/>
      <c r="R203" s="442" t="s">
        <v>186</v>
      </c>
      <c r="S203" s="443"/>
      <c r="T203" s="442"/>
      <c r="U203" s="443"/>
      <c r="V203" s="438"/>
      <c r="W203" s="439"/>
      <c r="X203" s="439"/>
      <c r="Y203" s="439"/>
      <c r="Z203" s="439"/>
      <c r="AA203" s="439"/>
      <c r="AB203" s="439"/>
      <c r="AC203" s="439"/>
      <c r="AD203" s="438"/>
      <c r="AE203" s="439"/>
      <c r="AF203" s="439"/>
      <c r="AG203" s="439"/>
      <c r="AH203" s="439"/>
      <c r="AI203" s="439"/>
      <c r="AJ203" s="439"/>
      <c r="AK203" s="449"/>
      <c r="AL203" s="438"/>
      <c r="AM203" s="439"/>
      <c r="AN203" s="439"/>
      <c r="AO203" s="439"/>
      <c r="AP203" s="439"/>
      <c r="AQ203" s="439"/>
      <c r="AR203" s="449"/>
      <c r="AS203" s="500"/>
      <c r="AT203" s="483"/>
      <c r="AU203" s="483"/>
      <c r="AV203" s="483"/>
      <c r="AW203" s="483"/>
      <c r="AX203" s="483"/>
      <c r="AY203" s="484"/>
      <c r="AZ203" s="460"/>
      <c r="BA203" s="461"/>
      <c r="BB203" s="60">
        <v>1</v>
      </c>
      <c r="BC203" s="466"/>
      <c r="BD203" s="467"/>
      <c r="BE203" s="467"/>
      <c r="BF203" s="468"/>
      <c r="BG203" s="469"/>
      <c r="BH203" s="470"/>
      <c r="BI203" s="194"/>
      <c r="BJ203" s="471"/>
      <c r="BK203" s="472"/>
      <c r="BL203" s="472"/>
      <c r="BM203" s="472"/>
      <c r="BN203" s="472"/>
      <c r="BO203" s="473"/>
      <c r="BP203" s="471"/>
      <c r="BQ203" s="472"/>
      <c r="BR203" s="472"/>
      <c r="BS203" s="472"/>
      <c r="BT203" s="472"/>
      <c r="BU203" s="473"/>
      <c r="BV203" s="471"/>
      <c r="BW203" s="472"/>
      <c r="BX203" s="472"/>
      <c r="BY203" s="472"/>
      <c r="BZ203" s="472"/>
      <c r="CA203" s="473"/>
      <c r="CB203" s="466"/>
      <c r="CC203" s="467"/>
      <c r="CD203" s="467"/>
      <c r="CE203" s="468"/>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5">
      <c r="A204" s="435"/>
      <c r="B204" s="36"/>
      <c r="C204" s="199" t="str">
        <f t="shared" ref="C204:C267" ca="1" si="5">IF(AND(OFFSET($K204,-($BB204-1),0)&lt;&gt;"",OFFSET($R204,-($BB204-1),0)&lt;&gt;"x"),"●","")</f>
        <v/>
      </c>
      <c r="D204" s="479"/>
      <c r="E204" s="480"/>
      <c r="F204" s="480"/>
      <c r="G204" s="480"/>
      <c r="H204" s="480"/>
      <c r="I204" s="480"/>
      <c r="J204" s="480"/>
      <c r="K204" s="440"/>
      <c r="L204" s="441"/>
      <c r="M204" s="441"/>
      <c r="N204" s="441"/>
      <c r="O204" s="441"/>
      <c r="P204" s="441"/>
      <c r="Q204" s="441"/>
      <c r="R204" s="444"/>
      <c r="S204" s="445"/>
      <c r="T204" s="444"/>
      <c r="U204" s="445"/>
      <c r="V204" s="440"/>
      <c r="W204" s="441"/>
      <c r="X204" s="441"/>
      <c r="Y204" s="441"/>
      <c r="Z204" s="441"/>
      <c r="AA204" s="441"/>
      <c r="AB204" s="441"/>
      <c r="AC204" s="441"/>
      <c r="AD204" s="440"/>
      <c r="AE204" s="441"/>
      <c r="AF204" s="441"/>
      <c r="AG204" s="441"/>
      <c r="AH204" s="441"/>
      <c r="AI204" s="441"/>
      <c r="AJ204" s="441"/>
      <c r="AK204" s="450"/>
      <c r="AL204" s="440"/>
      <c r="AM204" s="441"/>
      <c r="AN204" s="441"/>
      <c r="AO204" s="441"/>
      <c r="AP204" s="441"/>
      <c r="AQ204" s="441"/>
      <c r="AR204" s="450"/>
      <c r="AS204" s="485"/>
      <c r="AT204" s="486"/>
      <c r="AU204" s="486"/>
      <c r="AV204" s="486"/>
      <c r="AW204" s="486"/>
      <c r="AX204" s="486"/>
      <c r="AY204" s="487"/>
      <c r="AZ204" s="462"/>
      <c r="BA204" s="463"/>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5">
      <c r="A205" s="435"/>
      <c r="B205" s="36"/>
      <c r="C205" s="199" t="str">
        <f t="shared" ca="1" si="5"/>
        <v/>
      </c>
      <c r="D205" s="479"/>
      <c r="E205" s="480"/>
      <c r="F205" s="480"/>
      <c r="G205" s="480"/>
      <c r="H205" s="480"/>
      <c r="I205" s="480"/>
      <c r="J205" s="480"/>
      <c r="K205" s="440"/>
      <c r="L205" s="441"/>
      <c r="M205" s="441"/>
      <c r="N205" s="441"/>
      <c r="O205" s="441"/>
      <c r="P205" s="441"/>
      <c r="Q205" s="441"/>
      <c r="R205" s="444"/>
      <c r="S205" s="445"/>
      <c r="T205" s="444"/>
      <c r="U205" s="445"/>
      <c r="V205" s="440"/>
      <c r="W205" s="441"/>
      <c r="X205" s="441"/>
      <c r="Y205" s="441"/>
      <c r="Z205" s="441"/>
      <c r="AA205" s="441"/>
      <c r="AB205" s="441"/>
      <c r="AC205" s="441"/>
      <c r="AD205" s="440"/>
      <c r="AE205" s="441"/>
      <c r="AF205" s="441"/>
      <c r="AG205" s="441"/>
      <c r="AH205" s="441"/>
      <c r="AI205" s="441"/>
      <c r="AJ205" s="441"/>
      <c r="AK205" s="450"/>
      <c r="AL205" s="440"/>
      <c r="AM205" s="441"/>
      <c r="AN205" s="441"/>
      <c r="AO205" s="441"/>
      <c r="AP205" s="441"/>
      <c r="AQ205" s="441"/>
      <c r="AR205" s="450"/>
      <c r="AS205" s="485"/>
      <c r="AT205" s="486"/>
      <c r="AU205" s="486"/>
      <c r="AV205" s="486"/>
      <c r="AW205" s="486"/>
      <c r="AX205" s="486"/>
      <c r="AY205" s="487"/>
      <c r="AZ205" s="462"/>
      <c r="BA205" s="463"/>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5">
      <c r="A206" s="435"/>
      <c r="B206" s="36"/>
      <c r="C206" s="199" t="str">
        <f t="shared" ca="1" si="5"/>
        <v/>
      </c>
      <c r="D206" s="479"/>
      <c r="E206" s="480"/>
      <c r="F206" s="480"/>
      <c r="G206" s="480"/>
      <c r="H206" s="480"/>
      <c r="I206" s="480"/>
      <c r="J206" s="480"/>
      <c r="K206" s="440"/>
      <c r="L206" s="441"/>
      <c r="M206" s="441"/>
      <c r="N206" s="441"/>
      <c r="O206" s="441"/>
      <c r="P206" s="441"/>
      <c r="Q206" s="441"/>
      <c r="R206" s="444"/>
      <c r="S206" s="445"/>
      <c r="T206" s="444"/>
      <c r="U206" s="445"/>
      <c r="V206" s="440"/>
      <c r="W206" s="441"/>
      <c r="X206" s="441"/>
      <c r="Y206" s="441"/>
      <c r="Z206" s="441"/>
      <c r="AA206" s="441"/>
      <c r="AB206" s="441"/>
      <c r="AC206" s="441"/>
      <c r="AD206" s="440"/>
      <c r="AE206" s="441"/>
      <c r="AF206" s="441"/>
      <c r="AG206" s="441"/>
      <c r="AH206" s="441"/>
      <c r="AI206" s="441"/>
      <c r="AJ206" s="441"/>
      <c r="AK206" s="450"/>
      <c r="AL206" s="440"/>
      <c r="AM206" s="441"/>
      <c r="AN206" s="441"/>
      <c r="AO206" s="441"/>
      <c r="AP206" s="441"/>
      <c r="AQ206" s="441"/>
      <c r="AR206" s="450"/>
      <c r="AS206" s="485"/>
      <c r="AT206" s="486"/>
      <c r="AU206" s="486"/>
      <c r="AV206" s="486"/>
      <c r="AW206" s="486"/>
      <c r="AX206" s="486"/>
      <c r="AY206" s="487"/>
      <c r="AZ206" s="462"/>
      <c r="BA206" s="463"/>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5">
      <c r="A207" s="435"/>
      <c r="B207" s="36"/>
      <c r="C207" s="199" t="str">
        <f t="shared" ca="1" si="5"/>
        <v/>
      </c>
      <c r="D207" s="479"/>
      <c r="E207" s="480"/>
      <c r="F207" s="480"/>
      <c r="G207" s="480"/>
      <c r="H207" s="480"/>
      <c r="I207" s="480"/>
      <c r="J207" s="480"/>
      <c r="K207" s="440"/>
      <c r="L207" s="441"/>
      <c r="M207" s="441"/>
      <c r="N207" s="441"/>
      <c r="O207" s="441"/>
      <c r="P207" s="441"/>
      <c r="Q207" s="441"/>
      <c r="R207" s="444"/>
      <c r="S207" s="445"/>
      <c r="T207" s="444"/>
      <c r="U207" s="445"/>
      <c r="V207" s="440"/>
      <c r="W207" s="441"/>
      <c r="X207" s="441"/>
      <c r="Y207" s="441"/>
      <c r="Z207" s="441"/>
      <c r="AA207" s="441"/>
      <c r="AB207" s="441"/>
      <c r="AC207" s="441"/>
      <c r="AD207" s="440"/>
      <c r="AE207" s="441"/>
      <c r="AF207" s="441"/>
      <c r="AG207" s="441"/>
      <c r="AH207" s="441"/>
      <c r="AI207" s="441"/>
      <c r="AJ207" s="441"/>
      <c r="AK207" s="450"/>
      <c r="AL207" s="440"/>
      <c r="AM207" s="441"/>
      <c r="AN207" s="441"/>
      <c r="AO207" s="441"/>
      <c r="AP207" s="441"/>
      <c r="AQ207" s="441"/>
      <c r="AR207" s="450"/>
      <c r="AS207" s="485"/>
      <c r="AT207" s="486"/>
      <c r="AU207" s="486"/>
      <c r="AV207" s="486"/>
      <c r="AW207" s="486"/>
      <c r="AX207" s="486"/>
      <c r="AY207" s="487"/>
      <c r="AZ207" s="462"/>
      <c r="BA207" s="463"/>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5">
      <c r="A208" s="436"/>
      <c r="B208" s="37"/>
      <c r="C208" s="200" t="str">
        <f t="shared" ca="1" si="5"/>
        <v/>
      </c>
      <c r="D208" s="481"/>
      <c r="E208" s="482"/>
      <c r="F208" s="482"/>
      <c r="G208" s="482"/>
      <c r="H208" s="482"/>
      <c r="I208" s="482"/>
      <c r="J208" s="482"/>
      <c r="K208" s="409"/>
      <c r="L208" s="410"/>
      <c r="M208" s="410"/>
      <c r="N208" s="410"/>
      <c r="O208" s="410"/>
      <c r="P208" s="410"/>
      <c r="Q208" s="410"/>
      <c r="R208" s="446"/>
      <c r="S208" s="447"/>
      <c r="T208" s="446"/>
      <c r="U208" s="44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88"/>
      <c r="AT208" s="489"/>
      <c r="AU208" s="489"/>
      <c r="AV208" s="489"/>
      <c r="AW208" s="489"/>
      <c r="AX208" s="489"/>
      <c r="AY208" s="490"/>
      <c r="AZ208" s="464"/>
      <c r="BA208" s="465"/>
      <c r="BB208" s="62">
        <v>6</v>
      </c>
      <c r="BC208" s="426"/>
      <c r="BD208" s="427"/>
      <c r="BE208" s="427"/>
      <c r="BF208" s="428"/>
      <c r="BG208" s="429"/>
      <c r="BH208" s="430"/>
      <c r="BI208" s="196"/>
      <c r="BJ208" s="474"/>
      <c r="BK208" s="475"/>
      <c r="BL208" s="475"/>
      <c r="BM208" s="475"/>
      <c r="BN208" s="475"/>
      <c r="BO208" s="476"/>
      <c r="BP208" s="474"/>
      <c r="BQ208" s="475"/>
      <c r="BR208" s="475"/>
      <c r="BS208" s="475"/>
      <c r="BT208" s="475"/>
      <c r="BU208" s="476"/>
      <c r="BV208" s="474"/>
      <c r="BW208" s="475"/>
      <c r="BX208" s="475"/>
      <c r="BY208" s="475"/>
      <c r="BZ208" s="475"/>
      <c r="CA208" s="476"/>
      <c r="CB208" s="426"/>
      <c r="CC208" s="427"/>
      <c r="CD208" s="427"/>
      <c r="CE208" s="428"/>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5">
      <c r="A209" s="434">
        <v>34</v>
      </c>
      <c r="B209" s="36"/>
      <c r="C209" s="198" t="str">
        <f t="shared" ca="1" si="5"/>
        <v/>
      </c>
      <c r="D209" s="477" t="s">
        <v>514</v>
      </c>
      <c r="E209" s="478"/>
      <c r="F209" s="478"/>
      <c r="G209" s="478"/>
      <c r="H209" s="478"/>
      <c r="I209" s="478"/>
      <c r="J209" s="478"/>
      <c r="K209" s="438" t="s">
        <v>515</v>
      </c>
      <c r="L209" s="439"/>
      <c r="M209" s="439"/>
      <c r="N209" s="439"/>
      <c r="O209" s="439"/>
      <c r="P209" s="439"/>
      <c r="Q209" s="439"/>
      <c r="R209" s="442" t="s">
        <v>186</v>
      </c>
      <c r="S209" s="443"/>
      <c r="T209" s="442"/>
      <c r="U209" s="443"/>
      <c r="V209" s="438"/>
      <c r="W209" s="439"/>
      <c r="X209" s="439"/>
      <c r="Y209" s="439"/>
      <c r="Z209" s="439"/>
      <c r="AA209" s="439"/>
      <c r="AB209" s="439"/>
      <c r="AC209" s="439"/>
      <c r="AD209" s="438"/>
      <c r="AE209" s="439"/>
      <c r="AF209" s="439"/>
      <c r="AG209" s="439"/>
      <c r="AH209" s="439"/>
      <c r="AI209" s="439"/>
      <c r="AJ209" s="439"/>
      <c r="AK209" s="449"/>
      <c r="AL209" s="438"/>
      <c r="AM209" s="439"/>
      <c r="AN209" s="439"/>
      <c r="AO209" s="439"/>
      <c r="AP209" s="439"/>
      <c r="AQ209" s="439"/>
      <c r="AR209" s="449"/>
      <c r="AS209" s="500"/>
      <c r="AT209" s="483"/>
      <c r="AU209" s="483"/>
      <c r="AV209" s="483"/>
      <c r="AW209" s="483"/>
      <c r="AX209" s="483"/>
      <c r="AY209" s="484"/>
      <c r="AZ209" s="460"/>
      <c r="BA209" s="461"/>
      <c r="BB209" s="60">
        <v>1</v>
      </c>
      <c r="BC209" s="466"/>
      <c r="BD209" s="467"/>
      <c r="BE209" s="467"/>
      <c r="BF209" s="468"/>
      <c r="BG209" s="469"/>
      <c r="BH209" s="470"/>
      <c r="BI209" s="194"/>
      <c r="BJ209" s="471"/>
      <c r="BK209" s="472"/>
      <c r="BL209" s="472"/>
      <c r="BM209" s="472"/>
      <c r="BN209" s="472"/>
      <c r="BO209" s="473"/>
      <c r="BP209" s="471"/>
      <c r="BQ209" s="472"/>
      <c r="BR209" s="472"/>
      <c r="BS209" s="472"/>
      <c r="BT209" s="472"/>
      <c r="BU209" s="473"/>
      <c r="BV209" s="471"/>
      <c r="BW209" s="472"/>
      <c r="BX209" s="472"/>
      <c r="BY209" s="472"/>
      <c r="BZ209" s="472"/>
      <c r="CA209" s="473"/>
      <c r="CB209" s="466"/>
      <c r="CC209" s="467"/>
      <c r="CD209" s="467"/>
      <c r="CE209" s="468"/>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5">
      <c r="A210" s="435"/>
      <c r="B210" s="36"/>
      <c r="C210" s="199" t="str">
        <f t="shared" ca="1" si="5"/>
        <v/>
      </c>
      <c r="D210" s="479"/>
      <c r="E210" s="480"/>
      <c r="F210" s="480"/>
      <c r="G210" s="480"/>
      <c r="H210" s="480"/>
      <c r="I210" s="480"/>
      <c r="J210" s="480"/>
      <c r="K210" s="440"/>
      <c r="L210" s="441"/>
      <c r="M210" s="441"/>
      <c r="N210" s="441"/>
      <c r="O210" s="441"/>
      <c r="P210" s="441"/>
      <c r="Q210" s="441"/>
      <c r="R210" s="444"/>
      <c r="S210" s="445"/>
      <c r="T210" s="444"/>
      <c r="U210" s="445"/>
      <c r="V210" s="440"/>
      <c r="W210" s="441"/>
      <c r="X210" s="441"/>
      <c r="Y210" s="441"/>
      <c r="Z210" s="441"/>
      <c r="AA210" s="441"/>
      <c r="AB210" s="441"/>
      <c r="AC210" s="441"/>
      <c r="AD210" s="440"/>
      <c r="AE210" s="441"/>
      <c r="AF210" s="441"/>
      <c r="AG210" s="441"/>
      <c r="AH210" s="441"/>
      <c r="AI210" s="441"/>
      <c r="AJ210" s="441"/>
      <c r="AK210" s="450"/>
      <c r="AL210" s="440"/>
      <c r="AM210" s="441"/>
      <c r="AN210" s="441"/>
      <c r="AO210" s="441"/>
      <c r="AP210" s="441"/>
      <c r="AQ210" s="441"/>
      <c r="AR210" s="450"/>
      <c r="AS210" s="485"/>
      <c r="AT210" s="486"/>
      <c r="AU210" s="486"/>
      <c r="AV210" s="486"/>
      <c r="AW210" s="486"/>
      <c r="AX210" s="486"/>
      <c r="AY210" s="487"/>
      <c r="AZ210" s="462"/>
      <c r="BA210" s="463"/>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5">
      <c r="A211" s="435"/>
      <c r="B211" s="36"/>
      <c r="C211" s="199" t="str">
        <f t="shared" ca="1" si="5"/>
        <v/>
      </c>
      <c r="D211" s="479"/>
      <c r="E211" s="480"/>
      <c r="F211" s="480"/>
      <c r="G211" s="480"/>
      <c r="H211" s="480"/>
      <c r="I211" s="480"/>
      <c r="J211" s="480"/>
      <c r="K211" s="440"/>
      <c r="L211" s="441"/>
      <c r="M211" s="441"/>
      <c r="N211" s="441"/>
      <c r="O211" s="441"/>
      <c r="P211" s="441"/>
      <c r="Q211" s="441"/>
      <c r="R211" s="444"/>
      <c r="S211" s="445"/>
      <c r="T211" s="444"/>
      <c r="U211" s="445"/>
      <c r="V211" s="440"/>
      <c r="W211" s="441"/>
      <c r="X211" s="441"/>
      <c r="Y211" s="441"/>
      <c r="Z211" s="441"/>
      <c r="AA211" s="441"/>
      <c r="AB211" s="441"/>
      <c r="AC211" s="441"/>
      <c r="AD211" s="440"/>
      <c r="AE211" s="441"/>
      <c r="AF211" s="441"/>
      <c r="AG211" s="441"/>
      <c r="AH211" s="441"/>
      <c r="AI211" s="441"/>
      <c r="AJ211" s="441"/>
      <c r="AK211" s="450"/>
      <c r="AL211" s="440"/>
      <c r="AM211" s="441"/>
      <c r="AN211" s="441"/>
      <c r="AO211" s="441"/>
      <c r="AP211" s="441"/>
      <c r="AQ211" s="441"/>
      <c r="AR211" s="450"/>
      <c r="AS211" s="485"/>
      <c r="AT211" s="486"/>
      <c r="AU211" s="486"/>
      <c r="AV211" s="486"/>
      <c r="AW211" s="486"/>
      <c r="AX211" s="486"/>
      <c r="AY211" s="487"/>
      <c r="AZ211" s="462"/>
      <c r="BA211" s="463"/>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5">
      <c r="A212" s="435"/>
      <c r="B212" s="36"/>
      <c r="C212" s="199" t="str">
        <f t="shared" ca="1" si="5"/>
        <v/>
      </c>
      <c r="D212" s="479"/>
      <c r="E212" s="480"/>
      <c r="F212" s="480"/>
      <c r="G212" s="480"/>
      <c r="H212" s="480"/>
      <c r="I212" s="480"/>
      <c r="J212" s="480"/>
      <c r="K212" s="440"/>
      <c r="L212" s="441"/>
      <c r="M212" s="441"/>
      <c r="N212" s="441"/>
      <c r="O212" s="441"/>
      <c r="P212" s="441"/>
      <c r="Q212" s="441"/>
      <c r="R212" s="444"/>
      <c r="S212" s="445"/>
      <c r="T212" s="444"/>
      <c r="U212" s="445"/>
      <c r="V212" s="440"/>
      <c r="W212" s="441"/>
      <c r="X212" s="441"/>
      <c r="Y212" s="441"/>
      <c r="Z212" s="441"/>
      <c r="AA212" s="441"/>
      <c r="AB212" s="441"/>
      <c r="AC212" s="441"/>
      <c r="AD212" s="440"/>
      <c r="AE212" s="441"/>
      <c r="AF212" s="441"/>
      <c r="AG212" s="441"/>
      <c r="AH212" s="441"/>
      <c r="AI212" s="441"/>
      <c r="AJ212" s="441"/>
      <c r="AK212" s="450"/>
      <c r="AL212" s="440"/>
      <c r="AM212" s="441"/>
      <c r="AN212" s="441"/>
      <c r="AO212" s="441"/>
      <c r="AP212" s="441"/>
      <c r="AQ212" s="441"/>
      <c r="AR212" s="450"/>
      <c r="AS212" s="485"/>
      <c r="AT212" s="486"/>
      <c r="AU212" s="486"/>
      <c r="AV212" s="486"/>
      <c r="AW212" s="486"/>
      <c r="AX212" s="486"/>
      <c r="AY212" s="487"/>
      <c r="AZ212" s="462"/>
      <c r="BA212" s="463"/>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5">
      <c r="A213" s="435"/>
      <c r="B213" s="36"/>
      <c r="C213" s="199" t="str">
        <f t="shared" ca="1" si="5"/>
        <v/>
      </c>
      <c r="D213" s="479"/>
      <c r="E213" s="480"/>
      <c r="F213" s="480"/>
      <c r="G213" s="480"/>
      <c r="H213" s="480"/>
      <c r="I213" s="480"/>
      <c r="J213" s="480"/>
      <c r="K213" s="440"/>
      <c r="L213" s="441"/>
      <c r="M213" s="441"/>
      <c r="N213" s="441"/>
      <c r="O213" s="441"/>
      <c r="P213" s="441"/>
      <c r="Q213" s="441"/>
      <c r="R213" s="444"/>
      <c r="S213" s="445"/>
      <c r="T213" s="444"/>
      <c r="U213" s="445"/>
      <c r="V213" s="440"/>
      <c r="W213" s="441"/>
      <c r="X213" s="441"/>
      <c r="Y213" s="441"/>
      <c r="Z213" s="441"/>
      <c r="AA213" s="441"/>
      <c r="AB213" s="441"/>
      <c r="AC213" s="441"/>
      <c r="AD213" s="440"/>
      <c r="AE213" s="441"/>
      <c r="AF213" s="441"/>
      <c r="AG213" s="441"/>
      <c r="AH213" s="441"/>
      <c r="AI213" s="441"/>
      <c r="AJ213" s="441"/>
      <c r="AK213" s="450"/>
      <c r="AL213" s="440"/>
      <c r="AM213" s="441"/>
      <c r="AN213" s="441"/>
      <c r="AO213" s="441"/>
      <c r="AP213" s="441"/>
      <c r="AQ213" s="441"/>
      <c r="AR213" s="450"/>
      <c r="AS213" s="485"/>
      <c r="AT213" s="486"/>
      <c r="AU213" s="486"/>
      <c r="AV213" s="486"/>
      <c r="AW213" s="486"/>
      <c r="AX213" s="486"/>
      <c r="AY213" s="487"/>
      <c r="AZ213" s="462"/>
      <c r="BA213" s="463"/>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5">
      <c r="A214" s="436"/>
      <c r="B214" s="37"/>
      <c r="C214" s="200" t="str">
        <f t="shared" ca="1" si="5"/>
        <v/>
      </c>
      <c r="D214" s="481"/>
      <c r="E214" s="482"/>
      <c r="F214" s="482"/>
      <c r="G214" s="482"/>
      <c r="H214" s="482"/>
      <c r="I214" s="482"/>
      <c r="J214" s="482"/>
      <c r="K214" s="409"/>
      <c r="L214" s="410"/>
      <c r="M214" s="410"/>
      <c r="N214" s="410"/>
      <c r="O214" s="410"/>
      <c r="P214" s="410"/>
      <c r="Q214" s="410"/>
      <c r="R214" s="446"/>
      <c r="S214" s="447"/>
      <c r="T214" s="446"/>
      <c r="U214" s="44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88"/>
      <c r="AT214" s="489"/>
      <c r="AU214" s="489"/>
      <c r="AV214" s="489"/>
      <c r="AW214" s="489"/>
      <c r="AX214" s="489"/>
      <c r="AY214" s="490"/>
      <c r="AZ214" s="464"/>
      <c r="BA214" s="465"/>
      <c r="BB214" s="62">
        <v>6</v>
      </c>
      <c r="BC214" s="426"/>
      <c r="BD214" s="427"/>
      <c r="BE214" s="427"/>
      <c r="BF214" s="428"/>
      <c r="BG214" s="429"/>
      <c r="BH214" s="430"/>
      <c r="BI214" s="196"/>
      <c r="BJ214" s="474"/>
      <c r="BK214" s="475"/>
      <c r="BL214" s="475"/>
      <c r="BM214" s="475"/>
      <c r="BN214" s="475"/>
      <c r="BO214" s="476"/>
      <c r="BP214" s="474"/>
      <c r="BQ214" s="475"/>
      <c r="BR214" s="475"/>
      <c r="BS214" s="475"/>
      <c r="BT214" s="475"/>
      <c r="BU214" s="476"/>
      <c r="BV214" s="474"/>
      <c r="BW214" s="475"/>
      <c r="BX214" s="475"/>
      <c r="BY214" s="475"/>
      <c r="BZ214" s="475"/>
      <c r="CA214" s="476"/>
      <c r="CB214" s="426"/>
      <c r="CC214" s="427"/>
      <c r="CD214" s="427"/>
      <c r="CE214" s="428"/>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5">
      <c r="A215" s="434">
        <v>35</v>
      </c>
      <c r="B215" s="36"/>
      <c r="C215" s="198" t="str">
        <f t="shared" ca="1" si="5"/>
        <v/>
      </c>
      <c r="D215" s="477"/>
      <c r="E215" s="478"/>
      <c r="F215" s="478"/>
      <c r="G215" s="478"/>
      <c r="H215" s="478"/>
      <c r="I215" s="478"/>
      <c r="J215" s="478"/>
      <c r="K215" s="438" t="s">
        <v>516</v>
      </c>
      <c r="L215" s="439"/>
      <c r="M215" s="439"/>
      <c r="N215" s="439"/>
      <c r="O215" s="439"/>
      <c r="P215" s="439"/>
      <c r="Q215" s="439"/>
      <c r="R215" s="442" t="s">
        <v>186</v>
      </c>
      <c r="S215" s="443"/>
      <c r="T215" s="442"/>
      <c r="U215" s="443"/>
      <c r="V215" s="438"/>
      <c r="W215" s="439"/>
      <c r="X215" s="439"/>
      <c r="Y215" s="439"/>
      <c r="Z215" s="439"/>
      <c r="AA215" s="439"/>
      <c r="AB215" s="439"/>
      <c r="AC215" s="439"/>
      <c r="AD215" s="438"/>
      <c r="AE215" s="439"/>
      <c r="AF215" s="439"/>
      <c r="AG215" s="439"/>
      <c r="AH215" s="439"/>
      <c r="AI215" s="439"/>
      <c r="AJ215" s="439"/>
      <c r="AK215" s="449"/>
      <c r="AL215" s="438"/>
      <c r="AM215" s="439"/>
      <c r="AN215" s="439"/>
      <c r="AO215" s="439"/>
      <c r="AP215" s="439"/>
      <c r="AQ215" s="439"/>
      <c r="AR215" s="449"/>
      <c r="AS215" s="500"/>
      <c r="AT215" s="483"/>
      <c r="AU215" s="483"/>
      <c r="AV215" s="483"/>
      <c r="AW215" s="483"/>
      <c r="AX215" s="483"/>
      <c r="AY215" s="484"/>
      <c r="AZ215" s="460"/>
      <c r="BA215" s="461"/>
      <c r="BB215" s="60">
        <v>1</v>
      </c>
      <c r="BC215" s="466"/>
      <c r="BD215" s="467"/>
      <c r="BE215" s="467"/>
      <c r="BF215" s="468"/>
      <c r="BG215" s="469"/>
      <c r="BH215" s="470"/>
      <c r="BI215" s="194"/>
      <c r="BJ215" s="471"/>
      <c r="BK215" s="472"/>
      <c r="BL215" s="472"/>
      <c r="BM215" s="472"/>
      <c r="BN215" s="472"/>
      <c r="BO215" s="473"/>
      <c r="BP215" s="471"/>
      <c r="BQ215" s="472"/>
      <c r="BR215" s="472"/>
      <c r="BS215" s="472"/>
      <c r="BT215" s="472"/>
      <c r="BU215" s="473"/>
      <c r="BV215" s="471"/>
      <c r="BW215" s="472"/>
      <c r="BX215" s="472"/>
      <c r="BY215" s="472"/>
      <c r="BZ215" s="472"/>
      <c r="CA215" s="473"/>
      <c r="CB215" s="466"/>
      <c r="CC215" s="467"/>
      <c r="CD215" s="467"/>
      <c r="CE215" s="468"/>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5">
      <c r="A216" s="435"/>
      <c r="B216" s="36"/>
      <c r="C216" s="199" t="str">
        <f t="shared" ca="1" si="5"/>
        <v/>
      </c>
      <c r="D216" s="479"/>
      <c r="E216" s="480"/>
      <c r="F216" s="480"/>
      <c r="G216" s="480"/>
      <c r="H216" s="480"/>
      <c r="I216" s="480"/>
      <c r="J216" s="480"/>
      <c r="K216" s="440"/>
      <c r="L216" s="441"/>
      <c r="M216" s="441"/>
      <c r="N216" s="441"/>
      <c r="O216" s="441"/>
      <c r="P216" s="441"/>
      <c r="Q216" s="441"/>
      <c r="R216" s="444"/>
      <c r="S216" s="445"/>
      <c r="T216" s="444"/>
      <c r="U216" s="445"/>
      <c r="V216" s="440"/>
      <c r="W216" s="441"/>
      <c r="X216" s="441"/>
      <c r="Y216" s="441"/>
      <c r="Z216" s="441"/>
      <c r="AA216" s="441"/>
      <c r="AB216" s="441"/>
      <c r="AC216" s="441"/>
      <c r="AD216" s="440"/>
      <c r="AE216" s="441"/>
      <c r="AF216" s="441"/>
      <c r="AG216" s="441"/>
      <c r="AH216" s="441"/>
      <c r="AI216" s="441"/>
      <c r="AJ216" s="441"/>
      <c r="AK216" s="450"/>
      <c r="AL216" s="440"/>
      <c r="AM216" s="441"/>
      <c r="AN216" s="441"/>
      <c r="AO216" s="441"/>
      <c r="AP216" s="441"/>
      <c r="AQ216" s="441"/>
      <c r="AR216" s="450"/>
      <c r="AS216" s="485"/>
      <c r="AT216" s="486"/>
      <c r="AU216" s="486"/>
      <c r="AV216" s="486"/>
      <c r="AW216" s="486"/>
      <c r="AX216" s="486"/>
      <c r="AY216" s="487"/>
      <c r="AZ216" s="462"/>
      <c r="BA216" s="463"/>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5">
      <c r="A217" s="435"/>
      <c r="B217" s="36"/>
      <c r="C217" s="199" t="str">
        <f t="shared" ca="1" si="5"/>
        <v/>
      </c>
      <c r="D217" s="479"/>
      <c r="E217" s="480"/>
      <c r="F217" s="480"/>
      <c r="G217" s="480"/>
      <c r="H217" s="480"/>
      <c r="I217" s="480"/>
      <c r="J217" s="480"/>
      <c r="K217" s="440"/>
      <c r="L217" s="441"/>
      <c r="M217" s="441"/>
      <c r="N217" s="441"/>
      <c r="O217" s="441"/>
      <c r="P217" s="441"/>
      <c r="Q217" s="441"/>
      <c r="R217" s="444"/>
      <c r="S217" s="445"/>
      <c r="T217" s="444"/>
      <c r="U217" s="445"/>
      <c r="V217" s="440"/>
      <c r="W217" s="441"/>
      <c r="X217" s="441"/>
      <c r="Y217" s="441"/>
      <c r="Z217" s="441"/>
      <c r="AA217" s="441"/>
      <c r="AB217" s="441"/>
      <c r="AC217" s="441"/>
      <c r="AD217" s="440"/>
      <c r="AE217" s="441"/>
      <c r="AF217" s="441"/>
      <c r="AG217" s="441"/>
      <c r="AH217" s="441"/>
      <c r="AI217" s="441"/>
      <c r="AJ217" s="441"/>
      <c r="AK217" s="450"/>
      <c r="AL217" s="440"/>
      <c r="AM217" s="441"/>
      <c r="AN217" s="441"/>
      <c r="AO217" s="441"/>
      <c r="AP217" s="441"/>
      <c r="AQ217" s="441"/>
      <c r="AR217" s="450"/>
      <c r="AS217" s="485"/>
      <c r="AT217" s="486"/>
      <c r="AU217" s="486"/>
      <c r="AV217" s="486"/>
      <c r="AW217" s="486"/>
      <c r="AX217" s="486"/>
      <c r="AY217" s="487"/>
      <c r="AZ217" s="462"/>
      <c r="BA217" s="463"/>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5">
      <c r="A218" s="435"/>
      <c r="B218" s="36"/>
      <c r="C218" s="199" t="str">
        <f t="shared" ca="1" si="5"/>
        <v/>
      </c>
      <c r="D218" s="479"/>
      <c r="E218" s="480"/>
      <c r="F218" s="480"/>
      <c r="G218" s="480"/>
      <c r="H218" s="480"/>
      <c r="I218" s="480"/>
      <c r="J218" s="480"/>
      <c r="K218" s="440"/>
      <c r="L218" s="441"/>
      <c r="M218" s="441"/>
      <c r="N218" s="441"/>
      <c r="O218" s="441"/>
      <c r="P218" s="441"/>
      <c r="Q218" s="441"/>
      <c r="R218" s="444"/>
      <c r="S218" s="445"/>
      <c r="T218" s="444"/>
      <c r="U218" s="445"/>
      <c r="V218" s="440"/>
      <c r="W218" s="441"/>
      <c r="X218" s="441"/>
      <c r="Y218" s="441"/>
      <c r="Z218" s="441"/>
      <c r="AA218" s="441"/>
      <c r="AB218" s="441"/>
      <c r="AC218" s="441"/>
      <c r="AD218" s="440"/>
      <c r="AE218" s="441"/>
      <c r="AF218" s="441"/>
      <c r="AG218" s="441"/>
      <c r="AH218" s="441"/>
      <c r="AI218" s="441"/>
      <c r="AJ218" s="441"/>
      <c r="AK218" s="450"/>
      <c r="AL218" s="440"/>
      <c r="AM218" s="441"/>
      <c r="AN218" s="441"/>
      <c r="AO218" s="441"/>
      <c r="AP218" s="441"/>
      <c r="AQ218" s="441"/>
      <c r="AR218" s="450"/>
      <c r="AS218" s="485"/>
      <c r="AT218" s="486"/>
      <c r="AU218" s="486"/>
      <c r="AV218" s="486"/>
      <c r="AW218" s="486"/>
      <c r="AX218" s="486"/>
      <c r="AY218" s="487"/>
      <c r="AZ218" s="462"/>
      <c r="BA218" s="463"/>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5">
      <c r="A219" s="435"/>
      <c r="B219" s="36"/>
      <c r="C219" s="199" t="str">
        <f t="shared" ca="1" si="5"/>
        <v/>
      </c>
      <c r="D219" s="479"/>
      <c r="E219" s="480"/>
      <c r="F219" s="480"/>
      <c r="G219" s="480"/>
      <c r="H219" s="480"/>
      <c r="I219" s="480"/>
      <c r="J219" s="480"/>
      <c r="K219" s="440"/>
      <c r="L219" s="441"/>
      <c r="M219" s="441"/>
      <c r="N219" s="441"/>
      <c r="O219" s="441"/>
      <c r="P219" s="441"/>
      <c r="Q219" s="441"/>
      <c r="R219" s="444"/>
      <c r="S219" s="445"/>
      <c r="T219" s="444"/>
      <c r="U219" s="445"/>
      <c r="V219" s="440"/>
      <c r="W219" s="441"/>
      <c r="X219" s="441"/>
      <c r="Y219" s="441"/>
      <c r="Z219" s="441"/>
      <c r="AA219" s="441"/>
      <c r="AB219" s="441"/>
      <c r="AC219" s="441"/>
      <c r="AD219" s="440"/>
      <c r="AE219" s="441"/>
      <c r="AF219" s="441"/>
      <c r="AG219" s="441"/>
      <c r="AH219" s="441"/>
      <c r="AI219" s="441"/>
      <c r="AJ219" s="441"/>
      <c r="AK219" s="450"/>
      <c r="AL219" s="440"/>
      <c r="AM219" s="441"/>
      <c r="AN219" s="441"/>
      <c r="AO219" s="441"/>
      <c r="AP219" s="441"/>
      <c r="AQ219" s="441"/>
      <c r="AR219" s="450"/>
      <c r="AS219" s="485"/>
      <c r="AT219" s="486"/>
      <c r="AU219" s="486"/>
      <c r="AV219" s="486"/>
      <c r="AW219" s="486"/>
      <c r="AX219" s="486"/>
      <c r="AY219" s="487"/>
      <c r="AZ219" s="462"/>
      <c r="BA219" s="463"/>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5">
      <c r="A220" s="436"/>
      <c r="B220" s="37"/>
      <c r="C220" s="200" t="str">
        <f t="shared" ca="1" si="5"/>
        <v/>
      </c>
      <c r="D220" s="481"/>
      <c r="E220" s="482"/>
      <c r="F220" s="482"/>
      <c r="G220" s="482"/>
      <c r="H220" s="482"/>
      <c r="I220" s="482"/>
      <c r="J220" s="482"/>
      <c r="K220" s="409"/>
      <c r="L220" s="410"/>
      <c r="M220" s="410"/>
      <c r="N220" s="410"/>
      <c r="O220" s="410"/>
      <c r="P220" s="410"/>
      <c r="Q220" s="410"/>
      <c r="R220" s="446"/>
      <c r="S220" s="447"/>
      <c r="T220" s="446"/>
      <c r="U220" s="44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88"/>
      <c r="AT220" s="489"/>
      <c r="AU220" s="489"/>
      <c r="AV220" s="489"/>
      <c r="AW220" s="489"/>
      <c r="AX220" s="489"/>
      <c r="AY220" s="490"/>
      <c r="AZ220" s="464"/>
      <c r="BA220" s="465"/>
      <c r="BB220" s="62">
        <v>6</v>
      </c>
      <c r="BC220" s="426"/>
      <c r="BD220" s="427"/>
      <c r="BE220" s="427"/>
      <c r="BF220" s="428"/>
      <c r="BG220" s="429"/>
      <c r="BH220" s="430"/>
      <c r="BI220" s="196"/>
      <c r="BJ220" s="474"/>
      <c r="BK220" s="475"/>
      <c r="BL220" s="475"/>
      <c r="BM220" s="475"/>
      <c r="BN220" s="475"/>
      <c r="BO220" s="476"/>
      <c r="BP220" s="474"/>
      <c r="BQ220" s="475"/>
      <c r="BR220" s="475"/>
      <c r="BS220" s="475"/>
      <c r="BT220" s="475"/>
      <c r="BU220" s="476"/>
      <c r="BV220" s="474"/>
      <c r="BW220" s="475"/>
      <c r="BX220" s="475"/>
      <c r="BY220" s="475"/>
      <c r="BZ220" s="475"/>
      <c r="CA220" s="476"/>
      <c r="CB220" s="426"/>
      <c r="CC220" s="427"/>
      <c r="CD220" s="427"/>
      <c r="CE220" s="428"/>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5">
      <c r="A221" s="434">
        <v>36</v>
      </c>
      <c r="B221" s="36"/>
      <c r="C221" s="198" t="str">
        <f t="shared" ca="1" si="5"/>
        <v/>
      </c>
      <c r="D221" s="477"/>
      <c r="E221" s="478"/>
      <c r="F221" s="478"/>
      <c r="G221" s="478"/>
      <c r="H221" s="478"/>
      <c r="I221" s="478"/>
      <c r="J221" s="478"/>
      <c r="K221" s="438" t="s">
        <v>517</v>
      </c>
      <c r="L221" s="439"/>
      <c r="M221" s="439"/>
      <c r="N221" s="439"/>
      <c r="O221" s="439"/>
      <c r="P221" s="439"/>
      <c r="Q221" s="439"/>
      <c r="R221" s="442" t="s">
        <v>186</v>
      </c>
      <c r="S221" s="443"/>
      <c r="T221" s="442"/>
      <c r="U221" s="443"/>
      <c r="V221" s="438"/>
      <c r="W221" s="439"/>
      <c r="X221" s="439"/>
      <c r="Y221" s="439"/>
      <c r="Z221" s="439"/>
      <c r="AA221" s="439"/>
      <c r="AB221" s="439"/>
      <c r="AC221" s="439"/>
      <c r="AD221" s="438"/>
      <c r="AE221" s="439"/>
      <c r="AF221" s="439"/>
      <c r="AG221" s="439"/>
      <c r="AH221" s="439"/>
      <c r="AI221" s="439"/>
      <c r="AJ221" s="439"/>
      <c r="AK221" s="449"/>
      <c r="AL221" s="438"/>
      <c r="AM221" s="439"/>
      <c r="AN221" s="439"/>
      <c r="AO221" s="439"/>
      <c r="AP221" s="439"/>
      <c r="AQ221" s="439"/>
      <c r="AR221" s="449"/>
      <c r="AS221" s="500"/>
      <c r="AT221" s="483"/>
      <c r="AU221" s="483"/>
      <c r="AV221" s="483"/>
      <c r="AW221" s="483"/>
      <c r="AX221" s="483"/>
      <c r="AY221" s="484"/>
      <c r="AZ221" s="460"/>
      <c r="BA221" s="461"/>
      <c r="BB221" s="60">
        <v>1</v>
      </c>
      <c r="BC221" s="466"/>
      <c r="BD221" s="467"/>
      <c r="BE221" s="467"/>
      <c r="BF221" s="468"/>
      <c r="BG221" s="469"/>
      <c r="BH221" s="470"/>
      <c r="BI221" s="194"/>
      <c r="BJ221" s="471"/>
      <c r="BK221" s="472"/>
      <c r="BL221" s="472"/>
      <c r="BM221" s="472"/>
      <c r="BN221" s="472"/>
      <c r="BO221" s="473"/>
      <c r="BP221" s="471"/>
      <c r="BQ221" s="472"/>
      <c r="BR221" s="472"/>
      <c r="BS221" s="472"/>
      <c r="BT221" s="472"/>
      <c r="BU221" s="473"/>
      <c r="BV221" s="471"/>
      <c r="BW221" s="472"/>
      <c r="BX221" s="472"/>
      <c r="BY221" s="472"/>
      <c r="BZ221" s="472"/>
      <c r="CA221" s="473"/>
      <c r="CB221" s="466"/>
      <c r="CC221" s="467"/>
      <c r="CD221" s="467"/>
      <c r="CE221" s="468"/>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5">
      <c r="A222" s="435"/>
      <c r="B222" s="36"/>
      <c r="C222" s="199" t="str">
        <f t="shared" ca="1" si="5"/>
        <v/>
      </c>
      <c r="D222" s="479"/>
      <c r="E222" s="480"/>
      <c r="F222" s="480"/>
      <c r="G222" s="480"/>
      <c r="H222" s="480"/>
      <c r="I222" s="480"/>
      <c r="J222" s="480"/>
      <c r="K222" s="440"/>
      <c r="L222" s="441"/>
      <c r="M222" s="441"/>
      <c r="N222" s="441"/>
      <c r="O222" s="441"/>
      <c r="P222" s="441"/>
      <c r="Q222" s="441"/>
      <c r="R222" s="444"/>
      <c r="S222" s="445"/>
      <c r="T222" s="444"/>
      <c r="U222" s="445"/>
      <c r="V222" s="440"/>
      <c r="W222" s="441"/>
      <c r="X222" s="441"/>
      <c r="Y222" s="441"/>
      <c r="Z222" s="441"/>
      <c r="AA222" s="441"/>
      <c r="AB222" s="441"/>
      <c r="AC222" s="441"/>
      <c r="AD222" s="440"/>
      <c r="AE222" s="441"/>
      <c r="AF222" s="441"/>
      <c r="AG222" s="441"/>
      <c r="AH222" s="441"/>
      <c r="AI222" s="441"/>
      <c r="AJ222" s="441"/>
      <c r="AK222" s="450"/>
      <c r="AL222" s="440"/>
      <c r="AM222" s="441"/>
      <c r="AN222" s="441"/>
      <c r="AO222" s="441"/>
      <c r="AP222" s="441"/>
      <c r="AQ222" s="441"/>
      <c r="AR222" s="450"/>
      <c r="AS222" s="485"/>
      <c r="AT222" s="486"/>
      <c r="AU222" s="486"/>
      <c r="AV222" s="486"/>
      <c r="AW222" s="486"/>
      <c r="AX222" s="486"/>
      <c r="AY222" s="487"/>
      <c r="AZ222" s="462"/>
      <c r="BA222" s="463"/>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5">
      <c r="A223" s="435"/>
      <c r="B223" s="36"/>
      <c r="C223" s="199" t="str">
        <f t="shared" ca="1" si="5"/>
        <v/>
      </c>
      <c r="D223" s="479"/>
      <c r="E223" s="480"/>
      <c r="F223" s="480"/>
      <c r="G223" s="480"/>
      <c r="H223" s="480"/>
      <c r="I223" s="480"/>
      <c r="J223" s="480"/>
      <c r="K223" s="440"/>
      <c r="L223" s="441"/>
      <c r="M223" s="441"/>
      <c r="N223" s="441"/>
      <c r="O223" s="441"/>
      <c r="P223" s="441"/>
      <c r="Q223" s="441"/>
      <c r="R223" s="444"/>
      <c r="S223" s="445"/>
      <c r="T223" s="444"/>
      <c r="U223" s="445"/>
      <c r="V223" s="440"/>
      <c r="W223" s="441"/>
      <c r="X223" s="441"/>
      <c r="Y223" s="441"/>
      <c r="Z223" s="441"/>
      <c r="AA223" s="441"/>
      <c r="AB223" s="441"/>
      <c r="AC223" s="441"/>
      <c r="AD223" s="440"/>
      <c r="AE223" s="441"/>
      <c r="AF223" s="441"/>
      <c r="AG223" s="441"/>
      <c r="AH223" s="441"/>
      <c r="AI223" s="441"/>
      <c r="AJ223" s="441"/>
      <c r="AK223" s="450"/>
      <c r="AL223" s="440"/>
      <c r="AM223" s="441"/>
      <c r="AN223" s="441"/>
      <c r="AO223" s="441"/>
      <c r="AP223" s="441"/>
      <c r="AQ223" s="441"/>
      <c r="AR223" s="450"/>
      <c r="AS223" s="485"/>
      <c r="AT223" s="486"/>
      <c r="AU223" s="486"/>
      <c r="AV223" s="486"/>
      <c r="AW223" s="486"/>
      <c r="AX223" s="486"/>
      <c r="AY223" s="487"/>
      <c r="AZ223" s="462"/>
      <c r="BA223" s="463"/>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5">
      <c r="A224" s="435"/>
      <c r="B224" s="36"/>
      <c r="C224" s="199" t="str">
        <f t="shared" ca="1" si="5"/>
        <v/>
      </c>
      <c r="D224" s="479"/>
      <c r="E224" s="480"/>
      <c r="F224" s="480"/>
      <c r="G224" s="480"/>
      <c r="H224" s="480"/>
      <c r="I224" s="480"/>
      <c r="J224" s="480"/>
      <c r="K224" s="440"/>
      <c r="L224" s="441"/>
      <c r="M224" s="441"/>
      <c r="N224" s="441"/>
      <c r="O224" s="441"/>
      <c r="P224" s="441"/>
      <c r="Q224" s="441"/>
      <c r="R224" s="444"/>
      <c r="S224" s="445"/>
      <c r="T224" s="444"/>
      <c r="U224" s="445"/>
      <c r="V224" s="440"/>
      <c r="W224" s="441"/>
      <c r="X224" s="441"/>
      <c r="Y224" s="441"/>
      <c r="Z224" s="441"/>
      <c r="AA224" s="441"/>
      <c r="AB224" s="441"/>
      <c r="AC224" s="441"/>
      <c r="AD224" s="440"/>
      <c r="AE224" s="441"/>
      <c r="AF224" s="441"/>
      <c r="AG224" s="441"/>
      <c r="AH224" s="441"/>
      <c r="AI224" s="441"/>
      <c r="AJ224" s="441"/>
      <c r="AK224" s="450"/>
      <c r="AL224" s="440"/>
      <c r="AM224" s="441"/>
      <c r="AN224" s="441"/>
      <c r="AO224" s="441"/>
      <c r="AP224" s="441"/>
      <c r="AQ224" s="441"/>
      <c r="AR224" s="450"/>
      <c r="AS224" s="485"/>
      <c r="AT224" s="486"/>
      <c r="AU224" s="486"/>
      <c r="AV224" s="486"/>
      <c r="AW224" s="486"/>
      <c r="AX224" s="486"/>
      <c r="AY224" s="487"/>
      <c r="AZ224" s="462"/>
      <c r="BA224" s="463"/>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5">
      <c r="A225" s="435"/>
      <c r="B225" s="36"/>
      <c r="C225" s="199" t="str">
        <f t="shared" ca="1" si="5"/>
        <v/>
      </c>
      <c r="D225" s="479"/>
      <c r="E225" s="480"/>
      <c r="F225" s="480"/>
      <c r="G225" s="480"/>
      <c r="H225" s="480"/>
      <c r="I225" s="480"/>
      <c r="J225" s="480"/>
      <c r="K225" s="440"/>
      <c r="L225" s="441"/>
      <c r="M225" s="441"/>
      <c r="N225" s="441"/>
      <c r="O225" s="441"/>
      <c r="P225" s="441"/>
      <c r="Q225" s="441"/>
      <c r="R225" s="444"/>
      <c r="S225" s="445"/>
      <c r="T225" s="444"/>
      <c r="U225" s="445"/>
      <c r="V225" s="440"/>
      <c r="W225" s="441"/>
      <c r="X225" s="441"/>
      <c r="Y225" s="441"/>
      <c r="Z225" s="441"/>
      <c r="AA225" s="441"/>
      <c r="AB225" s="441"/>
      <c r="AC225" s="441"/>
      <c r="AD225" s="440"/>
      <c r="AE225" s="441"/>
      <c r="AF225" s="441"/>
      <c r="AG225" s="441"/>
      <c r="AH225" s="441"/>
      <c r="AI225" s="441"/>
      <c r="AJ225" s="441"/>
      <c r="AK225" s="450"/>
      <c r="AL225" s="440"/>
      <c r="AM225" s="441"/>
      <c r="AN225" s="441"/>
      <c r="AO225" s="441"/>
      <c r="AP225" s="441"/>
      <c r="AQ225" s="441"/>
      <c r="AR225" s="450"/>
      <c r="AS225" s="485"/>
      <c r="AT225" s="486"/>
      <c r="AU225" s="486"/>
      <c r="AV225" s="486"/>
      <c r="AW225" s="486"/>
      <c r="AX225" s="486"/>
      <c r="AY225" s="487"/>
      <c r="AZ225" s="462"/>
      <c r="BA225" s="463"/>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5">
      <c r="A226" s="436"/>
      <c r="B226" s="37"/>
      <c r="C226" s="200" t="str">
        <f t="shared" ca="1" si="5"/>
        <v/>
      </c>
      <c r="D226" s="481"/>
      <c r="E226" s="482"/>
      <c r="F226" s="482"/>
      <c r="G226" s="482"/>
      <c r="H226" s="482"/>
      <c r="I226" s="482"/>
      <c r="J226" s="482"/>
      <c r="K226" s="409"/>
      <c r="L226" s="410"/>
      <c r="M226" s="410"/>
      <c r="N226" s="410"/>
      <c r="O226" s="410"/>
      <c r="P226" s="410"/>
      <c r="Q226" s="410"/>
      <c r="R226" s="446"/>
      <c r="S226" s="447"/>
      <c r="T226" s="446"/>
      <c r="U226" s="44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88"/>
      <c r="AT226" s="489"/>
      <c r="AU226" s="489"/>
      <c r="AV226" s="489"/>
      <c r="AW226" s="489"/>
      <c r="AX226" s="489"/>
      <c r="AY226" s="490"/>
      <c r="AZ226" s="464"/>
      <c r="BA226" s="465"/>
      <c r="BB226" s="62">
        <v>6</v>
      </c>
      <c r="BC226" s="426"/>
      <c r="BD226" s="427"/>
      <c r="BE226" s="427"/>
      <c r="BF226" s="428"/>
      <c r="BG226" s="429"/>
      <c r="BH226" s="430"/>
      <c r="BI226" s="196"/>
      <c r="BJ226" s="474"/>
      <c r="BK226" s="475"/>
      <c r="BL226" s="475"/>
      <c r="BM226" s="475"/>
      <c r="BN226" s="475"/>
      <c r="BO226" s="476"/>
      <c r="BP226" s="474"/>
      <c r="BQ226" s="475"/>
      <c r="BR226" s="475"/>
      <c r="BS226" s="475"/>
      <c r="BT226" s="475"/>
      <c r="BU226" s="476"/>
      <c r="BV226" s="474"/>
      <c r="BW226" s="475"/>
      <c r="BX226" s="475"/>
      <c r="BY226" s="475"/>
      <c r="BZ226" s="475"/>
      <c r="CA226" s="476"/>
      <c r="CB226" s="426"/>
      <c r="CC226" s="427"/>
      <c r="CD226" s="427"/>
      <c r="CE226" s="428"/>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5">
      <c r="A227" s="434">
        <v>37</v>
      </c>
      <c r="B227" s="36"/>
      <c r="C227" s="198" t="str">
        <f t="shared" ca="1" si="5"/>
        <v/>
      </c>
      <c r="D227" s="477"/>
      <c r="E227" s="478"/>
      <c r="F227" s="478"/>
      <c r="G227" s="478"/>
      <c r="H227" s="478"/>
      <c r="I227" s="478"/>
      <c r="J227" s="478"/>
      <c r="K227" s="438" t="s">
        <v>518</v>
      </c>
      <c r="L227" s="439"/>
      <c r="M227" s="439"/>
      <c r="N227" s="439"/>
      <c r="O227" s="439"/>
      <c r="P227" s="439"/>
      <c r="Q227" s="439"/>
      <c r="R227" s="442" t="s">
        <v>186</v>
      </c>
      <c r="S227" s="443"/>
      <c r="T227" s="442"/>
      <c r="U227" s="443"/>
      <c r="V227" s="438"/>
      <c r="W227" s="439"/>
      <c r="X227" s="439"/>
      <c r="Y227" s="439"/>
      <c r="Z227" s="439"/>
      <c r="AA227" s="439"/>
      <c r="AB227" s="439"/>
      <c r="AC227" s="439"/>
      <c r="AD227" s="438"/>
      <c r="AE227" s="439"/>
      <c r="AF227" s="439"/>
      <c r="AG227" s="439"/>
      <c r="AH227" s="439"/>
      <c r="AI227" s="439"/>
      <c r="AJ227" s="439"/>
      <c r="AK227" s="449"/>
      <c r="AL227" s="438"/>
      <c r="AM227" s="439"/>
      <c r="AN227" s="439"/>
      <c r="AO227" s="439"/>
      <c r="AP227" s="439"/>
      <c r="AQ227" s="439"/>
      <c r="AR227" s="449"/>
      <c r="AS227" s="500"/>
      <c r="AT227" s="483"/>
      <c r="AU227" s="483"/>
      <c r="AV227" s="483"/>
      <c r="AW227" s="483"/>
      <c r="AX227" s="483"/>
      <c r="AY227" s="484"/>
      <c r="AZ227" s="460"/>
      <c r="BA227" s="461"/>
      <c r="BB227" s="60">
        <v>1</v>
      </c>
      <c r="BC227" s="466"/>
      <c r="BD227" s="467"/>
      <c r="BE227" s="467"/>
      <c r="BF227" s="468"/>
      <c r="BG227" s="469"/>
      <c r="BH227" s="470"/>
      <c r="BI227" s="194"/>
      <c r="BJ227" s="471"/>
      <c r="BK227" s="472"/>
      <c r="BL227" s="472"/>
      <c r="BM227" s="472"/>
      <c r="BN227" s="472"/>
      <c r="BO227" s="473"/>
      <c r="BP227" s="471"/>
      <c r="BQ227" s="472"/>
      <c r="BR227" s="472"/>
      <c r="BS227" s="472"/>
      <c r="BT227" s="472"/>
      <c r="BU227" s="473"/>
      <c r="BV227" s="471"/>
      <c r="BW227" s="472"/>
      <c r="BX227" s="472"/>
      <c r="BY227" s="472"/>
      <c r="BZ227" s="472"/>
      <c r="CA227" s="473"/>
      <c r="CB227" s="466"/>
      <c r="CC227" s="467"/>
      <c r="CD227" s="467"/>
      <c r="CE227" s="468"/>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5">
      <c r="A228" s="435"/>
      <c r="B228" s="36"/>
      <c r="C228" s="199" t="str">
        <f t="shared" ca="1" si="5"/>
        <v/>
      </c>
      <c r="D228" s="479"/>
      <c r="E228" s="480"/>
      <c r="F228" s="480"/>
      <c r="G228" s="480"/>
      <c r="H228" s="480"/>
      <c r="I228" s="480"/>
      <c r="J228" s="480"/>
      <c r="K228" s="440"/>
      <c r="L228" s="441"/>
      <c r="M228" s="441"/>
      <c r="N228" s="441"/>
      <c r="O228" s="441"/>
      <c r="P228" s="441"/>
      <c r="Q228" s="441"/>
      <c r="R228" s="444"/>
      <c r="S228" s="445"/>
      <c r="T228" s="444"/>
      <c r="U228" s="445"/>
      <c r="V228" s="440"/>
      <c r="W228" s="441"/>
      <c r="X228" s="441"/>
      <c r="Y228" s="441"/>
      <c r="Z228" s="441"/>
      <c r="AA228" s="441"/>
      <c r="AB228" s="441"/>
      <c r="AC228" s="441"/>
      <c r="AD228" s="440"/>
      <c r="AE228" s="441"/>
      <c r="AF228" s="441"/>
      <c r="AG228" s="441"/>
      <c r="AH228" s="441"/>
      <c r="AI228" s="441"/>
      <c r="AJ228" s="441"/>
      <c r="AK228" s="450"/>
      <c r="AL228" s="440"/>
      <c r="AM228" s="441"/>
      <c r="AN228" s="441"/>
      <c r="AO228" s="441"/>
      <c r="AP228" s="441"/>
      <c r="AQ228" s="441"/>
      <c r="AR228" s="450"/>
      <c r="AS228" s="485"/>
      <c r="AT228" s="486"/>
      <c r="AU228" s="486"/>
      <c r="AV228" s="486"/>
      <c r="AW228" s="486"/>
      <c r="AX228" s="486"/>
      <c r="AY228" s="487"/>
      <c r="AZ228" s="462"/>
      <c r="BA228" s="463"/>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5">
      <c r="A229" s="435"/>
      <c r="B229" s="36"/>
      <c r="C229" s="199" t="str">
        <f t="shared" ca="1" si="5"/>
        <v/>
      </c>
      <c r="D229" s="479"/>
      <c r="E229" s="480"/>
      <c r="F229" s="480"/>
      <c r="G229" s="480"/>
      <c r="H229" s="480"/>
      <c r="I229" s="480"/>
      <c r="J229" s="480"/>
      <c r="K229" s="440"/>
      <c r="L229" s="441"/>
      <c r="M229" s="441"/>
      <c r="N229" s="441"/>
      <c r="O229" s="441"/>
      <c r="P229" s="441"/>
      <c r="Q229" s="441"/>
      <c r="R229" s="444"/>
      <c r="S229" s="445"/>
      <c r="T229" s="444"/>
      <c r="U229" s="445"/>
      <c r="V229" s="440"/>
      <c r="W229" s="441"/>
      <c r="X229" s="441"/>
      <c r="Y229" s="441"/>
      <c r="Z229" s="441"/>
      <c r="AA229" s="441"/>
      <c r="AB229" s="441"/>
      <c r="AC229" s="441"/>
      <c r="AD229" s="440"/>
      <c r="AE229" s="441"/>
      <c r="AF229" s="441"/>
      <c r="AG229" s="441"/>
      <c r="AH229" s="441"/>
      <c r="AI229" s="441"/>
      <c r="AJ229" s="441"/>
      <c r="AK229" s="450"/>
      <c r="AL229" s="440"/>
      <c r="AM229" s="441"/>
      <c r="AN229" s="441"/>
      <c r="AO229" s="441"/>
      <c r="AP229" s="441"/>
      <c r="AQ229" s="441"/>
      <c r="AR229" s="450"/>
      <c r="AS229" s="485"/>
      <c r="AT229" s="486"/>
      <c r="AU229" s="486"/>
      <c r="AV229" s="486"/>
      <c r="AW229" s="486"/>
      <c r="AX229" s="486"/>
      <c r="AY229" s="487"/>
      <c r="AZ229" s="462"/>
      <c r="BA229" s="463"/>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5">
      <c r="A230" s="435"/>
      <c r="B230" s="36"/>
      <c r="C230" s="199" t="str">
        <f t="shared" ca="1" si="5"/>
        <v/>
      </c>
      <c r="D230" s="479"/>
      <c r="E230" s="480"/>
      <c r="F230" s="480"/>
      <c r="G230" s="480"/>
      <c r="H230" s="480"/>
      <c r="I230" s="480"/>
      <c r="J230" s="480"/>
      <c r="K230" s="440"/>
      <c r="L230" s="441"/>
      <c r="M230" s="441"/>
      <c r="N230" s="441"/>
      <c r="O230" s="441"/>
      <c r="P230" s="441"/>
      <c r="Q230" s="441"/>
      <c r="R230" s="444"/>
      <c r="S230" s="445"/>
      <c r="T230" s="444"/>
      <c r="U230" s="445"/>
      <c r="V230" s="440"/>
      <c r="W230" s="441"/>
      <c r="X230" s="441"/>
      <c r="Y230" s="441"/>
      <c r="Z230" s="441"/>
      <c r="AA230" s="441"/>
      <c r="AB230" s="441"/>
      <c r="AC230" s="441"/>
      <c r="AD230" s="440"/>
      <c r="AE230" s="441"/>
      <c r="AF230" s="441"/>
      <c r="AG230" s="441"/>
      <c r="AH230" s="441"/>
      <c r="AI230" s="441"/>
      <c r="AJ230" s="441"/>
      <c r="AK230" s="450"/>
      <c r="AL230" s="440"/>
      <c r="AM230" s="441"/>
      <c r="AN230" s="441"/>
      <c r="AO230" s="441"/>
      <c r="AP230" s="441"/>
      <c r="AQ230" s="441"/>
      <c r="AR230" s="450"/>
      <c r="AS230" s="485"/>
      <c r="AT230" s="486"/>
      <c r="AU230" s="486"/>
      <c r="AV230" s="486"/>
      <c r="AW230" s="486"/>
      <c r="AX230" s="486"/>
      <c r="AY230" s="487"/>
      <c r="AZ230" s="462"/>
      <c r="BA230" s="463"/>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5">
      <c r="A231" s="435"/>
      <c r="B231" s="36"/>
      <c r="C231" s="199" t="str">
        <f t="shared" ca="1" si="5"/>
        <v/>
      </c>
      <c r="D231" s="479"/>
      <c r="E231" s="480"/>
      <c r="F231" s="480"/>
      <c r="G231" s="480"/>
      <c r="H231" s="480"/>
      <c r="I231" s="480"/>
      <c r="J231" s="480"/>
      <c r="K231" s="440"/>
      <c r="L231" s="441"/>
      <c r="M231" s="441"/>
      <c r="N231" s="441"/>
      <c r="O231" s="441"/>
      <c r="P231" s="441"/>
      <c r="Q231" s="441"/>
      <c r="R231" s="444"/>
      <c r="S231" s="445"/>
      <c r="T231" s="444"/>
      <c r="U231" s="445"/>
      <c r="V231" s="440"/>
      <c r="W231" s="441"/>
      <c r="X231" s="441"/>
      <c r="Y231" s="441"/>
      <c r="Z231" s="441"/>
      <c r="AA231" s="441"/>
      <c r="AB231" s="441"/>
      <c r="AC231" s="441"/>
      <c r="AD231" s="440"/>
      <c r="AE231" s="441"/>
      <c r="AF231" s="441"/>
      <c r="AG231" s="441"/>
      <c r="AH231" s="441"/>
      <c r="AI231" s="441"/>
      <c r="AJ231" s="441"/>
      <c r="AK231" s="450"/>
      <c r="AL231" s="440"/>
      <c r="AM231" s="441"/>
      <c r="AN231" s="441"/>
      <c r="AO231" s="441"/>
      <c r="AP231" s="441"/>
      <c r="AQ231" s="441"/>
      <c r="AR231" s="450"/>
      <c r="AS231" s="485"/>
      <c r="AT231" s="486"/>
      <c r="AU231" s="486"/>
      <c r="AV231" s="486"/>
      <c r="AW231" s="486"/>
      <c r="AX231" s="486"/>
      <c r="AY231" s="487"/>
      <c r="AZ231" s="462"/>
      <c r="BA231" s="463"/>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5">
      <c r="A232" s="436"/>
      <c r="B232" s="37"/>
      <c r="C232" s="200" t="str">
        <f t="shared" ca="1" si="5"/>
        <v/>
      </c>
      <c r="D232" s="481"/>
      <c r="E232" s="482"/>
      <c r="F232" s="482"/>
      <c r="G232" s="482"/>
      <c r="H232" s="482"/>
      <c r="I232" s="482"/>
      <c r="J232" s="482"/>
      <c r="K232" s="409"/>
      <c r="L232" s="410"/>
      <c r="M232" s="410"/>
      <c r="N232" s="410"/>
      <c r="O232" s="410"/>
      <c r="P232" s="410"/>
      <c r="Q232" s="410"/>
      <c r="R232" s="446"/>
      <c r="S232" s="447"/>
      <c r="T232" s="446"/>
      <c r="U232" s="44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88"/>
      <c r="AT232" s="489"/>
      <c r="AU232" s="489"/>
      <c r="AV232" s="489"/>
      <c r="AW232" s="489"/>
      <c r="AX232" s="489"/>
      <c r="AY232" s="490"/>
      <c r="AZ232" s="464"/>
      <c r="BA232" s="465"/>
      <c r="BB232" s="62">
        <v>6</v>
      </c>
      <c r="BC232" s="426"/>
      <c r="BD232" s="427"/>
      <c r="BE232" s="427"/>
      <c r="BF232" s="428"/>
      <c r="BG232" s="429"/>
      <c r="BH232" s="430"/>
      <c r="BI232" s="196"/>
      <c r="BJ232" s="474"/>
      <c r="BK232" s="475"/>
      <c r="BL232" s="475"/>
      <c r="BM232" s="475"/>
      <c r="BN232" s="475"/>
      <c r="BO232" s="476"/>
      <c r="BP232" s="474"/>
      <c r="BQ232" s="475"/>
      <c r="BR232" s="475"/>
      <c r="BS232" s="475"/>
      <c r="BT232" s="475"/>
      <c r="BU232" s="476"/>
      <c r="BV232" s="474"/>
      <c r="BW232" s="475"/>
      <c r="BX232" s="475"/>
      <c r="BY232" s="475"/>
      <c r="BZ232" s="475"/>
      <c r="CA232" s="476"/>
      <c r="CB232" s="426"/>
      <c r="CC232" s="427"/>
      <c r="CD232" s="427"/>
      <c r="CE232" s="428"/>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5">
      <c r="A233" s="434">
        <v>38</v>
      </c>
      <c r="B233" s="36"/>
      <c r="C233" s="198" t="str">
        <f t="shared" ca="1" si="5"/>
        <v/>
      </c>
      <c r="D233" s="477"/>
      <c r="E233" s="478"/>
      <c r="F233" s="478"/>
      <c r="G233" s="478"/>
      <c r="H233" s="478"/>
      <c r="I233" s="478"/>
      <c r="J233" s="478"/>
      <c r="K233" s="438" t="s">
        <v>519</v>
      </c>
      <c r="L233" s="439"/>
      <c r="M233" s="439"/>
      <c r="N233" s="439"/>
      <c r="O233" s="439"/>
      <c r="P233" s="439"/>
      <c r="Q233" s="439"/>
      <c r="R233" s="442" t="s">
        <v>186</v>
      </c>
      <c r="S233" s="443"/>
      <c r="T233" s="442"/>
      <c r="U233" s="443"/>
      <c r="V233" s="438"/>
      <c r="W233" s="439"/>
      <c r="X233" s="439"/>
      <c r="Y233" s="439"/>
      <c r="Z233" s="439"/>
      <c r="AA233" s="439"/>
      <c r="AB233" s="439"/>
      <c r="AC233" s="439"/>
      <c r="AD233" s="438"/>
      <c r="AE233" s="439"/>
      <c r="AF233" s="439"/>
      <c r="AG233" s="439"/>
      <c r="AH233" s="439"/>
      <c r="AI233" s="439"/>
      <c r="AJ233" s="439"/>
      <c r="AK233" s="449"/>
      <c r="AL233" s="438"/>
      <c r="AM233" s="439"/>
      <c r="AN233" s="439"/>
      <c r="AO233" s="439"/>
      <c r="AP233" s="439"/>
      <c r="AQ233" s="439"/>
      <c r="AR233" s="449"/>
      <c r="AS233" s="500"/>
      <c r="AT233" s="483"/>
      <c r="AU233" s="483"/>
      <c r="AV233" s="483"/>
      <c r="AW233" s="483"/>
      <c r="AX233" s="483"/>
      <c r="AY233" s="484"/>
      <c r="AZ233" s="460"/>
      <c r="BA233" s="461"/>
      <c r="BB233" s="60">
        <v>1</v>
      </c>
      <c r="BC233" s="466"/>
      <c r="BD233" s="467"/>
      <c r="BE233" s="467"/>
      <c r="BF233" s="468"/>
      <c r="BG233" s="469"/>
      <c r="BH233" s="470"/>
      <c r="BI233" s="194"/>
      <c r="BJ233" s="471"/>
      <c r="BK233" s="472"/>
      <c r="BL233" s="472"/>
      <c r="BM233" s="472"/>
      <c r="BN233" s="472"/>
      <c r="BO233" s="473"/>
      <c r="BP233" s="471"/>
      <c r="BQ233" s="472"/>
      <c r="BR233" s="472"/>
      <c r="BS233" s="472"/>
      <c r="BT233" s="472"/>
      <c r="BU233" s="473"/>
      <c r="BV233" s="471"/>
      <c r="BW233" s="472"/>
      <c r="BX233" s="472"/>
      <c r="BY233" s="472"/>
      <c r="BZ233" s="472"/>
      <c r="CA233" s="473"/>
      <c r="CB233" s="466"/>
      <c r="CC233" s="467"/>
      <c r="CD233" s="467"/>
      <c r="CE233" s="468"/>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5">
      <c r="A234" s="435"/>
      <c r="B234" s="36"/>
      <c r="C234" s="199" t="str">
        <f t="shared" ca="1" si="5"/>
        <v/>
      </c>
      <c r="D234" s="479"/>
      <c r="E234" s="480"/>
      <c r="F234" s="480"/>
      <c r="G234" s="480"/>
      <c r="H234" s="480"/>
      <c r="I234" s="480"/>
      <c r="J234" s="480"/>
      <c r="K234" s="440"/>
      <c r="L234" s="441"/>
      <c r="M234" s="441"/>
      <c r="N234" s="441"/>
      <c r="O234" s="441"/>
      <c r="P234" s="441"/>
      <c r="Q234" s="441"/>
      <c r="R234" s="444"/>
      <c r="S234" s="445"/>
      <c r="T234" s="444"/>
      <c r="U234" s="445"/>
      <c r="V234" s="440"/>
      <c r="W234" s="441"/>
      <c r="X234" s="441"/>
      <c r="Y234" s="441"/>
      <c r="Z234" s="441"/>
      <c r="AA234" s="441"/>
      <c r="AB234" s="441"/>
      <c r="AC234" s="441"/>
      <c r="AD234" s="440"/>
      <c r="AE234" s="441"/>
      <c r="AF234" s="441"/>
      <c r="AG234" s="441"/>
      <c r="AH234" s="441"/>
      <c r="AI234" s="441"/>
      <c r="AJ234" s="441"/>
      <c r="AK234" s="450"/>
      <c r="AL234" s="440"/>
      <c r="AM234" s="441"/>
      <c r="AN234" s="441"/>
      <c r="AO234" s="441"/>
      <c r="AP234" s="441"/>
      <c r="AQ234" s="441"/>
      <c r="AR234" s="450"/>
      <c r="AS234" s="485"/>
      <c r="AT234" s="486"/>
      <c r="AU234" s="486"/>
      <c r="AV234" s="486"/>
      <c r="AW234" s="486"/>
      <c r="AX234" s="486"/>
      <c r="AY234" s="487"/>
      <c r="AZ234" s="462"/>
      <c r="BA234" s="463"/>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5">
      <c r="A235" s="435"/>
      <c r="B235" s="36"/>
      <c r="C235" s="199" t="str">
        <f t="shared" ca="1" si="5"/>
        <v/>
      </c>
      <c r="D235" s="479"/>
      <c r="E235" s="480"/>
      <c r="F235" s="480"/>
      <c r="G235" s="480"/>
      <c r="H235" s="480"/>
      <c r="I235" s="480"/>
      <c r="J235" s="480"/>
      <c r="K235" s="440"/>
      <c r="L235" s="441"/>
      <c r="M235" s="441"/>
      <c r="N235" s="441"/>
      <c r="O235" s="441"/>
      <c r="P235" s="441"/>
      <c r="Q235" s="441"/>
      <c r="R235" s="444"/>
      <c r="S235" s="445"/>
      <c r="T235" s="444"/>
      <c r="U235" s="445"/>
      <c r="V235" s="440"/>
      <c r="W235" s="441"/>
      <c r="X235" s="441"/>
      <c r="Y235" s="441"/>
      <c r="Z235" s="441"/>
      <c r="AA235" s="441"/>
      <c r="AB235" s="441"/>
      <c r="AC235" s="441"/>
      <c r="AD235" s="440"/>
      <c r="AE235" s="441"/>
      <c r="AF235" s="441"/>
      <c r="AG235" s="441"/>
      <c r="AH235" s="441"/>
      <c r="AI235" s="441"/>
      <c r="AJ235" s="441"/>
      <c r="AK235" s="450"/>
      <c r="AL235" s="440"/>
      <c r="AM235" s="441"/>
      <c r="AN235" s="441"/>
      <c r="AO235" s="441"/>
      <c r="AP235" s="441"/>
      <c r="AQ235" s="441"/>
      <c r="AR235" s="450"/>
      <c r="AS235" s="485"/>
      <c r="AT235" s="486"/>
      <c r="AU235" s="486"/>
      <c r="AV235" s="486"/>
      <c r="AW235" s="486"/>
      <c r="AX235" s="486"/>
      <c r="AY235" s="487"/>
      <c r="AZ235" s="462"/>
      <c r="BA235" s="463"/>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5">
      <c r="A236" s="435"/>
      <c r="B236" s="36"/>
      <c r="C236" s="199" t="str">
        <f t="shared" ca="1" si="5"/>
        <v/>
      </c>
      <c r="D236" s="479"/>
      <c r="E236" s="480"/>
      <c r="F236" s="480"/>
      <c r="G236" s="480"/>
      <c r="H236" s="480"/>
      <c r="I236" s="480"/>
      <c r="J236" s="480"/>
      <c r="K236" s="440"/>
      <c r="L236" s="441"/>
      <c r="M236" s="441"/>
      <c r="N236" s="441"/>
      <c r="O236" s="441"/>
      <c r="P236" s="441"/>
      <c r="Q236" s="441"/>
      <c r="R236" s="444"/>
      <c r="S236" s="445"/>
      <c r="T236" s="444"/>
      <c r="U236" s="445"/>
      <c r="V236" s="440"/>
      <c r="W236" s="441"/>
      <c r="X236" s="441"/>
      <c r="Y236" s="441"/>
      <c r="Z236" s="441"/>
      <c r="AA236" s="441"/>
      <c r="AB236" s="441"/>
      <c r="AC236" s="441"/>
      <c r="AD236" s="440"/>
      <c r="AE236" s="441"/>
      <c r="AF236" s="441"/>
      <c r="AG236" s="441"/>
      <c r="AH236" s="441"/>
      <c r="AI236" s="441"/>
      <c r="AJ236" s="441"/>
      <c r="AK236" s="450"/>
      <c r="AL236" s="440"/>
      <c r="AM236" s="441"/>
      <c r="AN236" s="441"/>
      <c r="AO236" s="441"/>
      <c r="AP236" s="441"/>
      <c r="AQ236" s="441"/>
      <c r="AR236" s="450"/>
      <c r="AS236" s="485"/>
      <c r="AT236" s="486"/>
      <c r="AU236" s="486"/>
      <c r="AV236" s="486"/>
      <c r="AW236" s="486"/>
      <c r="AX236" s="486"/>
      <c r="AY236" s="487"/>
      <c r="AZ236" s="462"/>
      <c r="BA236" s="463"/>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5">
      <c r="A237" s="435"/>
      <c r="B237" s="36"/>
      <c r="C237" s="199" t="str">
        <f t="shared" ca="1" si="5"/>
        <v/>
      </c>
      <c r="D237" s="479"/>
      <c r="E237" s="480"/>
      <c r="F237" s="480"/>
      <c r="G237" s="480"/>
      <c r="H237" s="480"/>
      <c r="I237" s="480"/>
      <c r="J237" s="480"/>
      <c r="K237" s="440"/>
      <c r="L237" s="441"/>
      <c r="M237" s="441"/>
      <c r="N237" s="441"/>
      <c r="O237" s="441"/>
      <c r="P237" s="441"/>
      <c r="Q237" s="441"/>
      <c r="R237" s="444"/>
      <c r="S237" s="445"/>
      <c r="T237" s="444"/>
      <c r="U237" s="445"/>
      <c r="V237" s="440"/>
      <c r="W237" s="441"/>
      <c r="X237" s="441"/>
      <c r="Y237" s="441"/>
      <c r="Z237" s="441"/>
      <c r="AA237" s="441"/>
      <c r="AB237" s="441"/>
      <c r="AC237" s="441"/>
      <c r="AD237" s="440"/>
      <c r="AE237" s="441"/>
      <c r="AF237" s="441"/>
      <c r="AG237" s="441"/>
      <c r="AH237" s="441"/>
      <c r="AI237" s="441"/>
      <c r="AJ237" s="441"/>
      <c r="AK237" s="450"/>
      <c r="AL237" s="440"/>
      <c r="AM237" s="441"/>
      <c r="AN237" s="441"/>
      <c r="AO237" s="441"/>
      <c r="AP237" s="441"/>
      <c r="AQ237" s="441"/>
      <c r="AR237" s="450"/>
      <c r="AS237" s="485"/>
      <c r="AT237" s="486"/>
      <c r="AU237" s="486"/>
      <c r="AV237" s="486"/>
      <c r="AW237" s="486"/>
      <c r="AX237" s="486"/>
      <c r="AY237" s="487"/>
      <c r="AZ237" s="462"/>
      <c r="BA237" s="463"/>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5">
      <c r="A238" s="436"/>
      <c r="B238" s="37"/>
      <c r="C238" s="200" t="str">
        <f t="shared" ca="1" si="5"/>
        <v/>
      </c>
      <c r="D238" s="481"/>
      <c r="E238" s="482"/>
      <c r="F238" s="482"/>
      <c r="G238" s="482"/>
      <c r="H238" s="482"/>
      <c r="I238" s="482"/>
      <c r="J238" s="482"/>
      <c r="K238" s="409"/>
      <c r="L238" s="410"/>
      <c r="M238" s="410"/>
      <c r="N238" s="410"/>
      <c r="O238" s="410"/>
      <c r="P238" s="410"/>
      <c r="Q238" s="410"/>
      <c r="R238" s="446"/>
      <c r="S238" s="447"/>
      <c r="T238" s="446"/>
      <c r="U238" s="44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88"/>
      <c r="AT238" s="489"/>
      <c r="AU238" s="489"/>
      <c r="AV238" s="489"/>
      <c r="AW238" s="489"/>
      <c r="AX238" s="489"/>
      <c r="AY238" s="490"/>
      <c r="AZ238" s="464"/>
      <c r="BA238" s="465"/>
      <c r="BB238" s="62">
        <v>6</v>
      </c>
      <c r="BC238" s="426"/>
      <c r="BD238" s="427"/>
      <c r="BE238" s="427"/>
      <c r="BF238" s="428"/>
      <c r="BG238" s="429"/>
      <c r="BH238" s="430"/>
      <c r="BI238" s="196"/>
      <c r="BJ238" s="474"/>
      <c r="BK238" s="475"/>
      <c r="BL238" s="475"/>
      <c r="BM238" s="475"/>
      <c r="BN238" s="475"/>
      <c r="BO238" s="476"/>
      <c r="BP238" s="474"/>
      <c r="BQ238" s="475"/>
      <c r="BR238" s="475"/>
      <c r="BS238" s="475"/>
      <c r="BT238" s="475"/>
      <c r="BU238" s="476"/>
      <c r="BV238" s="474"/>
      <c r="BW238" s="475"/>
      <c r="BX238" s="475"/>
      <c r="BY238" s="475"/>
      <c r="BZ238" s="475"/>
      <c r="CA238" s="476"/>
      <c r="CB238" s="426"/>
      <c r="CC238" s="427"/>
      <c r="CD238" s="427"/>
      <c r="CE238" s="428"/>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5">
      <c r="A239" s="434">
        <v>39</v>
      </c>
      <c r="B239" s="36"/>
      <c r="C239" s="198" t="str">
        <f t="shared" ca="1" si="5"/>
        <v/>
      </c>
      <c r="D239" s="477" t="s">
        <v>520</v>
      </c>
      <c r="E239" s="478"/>
      <c r="F239" s="478"/>
      <c r="G239" s="478"/>
      <c r="H239" s="478"/>
      <c r="I239" s="478"/>
      <c r="J239" s="478"/>
      <c r="K239" s="438" t="s">
        <v>521</v>
      </c>
      <c r="L239" s="439"/>
      <c r="M239" s="439"/>
      <c r="N239" s="439"/>
      <c r="O239" s="439"/>
      <c r="P239" s="439"/>
      <c r="Q239" s="439"/>
      <c r="R239" s="442" t="s">
        <v>186</v>
      </c>
      <c r="S239" s="443"/>
      <c r="T239" s="442"/>
      <c r="U239" s="443"/>
      <c r="V239" s="438"/>
      <c r="W239" s="439"/>
      <c r="X239" s="439"/>
      <c r="Y239" s="439"/>
      <c r="Z239" s="439"/>
      <c r="AA239" s="439"/>
      <c r="AB239" s="439"/>
      <c r="AC239" s="439"/>
      <c r="AD239" s="438"/>
      <c r="AE239" s="439"/>
      <c r="AF239" s="439"/>
      <c r="AG239" s="439"/>
      <c r="AH239" s="439"/>
      <c r="AI239" s="439"/>
      <c r="AJ239" s="439"/>
      <c r="AK239" s="449"/>
      <c r="AL239" s="438"/>
      <c r="AM239" s="439"/>
      <c r="AN239" s="439"/>
      <c r="AO239" s="439"/>
      <c r="AP239" s="439"/>
      <c r="AQ239" s="439"/>
      <c r="AR239" s="449"/>
      <c r="AS239" s="500"/>
      <c r="AT239" s="483"/>
      <c r="AU239" s="483"/>
      <c r="AV239" s="483"/>
      <c r="AW239" s="483"/>
      <c r="AX239" s="483"/>
      <c r="AY239" s="484"/>
      <c r="AZ239" s="460"/>
      <c r="BA239" s="461"/>
      <c r="BB239" s="60">
        <v>1</v>
      </c>
      <c r="BC239" s="466"/>
      <c r="BD239" s="467"/>
      <c r="BE239" s="467"/>
      <c r="BF239" s="468"/>
      <c r="BG239" s="469"/>
      <c r="BH239" s="470"/>
      <c r="BI239" s="194"/>
      <c r="BJ239" s="471"/>
      <c r="BK239" s="472"/>
      <c r="BL239" s="472"/>
      <c r="BM239" s="472"/>
      <c r="BN239" s="472"/>
      <c r="BO239" s="473"/>
      <c r="BP239" s="471"/>
      <c r="BQ239" s="472"/>
      <c r="BR239" s="472"/>
      <c r="BS239" s="472"/>
      <c r="BT239" s="472"/>
      <c r="BU239" s="473"/>
      <c r="BV239" s="471"/>
      <c r="BW239" s="472"/>
      <c r="BX239" s="472"/>
      <c r="BY239" s="472"/>
      <c r="BZ239" s="472"/>
      <c r="CA239" s="473"/>
      <c r="CB239" s="466"/>
      <c r="CC239" s="467"/>
      <c r="CD239" s="467"/>
      <c r="CE239" s="468"/>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5">
      <c r="A240" s="435"/>
      <c r="B240" s="36"/>
      <c r="C240" s="199" t="str">
        <f t="shared" ca="1" si="5"/>
        <v/>
      </c>
      <c r="D240" s="479"/>
      <c r="E240" s="480"/>
      <c r="F240" s="480"/>
      <c r="G240" s="480"/>
      <c r="H240" s="480"/>
      <c r="I240" s="480"/>
      <c r="J240" s="480"/>
      <c r="K240" s="440"/>
      <c r="L240" s="441"/>
      <c r="M240" s="441"/>
      <c r="N240" s="441"/>
      <c r="O240" s="441"/>
      <c r="P240" s="441"/>
      <c r="Q240" s="441"/>
      <c r="R240" s="444"/>
      <c r="S240" s="445"/>
      <c r="T240" s="444"/>
      <c r="U240" s="445"/>
      <c r="V240" s="440"/>
      <c r="W240" s="441"/>
      <c r="X240" s="441"/>
      <c r="Y240" s="441"/>
      <c r="Z240" s="441"/>
      <c r="AA240" s="441"/>
      <c r="AB240" s="441"/>
      <c r="AC240" s="441"/>
      <c r="AD240" s="440"/>
      <c r="AE240" s="441"/>
      <c r="AF240" s="441"/>
      <c r="AG240" s="441"/>
      <c r="AH240" s="441"/>
      <c r="AI240" s="441"/>
      <c r="AJ240" s="441"/>
      <c r="AK240" s="450"/>
      <c r="AL240" s="440"/>
      <c r="AM240" s="441"/>
      <c r="AN240" s="441"/>
      <c r="AO240" s="441"/>
      <c r="AP240" s="441"/>
      <c r="AQ240" s="441"/>
      <c r="AR240" s="450"/>
      <c r="AS240" s="485"/>
      <c r="AT240" s="486"/>
      <c r="AU240" s="486"/>
      <c r="AV240" s="486"/>
      <c r="AW240" s="486"/>
      <c r="AX240" s="486"/>
      <c r="AY240" s="487"/>
      <c r="AZ240" s="462"/>
      <c r="BA240" s="463"/>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5">
      <c r="A241" s="435"/>
      <c r="B241" s="36"/>
      <c r="C241" s="199" t="str">
        <f t="shared" ca="1" si="5"/>
        <v/>
      </c>
      <c r="D241" s="479"/>
      <c r="E241" s="480"/>
      <c r="F241" s="480"/>
      <c r="G241" s="480"/>
      <c r="H241" s="480"/>
      <c r="I241" s="480"/>
      <c r="J241" s="480"/>
      <c r="K241" s="440"/>
      <c r="L241" s="441"/>
      <c r="M241" s="441"/>
      <c r="N241" s="441"/>
      <c r="O241" s="441"/>
      <c r="P241" s="441"/>
      <c r="Q241" s="441"/>
      <c r="R241" s="444"/>
      <c r="S241" s="445"/>
      <c r="T241" s="444"/>
      <c r="U241" s="445"/>
      <c r="V241" s="440"/>
      <c r="W241" s="441"/>
      <c r="X241" s="441"/>
      <c r="Y241" s="441"/>
      <c r="Z241" s="441"/>
      <c r="AA241" s="441"/>
      <c r="AB241" s="441"/>
      <c r="AC241" s="441"/>
      <c r="AD241" s="440"/>
      <c r="AE241" s="441"/>
      <c r="AF241" s="441"/>
      <c r="AG241" s="441"/>
      <c r="AH241" s="441"/>
      <c r="AI241" s="441"/>
      <c r="AJ241" s="441"/>
      <c r="AK241" s="450"/>
      <c r="AL241" s="440"/>
      <c r="AM241" s="441"/>
      <c r="AN241" s="441"/>
      <c r="AO241" s="441"/>
      <c r="AP241" s="441"/>
      <c r="AQ241" s="441"/>
      <c r="AR241" s="450"/>
      <c r="AS241" s="485"/>
      <c r="AT241" s="486"/>
      <c r="AU241" s="486"/>
      <c r="AV241" s="486"/>
      <c r="AW241" s="486"/>
      <c r="AX241" s="486"/>
      <c r="AY241" s="487"/>
      <c r="AZ241" s="462"/>
      <c r="BA241" s="463"/>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5">
      <c r="A242" s="435"/>
      <c r="B242" s="36"/>
      <c r="C242" s="199" t="str">
        <f t="shared" ca="1" si="5"/>
        <v/>
      </c>
      <c r="D242" s="479"/>
      <c r="E242" s="480"/>
      <c r="F242" s="480"/>
      <c r="G242" s="480"/>
      <c r="H242" s="480"/>
      <c r="I242" s="480"/>
      <c r="J242" s="480"/>
      <c r="K242" s="440"/>
      <c r="L242" s="441"/>
      <c r="M242" s="441"/>
      <c r="N242" s="441"/>
      <c r="O242" s="441"/>
      <c r="P242" s="441"/>
      <c r="Q242" s="441"/>
      <c r="R242" s="444"/>
      <c r="S242" s="445"/>
      <c r="T242" s="444"/>
      <c r="U242" s="445"/>
      <c r="V242" s="440"/>
      <c r="W242" s="441"/>
      <c r="X242" s="441"/>
      <c r="Y242" s="441"/>
      <c r="Z242" s="441"/>
      <c r="AA242" s="441"/>
      <c r="AB242" s="441"/>
      <c r="AC242" s="441"/>
      <c r="AD242" s="440"/>
      <c r="AE242" s="441"/>
      <c r="AF242" s="441"/>
      <c r="AG242" s="441"/>
      <c r="AH242" s="441"/>
      <c r="AI242" s="441"/>
      <c r="AJ242" s="441"/>
      <c r="AK242" s="450"/>
      <c r="AL242" s="440"/>
      <c r="AM242" s="441"/>
      <c r="AN242" s="441"/>
      <c r="AO242" s="441"/>
      <c r="AP242" s="441"/>
      <c r="AQ242" s="441"/>
      <c r="AR242" s="450"/>
      <c r="AS242" s="485"/>
      <c r="AT242" s="486"/>
      <c r="AU242" s="486"/>
      <c r="AV242" s="486"/>
      <c r="AW242" s="486"/>
      <c r="AX242" s="486"/>
      <c r="AY242" s="487"/>
      <c r="AZ242" s="462"/>
      <c r="BA242" s="463"/>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5">
      <c r="A243" s="435"/>
      <c r="B243" s="36"/>
      <c r="C243" s="199" t="str">
        <f t="shared" ca="1" si="5"/>
        <v/>
      </c>
      <c r="D243" s="479"/>
      <c r="E243" s="480"/>
      <c r="F243" s="480"/>
      <c r="G243" s="480"/>
      <c r="H243" s="480"/>
      <c r="I243" s="480"/>
      <c r="J243" s="480"/>
      <c r="K243" s="440"/>
      <c r="L243" s="441"/>
      <c r="M243" s="441"/>
      <c r="N243" s="441"/>
      <c r="O243" s="441"/>
      <c r="P243" s="441"/>
      <c r="Q243" s="441"/>
      <c r="R243" s="444"/>
      <c r="S243" s="445"/>
      <c r="T243" s="444"/>
      <c r="U243" s="445"/>
      <c r="V243" s="440"/>
      <c r="W243" s="441"/>
      <c r="X243" s="441"/>
      <c r="Y243" s="441"/>
      <c r="Z243" s="441"/>
      <c r="AA243" s="441"/>
      <c r="AB243" s="441"/>
      <c r="AC243" s="441"/>
      <c r="AD243" s="440"/>
      <c r="AE243" s="441"/>
      <c r="AF243" s="441"/>
      <c r="AG243" s="441"/>
      <c r="AH243" s="441"/>
      <c r="AI243" s="441"/>
      <c r="AJ243" s="441"/>
      <c r="AK243" s="450"/>
      <c r="AL243" s="440"/>
      <c r="AM243" s="441"/>
      <c r="AN243" s="441"/>
      <c r="AO243" s="441"/>
      <c r="AP243" s="441"/>
      <c r="AQ243" s="441"/>
      <c r="AR243" s="450"/>
      <c r="AS243" s="485"/>
      <c r="AT243" s="486"/>
      <c r="AU243" s="486"/>
      <c r="AV243" s="486"/>
      <c r="AW243" s="486"/>
      <c r="AX243" s="486"/>
      <c r="AY243" s="487"/>
      <c r="AZ243" s="462"/>
      <c r="BA243" s="463"/>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5">
      <c r="A244" s="436"/>
      <c r="B244" s="37"/>
      <c r="C244" s="200" t="str">
        <f t="shared" ca="1" si="5"/>
        <v/>
      </c>
      <c r="D244" s="481"/>
      <c r="E244" s="482"/>
      <c r="F244" s="482"/>
      <c r="G244" s="482"/>
      <c r="H244" s="482"/>
      <c r="I244" s="482"/>
      <c r="J244" s="482"/>
      <c r="K244" s="409"/>
      <c r="L244" s="410"/>
      <c r="M244" s="410"/>
      <c r="N244" s="410"/>
      <c r="O244" s="410"/>
      <c r="P244" s="410"/>
      <c r="Q244" s="410"/>
      <c r="R244" s="446"/>
      <c r="S244" s="447"/>
      <c r="T244" s="446"/>
      <c r="U244" s="44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88"/>
      <c r="AT244" s="489"/>
      <c r="AU244" s="489"/>
      <c r="AV244" s="489"/>
      <c r="AW244" s="489"/>
      <c r="AX244" s="489"/>
      <c r="AY244" s="490"/>
      <c r="AZ244" s="464"/>
      <c r="BA244" s="465"/>
      <c r="BB244" s="62">
        <v>6</v>
      </c>
      <c r="BC244" s="426"/>
      <c r="BD244" s="427"/>
      <c r="BE244" s="427"/>
      <c r="BF244" s="428"/>
      <c r="BG244" s="429"/>
      <c r="BH244" s="430"/>
      <c r="BI244" s="196"/>
      <c r="BJ244" s="474"/>
      <c r="BK244" s="475"/>
      <c r="BL244" s="475"/>
      <c r="BM244" s="475"/>
      <c r="BN244" s="475"/>
      <c r="BO244" s="476"/>
      <c r="BP244" s="474"/>
      <c r="BQ244" s="475"/>
      <c r="BR244" s="475"/>
      <c r="BS244" s="475"/>
      <c r="BT244" s="475"/>
      <c r="BU244" s="476"/>
      <c r="BV244" s="474"/>
      <c r="BW244" s="475"/>
      <c r="BX244" s="475"/>
      <c r="BY244" s="475"/>
      <c r="BZ244" s="475"/>
      <c r="CA244" s="476"/>
      <c r="CB244" s="426"/>
      <c r="CC244" s="427"/>
      <c r="CD244" s="427"/>
      <c r="CE244" s="428"/>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5">
      <c r="A245" s="434">
        <v>40</v>
      </c>
      <c r="B245" s="36"/>
      <c r="C245" s="198" t="str">
        <f t="shared" ca="1" si="5"/>
        <v/>
      </c>
      <c r="D245" s="477"/>
      <c r="E245" s="478"/>
      <c r="F245" s="478"/>
      <c r="G245" s="478"/>
      <c r="H245" s="478"/>
      <c r="I245" s="478"/>
      <c r="J245" s="478"/>
      <c r="K245" s="438" t="s">
        <v>522</v>
      </c>
      <c r="L245" s="439"/>
      <c r="M245" s="439"/>
      <c r="N245" s="439"/>
      <c r="O245" s="439"/>
      <c r="P245" s="439"/>
      <c r="Q245" s="439"/>
      <c r="R245" s="442" t="s">
        <v>186</v>
      </c>
      <c r="S245" s="443"/>
      <c r="T245" s="442"/>
      <c r="U245" s="443"/>
      <c r="V245" s="438"/>
      <c r="W245" s="439"/>
      <c r="X245" s="439"/>
      <c r="Y245" s="439"/>
      <c r="Z245" s="439"/>
      <c r="AA245" s="439"/>
      <c r="AB245" s="439"/>
      <c r="AC245" s="439"/>
      <c r="AD245" s="438"/>
      <c r="AE245" s="439"/>
      <c r="AF245" s="439"/>
      <c r="AG245" s="439"/>
      <c r="AH245" s="439"/>
      <c r="AI245" s="439"/>
      <c r="AJ245" s="439"/>
      <c r="AK245" s="449"/>
      <c r="AL245" s="438"/>
      <c r="AM245" s="439"/>
      <c r="AN245" s="439"/>
      <c r="AO245" s="439"/>
      <c r="AP245" s="439"/>
      <c r="AQ245" s="439"/>
      <c r="AR245" s="449"/>
      <c r="AS245" s="500"/>
      <c r="AT245" s="483"/>
      <c r="AU245" s="483"/>
      <c r="AV245" s="483"/>
      <c r="AW245" s="483"/>
      <c r="AX245" s="483"/>
      <c r="AY245" s="484"/>
      <c r="AZ245" s="460"/>
      <c r="BA245" s="461"/>
      <c r="BB245" s="60">
        <v>1</v>
      </c>
      <c r="BC245" s="466"/>
      <c r="BD245" s="467"/>
      <c r="BE245" s="467"/>
      <c r="BF245" s="468"/>
      <c r="BG245" s="469"/>
      <c r="BH245" s="470"/>
      <c r="BI245" s="194"/>
      <c r="BJ245" s="471"/>
      <c r="BK245" s="472"/>
      <c r="BL245" s="472"/>
      <c r="BM245" s="472"/>
      <c r="BN245" s="472"/>
      <c r="BO245" s="473"/>
      <c r="BP245" s="471"/>
      <c r="BQ245" s="472"/>
      <c r="BR245" s="472"/>
      <c r="BS245" s="472"/>
      <c r="BT245" s="472"/>
      <c r="BU245" s="473"/>
      <c r="BV245" s="471"/>
      <c r="BW245" s="472"/>
      <c r="BX245" s="472"/>
      <c r="BY245" s="472"/>
      <c r="BZ245" s="472"/>
      <c r="CA245" s="473"/>
      <c r="CB245" s="466"/>
      <c r="CC245" s="467"/>
      <c r="CD245" s="467"/>
      <c r="CE245" s="468"/>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5">
      <c r="A246" s="435"/>
      <c r="B246" s="36"/>
      <c r="C246" s="199" t="str">
        <f t="shared" ca="1" si="5"/>
        <v/>
      </c>
      <c r="D246" s="479"/>
      <c r="E246" s="480"/>
      <c r="F246" s="480"/>
      <c r="G246" s="480"/>
      <c r="H246" s="480"/>
      <c r="I246" s="480"/>
      <c r="J246" s="480"/>
      <c r="K246" s="440"/>
      <c r="L246" s="441"/>
      <c r="M246" s="441"/>
      <c r="N246" s="441"/>
      <c r="O246" s="441"/>
      <c r="P246" s="441"/>
      <c r="Q246" s="441"/>
      <c r="R246" s="444"/>
      <c r="S246" s="445"/>
      <c r="T246" s="444"/>
      <c r="U246" s="445"/>
      <c r="V246" s="440"/>
      <c r="W246" s="441"/>
      <c r="X246" s="441"/>
      <c r="Y246" s="441"/>
      <c r="Z246" s="441"/>
      <c r="AA246" s="441"/>
      <c r="AB246" s="441"/>
      <c r="AC246" s="441"/>
      <c r="AD246" s="440"/>
      <c r="AE246" s="441"/>
      <c r="AF246" s="441"/>
      <c r="AG246" s="441"/>
      <c r="AH246" s="441"/>
      <c r="AI246" s="441"/>
      <c r="AJ246" s="441"/>
      <c r="AK246" s="450"/>
      <c r="AL246" s="440"/>
      <c r="AM246" s="441"/>
      <c r="AN246" s="441"/>
      <c r="AO246" s="441"/>
      <c r="AP246" s="441"/>
      <c r="AQ246" s="441"/>
      <c r="AR246" s="450"/>
      <c r="AS246" s="485"/>
      <c r="AT246" s="486"/>
      <c r="AU246" s="486"/>
      <c r="AV246" s="486"/>
      <c r="AW246" s="486"/>
      <c r="AX246" s="486"/>
      <c r="AY246" s="487"/>
      <c r="AZ246" s="462"/>
      <c r="BA246" s="463"/>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5">
      <c r="A247" s="435"/>
      <c r="B247" s="36"/>
      <c r="C247" s="199" t="str">
        <f t="shared" ca="1" si="5"/>
        <v/>
      </c>
      <c r="D247" s="479"/>
      <c r="E247" s="480"/>
      <c r="F247" s="480"/>
      <c r="G247" s="480"/>
      <c r="H247" s="480"/>
      <c r="I247" s="480"/>
      <c r="J247" s="480"/>
      <c r="K247" s="440"/>
      <c r="L247" s="441"/>
      <c r="M247" s="441"/>
      <c r="N247" s="441"/>
      <c r="O247" s="441"/>
      <c r="P247" s="441"/>
      <c r="Q247" s="441"/>
      <c r="R247" s="444"/>
      <c r="S247" s="445"/>
      <c r="T247" s="444"/>
      <c r="U247" s="445"/>
      <c r="V247" s="440"/>
      <c r="W247" s="441"/>
      <c r="X247" s="441"/>
      <c r="Y247" s="441"/>
      <c r="Z247" s="441"/>
      <c r="AA247" s="441"/>
      <c r="AB247" s="441"/>
      <c r="AC247" s="441"/>
      <c r="AD247" s="440"/>
      <c r="AE247" s="441"/>
      <c r="AF247" s="441"/>
      <c r="AG247" s="441"/>
      <c r="AH247" s="441"/>
      <c r="AI247" s="441"/>
      <c r="AJ247" s="441"/>
      <c r="AK247" s="450"/>
      <c r="AL247" s="440"/>
      <c r="AM247" s="441"/>
      <c r="AN247" s="441"/>
      <c r="AO247" s="441"/>
      <c r="AP247" s="441"/>
      <c r="AQ247" s="441"/>
      <c r="AR247" s="450"/>
      <c r="AS247" s="485"/>
      <c r="AT247" s="486"/>
      <c r="AU247" s="486"/>
      <c r="AV247" s="486"/>
      <c r="AW247" s="486"/>
      <c r="AX247" s="486"/>
      <c r="AY247" s="487"/>
      <c r="AZ247" s="462"/>
      <c r="BA247" s="463"/>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5">
      <c r="A248" s="435"/>
      <c r="B248" s="36"/>
      <c r="C248" s="199" t="str">
        <f t="shared" ca="1" si="5"/>
        <v/>
      </c>
      <c r="D248" s="479"/>
      <c r="E248" s="480"/>
      <c r="F248" s="480"/>
      <c r="G248" s="480"/>
      <c r="H248" s="480"/>
      <c r="I248" s="480"/>
      <c r="J248" s="480"/>
      <c r="K248" s="440"/>
      <c r="L248" s="441"/>
      <c r="M248" s="441"/>
      <c r="N248" s="441"/>
      <c r="O248" s="441"/>
      <c r="P248" s="441"/>
      <c r="Q248" s="441"/>
      <c r="R248" s="444"/>
      <c r="S248" s="445"/>
      <c r="T248" s="444"/>
      <c r="U248" s="445"/>
      <c r="V248" s="440"/>
      <c r="W248" s="441"/>
      <c r="X248" s="441"/>
      <c r="Y248" s="441"/>
      <c r="Z248" s="441"/>
      <c r="AA248" s="441"/>
      <c r="AB248" s="441"/>
      <c r="AC248" s="441"/>
      <c r="AD248" s="440"/>
      <c r="AE248" s="441"/>
      <c r="AF248" s="441"/>
      <c r="AG248" s="441"/>
      <c r="AH248" s="441"/>
      <c r="AI248" s="441"/>
      <c r="AJ248" s="441"/>
      <c r="AK248" s="450"/>
      <c r="AL248" s="440"/>
      <c r="AM248" s="441"/>
      <c r="AN248" s="441"/>
      <c r="AO248" s="441"/>
      <c r="AP248" s="441"/>
      <c r="AQ248" s="441"/>
      <c r="AR248" s="450"/>
      <c r="AS248" s="485"/>
      <c r="AT248" s="486"/>
      <c r="AU248" s="486"/>
      <c r="AV248" s="486"/>
      <c r="AW248" s="486"/>
      <c r="AX248" s="486"/>
      <c r="AY248" s="487"/>
      <c r="AZ248" s="462"/>
      <c r="BA248" s="463"/>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5">
      <c r="A249" s="435"/>
      <c r="B249" s="36"/>
      <c r="C249" s="199" t="str">
        <f t="shared" ca="1" si="5"/>
        <v/>
      </c>
      <c r="D249" s="479"/>
      <c r="E249" s="480"/>
      <c r="F249" s="480"/>
      <c r="G249" s="480"/>
      <c r="H249" s="480"/>
      <c r="I249" s="480"/>
      <c r="J249" s="480"/>
      <c r="K249" s="440"/>
      <c r="L249" s="441"/>
      <c r="M249" s="441"/>
      <c r="N249" s="441"/>
      <c r="O249" s="441"/>
      <c r="P249" s="441"/>
      <c r="Q249" s="441"/>
      <c r="R249" s="444"/>
      <c r="S249" s="445"/>
      <c r="T249" s="444"/>
      <c r="U249" s="445"/>
      <c r="V249" s="440"/>
      <c r="W249" s="441"/>
      <c r="X249" s="441"/>
      <c r="Y249" s="441"/>
      <c r="Z249" s="441"/>
      <c r="AA249" s="441"/>
      <c r="AB249" s="441"/>
      <c r="AC249" s="441"/>
      <c r="AD249" s="440"/>
      <c r="AE249" s="441"/>
      <c r="AF249" s="441"/>
      <c r="AG249" s="441"/>
      <c r="AH249" s="441"/>
      <c r="AI249" s="441"/>
      <c r="AJ249" s="441"/>
      <c r="AK249" s="450"/>
      <c r="AL249" s="440"/>
      <c r="AM249" s="441"/>
      <c r="AN249" s="441"/>
      <c r="AO249" s="441"/>
      <c r="AP249" s="441"/>
      <c r="AQ249" s="441"/>
      <c r="AR249" s="450"/>
      <c r="AS249" s="485"/>
      <c r="AT249" s="486"/>
      <c r="AU249" s="486"/>
      <c r="AV249" s="486"/>
      <c r="AW249" s="486"/>
      <c r="AX249" s="486"/>
      <c r="AY249" s="487"/>
      <c r="AZ249" s="462"/>
      <c r="BA249" s="463"/>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5">
      <c r="A250" s="436"/>
      <c r="B250" s="37"/>
      <c r="C250" s="200" t="str">
        <f t="shared" ca="1" si="5"/>
        <v/>
      </c>
      <c r="D250" s="481"/>
      <c r="E250" s="482"/>
      <c r="F250" s="482"/>
      <c r="G250" s="482"/>
      <c r="H250" s="482"/>
      <c r="I250" s="482"/>
      <c r="J250" s="482"/>
      <c r="K250" s="409"/>
      <c r="L250" s="410"/>
      <c r="M250" s="410"/>
      <c r="N250" s="410"/>
      <c r="O250" s="410"/>
      <c r="P250" s="410"/>
      <c r="Q250" s="410"/>
      <c r="R250" s="446"/>
      <c r="S250" s="447"/>
      <c r="T250" s="446"/>
      <c r="U250" s="44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88"/>
      <c r="AT250" s="489"/>
      <c r="AU250" s="489"/>
      <c r="AV250" s="489"/>
      <c r="AW250" s="489"/>
      <c r="AX250" s="489"/>
      <c r="AY250" s="490"/>
      <c r="AZ250" s="464"/>
      <c r="BA250" s="465"/>
      <c r="BB250" s="62">
        <v>6</v>
      </c>
      <c r="BC250" s="426"/>
      <c r="BD250" s="427"/>
      <c r="BE250" s="427"/>
      <c r="BF250" s="428"/>
      <c r="BG250" s="429"/>
      <c r="BH250" s="430"/>
      <c r="BI250" s="196"/>
      <c r="BJ250" s="474"/>
      <c r="BK250" s="475"/>
      <c r="BL250" s="475"/>
      <c r="BM250" s="475"/>
      <c r="BN250" s="475"/>
      <c r="BO250" s="476"/>
      <c r="BP250" s="474"/>
      <c r="BQ250" s="475"/>
      <c r="BR250" s="475"/>
      <c r="BS250" s="475"/>
      <c r="BT250" s="475"/>
      <c r="BU250" s="476"/>
      <c r="BV250" s="474"/>
      <c r="BW250" s="475"/>
      <c r="BX250" s="475"/>
      <c r="BY250" s="475"/>
      <c r="BZ250" s="475"/>
      <c r="CA250" s="476"/>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5">
      <c r="A251" s="434">
        <v>41</v>
      </c>
      <c r="B251" s="36"/>
      <c r="C251" s="198" t="str">
        <f t="shared" ca="1" si="5"/>
        <v/>
      </c>
      <c r="D251" s="477"/>
      <c r="E251" s="478"/>
      <c r="F251" s="478"/>
      <c r="G251" s="478"/>
      <c r="H251" s="478"/>
      <c r="I251" s="478"/>
      <c r="J251" s="478"/>
      <c r="K251" s="438" t="s">
        <v>523</v>
      </c>
      <c r="L251" s="439"/>
      <c r="M251" s="439"/>
      <c r="N251" s="439"/>
      <c r="O251" s="439"/>
      <c r="P251" s="439"/>
      <c r="Q251" s="439"/>
      <c r="R251" s="442" t="s">
        <v>186</v>
      </c>
      <c r="S251" s="443"/>
      <c r="T251" s="442"/>
      <c r="U251" s="443"/>
      <c r="V251" s="438"/>
      <c r="W251" s="439"/>
      <c r="X251" s="439"/>
      <c r="Y251" s="439"/>
      <c r="Z251" s="439"/>
      <c r="AA251" s="439"/>
      <c r="AB251" s="439"/>
      <c r="AC251" s="439"/>
      <c r="AD251" s="438"/>
      <c r="AE251" s="439"/>
      <c r="AF251" s="439"/>
      <c r="AG251" s="439"/>
      <c r="AH251" s="439"/>
      <c r="AI251" s="439"/>
      <c r="AJ251" s="439"/>
      <c r="AK251" s="449"/>
      <c r="AL251" s="438"/>
      <c r="AM251" s="439"/>
      <c r="AN251" s="439"/>
      <c r="AO251" s="439"/>
      <c r="AP251" s="439"/>
      <c r="AQ251" s="439"/>
      <c r="AR251" s="449"/>
      <c r="AS251" s="500"/>
      <c r="AT251" s="483"/>
      <c r="AU251" s="483"/>
      <c r="AV251" s="483"/>
      <c r="AW251" s="483"/>
      <c r="AX251" s="483"/>
      <c r="AY251" s="484"/>
      <c r="AZ251" s="460"/>
      <c r="BA251" s="461"/>
      <c r="BB251" s="60">
        <v>1</v>
      </c>
      <c r="BC251" s="466"/>
      <c r="BD251" s="467"/>
      <c r="BE251" s="467"/>
      <c r="BF251" s="468"/>
      <c r="BG251" s="469"/>
      <c r="BH251" s="470"/>
      <c r="BI251" s="194"/>
      <c r="BJ251" s="471"/>
      <c r="BK251" s="472"/>
      <c r="BL251" s="472"/>
      <c r="BM251" s="472"/>
      <c r="BN251" s="472"/>
      <c r="BO251" s="473"/>
      <c r="BP251" s="471"/>
      <c r="BQ251" s="472"/>
      <c r="BR251" s="472"/>
      <c r="BS251" s="472"/>
      <c r="BT251" s="472"/>
      <c r="BU251" s="473"/>
      <c r="BV251" s="471"/>
      <c r="BW251" s="472"/>
      <c r="BX251" s="472"/>
      <c r="BY251" s="472"/>
      <c r="BZ251" s="472"/>
      <c r="CA251" s="473"/>
      <c r="CB251" s="466"/>
      <c r="CC251" s="467"/>
      <c r="CD251" s="467"/>
      <c r="CE251" s="468"/>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5">
      <c r="A252" s="435"/>
      <c r="B252" s="36"/>
      <c r="C252" s="199" t="str">
        <f t="shared" ca="1" si="5"/>
        <v/>
      </c>
      <c r="D252" s="479"/>
      <c r="E252" s="480"/>
      <c r="F252" s="480"/>
      <c r="G252" s="480"/>
      <c r="H252" s="480"/>
      <c r="I252" s="480"/>
      <c r="J252" s="480"/>
      <c r="K252" s="440"/>
      <c r="L252" s="441"/>
      <c r="M252" s="441"/>
      <c r="N252" s="441"/>
      <c r="O252" s="441"/>
      <c r="P252" s="441"/>
      <c r="Q252" s="441"/>
      <c r="R252" s="444"/>
      <c r="S252" s="445"/>
      <c r="T252" s="444"/>
      <c r="U252" s="445"/>
      <c r="V252" s="440"/>
      <c r="W252" s="441"/>
      <c r="X252" s="441"/>
      <c r="Y252" s="441"/>
      <c r="Z252" s="441"/>
      <c r="AA252" s="441"/>
      <c r="AB252" s="441"/>
      <c r="AC252" s="441"/>
      <c r="AD252" s="440"/>
      <c r="AE252" s="441"/>
      <c r="AF252" s="441"/>
      <c r="AG252" s="441"/>
      <c r="AH252" s="441"/>
      <c r="AI252" s="441"/>
      <c r="AJ252" s="441"/>
      <c r="AK252" s="450"/>
      <c r="AL252" s="440"/>
      <c r="AM252" s="441"/>
      <c r="AN252" s="441"/>
      <c r="AO252" s="441"/>
      <c r="AP252" s="441"/>
      <c r="AQ252" s="441"/>
      <c r="AR252" s="450"/>
      <c r="AS252" s="485"/>
      <c r="AT252" s="486"/>
      <c r="AU252" s="486"/>
      <c r="AV252" s="486"/>
      <c r="AW252" s="486"/>
      <c r="AX252" s="486"/>
      <c r="AY252" s="487"/>
      <c r="AZ252" s="462"/>
      <c r="BA252" s="463"/>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5">
      <c r="A253" s="435"/>
      <c r="B253" s="36"/>
      <c r="C253" s="199" t="str">
        <f t="shared" ca="1" si="5"/>
        <v/>
      </c>
      <c r="D253" s="479"/>
      <c r="E253" s="480"/>
      <c r="F253" s="480"/>
      <c r="G253" s="480"/>
      <c r="H253" s="480"/>
      <c r="I253" s="480"/>
      <c r="J253" s="480"/>
      <c r="K253" s="440"/>
      <c r="L253" s="441"/>
      <c r="M253" s="441"/>
      <c r="N253" s="441"/>
      <c r="O253" s="441"/>
      <c r="P253" s="441"/>
      <c r="Q253" s="441"/>
      <c r="R253" s="444"/>
      <c r="S253" s="445"/>
      <c r="T253" s="444"/>
      <c r="U253" s="445"/>
      <c r="V253" s="440"/>
      <c r="W253" s="441"/>
      <c r="X253" s="441"/>
      <c r="Y253" s="441"/>
      <c r="Z253" s="441"/>
      <c r="AA253" s="441"/>
      <c r="AB253" s="441"/>
      <c r="AC253" s="441"/>
      <c r="AD253" s="440"/>
      <c r="AE253" s="441"/>
      <c r="AF253" s="441"/>
      <c r="AG253" s="441"/>
      <c r="AH253" s="441"/>
      <c r="AI253" s="441"/>
      <c r="AJ253" s="441"/>
      <c r="AK253" s="450"/>
      <c r="AL253" s="440"/>
      <c r="AM253" s="441"/>
      <c r="AN253" s="441"/>
      <c r="AO253" s="441"/>
      <c r="AP253" s="441"/>
      <c r="AQ253" s="441"/>
      <c r="AR253" s="450"/>
      <c r="AS253" s="485"/>
      <c r="AT253" s="486"/>
      <c r="AU253" s="486"/>
      <c r="AV253" s="486"/>
      <c r="AW253" s="486"/>
      <c r="AX253" s="486"/>
      <c r="AY253" s="487"/>
      <c r="AZ253" s="462"/>
      <c r="BA253" s="463"/>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5">
      <c r="A254" s="435"/>
      <c r="B254" s="36"/>
      <c r="C254" s="199" t="str">
        <f t="shared" ca="1" si="5"/>
        <v/>
      </c>
      <c r="D254" s="479"/>
      <c r="E254" s="480"/>
      <c r="F254" s="480"/>
      <c r="G254" s="480"/>
      <c r="H254" s="480"/>
      <c r="I254" s="480"/>
      <c r="J254" s="480"/>
      <c r="K254" s="440"/>
      <c r="L254" s="441"/>
      <c r="M254" s="441"/>
      <c r="N254" s="441"/>
      <c r="O254" s="441"/>
      <c r="P254" s="441"/>
      <c r="Q254" s="441"/>
      <c r="R254" s="444"/>
      <c r="S254" s="445"/>
      <c r="T254" s="444"/>
      <c r="U254" s="445"/>
      <c r="V254" s="440"/>
      <c r="W254" s="441"/>
      <c r="X254" s="441"/>
      <c r="Y254" s="441"/>
      <c r="Z254" s="441"/>
      <c r="AA254" s="441"/>
      <c r="AB254" s="441"/>
      <c r="AC254" s="441"/>
      <c r="AD254" s="440"/>
      <c r="AE254" s="441"/>
      <c r="AF254" s="441"/>
      <c r="AG254" s="441"/>
      <c r="AH254" s="441"/>
      <c r="AI254" s="441"/>
      <c r="AJ254" s="441"/>
      <c r="AK254" s="450"/>
      <c r="AL254" s="440"/>
      <c r="AM254" s="441"/>
      <c r="AN254" s="441"/>
      <c r="AO254" s="441"/>
      <c r="AP254" s="441"/>
      <c r="AQ254" s="441"/>
      <c r="AR254" s="450"/>
      <c r="AS254" s="485"/>
      <c r="AT254" s="486"/>
      <c r="AU254" s="486"/>
      <c r="AV254" s="486"/>
      <c r="AW254" s="486"/>
      <c r="AX254" s="486"/>
      <c r="AY254" s="487"/>
      <c r="AZ254" s="462"/>
      <c r="BA254" s="463"/>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5">
      <c r="A255" s="435"/>
      <c r="B255" s="36"/>
      <c r="C255" s="199" t="str">
        <f t="shared" ca="1" si="5"/>
        <v/>
      </c>
      <c r="D255" s="479"/>
      <c r="E255" s="480"/>
      <c r="F255" s="480"/>
      <c r="G255" s="480"/>
      <c r="H255" s="480"/>
      <c r="I255" s="480"/>
      <c r="J255" s="480"/>
      <c r="K255" s="440"/>
      <c r="L255" s="441"/>
      <c r="M255" s="441"/>
      <c r="N255" s="441"/>
      <c r="O255" s="441"/>
      <c r="P255" s="441"/>
      <c r="Q255" s="441"/>
      <c r="R255" s="444"/>
      <c r="S255" s="445"/>
      <c r="T255" s="444"/>
      <c r="U255" s="445"/>
      <c r="V255" s="440"/>
      <c r="W255" s="441"/>
      <c r="X255" s="441"/>
      <c r="Y255" s="441"/>
      <c r="Z255" s="441"/>
      <c r="AA255" s="441"/>
      <c r="AB255" s="441"/>
      <c r="AC255" s="441"/>
      <c r="AD255" s="440"/>
      <c r="AE255" s="441"/>
      <c r="AF255" s="441"/>
      <c r="AG255" s="441"/>
      <c r="AH255" s="441"/>
      <c r="AI255" s="441"/>
      <c r="AJ255" s="441"/>
      <c r="AK255" s="450"/>
      <c r="AL255" s="440"/>
      <c r="AM255" s="441"/>
      <c r="AN255" s="441"/>
      <c r="AO255" s="441"/>
      <c r="AP255" s="441"/>
      <c r="AQ255" s="441"/>
      <c r="AR255" s="450"/>
      <c r="AS255" s="485"/>
      <c r="AT255" s="486"/>
      <c r="AU255" s="486"/>
      <c r="AV255" s="486"/>
      <c r="AW255" s="486"/>
      <c r="AX255" s="486"/>
      <c r="AY255" s="487"/>
      <c r="AZ255" s="462"/>
      <c r="BA255" s="463"/>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5">
      <c r="A256" s="436"/>
      <c r="B256" s="37"/>
      <c r="C256" s="200" t="str">
        <f t="shared" ca="1" si="5"/>
        <v/>
      </c>
      <c r="D256" s="481"/>
      <c r="E256" s="482"/>
      <c r="F256" s="482"/>
      <c r="G256" s="482"/>
      <c r="H256" s="482"/>
      <c r="I256" s="482"/>
      <c r="J256" s="482"/>
      <c r="K256" s="409"/>
      <c r="L256" s="410"/>
      <c r="M256" s="410"/>
      <c r="N256" s="410"/>
      <c r="O256" s="410"/>
      <c r="P256" s="410"/>
      <c r="Q256" s="410"/>
      <c r="R256" s="446"/>
      <c r="S256" s="447"/>
      <c r="T256" s="446"/>
      <c r="U256" s="44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88"/>
      <c r="AT256" s="489"/>
      <c r="AU256" s="489"/>
      <c r="AV256" s="489"/>
      <c r="AW256" s="489"/>
      <c r="AX256" s="489"/>
      <c r="AY256" s="490"/>
      <c r="AZ256" s="464"/>
      <c r="BA256" s="465"/>
      <c r="BB256" s="62">
        <v>6</v>
      </c>
      <c r="BC256" s="426"/>
      <c r="BD256" s="427"/>
      <c r="BE256" s="427"/>
      <c r="BF256" s="428"/>
      <c r="BG256" s="429"/>
      <c r="BH256" s="430"/>
      <c r="BI256" s="196"/>
      <c r="BJ256" s="474"/>
      <c r="BK256" s="475"/>
      <c r="BL256" s="475"/>
      <c r="BM256" s="475"/>
      <c r="BN256" s="475"/>
      <c r="BO256" s="476"/>
      <c r="BP256" s="474"/>
      <c r="BQ256" s="475"/>
      <c r="BR256" s="475"/>
      <c r="BS256" s="475"/>
      <c r="BT256" s="475"/>
      <c r="BU256" s="476"/>
      <c r="BV256" s="474"/>
      <c r="BW256" s="475"/>
      <c r="BX256" s="475"/>
      <c r="BY256" s="475"/>
      <c r="BZ256" s="475"/>
      <c r="CA256" s="476"/>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5">
      <c r="A257" s="434">
        <v>42</v>
      </c>
      <c r="B257" s="36"/>
      <c r="C257" s="198" t="str">
        <f t="shared" ca="1" si="5"/>
        <v/>
      </c>
      <c r="D257" s="477"/>
      <c r="E257" s="478"/>
      <c r="F257" s="478"/>
      <c r="G257" s="478"/>
      <c r="H257" s="478"/>
      <c r="I257" s="478"/>
      <c r="J257" s="478"/>
      <c r="K257" s="438" t="s">
        <v>524</v>
      </c>
      <c r="L257" s="439"/>
      <c r="M257" s="439"/>
      <c r="N257" s="439"/>
      <c r="O257" s="439"/>
      <c r="P257" s="439"/>
      <c r="Q257" s="439"/>
      <c r="R257" s="442" t="s">
        <v>186</v>
      </c>
      <c r="S257" s="443"/>
      <c r="T257" s="442"/>
      <c r="U257" s="443"/>
      <c r="V257" s="438"/>
      <c r="W257" s="439"/>
      <c r="X257" s="439"/>
      <c r="Y257" s="439"/>
      <c r="Z257" s="439"/>
      <c r="AA257" s="439"/>
      <c r="AB257" s="439"/>
      <c r="AC257" s="439"/>
      <c r="AD257" s="438"/>
      <c r="AE257" s="439"/>
      <c r="AF257" s="439"/>
      <c r="AG257" s="439"/>
      <c r="AH257" s="439"/>
      <c r="AI257" s="439"/>
      <c r="AJ257" s="439"/>
      <c r="AK257" s="449"/>
      <c r="AL257" s="438"/>
      <c r="AM257" s="439"/>
      <c r="AN257" s="439"/>
      <c r="AO257" s="439"/>
      <c r="AP257" s="439"/>
      <c r="AQ257" s="439"/>
      <c r="AR257" s="449"/>
      <c r="AS257" s="500"/>
      <c r="AT257" s="483"/>
      <c r="AU257" s="483"/>
      <c r="AV257" s="483"/>
      <c r="AW257" s="483"/>
      <c r="AX257" s="483"/>
      <c r="AY257" s="484"/>
      <c r="AZ257" s="460"/>
      <c r="BA257" s="461"/>
      <c r="BB257" s="60">
        <v>1</v>
      </c>
      <c r="BC257" s="466"/>
      <c r="BD257" s="467"/>
      <c r="BE257" s="467"/>
      <c r="BF257" s="468"/>
      <c r="BG257" s="469"/>
      <c r="BH257" s="470"/>
      <c r="BI257" s="194"/>
      <c r="BJ257" s="471"/>
      <c r="BK257" s="472"/>
      <c r="BL257" s="472"/>
      <c r="BM257" s="472"/>
      <c r="BN257" s="472"/>
      <c r="BO257" s="473"/>
      <c r="BP257" s="471"/>
      <c r="BQ257" s="472"/>
      <c r="BR257" s="472"/>
      <c r="BS257" s="472"/>
      <c r="BT257" s="472"/>
      <c r="BU257" s="473"/>
      <c r="BV257" s="471"/>
      <c r="BW257" s="472"/>
      <c r="BX257" s="472"/>
      <c r="BY257" s="472"/>
      <c r="BZ257" s="472"/>
      <c r="CA257" s="473"/>
      <c r="CB257" s="466"/>
      <c r="CC257" s="467"/>
      <c r="CD257" s="467"/>
      <c r="CE257" s="468"/>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5">
      <c r="A258" s="435"/>
      <c r="B258" s="36"/>
      <c r="C258" s="199" t="str">
        <f t="shared" ca="1" si="5"/>
        <v/>
      </c>
      <c r="D258" s="479"/>
      <c r="E258" s="480"/>
      <c r="F258" s="480"/>
      <c r="G258" s="480"/>
      <c r="H258" s="480"/>
      <c r="I258" s="480"/>
      <c r="J258" s="480"/>
      <c r="K258" s="440"/>
      <c r="L258" s="441"/>
      <c r="M258" s="441"/>
      <c r="N258" s="441"/>
      <c r="O258" s="441"/>
      <c r="P258" s="441"/>
      <c r="Q258" s="441"/>
      <c r="R258" s="444"/>
      <c r="S258" s="445"/>
      <c r="T258" s="444"/>
      <c r="U258" s="445"/>
      <c r="V258" s="440"/>
      <c r="W258" s="441"/>
      <c r="X258" s="441"/>
      <c r="Y258" s="441"/>
      <c r="Z258" s="441"/>
      <c r="AA258" s="441"/>
      <c r="AB258" s="441"/>
      <c r="AC258" s="441"/>
      <c r="AD258" s="440"/>
      <c r="AE258" s="441"/>
      <c r="AF258" s="441"/>
      <c r="AG258" s="441"/>
      <c r="AH258" s="441"/>
      <c r="AI258" s="441"/>
      <c r="AJ258" s="441"/>
      <c r="AK258" s="450"/>
      <c r="AL258" s="440"/>
      <c r="AM258" s="441"/>
      <c r="AN258" s="441"/>
      <c r="AO258" s="441"/>
      <c r="AP258" s="441"/>
      <c r="AQ258" s="441"/>
      <c r="AR258" s="450"/>
      <c r="AS258" s="485"/>
      <c r="AT258" s="486"/>
      <c r="AU258" s="486"/>
      <c r="AV258" s="486"/>
      <c r="AW258" s="486"/>
      <c r="AX258" s="486"/>
      <c r="AY258" s="487"/>
      <c r="AZ258" s="462"/>
      <c r="BA258" s="463"/>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5">
      <c r="A259" s="435"/>
      <c r="B259" s="36"/>
      <c r="C259" s="199" t="str">
        <f t="shared" ca="1" si="5"/>
        <v/>
      </c>
      <c r="D259" s="479"/>
      <c r="E259" s="480"/>
      <c r="F259" s="480"/>
      <c r="G259" s="480"/>
      <c r="H259" s="480"/>
      <c r="I259" s="480"/>
      <c r="J259" s="480"/>
      <c r="K259" s="440"/>
      <c r="L259" s="441"/>
      <c r="M259" s="441"/>
      <c r="N259" s="441"/>
      <c r="O259" s="441"/>
      <c r="P259" s="441"/>
      <c r="Q259" s="441"/>
      <c r="R259" s="444"/>
      <c r="S259" s="445"/>
      <c r="T259" s="444"/>
      <c r="U259" s="445"/>
      <c r="V259" s="440"/>
      <c r="W259" s="441"/>
      <c r="X259" s="441"/>
      <c r="Y259" s="441"/>
      <c r="Z259" s="441"/>
      <c r="AA259" s="441"/>
      <c r="AB259" s="441"/>
      <c r="AC259" s="441"/>
      <c r="AD259" s="440"/>
      <c r="AE259" s="441"/>
      <c r="AF259" s="441"/>
      <c r="AG259" s="441"/>
      <c r="AH259" s="441"/>
      <c r="AI259" s="441"/>
      <c r="AJ259" s="441"/>
      <c r="AK259" s="450"/>
      <c r="AL259" s="440"/>
      <c r="AM259" s="441"/>
      <c r="AN259" s="441"/>
      <c r="AO259" s="441"/>
      <c r="AP259" s="441"/>
      <c r="AQ259" s="441"/>
      <c r="AR259" s="450"/>
      <c r="AS259" s="485"/>
      <c r="AT259" s="486"/>
      <c r="AU259" s="486"/>
      <c r="AV259" s="486"/>
      <c r="AW259" s="486"/>
      <c r="AX259" s="486"/>
      <c r="AY259" s="487"/>
      <c r="AZ259" s="462"/>
      <c r="BA259" s="463"/>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5">
      <c r="A260" s="435"/>
      <c r="B260" s="36"/>
      <c r="C260" s="199" t="str">
        <f t="shared" ca="1" si="5"/>
        <v/>
      </c>
      <c r="D260" s="479"/>
      <c r="E260" s="480"/>
      <c r="F260" s="480"/>
      <c r="G260" s="480"/>
      <c r="H260" s="480"/>
      <c r="I260" s="480"/>
      <c r="J260" s="480"/>
      <c r="K260" s="440"/>
      <c r="L260" s="441"/>
      <c r="M260" s="441"/>
      <c r="N260" s="441"/>
      <c r="O260" s="441"/>
      <c r="P260" s="441"/>
      <c r="Q260" s="441"/>
      <c r="R260" s="444"/>
      <c r="S260" s="445"/>
      <c r="T260" s="444"/>
      <c r="U260" s="445"/>
      <c r="V260" s="440"/>
      <c r="W260" s="441"/>
      <c r="X260" s="441"/>
      <c r="Y260" s="441"/>
      <c r="Z260" s="441"/>
      <c r="AA260" s="441"/>
      <c r="AB260" s="441"/>
      <c r="AC260" s="441"/>
      <c r="AD260" s="440"/>
      <c r="AE260" s="441"/>
      <c r="AF260" s="441"/>
      <c r="AG260" s="441"/>
      <c r="AH260" s="441"/>
      <c r="AI260" s="441"/>
      <c r="AJ260" s="441"/>
      <c r="AK260" s="450"/>
      <c r="AL260" s="440"/>
      <c r="AM260" s="441"/>
      <c r="AN260" s="441"/>
      <c r="AO260" s="441"/>
      <c r="AP260" s="441"/>
      <c r="AQ260" s="441"/>
      <c r="AR260" s="450"/>
      <c r="AS260" s="485"/>
      <c r="AT260" s="486"/>
      <c r="AU260" s="486"/>
      <c r="AV260" s="486"/>
      <c r="AW260" s="486"/>
      <c r="AX260" s="486"/>
      <c r="AY260" s="487"/>
      <c r="AZ260" s="462"/>
      <c r="BA260" s="463"/>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5">
      <c r="A261" s="435"/>
      <c r="B261" s="36"/>
      <c r="C261" s="199" t="str">
        <f t="shared" ca="1" si="5"/>
        <v/>
      </c>
      <c r="D261" s="479"/>
      <c r="E261" s="480"/>
      <c r="F261" s="480"/>
      <c r="G261" s="480"/>
      <c r="H261" s="480"/>
      <c r="I261" s="480"/>
      <c r="J261" s="480"/>
      <c r="K261" s="440"/>
      <c r="L261" s="441"/>
      <c r="M261" s="441"/>
      <c r="N261" s="441"/>
      <c r="O261" s="441"/>
      <c r="P261" s="441"/>
      <c r="Q261" s="441"/>
      <c r="R261" s="444"/>
      <c r="S261" s="445"/>
      <c r="T261" s="444"/>
      <c r="U261" s="445"/>
      <c r="V261" s="440"/>
      <c r="W261" s="441"/>
      <c r="X261" s="441"/>
      <c r="Y261" s="441"/>
      <c r="Z261" s="441"/>
      <c r="AA261" s="441"/>
      <c r="AB261" s="441"/>
      <c r="AC261" s="441"/>
      <c r="AD261" s="440"/>
      <c r="AE261" s="441"/>
      <c r="AF261" s="441"/>
      <c r="AG261" s="441"/>
      <c r="AH261" s="441"/>
      <c r="AI261" s="441"/>
      <c r="AJ261" s="441"/>
      <c r="AK261" s="450"/>
      <c r="AL261" s="440"/>
      <c r="AM261" s="441"/>
      <c r="AN261" s="441"/>
      <c r="AO261" s="441"/>
      <c r="AP261" s="441"/>
      <c r="AQ261" s="441"/>
      <c r="AR261" s="450"/>
      <c r="AS261" s="485"/>
      <c r="AT261" s="486"/>
      <c r="AU261" s="486"/>
      <c r="AV261" s="486"/>
      <c r="AW261" s="486"/>
      <c r="AX261" s="486"/>
      <c r="AY261" s="487"/>
      <c r="AZ261" s="462"/>
      <c r="BA261" s="463"/>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5">
      <c r="A262" s="436"/>
      <c r="B262" s="37"/>
      <c r="C262" s="200" t="str">
        <f t="shared" ca="1" si="5"/>
        <v/>
      </c>
      <c r="D262" s="481"/>
      <c r="E262" s="482"/>
      <c r="F262" s="482"/>
      <c r="G262" s="482"/>
      <c r="H262" s="482"/>
      <c r="I262" s="482"/>
      <c r="J262" s="482"/>
      <c r="K262" s="409"/>
      <c r="L262" s="410"/>
      <c r="M262" s="410"/>
      <c r="N262" s="410"/>
      <c r="O262" s="410"/>
      <c r="P262" s="410"/>
      <c r="Q262" s="410"/>
      <c r="R262" s="446"/>
      <c r="S262" s="447"/>
      <c r="T262" s="446"/>
      <c r="U262" s="44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88"/>
      <c r="AT262" s="489"/>
      <c r="AU262" s="489"/>
      <c r="AV262" s="489"/>
      <c r="AW262" s="489"/>
      <c r="AX262" s="489"/>
      <c r="AY262" s="490"/>
      <c r="AZ262" s="464"/>
      <c r="BA262" s="465"/>
      <c r="BB262" s="62">
        <v>6</v>
      </c>
      <c r="BC262" s="426"/>
      <c r="BD262" s="427"/>
      <c r="BE262" s="427"/>
      <c r="BF262" s="428"/>
      <c r="BG262" s="429"/>
      <c r="BH262" s="430"/>
      <c r="BI262" s="196"/>
      <c r="BJ262" s="474"/>
      <c r="BK262" s="475"/>
      <c r="BL262" s="475"/>
      <c r="BM262" s="475"/>
      <c r="BN262" s="475"/>
      <c r="BO262" s="476"/>
      <c r="BP262" s="474"/>
      <c r="BQ262" s="475"/>
      <c r="BR262" s="475"/>
      <c r="BS262" s="475"/>
      <c r="BT262" s="475"/>
      <c r="BU262" s="476"/>
      <c r="BV262" s="474"/>
      <c r="BW262" s="475"/>
      <c r="BX262" s="475"/>
      <c r="BY262" s="475"/>
      <c r="BZ262" s="475"/>
      <c r="CA262" s="476"/>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5">
      <c r="A263" s="434">
        <v>43</v>
      </c>
      <c r="B263" s="36"/>
      <c r="C263" s="198" t="str">
        <f t="shared" ca="1" si="5"/>
        <v/>
      </c>
      <c r="D263" s="477" t="s">
        <v>525</v>
      </c>
      <c r="E263" s="478"/>
      <c r="F263" s="478"/>
      <c r="G263" s="478"/>
      <c r="H263" s="478"/>
      <c r="I263" s="478"/>
      <c r="J263" s="478"/>
      <c r="K263" s="438" t="s">
        <v>526</v>
      </c>
      <c r="L263" s="439"/>
      <c r="M263" s="439"/>
      <c r="N263" s="439"/>
      <c r="O263" s="439"/>
      <c r="P263" s="439"/>
      <c r="Q263" s="439"/>
      <c r="R263" s="442" t="s">
        <v>186</v>
      </c>
      <c r="S263" s="443"/>
      <c r="T263" s="442"/>
      <c r="U263" s="443"/>
      <c r="V263" s="438"/>
      <c r="W263" s="439"/>
      <c r="X263" s="439"/>
      <c r="Y263" s="439"/>
      <c r="Z263" s="439"/>
      <c r="AA263" s="439"/>
      <c r="AB263" s="439"/>
      <c r="AC263" s="439"/>
      <c r="AD263" s="438"/>
      <c r="AE263" s="439"/>
      <c r="AF263" s="439"/>
      <c r="AG263" s="439"/>
      <c r="AH263" s="439"/>
      <c r="AI263" s="439"/>
      <c r="AJ263" s="439"/>
      <c r="AK263" s="449"/>
      <c r="AL263" s="438"/>
      <c r="AM263" s="439"/>
      <c r="AN263" s="439"/>
      <c r="AO263" s="439"/>
      <c r="AP263" s="439"/>
      <c r="AQ263" s="439"/>
      <c r="AR263" s="449"/>
      <c r="AS263" s="500"/>
      <c r="AT263" s="483"/>
      <c r="AU263" s="483"/>
      <c r="AV263" s="483"/>
      <c r="AW263" s="483"/>
      <c r="AX263" s="483"/>
      <c r="AY263" s="484"/>
      <c r="AZ263" s="460"/>
      <c r="BA263" s="461"/>
      <c r="BB263" s="60">
        <v>1</v>
      </c>
      <c r="BC263" s="466"/>
      <c r="BD263" s="467"/>
      <c r="BE263" s="467"/>
      <c r="BF263" s="468"/>
      <c r="BG263" s="469"/>
      <c r="BH263" s="470"/>
      <c r="BI263" s="194"/>
      <c r="BJ263" s="471"/>
      <c r="BK263" s="472"/>
      <c r="BL263" s="472"/>
      <c r="BM263" s="472"/>
      <c r="BN263" s="472"/>
      <c r="BO263" s="473"/>
      <c r="BP263" s="471"/>
      <c r="BQ263" s="472"/>
      <c r="BR263" s="472"/>
      <c r="BS263" s="472"/>
      <c r="BT263" s="472"/>
      <c r="BU263" s="473"/>
      <c r="BV263" s="471"/>
      <c r="BW263" s="472"/>
      <c r="BX263" s="472"/>
      <c r="BY263" s="472"/>
      <c r="BZ263" s="472"/>
      <c r="CA263" s="473"/>
      <c r="CB263" s="466"/>
      <c r="CC263" s="467"/>
      <c r="CD263" s="467"/>
      <c r="CE263" s="468"/>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5">
      <c r="A264" s="435"/>
      <c r="B264" s="36"/>
      <c r="C264" s="199" t="str">
        <f t="shared" ca="1" si="5"/>
        <v/>
      </c>
      <c r="D264" s="479"/>
      <c r="E264" s="480"/>
      <c r="F264" s="480"/>
      <c r="G264" s="480"/>
      <c r="H264" s="480"/>
      <c r="I264" s="480"/>
      <c r="J264" s="480"/>
      <c r="K264" s="440"/>
      <c r="L264" s="441"/>
      <c r="M264" s="441"/>
      <c r="N264" s="441"/>
      <c r="O264" s="441"/>
      <c r="P264" s="441"/>
      <c r="Q264" s="441"/>
      <c r="R264" s="444"/>
      <c r="S264" s="445"/>
      <c r="T264" s="444"/>
      <c r="U264" s="445"/>
      <c r="V264" s="440"/>
      <c r="W264" s="441"/>
      <c r="X264" s="441"/>
      <c r="Y264" s="441"/>
      <c r="Z264" s="441"/>
      <c r="AA264" s="441"/>
      <c r="AB264" s="441"/>
      <c r="AC264" s="441"/>
      <c r="AD264" s="440"/>
      <c r="AE264" s="441"/>
      <c r="AF264" s="441"/>
      <c r="AG264" s="441"/>
      <c r="AH264" s="441"/>
      <c r="AI264" s="441"/>
      <c r="AJ264" s="441"/>
      <c r="AK264" s="450"/>
      <c r="AL264" s="440"/>
      <c r="AM264" s="441"/>
      <c r="AN264" s="441"/>
      <c r="AO264" s="441"/>
      <c r="AP264" s="441"/>
      <c r="AQ264" s="441"/>
      <c r="AR264" s="450"/>
      <c r="AS264" s="485"/>
      <c r="AT264" s="486"/>
      <c r="AU264" s="486"/>
      <c r="AV264" s="486"/>
      <c r="AW264" s="486"/>
      <c r="AX264" s="486"/>
      <c r="AY264" s="487"/>
      <c r="AZ264" s="462"/>
      <c r="BA264" s="463"/>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5">
      <c r="A265" s="435"/>
      <c r="B265" s="36"/>
      <c r="C265" s="199" t="str">
        <f t="shared" ca="1" si="5"/>
        <v/>
      </c>
      <c r="D265" s="479"/>
      <c r="E265" s="480"/>
      <c r="F265" s="480"/>
      <c r="G265" s="480"/>
      <c r="H265" s="480"/>
      <c r="I265" s="480"/>
      <c r="J265" s="480"/>
      <c r="K265" s="440"/>
      <c r="L265" s="441"/>
      <c r="M265" s="441"/>
      <c r="N265" s="441"/>
      <c r="O265" s="441"/>
      <c r="P265" s="441"/>
      <c r="Q265" s="441"/>
      <c r="R265" s="444"/>
      <c r="S265" s="445"/>
      <c r="T265" s="444"/>
      <c r="U265" s="445"/>
      <c r="V265" s="440"/>
      <c r="W265" s="441"/>
      <c r="X265" s="441"/>
      <c r="Y265" s="441"/>
      <c r="Z265" s="441"/>
      <c r="AA265" s="441"/>
      <c r="AB265" s="441"/>
      <c r="AC265" s="441"/>
      <c r="AD265" s="440"/>
      <c r="AE265" s="441"/>
      <c r="AF265" s="441"/>
      <c r="AG265" s="441"/>
      <c r="AH265" s="441"/>
      <c r="AI265" s="441"/>
      <c r="AJ265" s="441"/>
      <c r="AK265" s="450"/>
      <c r="AL265" s="440"/>
      <c r="AM265" s="441"/>
      <c r="AN265" s="441"/>
      <c r="AO265" s="441"/>
      <c r="AP265" s="441"/>
      <c r="AQ265" s="441"/>
      <c r="AR265" s="450"/>
      <c r="AS265" s="485"/>
      <c r="AT265" s="486"/>
      <c r="AU265" s="486"/>
      <c r="AV265" s="486"/>
      <c r="AW265" s="486"/>
      <c r="AX265" s="486"/>
      <c r="AY265" s="487"/>
      <c r="AZ265" s="462"/>
      <c r="BA265" s="463"/>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5">
      <c r="A266" s="435"/>
      <c r="B266" s="36"/>
      <c r="C266" s="199" t="str">
        <f t="shared" ca="1" si="5"/>
        <v/>
      </c>
      <c r="D266" s="479"/>
      <c r="E266" s="480"/>
      <c r="F266" s="480"/>
      <c r="G266" s="480"/>
      <c r="H266" s="480"/>
      <c r="I266" s="480"/>
      <c r="J266" s="480"/>
      <c r="K266" s="440"/>
      <c r="L266" s="441"/>
      <c r="M266" s="441"/>
      <c r="N266" s="441"/>
      <c r="O266" s="441"/>
      <c r="P266" s="441"/>
      <c r="Q266" s="441"/>
      <c r="R266" s="444"/>
      <c r="S266" s="445"/>
      <c r="T266" s="444"/>
      <c r="U266" s="445"/>
      <c r="V266" s="440"/>
      <c r="W266" s="441"/>
      <c r="X266" s="441"/>
      <c r="Y266" s="441"/>
      <c r="Z266" s="441"/>
      <c r="AA266" s="441"/>
      <c r="AB266" s="441"/>
      <c r="AC266" s="441"/>
      <c r="AD266" s="440"/>
      <c r="AE266" s="441"/>
      <c r="AF266" s="441"/>
      <c r="AG266" s="441"/>
      <c r="AH266" s="441"/>
      <c r="AI266" s="441"/>
      <c r="AJ266" s="441"/>
      <c r="AK266" s="450"/>
      <c r="AL266" s="440"/>
      <c r="AM266" s="441"/>
      <c r="AN266" s="441"/>
      <c r="AO266" s="441"/>
      <c r="AP266" s="441"/>
      <c r="AQ266" s="441"/>
      <c r="AR266" s="450"/>
      <c r="AS266" s="485"/>
      <c r="AT266" s="486"/>
      <c r="AU266" s="486"/>
      <c r="AV266" s="486"/>
      <c r="AW266" s="486"/>
      <c r="AX266" s="486"/>
      <c r="AY266" s="487"/>
      <c r="AZ266" s="462"/>
      <c r="BA266" s="463"/>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5">
      <c r="A267" s="435"/>
      <c r="B267" s="36"/>
      <c r="C267" s="199" t="str">
        <f t="shared" ca="1" si="5"/>
        <v/>
      </c>
      <c r="D267" s="479"/>
      <c r="E267" s="480"/>
      <c r="F267" s="480"/>
      <c r="G267" s="480"/>
      <c r="H267" s="480"/>
      <c r="I267" s="480"/>
      <c r="J267" s="480"/>
      <c r="K267" s="440"/>
      <c r="L267" s="441"/>
      <c r="M267" s="441"/>
      <c r="N267" s="441"/>
      <c r="O267" s="441"/>
      <c r="P267" s="441"/>
      <c r="Q267" s="441"/>
      <c r="R267" s="444"/>
      <c r="S267" s="445"/>
      <c r="T267" s="444"/>
      <c r="U267" s="445"/>
      <c r="V267" s="440"/>
      <c r="W267" s="441"/>
      <c r="X267" s="441"/>
      <c r="Y267" s="441"/>
      <c r="Z267" s="441"/>
      <c r="AA267" s="441"/>
      <c r="AB267" s="441"/>
      <c r="AC267" s="441"/>
      <c r="AD267" s="440"/>
      <c r="AE267" s="441"/>
      <c r="AF267" s="441"/>
      <c r="AG267" s="441"/>
      <c r="AH267" s="441"/>
      <c r="AI267" s="441"/>
      <c r="AJ267" s="441"/>
      <c r="AK267" s="450"/>
      <c r="AL267" s="440"/>
      <c r="AM267" s="441"/>
      <c r="AN267" s="441"/>
      <c r="AO267" s="441"/>
      <c r="AP267" s="441"/>
      <c r="AQ267" s="441"/>
      <c r="AR267" s="450"/>
      <c r="AS267" s="485"/>
      <c r="AT267" s="486"/>
      <c r="AU267" s="486"/>
      <c r="AV267" s="486"/>
      <c r="AW267" s="486"/>
      <c r="AX267" s="486"/>
      <c r="AY267" s="487"/>
      <c r="AZ267" s="462"/>
      <c r="BA267" s="463"/>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5">
      <c r="A268" s="436"/>
      <c r="B268" s="37"/>
      <c r="C268" s="200" t="str">
        <f t="shared" ref="C268:C331" ca="1" si="6">IF(AND(OFFSET($K268,-($BB268-1),0)&lt;&gt;"",OFFSET($R268,-($BB268-1),0)&lt;&gt;"x"),"●","")</f>
        <v/>
      </c>
      <c r="D268" s="481"/>
      <c r="E268" s="482"/>
      <c r="F268" s="482"/>
      <c r="G268" s="482"/>
      <c r="H268" s="482"/>
      <c r="I268" s="482"/>
      <c r="J268" s="482"/>
      <c r="K268" s="409"/>
      <c r="L268" s="410"/>
      <c r="M268" s="410"/>
      <c r="N268" s="410"/>
      <c r="O268" s="410"/>
      <c r="P268" s="410"/>
      <c r="Q268" s="410"/>
      <c r="R268" s="446"/>
      <c r="S268" s="447"/>
      <c r="T268" s="446"/>
      <c r="U268" s="44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88"/>
      <c r="AT268" s="489"/>
      <c r="AU268" s="489"/>
      <c r="AV268" s="489"/>
      <c r="AW268" s="489"/>
      <c r="AX268" s="489"/>
      <c r="AY268" s="490"/>
      <c r="AZ268" s="464"/>
      <c r="BA268" s="465"/>
      <c r="BB268" s="62">
        <v>6</v>
      </c>
      <c r="BC268" s="426"/>
      <c r="BD268" s="427"/>
      <c r="BE268" s="427"/>
      <c r="BF268" s="428"/>
      <c r="BG268" s="429"/>
      <c r="BH268" s="430"/>
      <c r="BI268" s="196"/>
      <c r="BJ268" s="474"/>
      <c r="BK268" s="475"/>
      <c r="BL268" s="475"/>
      <c r="BM268" s="475"/>
      <c r="BN268" s="475"/>
      <c r="BO268" s="476"/>
      <c r="BP268" s="474"/>
      <c r="BQ268" s="475"/>
      <c r="BR268" s="475"/>
      <c r="BS268" s="475"/>
      <c r="BT268" s="475"/>
      <c r="BU268" s="476"/>
      <c r="BV268" s="474"/>
      <c r="BW268" s="475"/>
      <c r="BX268" s="475"/>
      <c r="BY268" s="475"/>
      <c r="BZ268" s="475"/>
      <c r="CA268" s="476"/>
      <c r="CB268" s="426"/>
      <c r="CC268" s="427"/>
      <c r="CD268" s="427"/>
      <c r="CE268" s="428"/>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5">
      <c r="A269" s="434">
        <v>44</v>
      </c>
      <c r="B269" s="36"/>
      <c r="C269" s="198" t="str">
        <f t="shared" ca="1" si="6"/>
        <v/>
      </c>
      <c r="D269" s="477"/>
      <c r="E269" s="478"/>
      <c r="F269" s="478"/>
      <c r="G269" s="478"/>
      <c r="H269" s="478"/>
      <c r="I269" s="478"/>
      <c r="J269" s="478"/>
      <c r="K269" s="438" t="s">
        <v>527</v>
      </c>
      <c r="L269" s="439"/>
      <c r="M269" s="439"/>
      <c r="N269" s="439"/>
      <c r="O269" s="439"/>
      <c r="P269" s="439"/>
      <c r="Q269" s="439"/>
      <c r="R269" s="442" t="s">
        <v>186</v>
      </c>
      <c r="S269" s="443"/>
      <c r="T269" s="442"/>
      <c r="U269" s="443"/>
      <c r="V269" s="438"/>
      <c r="W269" s="439"/>
      <c r="X269" s="439"/>
      <c r="Y269" s="439"/>
      <c r="Z269" s="439"/>
      <c r="AA269" s="439"/>
      <c r="AB269" s="439"/>
      <c r="AC269" s="439"/>
      <c r="AD269" s="438"/>
      <c r="AE269" s="439"/>
      <c r="AF269" s="439"/>
      <c r="AG269" s="439"/>
      <c r="AH269" s="439"/>
      <c r="AI269" s="439"/>
      <c r="AJ269" s="439"/>
      <c r="AK269" s="449"/>
      <c r="AL269" s="438"/>
      <c r="AM269" s="439"/>
      <c r="AN269" s="439"/>
      <c r="AO269" s="439"/>
      <c r="AP269" s="439"/>
      <c r="AQ269" s="439"/>
      <c r="AR269" s="449"/>
      <c r="AS269" s="500"/>
      <c r="AT269" s="483"/>
      <c r="AU269" s="483"/>
      <c r="AV269" s="483"/>
      <c r="AW269" s="483"/>
      <c r="AX269" s="483"/>
      <c r="AY269" s="484"/>
      <c r="AZ269" s="460"/>
      <c r="BA269" s="461"/>
      <c r="BB269" s="60">
        <v>1</v>
      </c>
      <c r="BC269" s="466"/>
      <c r="BD269" s="467"/>
      <c r="BE269" s="467"/>
      <c r="BF269" s="468"/>
      <c r="BG269" s="469"/>
      <c r="BH269" s="470"/>
      <c r="BI269" s="194"/>
      <c r="BJ269" s="471"/>
      <c r="BK269" s="472"/>
      <c r="BL269" s="472"/>
      <c r="BM269" s="472"/>
      <c r="BN269" s="472"/>
      <c r="BO269" s="473"/>
      <c r="BP269" s="471"/>
      <c r="BQ269" s="472"/>
      <c r="BR269" s="472"/>
      <c r="BS269" s="472"/>
      <c r="BT269" s="472"/>
      <c r="BU269" s="473"/>
      <c r="BV269" s="471"/>
      <c r="BW269" s="472"/>
      <c r="BX269" s="472"/>
      <c r="BY269" s="472"/>
      <c r="BZ269" s="472"/>
      <c r="CA269" s="473"/>
      <c r="CB269" s="466"/>
      <c r="CC269" s="467"/>
      <c r="CD269" s="467"/>
      <c r="CE269" s="468"/>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5">
      <c r="A270" s="435"/>
      <c r="B270" s="36"/>
      <c r="C270" s="199" t="str">
        <f t="shared" ca="1" si="6"/>
        <v/>
      </c>
      <c r="D270" s="479"/>
      <c r="E270" s="480"/>
      <c r="F270" s="480"/>
      <c r="G270" s="480"/>
      <c r="H270" s="480"/>
      <c r="I270" s="480"/>
      <c r="J270" s="480"/>
      <c r="K270" s="440"/>
      <c r="L270" s="441"/>
      <c r="M270" s="441"/>
      <c r="N270" s="441"/>
      <c r="O270" s="441"/>
      <c r="P270" s="441"/>
      <c r="Q270" s="441"/>
      <c r="R270" s="444"/>
      <c r="S270" s="445"/>
      <c r="T270" s="444"/>
      <c r="U270" s="445"/>
      <c r="V270" s="440"/>
      <c r="W270" s="441"/>
      <c r="X270" s="441"/>
      <c r="Y270" s="441"/>
      <c r="Z270" s="441"/>
      <c r="AA270" s="441"/>
      <c r="AB270" s="441"/>
      <c r="AC270" s="441"/>
      <c r="AD270" s="440"/>
      <c r="AE270" s="441"/>
      <c r="AF270" s="441"/>
      <c r="AG270" s="441"/>
      <c r="AH270" s="441"/>
      <c r="AI270" s="441"/>
      <c r="AJ270" s="441"/>
      <c r="AK270" s="450"/>
      <c r="AL270" s="440"/>
      <c r="AM270" s="441"/>
      <c r="AN270" s="441"/>
      <c r="AO270" s="441"/>
      <c r="AP270" s="441"/>
      <c r="AQ270" s="441"/>
      <c r="AR270" s="450"/>
      <c r="AS270" s="485"/>
      <c r="AT270" s="486"/>
      <c r="AU270" s="486"/>
      <c r="AV270" s="486"/>
      <c r="AW270" s="486"/>
      <c r="AX270" s="486"/>
      <c r="AY270" s="487"/>
      <c r="AZ270" s="462"/>
      <c r="BA270" s="463"/>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5">
      <c r="A271" s="435"/>
      <c r="B271" s="36"/>
      <c r="C271" s="199" t="str">
        <f t="shared" ca="1" si="6"/>
        <v/>
      </c>
      <c r="D271" s="479"/>
      <c r="E271" s="480"/>
      <c r="F271" s="480"/>
      <c r="G271" s="480"/>
      <c r="H271" s="480"/>
      <c r="I271" s="480"/>
      <c r="J271" s="480"/>
      <c r="K271" s="440"/>
      <c r="L271" s="441"/>
      <c r="M271" s="441"/>
      <c r="N271" s="441"/>
      <c r="O271" s="441"/>
      <c r="P271" s="441"/>
      <c r="Q271" s="441"/>
      <c r="R271" s="444"/>
      <c r="S271" s="445"/>
      <c r="T271" s="444"/>
      <c r="U271" s="445"/>
      <c r="V271" s="440"/>
      <c r="W271" s="441"/>
      <c r="X271" s="441"/>
      <c r="Y271" s="441"/>
      <c r="Z271" s="441"/>
      <c r="AA271" s="441"/>
      <c r="AB271" s="441"/>
      <c r="AC271" s="441"/>
      <c r="AD271" s="440"/>
      <c r="AE271" s="441"/>
      <c r="AF271" s="441"/>
      <c r="AG271" s="441"/>
      <c r="AH271" s="441"/>
      <c r="AI271" s="441"/>
      <c r="AJ271" s="441"/>
      <c r="AK271" s="450"/>
      <c r="AL271" s="440"/>
      <c r="AM271" s="441"/>
      <c r="AN271" s="441"/>
      <c r="AO271" s="441"/>
      <c r="AP271" s="441"/>
      <c r="AQ271" s="441"/>
      <c r="AR271" s="450"/>
      <c r="AS271" s="485"/>
      <c r="AT271" s="486"/>
      <c r="AU271" s="486"/>
      <c r="AV271" s="486"/>
      <c r="AW271" s="486"/>
      <c r="AX271" s="486"/>
      <c r="AY271" s="487"/>
      <c r="AZ271" s="462"/>
      <c r="BA271" s="463"/>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5">
      <c r="A272" s="435"/>
      <c r="B272" s="36"/>
      <c r="C272" s="199" t="str">
        <f t="shared" ca="1" si="6"/>
        <v/>
      </c>
      <c r="D272" s="479"/>
      <c r="E272" s="480"/>
      <c r="F272" s="480"/>
      <c r="G272" s="480"/>
      <c r="H272" s="480"/>
      <c r="I272" s="480"/>
      <c r="J272" s="480"/>
      <c r="K272" s="440"/>
      <c r="L272" s="441"/>
      <c r="M272" s="441"/>
      <c r="N272" s="441"/>
      <c r="O272" s="441"/>
      <c r="P272" s="441"/>
      <c r="Q272" s="441"/>
      <c r="R272" s="444"/>
      <c r="S272" s="445"/>
      <c r="T272" s="444"/>
      <c r="U272" s="445"/>
      <c r="V272" s="440"/>
      <c r="W272" s="441"/>
      <c r="X272" s="441"/>
      <c r="Y272" s="441"/>
      <c r="Z272" s="441"/>
      <c r="AA272" s="441"/>
      <c r="AB272" s="441"/>
      <c r="AC272" s="441"/>
      <c r="AD272" s="440"/>
      <c r="AE272" s="441"/>
      <c r="AF272" s="441"/>
      <c r="AG272" s="441"/>
      <c r="AH272" s="441"/>
      <c r="AI272" s="441"/>
      <c r="AJ272" s="441"/>
      <c r="AK272" s="450"/>
      <c r="AL272" s="440"/>
      <c r="AM272" s="441"/>
      <c r="AN272" s="441"/>
      <c r="AO272" s="441"/>
      <c r="AP272" s="441"/>
      <c r="AQ272" s="441"/>
      <c r="AR272" s="450"/>
      <c r="AS272" s="485"/>
      <c r="AT272" s="486"/>
      <c r="AU272" s="486"/>
      <c r="AV272" s="486"/>
      <c r="AW272" s="486"/>
      <c r="AX272" s="486"/>
      <c r="AY272" s="487"/>
      <c r="AZ272" s="462"/>
      <c r="BA272" s="463"/>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5">
      <c r="A273" s="435"/>
      <c r="B273" s="36"/>
      <c r="C273" s="199" t="str">
        <f t="shared" ca="1" si="6"/>
        <v/>
      </c>
      <c r="D273" s="479"/>
      <c r="E273" s="480"/>
      <c r="F273" s="480"/>
      <c r="G273" s="480"/>
      <c r="H273" s="480"/>
      <c r="I273" s="480"/>
      <c r="J273" s="480"/>
      <c r="K273" s="440"/>
      <c r="L273" s="441"/>
      <c r="M273" s="441"/>
      <c r="N273" s="441"/>
      <c r="O273" s="441"/>
      <c r="P273" s="441"/>
      <c r="Q273" s="441"/>
      <c r="R273" s="444"/>
      <c r="S273" s="445"/>
      <c r="T273" s="444"/>
      <c r="U273" s="445"/>
      <c r="V273" s="440"/>
      <c r="W273" s="441"/>
      <c r="X273" s="441"/>
      <c r="Y273" s="441"/>
      <c r="Z273" s="441"/>
      <c r="AA273" s="441"/>
      <c r="AB273" s="441"/>
      <c r="AC273" s="441"/>
      <c r="AD273" s="440"/>
      <c r="AE273" s="441"/>
      <c r="AF273" s="441"/>
      <c r="AG273" s="441"/>
      <c r="AH273" s="441"/>
      <c r="AI273" s="441"/>
      <c r="AJ273" s="441"/>
      <c r="AK273" s="450"/>
      <c r="AL273" s="440"/>
      <c r="AM273" s="441"/>
      <c r="AN273" s="441"/>
      <c r="AO273" s="441"/>
      <c r="AP273" s="441"/>
      <c r="AQ273" s="441"/>
      <c r="AR273" s="450"/>
      <c r="AS273" s="485"/>
      <c r="AT273" s="486"/>
      <c r="AU273" s="486"/>
      <c r="AV273" s="486"/>
      <c r="AW273" s="486"/>
      <c r="AX273" s="486"/>
      <c r="AY273" s="487"/>
      <c r="AZ273" s="462"/>
      <c r="BA273" s="463"/>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5">
      <c r="A274" s="436"/>
      <c r="B274" s="37"/>
      <c r="C274" s="200" t="str">
        <f t="shared" ca="1" si="6"/>
        <v/>
      </c>
      <c r="D274" s="481"/>
      <c r="E274" s="482"/>
      <c r="F274" s="482"/>
      <c r="G274" s="482"/>
      <c r="H274" s="482"/>
      <c r="I274" s="482"/>
      <c r="J274" s="482"/>
      <c r="K274" s="409"/>
      <c r="L274" s="410"/>
      <c r="M274" s="410"/>
      <c r="N274" s="410"/>
      <c r="O274" s="410"/>
      <c r="P274" s="410"/>
      <c r="Q274" s="410"/>
      <c r="R274" s="446"/>
      <c r="S274" s="447"/>
      <c r="T274" s="446"/>
      <c r="U274" s="44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88"/>
      <c r="AT274" s="489"/>
      <c r="AU274" s="489"/>
      <c r="AV274" s="489"/>
      <c r="AW274" s="489"/>
      <c r="AX274" s="489"/>
      <c r="AY274" s="490"/>
      <c r="AZ274" s="464"/>
      <c r="BA274" s="465"/>
      <c r="BB274" s="62">
        <v>6</v>
      </c>
      <c r="BC274" s="426"/>
      <c r="BD274" s="427"/>
      <c r="BE274" s="427"/>
      <c r="BF274" s="428"/>
      <c r="BG274" s="429"/>
      <c r="BH274" s="430"/>
      <c r="BI274" s="196"/>
      <c r="BJ274" s="474"/>
      <c r="BK274" s="475"/>
      <c r="BL274" s="475"/>
      <c r="BM274" s="475"/>
      <c r="BN274" s="475"/>
      <c r="BO274" s="476"/>
      <c r="BP274" s="474"/>
      <c r="BQ274" s="475"/>
      <c r="BR274" s="475"/>
      <c r="BS274" s="475"/>
      <c r="BT274" s="475"/>
      <c r="BU274" s="476"/>
      <c r="BV274" s="474"/>
      <c r="BW274" s="475"/>
      <c r="BX274" s="475"/>
      <c r="BY274" s="475"/>
      <c r="BZ274" s="475"/>
      <c r="CA274" s="476"/>
      <c r="CB274" s="426"/>
      <c r="CC274" s="427"/>
      <c r="CD274" s="427"/>
      <c r="CE274" s="428"/>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5">
      <c r="A275" s="434">
        <v>45</v>
      </c>
      <c r="B275" s="36"/>
      <c r="C275" s="198" t="str">
        <f t="shared" ca="1" si="6"/>
        <v/>
      </c>
      <c r="D275" s="477"/>
      <c r="E275" s="478"/>
      <c r="F275" s="478"/>
      <c r="G275" s="478"/>
      <c r="H275" s="478"/>
      <c r="I275" s="478"/>
      <c r="J275" s="478"/>
      <c r="K275" s="438" t="s">
        <v>528</v>
      </c>
      <c r="L275" s="439"/>
      <c r="M275" s="439"/>
      <c r="N275" s="439"/>
      <c r="O275" s="439"/>
      <c r="P275" s="439"/>
      <c r="Q275" s="439"/>
      <c r="R275" s="442" t="s">
        <v>186</v>
      </c>
      <c r="S275" s="443"/>
      <c r="T275" s="442"/>
      <c r="U275" s="443"/>
      <c r="V275" s="438"/>
      <c r="W275" s="439"/>
      <c r="X275" s="439"/>
      <c r="Y275" s="439"/>
      <c r="Z275" s="439"/>
      <c r="AA275" s="439"/>
      <c r="AB275" s="439"/>
      <c r="AC275" s="439"/>
      <c r="AD275" s="438"/>
      <c r="AE275" s="439"/>
      <c r="AF275" s="439"/>
      <c r="AG275" s="439"/>
      <c r="AH275" s="439"/>
      <c r="AI275" s="439"/>
      <c r="AJ275" s="439"/>
      <c r="AK275" s="449"/>
      <c r="AL275" s="438"/>
      <c r="AM275" s="439"/>
      <c r="AN275" s="439"/>
      <c r="AO275" s="439"/>
      <c r="AP275" s="439"/>
      <c r="AQ275" s="439"/>
      <c r="AR275" s="449"/>
      <c r="AS275" s="500"/>
      <c r="AT275" s="483"/>
      <c r="AU275" s="483"/>
      <c r="AV275" s="483"/>
      <c r="AW275" s="483"/>
      <c r="AX275" s="483"/>
      <c r="AY275" s="484"/>
      <c r="AZ275" s="460"/>
      <c r="BA275" s="461"/>
      <c r="BB275" s="60">
        <v>1</v>
      </c>
      <c r="BC275" s="466"/>
      <c r="BD275" s="467"/>
      <c r="BE275" s="467"/>
      <c r="BF275" s="468"/>
      <c r="BG275" s="469"/>
      <c r="BH275" s="470"/>
      <c r="BI275" s="194"/>
      <c r="BJ275" s="471"/>
      <c r="BK275" s="472"/>
      <c r="BL275" s="472"/>
      <c r="BM275" s="472"/>
      <c r="BN275" s="472"/>
      <c r="BO275" s="473"/>
      <c r="BP275" s="471"/>
      <c r="BQ275" s="472"/>
      <c r="BR275" s="472"/>
      <c r="BS275" s="472"/>
      <c r="BT275" s="472"/>
      <c r="BU275" s="473"/>
      <c r="BV275" s="471"/>
      <c r="BW275" s="472"/>
      <c r="BX275" s="472"/>
      <c r="BY275" s="472"/>
      <c r="BZ275" s="472"/>
      <c r="CA275" s="473"/>
      <c r="CB275" s="466"/>
      <c r="CC275" s="467"/>
      <c r="CD275" s="467"/>
      <c r="CE275" s="468"/>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5">
      <c r="A276" s="435"/>
      <c r="B276" s="36"/>
      <c r="C276" s="199" t="str">
        <f t="shared" ca="1" si="6"/>
        <v/>
      </c>
      <c r="D276" s="479"/>
      <c r="E276" s="480"/>
      <c r="F276" s="480"/>
      <c r="G276" s="480"/>
      <c r="H276" s="480"/>
      <c r="I276" s="480"/>
      <c r="J276" s="480"/>
      <c r="K276" s="440"/>
      <c r="L276" s="441"/>
      <c r="M276" s="441"/>
      <c r="N276" s="441"/>
      <c r="O276" s="441"/>
      <c r="P276" s="441"/>
      <c r="Q276" s="441"/>
      <c r="R276" s="444"/>
      <c r="S276" s="445"/>
      <c r="T276" s="444"/>
      <c r="U276" s="445"/>
      <c r="V276" s="440"/>
      <c r="W276" s="441"/>
      <c r="X276" s="441"/>
      <c r="Y276" s="441"/>
      <c r="Z276" s="441"/>
      <c r="AA276" s="441"/>
      <c r="AB276" s="441"/>
      <c r="AC276" s="441"/>
      <c r="AD276" s="440"/>
      <c r="AE276" s="441"/>
      <c r="AF276" s="441"/>
      <c r="AG276" s="441"/>
      <c r="AH276" s="441"/>
      <c r="AI276" s="441"/>
      <c r="AJ276" s="441"/>
      <c r="AK276" s="450"/>
      <c r="AL276" s="440"/>
      <c r="AM276" s="441"/>
      <c r="AN276" s="441"/>
      <c r="AO276" s="441"/>
      <c r="AP276" s="441"/>
      <c r="AQ276" s="441"/>
      <c r="AR276" s="450"/>
      <c r="AS276" s="485"/>
      <c r="AT276" s="486"/>
      <c r="AU276" s="486"/>
      <c r="AV276" s="486"/>
      <c r="AW276" s="486"/>
      <c r="AX276" s="486"/>
      <c r="AY276" s="487"/>
      <c r="AZ276" s="462"/>
      <c r="BA276" s="463"/>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5">
      <c r="A277" s="435"/>
      <c r="B277" s="36"/>
      <c r="C277" s="199" t="str">
        <f t="shared" ca="1" si="6"/>
        <v/>
      </c>
      <c r="D277" s="479"/>
      <c r="E277" s="480"/>
      <c r="F277" s="480"/>
      <c r="G277" s="480"/>
      <c r="H277" s="480"/>
      <c r="I277" s="480"/>
      <c r="J277" s="480"/>
      <c r="K277" s="440"/>
      <c r="L277" s="441"/>
      <c r="M277" s="441"/>
      <c r="N277" s="441"/>
      <c r="O277" s="441"/>
      <c r="P277" s="441"/>
      <c r="Q277" s="441"/>
      <c r="R277" s="444"/>
      <c r="S277" s="445"/>
      <c r="T277" s="444"/>
      <c r="U277" s="445"/>
      <c r="V277" s="440"/>
      <c r="W277" s="441"/>
      <c r="X277" s="441"/>
      <c r="Y277" s="441"/>
      <c r="Z277" s="441"/>
      <c r="AA277" s="441"/>
      <c r="AB277" s="441"/>
      <c r="AC277" s="441"/>
      <c r="AD277" s="440"/>
      <c r="AE277" s="441"/>
      <c r="AF277" s="441"/>
      <c r="AG277" s="441"/>
      <c r="AH277" s="441"/>
      <c r="AI277" s="441"/>
      <c r="AJ277" s="441"/>
      <c r="AK277" s="450"/>
      <c r="AL277" s="440"/>
      <c r="AM277" s="441"/>
      <c r="AN277" s="441"/>
      <c r="AO277" s="441"/>
      <c r="AP277" s="441"/>
      <c r="AQ277" s="441"/>
      <c r="AR277" s="450"/>
      <c r="AS277" s="485"/>
      <c r="AT277" s="486"/>
      <c r="AU277" s="486"/>
      <c r="AV277" s="486"/>
      <c r="AW277" s="486"/>
      <c r="AX277" s="486"/>
      <c r="AY277" s="487"/>
      <c r="AZ277" s="462"/>
      <c r="BA277" s="463"/>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5">
      <c r="A278" s="435"/>
      <c r="B278" s="36"/>
      <c r="C278" s="199" t="str">
        <f t="shared" ca="1" si="6"/>
        <v/>
      </c>
      <c r="D278" s="479"/>
      <c r="E278" s="480"/>
      <c r="F278" s="480"/>
      <c r="G278" s="480"/>
      <c r="H278" s="480"/>
      <c r="I278" s="480"/>
      <c r="J278" s="480"/>
      <c r="K278" s="440"/>
      <c r="L278" s="441"/>
      <c r="M278" s="441"/>
      <c r="N278" s="441"/>
      <c r="O278" s="441"/>
      <c r="P278" s="441"/>
      <c r="Q278" s="441"/>
      <c r="R278" s="444"/>
      <c r="S278" s="445"/>
      <c r="T278" s="444"/>
      <c r="U278" s="445"/>
      <c r="V278" s="440"/>
      <c r="W278" s="441"/>
      <c r="X278" s="441"/>
      <c r="Y278" s="441"/>
      <c r="Z278" s="441"/>
      <c r="AA278" s="441"/>
      <c r="AB278" s="441"/>
      <c r="AC278" s="441"/>
      <c r="AD278" s="440"/>
      <c r="AE278" s="441"/>
      <c r="AF278" s="441"/>
      <c r="AG278" s="441"/>
      <c r="AH278" s="441"/>
      <c r="AI278" s="441"/>
      <c r="AJ278" s="441"/>
      <c r="AK278" s="450"/>
      <c r="AL278" s="440"/>
      <c r="AM278" s="441"/>
      <c r="AN278" s="441"/>
      <c r="AO278" s="441"/>
      <c r="AP278" s="441"/>
      <c r="AQ278" s="441"/>
      <c r="AR278" s="450"/>
      <c r="AS278" s="485"/>
      <c r="AT278" s="486"/>
      <c r="AU278" s="486"/>
      <c r="AV278" s="486"/>
      <c r="AW278" s="486"/>
      <c r="AX278" s="486"/>
      <c r="AY278" s="487"/>
      <c r="AZ278" s="462"/>
      <c r="BA278" s="463"/>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5">
      <c r="A279" s="435"/>
      <c r="B279" s="36"/>
      <c r="C279" s="199" t="str">
        <f t="shared" ca="1" si="6"/>
        <v/>
      </c>
      <c r="D279" s="479"/>
      <c r="E279" s="480"/>
      <c r="F279" s="480"/>
      <c r="G279" s="480"/>
      <c r="H279" s="480"/>
      <c r="I279" s="480"/>
      <c r="J279" s="480"/>
      <c r="K279" s="440"/>
      <c r="L279" s="441"/>
      <c r="M279" s="441"/>
      <c r="N279" s="441"/>
      <c r="O279" s="441"/>
      <c r="P279" s="441"/>
      <c r="Q279" s="441"/>
      <c r="R279" s="444"/>
      <c r="S279" s="445"/>
      <c r="T279" s="444"/>
      <c r="U279" s="445"/>
      <c r="V279" s="440"/>
      <c r="W279" s="441"/>
      <c r="X279" s="441"/>
      <c r="Y279" s="441"/>
      <c r="Z279" s="441"/>
      <c r="AA279" s="441"/>
      <c r="AB279" s="441"/>
      <c r="AC279" s="441"/>
      <c r="AD279" s="440"/>
      <c r="AE279" s="441"/>
      <c r="AF279" s="441"/>
      <c r="AG279" s="441"/>
      <c r="AH279" s="441"/>
      <c r="AI279" s="441"/>
      <c r="AJ279" s="441"/>
      <c r="AK279" s="450"/>
      <c r="AL279" s="440"/>
      <c r="AM279" s="441"/>
      <c r="AN279" s="441"/>
      <c r="AO279" s="441"/>
      <c r="AP279" s="441"/>
      <c r="AQ279" s="441"/>
      <c r="AR279" s="450"/>
      <c r="AS279" s="485"/>
      <c r="AT279" s="486"/>
      <c r="AU279" s="486"/>
      <c r="AV279" s="486"/>
      <c r="AW279" s="486"/>
      <c r="AX279" s="486"/>
      <c r="AY279" s="487"/>
      <c r="AZ279" s="462"/>
      <c r="BA279" s="463"/>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5">
      <c r="A280" s="436"/>
      <c r="B280" s="37"/>
      <c r="C280" s="200" t="str">
        <f t="shared" ca="1" si="6"/>
        <v/>
      </c>
      <c r="D280" s="481"/>
      <c r="E280" s="482"/>
      <c r="F280" s="482"/>
      <c r="G280" s="482"/>
      <c r="H280" s="482"/>
      <c r="I280" s="482"/>
      <c r="J280" s="482"/>
      <c r="K280" s="409"/>
      <c r="L280" s="410"/>
      <c r="M280" s="410"/>
      <c r="N280" s="410"/>
      <c r="O280" s="410"/>
      <c r="P280" s="410"/>
      <c r="Q280" s="410"/>
      <c r="R280" s="446"/>
      <c r="S280" s="447"/>
      <c r="T280" s="446"/>
      <c r="U280" s="44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88"/>
      <c r="AT280" s="489"/>
      <c r="AU280" s="489"/>
      <c r="AV280" s="489"/>
      <c r="AW280" s="489"/>
      <c r="AX280" s="489"/>
      <c r="AY280" s="490"/>
      <c r="AZ280" s="464"/>
      <c r="BA280" s="465"/>
      <c r="BB280" s="62">
        <v>6</v>
      </c>
      <c r="BC280" s="426"/>
      <c r="BD280" s="427"/>
      <c r="BE280" s="427"/>
      <c r="BF280" s="428"/>
      <c r="BG280" s="429"/>
      <c r="BH280" s="430"/>
      <c r="BI280" s="196"/>
      <c r="BJ280" s="474"/>
      <c r="BK280" s="475"/>
      <c r="BL280" s="475"/>
      <c r="BM280" s="475"/>
      <c r="BN280" s="475"/>
      <c r="BO280" s="476"/>
      <c r="BP280" s="474"/>
      <c r="BQ280" s="475"/>
      <c r="BR280" s="475"/>
      <c r="BS280" s="475"/>
      <c r="BT280" s="475"/>
      <c r="BU280" s="476"/>
      <c r="BV280" s="474"/>
      <c r="BW280" s="475"/>
      <c r="BX280" s="475"/>
      <c r="BY280" s="475"/>
      <c r="BZ280" s="475"/>
      <c r="CA280" s="476"/>
      <c r="CB280" s="426"/>
      <c r="CC280" s="427"/>
      <c r="CD280" s="427"/>
      <c r="CE280" s="428"/>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5">
      <c r="A281" s="434">
        <v>46</v>
      </c>
      <c r="B281" s="36"/>
      <c r="C281" s="198" t="str">
        <f t="shared" ca="1" si="6"/>
        <v/>
      </c>
      <c r="D281" s="477"/>
      <c r="E281" s="478"/>
      <c r="F281" s="478"/>
      <c r="G281" s="478"/>
      <c r="H281" s="478"/>
      <c r="I281" s="478"/>
      <c r="J281" s="478"/>
      <c r="K281" s="438" t="s">
        <v>529</v>
      </c>
      <c r="L281" s="439"/>
      <c r="M281" s="439"/>
      <c r="N281" s="439"/>
      <c r="O281" s="439"/>
      <c r="P281" s="439"/>
      <c r="Q281" s="439"/>
      <c r="R281" s="442" t="s">
        <v>186</v>
      </c>
      <c r="S281" s="443"/>
      <c r="T281" s="442"/>
      <c r="U281" s="443"/>
      <c r="V281" s="438"/>
      <c r="W281" s="439"/>
      <c r="X281" s="439"/>
      <c r="Y281" s="439"/>
      <c r="Z281" s="439"/>
      <c r="AA281" s="439"/>
      <c r="AB281" s="439"/>
      <c r="AC281" s="439"/>
      <c r="AD281" s="438"/>
      <c r="AE281" s="439"/>
      <c r="AF281" s="439"/>
      <c r="AG281" s="439"/>
      <c r="AH281" s="439"/>
      <c r="AI281" s="439"/>
      <c r="AJ281" s="439"/>
      <c r="AK281" s="449"/>
      <c r="AL281" s="438"/>
      <c r="AM281" s="439"/>
      <c r="AN281" s="439"/>
      <c r="AO281" s="439"/>
      <c r="AP281" s="439"/>
      <c r="AQ281" s="439"/>
      <c r="AR281" s="449"/>
      <c r="AS281" s="500"/>
      <c r="AT281" s="483"/>
      <c r="AU281" s="483"/>
      <c r="AV281" s="483"/>
      <c r="AW281" s="483"/>
      <c r="AX281" s="483"/>
      <c r="AY281" s="484"/>
      <c r="AZ281" s="460"/>
      <c r="BA281" s="461"/>
      <c r="BB281" s="60">
        <v>1</v>
      </c>
      <c r="BC281" s="466"/>
      <c r="BD281" s="467"/>
      <c r="BE281" s="467"/>
      <c r="BF281" s="468"/>
      <c r="BG281" s="469"/>
      <c r="BH281" s="470"/>
      <c r="BI281" s="194"/>
      <c r="BJ281" s="471"/>
      <c r="BK281" s="472"/>
      <c r="BL281" s="472"/>
      <c r="BM281" s="472"/>
      <c r="BN281" s="472"/>
      <c r="BO281" s="473"/>
      <c r="BP281" s="471"/>
      <c r="BQ281" s="472"/>
      <c r="BR281" s="472"/>
      <c r="BS281" s="472"/>
      <c r="BT281" s="472"/>
      <c r="BU281" s="473"/>
      <c r="BV281" s="471"/>
      <c r="BW281" s="472"/>
      <c r="BX281" s="472"/>
      <c r="BY281" s="472"/>
      <c r="BZ281" s="472"/>
      <c r="CA281" s="473"/>
      <c r="CB281" s="466"/>
      <c r="CC281" s="467"/>
      <c r="CD281" s="467"/>
      <c r="CE281" s="468"/>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5">
      <c r="A282" s="435"/>
      <c r="B282" s="36"/>
      <c r="C282" s="199" t="str">
        <f t="shared" ca="1" si="6"/>
        <v/>
      </c>
      <c r="D282" s="479"/>
      <c r="E282" s="480"/>
      <c r="F282" s="480"/>
      <c r="G282" s="480"/>
      <c r="H282" s="480"/>
      <c r="I282" s="480"/>
      <c r="J282" s="480"/>
      <c r="K282" s="440"/>
      <c r="L282" s="441"/>
      <c r="M282" s="441"/>
      <c r="N282" s="441"/>
      <c r="O282" s="441"/>
      <c r="P282" s="441"/>
      <c r="Q282" s="441"/>
      <c r="R282" s="444"/>
      <c r="S282" s="445"/>
      <c r="T282" s="444"/>
      <c r="U282" s="445"/>
      <c r="V282" s="440"/>
      <c r="W282" s="441"/>
      <c r="X282" s="441"/>
      <c r="Y282" s="441"/>
      <c r="Z282" s="441"/>
      <c r="AA282" s="441"/>
      <c r="AB282" s="441"/>
      <c r="AC282" s="441"/>
      <c r="AD282" s="440"/>
      <c r="AE282" s="441"/>
      <c r="AF282" s="441"/>
      <c r="AG282" s="441"/>
      <c r="AH282" s="441"/>
      <c r="AI282" s="441"/>
      <c r="AJ282" s="441"/>
      <c r="AK282" s="450"/>
      <c r="AL282" s="440"/>
      <c r="AM282" s="441"/>
      <c r="AN282" s="441"/>
      <c r="AO282" s="441"/>
      <c r="AP282" s="441"/>
      <c r="AQ282" s="441"/>
      <c r="AR282" s="450"/>
      <c r="AS282" s="485"/>
      <c r="AT282" s="486"/>
      <c r="AU282" s="486"/>
      <c r="AV282" s="486"/>
      <c r="AW282" s="486"/>
      <c r="AX282" s="486"/>
      <c r="AY282" s="487"/>
      <c r="AZ282" s="462"/>
      <c r="BA282" s="463"/>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5">
      <c r="A283" s="435"/>
      <c r="B283" s="36"/>
      <c r="C283" s="199" t="str">
        <f t="shared" ca="1" si="6"/>
        <v/>
      </c>
      <c r="D283" s="479"/>
      <c r="E283" s="480"/>
      <c r="F283" s="480"/>
      <c r="G283" s="480"/>
      <c r="H283" s="480"/>
      <c r="I283" s="480"/>
      <c r="J283" s="480"/>
      <c r="K283" s="440"/>
      <c r="L283" s="441"/>
      <c r="M283" s="441"/>
      <c r="N283" s="441"/>
      <c r="O283" s="441"/>
      <c r="P283" s="441"/>
      <c r="Q283" s="441"/>
      <c r="R283" s="444"/>
      <c r="S283" s="445"/>
      <c r="T283" s="444"/>
      <c r="U283" s="445"/>
      <c r="V283" s="440"/>
      <c r="W283" s="441"/>
      <c r="X283" s="441"/>
      <c r="Y283" s="441"/>
      <c r="Z283" s="441"/>
      <c r="AA283" s="441"/>
      <c r="AB283" s="441"/>
      <c r="AC283" s="441"/>
      <c r="AD283" s="440"/>
      <c r="AE283" s="441"/>
      <c r="AF283" s="441"/>
      <c r="AG283" s="441"/>
      <c r="AH283" s="441"/>
      <c r="AI283" s="441"/>
      <c r="AJ283" s="441"/>
      <c r="AK283" s="450"/>
      <c r="AL283" s="440"/>
      <c r="AM283" s="441"/>
      <c r="AN283" s="441"/>
      <c r="AO283" s="441"/>
      <c r="AP283" s="441"/>
      <c r="AQ283" s="441"/>
      <c r="AR283" s="450"/>
      <c r="AS283" s="485"/>
      <c r="AT283" s="486"/>
      <c r="AU283" s="486"/>
      <c r="AV283" s="486"/>
      <c r="AW283" s="486"/>
      <c r="AX283" s="486"/>
      <c r="AY283" s="487"/>
      <c r="AZ283" s="462"/>
      <c r="BA283" s="463"/>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5">
      <c r="A284" s="435"/>
      <c r="B284" s="36"/>
      <c r="C284" s="199" t="str">
        <f t="shared" ca="1" si="6"/>
        <v/>
      </c>
      <c r="D284" s="479"/>
      <c r="E284" s="480"/>
      <c r="F284" s="480"/>
      <c r="G284" s="480"/>
      <c r="H284" s="480"/>
      <c r="I284" s="480"/>
      <c r="J284" s="480"/>
      <c r="K284" s="440"/>
      <c r="L284" s="441"/>
      <c r="M284" s="441"/>
      <c r="N284" s="441"/>
      <c r="O284" s="441"/>
      <c r="P284" s="441"/>
      <c r="Q284" s="441"/>
      <c r="R284" s="444"/>
      <c r="S284" s="445"/>
      <c r="T284" s="444"/>
      <c r="U284" s="445"/>
      <c r="V284" s="440"/>
      <c r="W284" s="441"/>
      <c r="X284" s="441"/>
      <c r="Y284" s="441"/>
      <c r="Z284" s="441"/>
      <c r="AA284" s="441"/>
      <c r="AB284" s="441"/>
      <c r="AC284" s="441"/>
      <c r="AD284" s="440"/>
      <c r="AE284" s="441"/>
      <c r="AF284" s="441"/>
      <c r="AG284" s="441"/>
      <c r="AH284" s="441"/>
      <c r="AI284" s="441"/>
      <c r="AJ284" s="441"/>
      <c r="AK284" s="450"/>
      <c r="AL284" s="440"/>
      <c r="AM284" s="441"/>
      <c r="AN284" s="441"/>
      <c r="AO284" s="441"/>
      <c r="AP284" s="441"/>
      <c r="AQ284" s="441"/>
      <c r="AR284" s="450"/>
      <c r="AS284" s="485"/>
      <c r="AT284" s="486"/>
      <c r="AU284" s="486"/>
      <c r="AV284" s="486"/>
      <c r="AW284" s="486"/>
      <c r="AX284" s="486"/>
      <c r="AY284" s="487"/>
      <c r="AZ284" s="462"/>
      <c r="BA284" s="463"/>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5">
      <c r="A285" s="435"/>
      <c r="B285" s="36"/>
      <c r="C285" s="199" t="str">
        <f t="shared" ca="1" si="6"/>
        <v/>
      </c>
      <c r="D285" s="479"/>
      <c r="E285" s="480"/>
      <c r="F285" s="480"/>
      <c r="G285" s="480"/>
      <c r="H285" s="480"/>
      <c r="I285" s="480"/>
      <c r="J285" s="480"/>
      <c r="K285" s="440"/>
      <c r="L285" s="441"/>
      <c r="M285" s="441"/>
      <c r="N285" s="441"/>
      <c r="O285" s="441"/>
      <c r="P285" s="441"/>
      <c r="Q285" s="441"/>
      <c r="R285" s="444"/>
      <c r="S285" s="445"/>
      <c r="T285" s="444"/>
      <c r="U285" s="445"/>
      <c r="V285" s="440"/>
      <c r="W285" s="441"/>
      <c r="X285" s="441"/>
      <c r="Y285" s="441"/>
      <c r="Z285" s="441"/>
      <c r="AA285" s="441"/>
      <c r="AB285" s="441"/>
      <c r="AC285" s="441"/>
      <c r="AD285" s="440"/>
      <c r="AE285" s="441"/>
      <c r="AF285" s="441"/>
      <c r="AG285" s="441"/>
      <c r="AH285" s="441"/>
      <c r="AI285" s="441"/>
      <c r="AJ285" s="441"/>
      <c r="AK285" s="450"/>
      <c r="AL285" s="440"/>
      <c r="AM285" s="441"/>
      <c r="AN285" s="441"/>
      <c r="AO285" s="441"/>
      <c r="AP285" s="441"/>
      <c r="AQ285" s="441"/>
      <c r="AR285" s="450"/>
      <c r="AS285" s="485"/>
      <c r="AT285" s="486"/>
      <c r="AU285" s="486"/>
      <c r="AV285" s="486"/>
      <c r="AW285" s="486"/>
      <c r="AX285" s="486"/>
      <c r="AY285" s="487"/>
      <c r="AZ285" s="462"/>
      <c r="BA285" s="463"/>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5">
      <c r="A286" s="436"/>
      <c r="B286" s="37"/>
      <c r="C286" s="200" t="str">
        <f t="shared" ca="1" si="6"/>
        <v/>
      </c>
      <c r="D286" s="481"/>
      <c r="E286" s="482"/>
      <c r="F286" s="482"/>
      <c r="G286" s="482"/>
      <c r="H286" s="482"/>
      <c r="I286" s="482"/>
      <c r="J286" s="482"/>
      <c r="K286" s="409"/>
      <c r="L286" s="410"/>
      <c r="M286" s="410"/>
      <c r="N286" s="410"/>
      <c r="O286" s="410"/>
      <c r="P286" s="410"/>
      <c r="Q286" s="410"/>
      <c r="R286" s="446"/>
      <c r="S286" s="447"/>
      <c r="T286" s="446"/>
      <c r="U286" s="44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88"/>
      <c r="AT286" s="489"/>
      <c r="AU286" s="489"/>
      <c r="AV286" s="489"/>
      <c r="AW286" s="489"/>
      <c r="AX286" s="489"/>
      <c r="AY286" s="490"/>
      <c r="AZ286" s="464"/>
      <c r="BA286" s="465"/>
      <c r="BB286" s="62">
        <v>6</v>
      </c>
      <c r="BC286" s="426"/>
      <c r="BD286" s="427"/>
      <c r="BE286" s="427"/>
      <c r="BF286" s="428"/>
      <c r="BG286" s="429"/>
      <c r="BH286" s="430"/>
      <c r="BI286" s="196"/>
      <c r="BJ286" s="474"/>
      <c r="BK286" s="475"/>
      <c r="BL286" s="475"/>
      <c r="BM286" s="475"/>
      <c r="BN286" s="475"/>
      <c r="BO286" s="476"/>
      <c r="BP286" s="474"/>
      <c r="BQ286" s="475"/>
      <c r="BR286" s="475"/>
      <c r="BS286" s="475"/>
      <c r="BT286" s="475"/>
      <c r="BU286" s="476"/>
      <c r="BV286" s="474"/>
      <c r="BW286" s="475"/>
      <c r="BX286" s="475"/>
      <c r="BY286" s="475"/>
      <c r="BZ286" s="475"/>
      <c r="CA286" s="476"/>
      <c r="CB286" s="426"/>
      <c r="CC286" s="427"/>
      <c r="CD286" s="427"/>
      <c r="CE286" s="428"/>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5">
      <c r="A287" s="434">
        <v>47</v>
      </c>
      <c r="B287" s="36"/>
      <c r="C287" s="198" t="str">
        <f t="shared" ca="1" si="6"/>
        <v/>
      </c>
      <c r="D287" s="477"/>
      <c r="E287" s="478"/>
      <c r="F287" s="478"/>
      <c r="G287" s="478"/>
      <c r="H287" s="478"/>
      <c r="I287" s="478"/>
      <c r="J287" s="478"/>
      <c r="K287" s="438" t="s">
        <v>530</v>
      </c>
      <c r="L287" s="439"/>
      <c r="M287" s="439"/>
      <c r="N287" s="439"/>
      <c r="O287" s="439"/>
      <c r="P287" s="439"/>
      <c r="Q287" s="439"/>
      <c r="R287" s="442" t="s">
        <v>186</v>
      </c>
      <c r="S287" s="443"/>
      <c r="T287" s="442"/>
      <c r="U287" s="443"/>
      <c r="V287" s="438"/>
      <c r="W287" s="439"/>
      <c r="X287" s="439"/>
      <c r="Y287" s="439"/>
      <c r="Z287" s="439"/>
      <c r="AA287" s="439"/>
      <c r="AB287" s="439"/>
      <c r="AC287" s="439"/>
      <c r="AD287" s="438"/>
      <c r="AE287" s="439"/>
      <c r="AF287" s="439"/>
      <c r="AG287" s="439"/>
      <c r="AH287" s="439"/>
      <c r="AI287" s="439"/>
      <c r="AJ287" s="439"/>
      <c r="AK287" s="449"/>
      <c r="AL287" s="438"/>
      <c r="AM287" s="439"/>
      <c r="AN287" s="439"/>
      <c r="AO287" s="439"/>
      <c r="AP287" s="439"/>
      <c r="AQ287" s="439"/>
      <c r="AR287" s="449"/>
      <c r="AS287" s="500"/>
      <c r="AT287" s="483"/>
      <c r="AU287" s="483"/>
      <c r="AV287" s="483"/>
      <c r="AW287" s="483"/>
      <c r="AX287" s="483"/>
      <c r="AY287" s="484"/>
      <c r="AZ287" s="460"/>
      <c r="BA287" s="461"/>
      <c r="BB287" s="60">
        <v>1</v>
      </c>
      <c r="BC287" s="466"/>
      <c r="BD287" s="467"/>
      <c r="BE287" s="467"/>
      <c r="BF287" s="468"/>
      <c r="BG287" s="469"/>
      <c r="BH287" s="470"/>
      <c r="BI287" s="194"/>
      <c r="BJ287" s="471"/>
      <c r="BK287" s="472"/>
      <c r="BL287" s="472"/>
      <c r="BM287" s="472"/>
      <c r="BN287" s="472"/>
      <c r="BO287" s="473"/>
      <c r="BP287" s="471"/>
      <c r="BQ287" s="472"/>
      <c r="BR287" s="472"/>
      <c r="BS287" s="472"/>
      <c r="BT287" s="472"/>
      <c r="BU287" s="473"/>
      <c r="BV287" s="471"/>
      <c r="BW287" s="472"/>
      <c r="BX287" s="472"/>
      <c r="BY287" s="472"/>
      <c r="BZ287" s="472"/>
      <c r="CA287" s="473"/>
      <c r="CB287" s="466"/>
      <c r="CC287" s="467"/>
      <c r="CD287" s="467"/>
      <c r="CE287" s="468"/>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5">
      <c r="A288" s="435"/>
      <c r="B288" s="36"/>
      <c r="C288" s="199" t="str">
        <f t="shared" ca="1" si="6"/>
        <v/>
      </c>
      <c r="D288" s="479"/>
      <c r="E288" s="480"/>
      <c r="F288" s="480"/>
      <c r="G288" s="480"/>
      <c r="H288" s="480"/>
      <c r="I288" s="480"/>
      <c r="J288" s="480"/>
      <c r="K288" s="440"/>
      <c r="L288" s="441"/>
      <c r="M288" s="441"/>
      <c r="N288" s="441"/>
      <c r="O288" s="441"/>
      <c r="P288" s="441"/>
      <c r="Q288" s="441"/>
      <c r="R288" s="444"/>
      <c r="S288" s="445"/>
      <c r="T288" s="444"/>
      <c r="U288" s="445"/>
      <c r="V288" s="440"/>
      <c r="W288" s="441"/>
      <c r="X288" s="441"/>
      <c r="Y288" s="441"/>
      <c r="Z288" s="441"/>
      <c r="AA288" s="441"/>
      <c r="AB288" s="441"/>
      <c r="AC288" s="441"/>
      <c r="AD288" s="440"/>
      <c r="AE288" s="441"/>
      <c r="AF288" s="441"/>
      <c r="AG288" s="441"/>
      <c r="AH288" s="441"/>
      <c r="AI288" s="441"/>
      <c r="AJ288" s="441"/>
      <c r="AK288" s="450"/>
      <c r="AL288" s="440"/>
      <c r="AM288" s="441"/>
      <c r="AN288" s="441"/>
      <c r="AO288" s="441"/>
      <c r="AP288" s="441"/>
      <c r="AQ288" s="441"/>
      <c r="AR288" s="450"/>
      <c r="AS288" s="485"/>
      <c r="AT288" s="486"/>
      <c r="AU288" s="486"/>
      <c r="AV288" s="486"/>
      <c r="AW288" s="486"/>
      <c r="AX288" s="486"/>
      <c r="AY288" s="487"/>
      <c r="AZ288" s="462"/>
      <c r="BA288" s="463"/>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5">
      <c r="A289" s="435"/>
      <c r="B289" s="36"/>
      <c r="C289" s="199" t="str">
        <f t="shared" ca="1" si="6"/>
        <v/>
      </c>
      <c r="D289" s="479"/>
      <c r="E289" s="480"/>
      <c r="F289" s="480"/>
      <c r="G289" s="480"/>
      <c r="H289" s="480"/>
      <c r="I289" s="480"/>
      <c r="J289" s="480"/>
      <c r="K289" s="440"/>
      <c r="L289" s="441"/>
      <c r="M289" s="441"/>
      <c r="N289" s="441"/>
      <c r="O289" s="441"/>
      <c r="P289" s="441"/>
      <c r="Q289" s="441"/>
      <c r="R289" s="444"/>
      <c r="S289" s="445"/>
      <c r="T289" s="444"/>
      <c r="U289" s="445"/>
      <c r="V289" s="440"/>
      <c r="W289" s="441"/>
      <c r="X289" s="441"/>
      <c r="Y289" s="441"/>
      <c r="Z289" s="441"/>
      <c r="AA289" s="441"/>
      <c r="AB289" s="441"/>
      <c r="AC289" s="441"/>
      <c r="AD289" s="440"/>
      <c r="AE289" s="441"/>
      <c r="AF289" s="441"/>
      <c r="AG289" s="441"/>
      <c r="AH289" s="441"/>
      <c r="AI289" s="441"/>
      <c r="AJ289" s="441"/>
      <c r="AK289" s="450"/>
      <c r="AL289" s="440"/>
      <c r="AM289" s="441"/>
      <c r="AN289" s="441"/>
      <c r="AO289" s="441"/>
      <c r="AP289" s="441"/>
      <c r="AQ289" s="441"/>
      <c r="AR289" s="450"/>
      <c r="AS289" s="485"/>
      <c r="AT289" s="486"/>
      <c r="AU289" s="486"/>
      <c r="AV289" s="486"/>
      <c r="AW289" s="486"/>
      <c r="AX289" s="486"/>
      <c r="AY289" s="487"/>
      <c r="AZ289" s="462"/>
      <c r="BA289" s="463"/>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5">
      <c r="A290" s="435"/>
      <c r="B290" s="36"/>
      <c r="C290" s="199" t="str">
        <f t="shared" ca="1" si="6"/>
        <v/>
      </c>
      <c r="D290" s="479"/>
      <c r="E290" s="480"/>
      <c r="F290" s="480"/>
      <c r="G290" s="480"/>
      <c r="H290" s="480"/>
      <c r="I290" s="480"/>
      <c r="J290" s="480"/>
      <c r="K290" s="440"/>
      <c r="L290" s="441"/>
      <c r="M290" s="441"/>
      <c r="N290" s="441"/>
      <c r="O290" s="441"/>
      <c r="P290" s="441"/>
      <c r="Q290" s="441"/>
      <c r="R290" s="444"/>
      <c r="S290" s="445"/>
      <c r="T290" s="444"/>
      <c r="U290" s="445"/>
      <c r="V290" s="440"/>
      <c r="W290" s="441"/>
      <c r="X290" s="441"/>
      <c r="Y290" s="441"/>
      <c r="Z290" s="441"/>
      <c r="AA290" s="441"/>
      <c r="AB290" s="441"/>
      <c r="AC290" s="441"/>
      <c r="AD290" s="440"/>
      <c r="AE290" s="441"/>
      <c r="AF290" s="441"/>
      <c r="AG290" s="441"/>
      <c r="AH290" s="441"/>
      <c r="AI290" s="441"/>
      <c r="AJ290" s="441"/>
      <c r="AK290" s="450"/>
      <c r="AL290" s="440"/>
      <c r="AM290" s="441"/>
      <c r="AN290" s="441"/>
      <c r="AO290" s="441"/>
      <c r="AP290" s="441"/>
      <c r="AQ290" s="441"/>
      <c r="AR290" s="450"/>
      <c r="AS290" s="485"/>
      <c r="AT290" s="486"/>
      <c r="AU290" s="486"/>
      <c r="AV290" s="486"/>
      <c r="AW290" s="486"/>
      <c r="AX290" s="486"/>
      <c r="AY290" s="487"/>
      <c r="AZ290" s="462"/>
      <c r="BA290" s="463"/>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5">
      <c r="A291" s="435"/>
      <c r="B291" s="36"/>
      <c r="C291" s="199" t="str">
        <f t="shared" ca="1" si="6"/>
        <v/>
      </c>
      <c r="D291" s="479"/>
      <c r="E291" s="480"/>
      <c r="F291" s="480"/>
      <c r="G291" s="480"/>
      <c r="H291" s="480"/>
      <c r="I291" s="480"/>
      <c r="J291" s="480"/>
      <c r="K291" s="440"/>
      <c r="L291" s="441"/>
      <c r="M291" s="441"/>
      <c r="N291" s="441"/>
      <c r="O291" s="441"/>
      <c r="P291" s="441"/>
      <c r="Q291" s="441"/>
      <c r="R291" s="444"/>
      <c r="S291" s="445"/>
      <c r="T291" s="444"/>
      <c r="U291" s="445"/>
      <c r="V291" s="440"/>
      <c r="W291" s="441"/>
      <c r="X291" s="441"/>
      <c r="Y291" s="441"/>
      <c r="Z291" s="441"/>
      <c r="AA291" s="441"/>
      <c r="AB291" s="441"/>
      <c r="AC291" s="441"/>
      <c r="AD291" s="440"/>
      <c r="AE291" s="441"/>
      <c r="AF291" s="441"/>
      <c r="AG291" s="441"/>
      <c r="AH291" s="441"/>
      <c r="AI291" s="441"/>
      <c r="AJ291" s="441"/>
      <c r="AK291" s="450"/>
      <c r="AL291" s="440"/>
      <c r="AM291" s="441"/>
      <c r="AN291" s="441"/>
      <c r="AO291" s="441"/>
      <c r="AP291" s="441"/>
      <c r="AQ291" s="441"/>
      <c r="AR291" s="450"/>
      <c r="AS291" s="485"/>
      <c r="AT291" s="486"/>
      <c r="AU291" s="486"/>
      <c r="AV291" s="486"/>
      <c r="AW291" s="486"/>
      <c r="AX291" s="486"/>
      <c r="AY291" s="487"/>
      <c r="AZ291" s="462"/>
      <c r="BA291" s="463"/>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5">
      <c r="A292" s="436"/>
      <c r="B292" s="37"/>
      <c r="C292" s="200" t="str">
        <f t="shared" ca="1" si="6"/>
        <v/>
      </c>
      <c r="D292" s="481"/>
      <c r="E292" s="482"/>
      <c r="F292" s="482"/>
      <c r="G292" s="482"/>
      <c r="H292" s="482"/>
      <c r="I292" s="482"/>
      <c r="J292" s="482"/>
      <c r="K292" s="409"/>
      <c r="L292" s="410"/>
      <c r="M292" s="410"/>
      <c r="N292" s="410"/>
      <c r="O292" s="410"/>
      <c r="P292" s="410"/>
      <c r="Q292" s="410"/>
      <c r="R292" s="446"/>
      <c r="S292" s="447"/>
      <c r="T292" s="446"/>
      <c r="U292" s="44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88"/>
      <c r="AT292" s="489"/>
      <c r="AU292" s="489"/>
      <c r="AV292" s="489"/>
      <c r="AW292" s="489"/>
      <c r="AX292" s="489"/>
      <c r="AY292" s="490"/>
      <c r="AZ292" s="464"/>
      <c r="BA292" s="465"/>
      <c r="BB292" s="62">
        <v>6</v>
      </c>
      <c r="BC292" s="426"/>
      <c r="BD292" s="427"/>
      <c r="BE292" s="427"/>
      <c r="BF292" s="428"/>
      <c r="BG292" s="429"/>
      <c r="BH292" s="430"/>
      <c r="BI292" s="196"/>
      <c r="BJ292" s="474"/>
      <c r="BK292" s="475"/>
      <c r="BL292" s="475"/>
      <c r="BM292" s="475"/>
      <c r="BN292" s="475"/>
      <c r="BO292" s="476"/>
      <c r="BP292" s="474"/>
      <c r="BQ292" s="475"/>
      <c r="BR292" s="475"/>
      <c r="BS292" s="475"/>
      <c r="BT292" s="475"/>
      <c r="BU292" s="476"/>
      <c r="BV292" s="474"/>
      <c r="BW292" s="475"/>
      <c r="BX292" s="475"/>
      <c r="BY292" s="475"/>
      <c r="BZ292" s="475"/>
      <c r="CA292" s="476"/>
      <c r="CB292" s="426"/>
      <c r="CC292" s="427"/>
      <c r="CD292" s="427"/>
      <c r="CE292" s="428"/>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5">
      <c r="A293" s="434">
        <v>48</v>
      </c>
      <c r="B293" s="36"/>
      <c r="C293" s="198" t="str">
        <f t="shared" ca="1" si="6"/>
        <v/>
      </c>
      <c r="D293" s="477" t="s">
        <v>531</v>
      </c>
      <c r="E293" s="478"/>
      <c r="F293" s="478"/>
      <c r="G293" s="478"/>
      <c r="H293" s="478"/>
      <c r="I293" s="478"/>
      <c r="J293" s="478"/>
      <c r="K293" s="438" t="s">
        <v>532</v>
      </c>
      <c r="L293" s="439"/>
      <c r="M293" s="439"/>
      <c r="N293" s="439"/>
      <c r="O293" s="439"/>
      <c r="P293" s="439"/>
      <c r="Q293" s="439"/>
      <c r="R293" s="442" t="s">
        <v>186</v>
      </c>
      <c r="S293" s="443"/>
      <c r="T293" s="442"/>
      <c r="U293" s="443"/>
      <c r="V293" s="438"/>
      <c r="W293" s="439"/>
      <c r="X293" s="439"/>
      <c r="Y293" s="439"/>
      <c r="Z293" s="439"/>
      <c r="AA293" s="439"/>
      <c r="AB293" s="439"/>
      <c r="AC293" s="439"/>
      <c r="AD293" s="438"/>
      <c r="AE293" s="439"/>
      <c r="AF293" s="439"/>
      <c r="AG293" s="439"/>
      <c r="AH293" s="439"/>
      <c r="AI293" s="439"/>
      <c r="AJ293" s="439"/>
      <c r="AK293" s="449"/>
      <c r="AL293" s="438"/>
      <c r="AM293" s="439"/>
      <c r="AN293" s="439"/>
      <c r="AO293" s="439"/>
      <c r="AP293" s="439"/>
      <c r="AQ293" s="439"/>
      <c r="AR293" s="449"/>
      <c r="AS293" s="500"/>
      <c r="AT293" s="483"/>
      <c r="AU293" s="483"/>
      <c r="AV293" s="483"/>
      <c r="AW293" s="483"/>
      <c r="AX293" s="483"/>
      <c r="AY293" s="484"/>
      <c r="AZ293" s="460"/>
      <c r="BA293" s="461"/>
      <c r="BB293" s="60">
        <v>1</v>
      </c>
      <c r="BC293" s="466"/>
      <c r="BD293" s="467"/>
      <c r="BE293" s="467"/>
      <c r="BF293" s="468"/>
      <c r="BG293" s="469"/>
      <c r="BH293" s="470"/>
      <c r="BI293" s="194"/>
      <c r="BJ293" s="471"/>
      <c r="BK293" s="472"/>
      <c r="BL293" s="472"/>
      <c r="BM293" s="472"/>
      <c r="BN293" s="472"/>
      <c r="BO293" s="473"/>
      <c r="BP293" s="471"/>
      <c r="BQ293" s="472"/>
      <c r="BR293" s="472"/>
      <c r="BS293" s="472"/>
      <c r="BT293" s="472"/>
      <c r="BU293" s="473"/>
      <c r="BV293" s="471"/>
      <c r="BW293" s="472"/>
      <c r="BX293" s="472"/>
      <c r="BY293" s="472"/>
      <c r="BZ293" s="472"/>
      <c r="CA293" s="473"/>
      <c r="CB293" s="466"/>
      <c r="CC293" s="467"/>
      <c r="CD293" s="467"/>
      <c r="CE293" s="468"/>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5">
      <c r="A294" s="435"/>
      <c r="B294" s="36"/>
      <c r="C294" s="199" t="str">
        <f t="shared" ca="1" si="6"/>
        <v/>
      </c>
      <c r="D294" s="479"/>
      <c r="E294" s="480"/>
      <c r="F294" s="480"/>
      <c r="G294" s="480"/>
      <c r="H294" s="480"/>
      <c r="I294" s="480"/>
      <c r="J294" s="480"/>
      <c r="K294" s="440"/>
      <c r="L294" s="441"/>
      <c r="M294" s="441"/>
      <c r="N294" s="441"/>
      <c r="O294" s="441"/>
      <c r="P294" s="441"/>
      <c r="Q294" s="441"/>
      <c r="R294" s="444"/>
      <c r="S294" s="445"/>
      <c r="T294" s="444"/>
      <c r="U294" s="445"/>
      <c r="V294" s="440"/>
      <c r="W294" s="441"/>
      <c r="X294" s="441"/>
      <c r="Y294" s="441"/>
      <c r="Z294" s="441"/>
      <c r="AA294" s="441"/>
      <c r="AB294" s="441"/>
      <c r="AC294" s="441"/>
      <c r="AD294" s="440"/>
      <c r="AE294" s="441"/>
      <c r="AF294" s="441"/>
      <c r="AG294" s="441"/>
      <c r="AH294" s="441"/>
      <c r="AI294" s="441"/>
      <c r="AJ294" s="441"/>
      <c r="AK294" s="450"/>
      <c r="AL294" s="440"/>
      <c r="AM294" s="441"/>
      <c r="AN294" s="441"/>
      <c r="AO294" s="441"/>
      <c r="AP294" s="441"/>
      <c r="AQ294" s="441"/>
      <c r="AR294" s="450"/>
      <c r="AS294" s="485"/>
      <c r="AT294" s="486"/>
      <c r="AU294" s="486"/>
      <c r="AV294" s="486"/>
      <c r="AW294" s="486"/>
      <c r="AX294" s="486"/>
      <c r="AY294" s="487"/>
      <c r="AZ294" s="462"/>
      <c r="BA294" s="463"/>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5">
      <c r="A295" s="435"/>
      <c r="B295" s="36"/>
      <c r="C295" s="199" t="str">
        <f t="shared" ca="1" si="6"/>
        <v/>
      </c>
      <c r="D295" s="479"/>
      <c r="E295" s="480"/>
      <c r="F295" s="480"/>
      <c r="G295" s="480"/>
      <c r="H295" s="480"/>
      <c r="I295" s="480"/>
      <c r="J295" s="480"/>
      <c r="K295" s="440"/>
      <c r="L295" s="441"/>
      <c r="M295" s="441"/>
      <c r="N295" s="441"/>
      <c r="O295" s="441"/>
      <c r="P295" s="441"/>
      <c r="Q295" s="441"/>
      <c r="R295" s="444"/>
      <c r="S295" s="445"/>
      <c r="T295" s="444"/>
      <c r="U295" s="445"/>
      <c r="V295" s="440"/>
      <c r="W295" s="441"/>
      <c r="X295" s="441"/>
      <c r="Y295" s="441"/>
      <c r="Z295" s="441"/>
      <c r="AA295" s="441"/>
      <c r="AB295" s="441"/>
      <c r="AC295" s="441"/>
      <c r="AD295" s="440"/>
      <c r="AE295" s="441"/>
      <c r="AF295" s="441"/>
      <c r="AG295" s="441"/>
      <c r="AH295" s="441"/>
      <c r="AI295" s="441"/>
      <c r="AJ295" s="441"/>
      <c r="AK295" s="450"/>
      <c r="AL295" s="440"/>
      <c r="AM295" s="441"/>
      <c r="AN295" s="441"/>
      <c r="AO295" s="441"/>
      <c r="AP295" s="441"/>
      <c r="AQ295" s="441"/>
      <c r="AR295" s="450"/>
      <c r="AS295" s="485"/>
      <c r="AT295" s="486"/>
      <c r="AU295" s="486"/>
      <c r="AV295" s="486"/>
      <c r="AW295" s="486"/>
      <c r="AX295" s="486"/>
      <c r="AY295" s="487"/>
      <c r="AZ295" s="462"/>
      <c r="BA295" s="463"/>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5">
      <c r="A296" s="435"/>
      <c r="B296" s="36"/>
      <c r="C296" s="199" t="str">
        <f t="shared" ca="1" si="6"/>
        <v/>
      </c>
      <c r="D296" s="479"/>
      <c r="E296" s="480"/>
      <c r="F296" s="480"/>
      <c r="G296" s="480"/>
      <c r="H296" s="480"/>
      <c r="I296" s="480"/>
      <c r="J296" s="480"/>
      <c r="K296" s="440"/>
      <c r="L296" s="441"/>
      <c r="M296" s="441"/>
      <c r="N296" s="441"/>
      <c r="O296" s="441"/>
      <c r="P296" s="441"/>
      <c r="Q296" s="441"/>
      <c r="R296" s="444"/>
      <c r="S296" s="445"/>
      <c r="T296" s="444"/>
      <c r="U296" s="445"/>
      <c r="V296" s="440"/>
      <c r="W296" s="441"/>
      <c r="X296" s="441"/>
      <c r="Y296" s="441"/>
      <c r="Z296" s="441"/>
      <c r="AA296" s="441"/>
      <c r="AB296" s="441"/>
      <c r="AC296" s="441"/>
      <c r="AD296" s="440"/>
      <c r="AE296" s="441"/>
      <c r="AF296" s="441"/>
      <c r="AG296" s="441"/>
      <c r="AH296" s="441"/>
      <c r="AI296" s="441"/>
      <c r="AJ296" s="441"/>
      <c r="AK296" s="450"/>
      <c r="AL296" s="440"/>
      <c r="AM296" s="441"/>
      <c r="AN296" s="441"/>
      <c r="AO296" s="441"/>
      <c r="AP296" s="441"/>
      <c r="AQ296" s="441"/>
      <c r="AR296" s="450"/>
      <c r="AS296" s="485"/>
      <c r="AT296" s="486"/>
      <c r="AU296" s="486"/>
      <c r="AV296" s="486"/>
      <c r="AW296" s="486"/>
      <c r="AX296" s="486"/>
      <c r="AY296" s="487"/>
      <c r="AZ296" s="462"/>
      <c r="BA296" s="463"/>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5">
      <c r="A297" s="435"/>
      <c r="B297" s="36"/>
      <c r="C297" s="199" t="str">
        <f t="shared" ca="1" si="6"/>
        <v/>
      </c>
      <c r="D297" s="479"/>
      <c r="E297" s="480"/>
      <c r="F297" s="480"/>
      <c r="G297" s="480"/>
      <c r="H297" s="480"/>
      <c r="I297" s="480"/>
      <c r="J297" s="480"/>
      <c r="K297" s="440"/>
      <c r="L297" s="441"/>
      <c r="M297" s="441"/>
      <c r="N297" s="441"/>
      <c r="O297" s="441"/>
      <c r="P297" s="441"/>
      <c r="Q297" s="441"/>
      <c r="R297" s="444"/>
      <c r="S297" s="445"/>
      <c r="T297" s="444"/>
      <c r="U297" s="445"/>
      <c r="V297" s="440"/>
      <c r="W297" s="441"/>
      <c r="X297" s="441"/>
      <c r="Y297" s="441"/>
      <c r="Z297" s="441"/>
      <c r="AA297" s="441"/>
      <c r="AB297" s="441"/>
      <c r="AC297" s="441"/>
      <c r="AD297" s="440"/>
      <c r="AE297" s="441"/>
      <c r="AF297" s="441"/>
      <c r="AG297" s="441"/>
      <c r="AH297" s="441"/>
      <c r="AI297" s="441"/>
      <c r="AJ297" s="441"/>
      <c r="AK297" s="450"/>
      <c r="AL297" s="440"/>
      <c r="AM297" s="441"/>
      <c r="AN297" s="441"/>
      <c r="AO297" s="441"/>
      <c r="AP297" s="441"/>
      <c r="AQ297" s="441"/>
      <c r="AR297" s="450"/>
      <c r="AS297" s="485"/>
      <c r="AT297" s="486"/>
      <c r="AU297" s="486"/>
      <c r="AV297" s="486"/>
      <c r="AW297" s="486"/>
      <c r="AX297" s="486"/>
      <c r="AY297" s="487"/>
      <c r="AZ297" s="462"/>
      <c r="BA297" s="463"/>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5">
      <c r="A298" s="436"/>
      <c r="B298" s="37"/>
      <c r="C298" s="200" t="str">
        <f t="shared" ca="1" si="6"/>
        <v/>
      </c>
      <c r="D298" s="481"/>
      <c r="E298" s="482"/>
      <c r="F298" s="482"/>
      <c r="G298" s="482"/>
      <c r="H298" s="482"/>
      <c r="I298" s="482"/>
      <c r="J298" s="482"/>
      <c r="K298" s="409"/>
      <c r="L298" s="410"/>
      <c r="M298" s="410"/>
      <c r="N298" s="410"/>
      <c r="O298" s="410"/>
      <c r="P298" s="410"/>
      <c r="Q298" s="410"/>
      <c r="R298" s="446"/>
      <c r="S298" s="447"/>
      <c r="T298" s="446"/>
      <c r="U298" s="44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88"/>
      <c r="AT298" s="489"/>
      <c r="AU298" s="489"/>
      <c r="AV298" s="489"/>
      <c r="AW298" s="489"/>
      <c r="AX298" s="489"/>
      <c r="AY298" s="490"/>
      <c r="AZ298" s="464"/>
      <c r="BA298" s="465"/>
      <c r="BB298" s="62">
        <v>6</v>
      </c>
      <c r="BC298" s="426"/>
      <c r="BD298" s="427"/>
      <c r="BE298" s="427"/>
      <c r="BF298" s="428"/>
      <c r="BG298" s="429"/>
      <c r="BH298" s="430"/>
      <c r="BI298" s="196"/>
      <c r="BJ298" s="474"/>
      <c r="BK298" s="475"/>
      <c r="BL298" s="475"/>
      <c r="BM298" s="475"/>
      <c r="BN298" s="475"/>
      <c r="BO298" s="476"/>
      <c r="BP298" s="474"/>
      <c r="BQ298" s="475"/>
      <c r="BR298" s="475"/>
      <c r="BS298" s="475"/>
      <c r="BT298" s="475"/>
      <c r="BU298" s="476"/>
      <c r="BV298" s="474"/>
      <c r="BW298" s="475"/>
      <c r="BX298" s="475"/>
      <c r="BY298" s="475"/>
      <c r="BZ298" s="475"/>
      <c r="CA298" s="476"/>
      <c r="CB298" s="426"/>
      <c r="CC298" s="427"/>
      <c r="CD298" s="427"/>
      <c r="CE298" s="428"/>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5">
      <c r="A299" s="434">
        <v>49</v>
      </c>
      <c r="B299" s="36"/>
      <c r="C299" s="198" t="str">
        <f t="shared" ca="1" si="6"/>
        <v/>
      </c>
      <c r="D299" s="477"/>
      <c r="E299" s="478"/>
      <c r="F299" s="478"/>
      <c r="G299" s="478"/>
      <c r="H299" s="478"/>
      <c r="I299" s="478"/>
      <c r="J299" s="478"/>
      <c r="K299" s="438" t="s">
        <v>533</v>
      </c>
      <c r="L299" s="439"/>
      <c r="M299" s="439"/>
      <c r="N299" s="439"/>
      <c r="O299" s="439"/>
      <c r="P299" s="439"/>
      <c r="Q299" s="439"/>
      <c r="R299" s="442" t="s">
        <v>186</v>
      </c>
      <c r="S299" s="443"/>
      <c r="T299" s="442"/>
      <c r="U299" s="443"/>
      <c r="V299" s="438"/>
      <c r="W299" s="439"/>
      <c r="X299" s="439"/>
      <c r="Y299" s="439"/>
      <c r="Z299" s="439"/>
      <c r="AA299" s="439"/>
      <c r="AB299" s="439"/>
      <c r="AC299" s="439"/>
      <c r="AD299" s="438"/>
      <c r="AE299" s="439"/>
      <c r="AF299" s="439"/>
      <c r="AG299" s="439"/>
      <c r="AH299" s="439"/>
      <c r="AI299" s="439"/>
      <c r="AJ299" s="439"/>
      <c r="AK299" s="449"/>
      <c r="AL299" s="438"/>
      <c r="AM299" s="439"/>
      <c r="AN299" s="439"/>
      <c r="AO299" s="439"/>
      <c r="AP299" s="439"/>
      <c r="AQ299" s="439"/>
      <c r="AR299" s="449"/>
      <c r="AS299" s="500"/>
      <c r="AT299" s="483"/>
      <c r="AU299" s="483"/>
      <c r="AV299" s="483"/>
      <c r="AW299" s="483"/>
      <c r="AX299" s="483"/>
      <c r="AY299" s="484"/>
      <c r="AZ299" s="460"/>
      <c r="BA299" s="461"/>
      <c r="BB299" s="60">
        <v>1</v>
      </c>
      <c r="BC299" s="466"/>
      <c r="BD299" s="467"/>
      <c r="BE299" s="467"/>
      <c r="BF299" s="468"/>
      <c r="BG299" s="469"/>
      <c r="BH299" s="470"/>
      <c r="BI299" s="194"/>
      <c r="BJ299" s="471"/>
      <c r="BK299" s="472"/>
      <c r="BL299" s="472"/>
      <c r="BM299" s="472"/>
      <c r="BN299" s="472"/>
      <c r="BO299" s="473"/>
      <c r="BP299" s="471"/>
      <c r="BQ299" s="472"/>
      <c r="BR299" s="472"/>
      <c r="BS299" s="472"/>
      <c r="BT299" s="472"/>
      <c r="BU299" s="473"/>
      <c r="BV299" s="471"/>
      <c r="BW299" s="472"/>
      <c r="BX299" s="472"/>
      <c r="BY299" s="472"/>
      <c r="BZ299" s="472"/>
      <c r="CA299" s="473"/>
      <c r="CB299" s="466"/>
      <c r="CC299" s="467"/>
      <c r="CD299" s="467"/>
      <c r="CE299" s="468"/>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5">
      <c r="A300" s="435"/>
      <c r="B300" s="36"/>
      <c r="C300" s="199" t="str">
        <f t="shared" ca="1" si="6"/>
        <v/>
      </c>
      <c r="D300" s="479"/>
      <c r="E300" s="480"/>
      <c r="F300" s="480"/>
      <c r="G300" s="480"/>
      <c r="H300" s="480"/>
      <c r="I300" s="480"/>
      <c r="J300" s="480"/>
      <c r="K300" s="440"/>
      <c r="L300" s="441"/>
      <c r="M300" s="441"/>
      <c r="N300" s="441"/>
      <c r="O300" s="441"/>
      <c r="P300" s="441"/>
      <c r="Q300" s="441"/>
      <c r="R300" s="444"/>
      <c r="S300" s="445"/>
      <c r="T300" s="444"/>
      <c r="U300" s="445"/>
      <c r="V300" s="440"/>
      <c r="W300" s="441"/>
      <c r="X300" s="441"/>
      <c r="Y300" s="441"/>
      <c r="Z300" s="441"/>
      <c r="AA300" s="441"/>
      <c r="AB300" s="441"/>
      <c r="AC300" s="441"/>
      <c r="AD300" s="440"/>
      <c r="AE300" s="441"/>
      <c r="AF300" s="441"/>
      <c r="AG300" s="441"/>
      <c r="AH300" s="441"/>
      <c r="AI300" s="441"/>
      <c r="AJ300" s="441"/>
      <c r="AK300" s="450"/>
      <c r="AL300" s="440"/>
      <c r="AM300" s="441"/>
      <c r="AN300" s="441"/>
      <c r="AO300" s="441"/>
      <c r="AP300" s="441"/>
      <c r="AQ300" s="441"/>
      <c r="AR300" s="450"/>
      <c r="AS300" s="485"/>
      <c r="AT300" s="486"/>
      <c r="AU300" s="486"/>
      <c r="AV300" s="486"/>
      <c r="AW300" s="486"/>
      <c r="AX300" s="486"/>
      <c r="AY300" s="487"/>
      <c r="AZ300" s="462"/>
      <c r="BA300" s="463"/>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5">
      <c r="A301" s="435"/>
      <c r="B301" s="36"/>
      <c r="C301" s="199" t="str">
        <f t="shared" ca="1" si="6"/>
        <v/>
      </c>
      <c r="D301" s="479"/>
      <c r="E301" s="480"/>
      <c r="F301" s="480"/>
      <c r="G301" s="480"/>
      <c r="H301" s="480"/>
      <c r="I301" s="480"/>
      <c r="J301" s="480"/>
      <c r="K301" s="440"/>
      <c r="L301" s="441"/>
      <c r="M301" s="441"/>
      <c r="N301" s="441"/>
      <c r="O301" s="441"/>
      <c r="P301" s="441"/>
      <c r="Q301" s="441"/>
      <c r="R301" s="444"/>
      <c r="S301" s="445"/>
      <c r="T301" s="444"/>
      <c r="U301" s="445"/>
      <c r="V301" s="440"/>
      <c r="W301" s="441"/>
      <c r="X301" s="441"/>
      <c r="Y301" s="441"/>
      <c r="Z301" s="441"/>
      <c r="AA301" s="441"/>
      <c r="AB301" s="441"/>
      <c r="AC301" s="441"/>
      <c r="AD301" s="440"/>
      <c r="AE301" s="441"/>
      <c r="AF301" s="441"/>
      <c r="AG301" s="441"/>
      <c r="AH301" s="441"/>
      <c r="AI301" s="441"/>
      <c r="AJ301" s="441"/>
      <c r="AK301" s="450"/>
      <c r="AL301" s="440"/>
      <c r="AM301" s="441"/>
      <c r="AN301" s="441"/>
      <c r="AO301" s="441"/>
      <c r="AP301" s="441"/>
      <c r="AQ301" s="441"/>
      <c r="AR301" s="450"/>
      <c r="AS301" s="485"/>
      <c r="AT301" s="486"/>
      <c r="AU301" s="486"/>
      <c r="AV301" s="486"/>
      <c r="AW301" s="486"/>
      <c r="AX301" s="486"/>
      <c r="AY301" s="487"/>
      <c r="AZ301" s="462"/>
      <c r="BA301" s="463"/>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5">
      <c r="A302" s="435"/>
      <c r="B302" s="36"/>
      <c r="C302" s="199" t="str">
        <f t="shared" ca="1" si="6"/>
        <v/>
      </c>
      <c r="D302" s="479"/>
      <c r="E302" s="480"/>
      <c r="F302" s="480"/>
      <c r="G302" s="480"/>
      <c r="H302" s="480"/>
      <c r="I302" s="480"/>
      <c r="J302" s="480"/>
      <c r="K302" s="440"/>
      <c r="L302" s="441"/>
      <c r="M302" s="441"/>
      <c r="N302" s="441"/>
      <c r="O302" s="441"/>
      <c r="P302" s="441"/>
      <c r="Q302" s="441"/>
      <c r="R302" s="444"/>
      <c r="S302" s="445"/>
      <c r="T302" s="444"/>
      <c r="U302" s="445"/>
      <c r="V302" s="440"/>
      <c r="W302" s="441"/>
      <c r="X302" s="441"/>
      <c r="Y302" s="441"/>
      <c r="Z302" s="441"/>
      <c r="AA302" s="441"/>
      <c r="AB302" s="441"/>
      <c r="AC302" s="441"/>
      <c r="AD302" s="440"/>
      <c r="AE302" s="441"/>
      <c r="AF302" s="441"/>
      <c r="AG302" s="441"/>
      <c r="AH302" s="441"/>
      <c r="AI302" s="441"/>
      <c r="AJ302" s="441"/>
      <c r="AK302" s="450"/>
      <c r="AL302" s="440"/>
      <c r="AM302" s="441"/>
      <c r="AN302" s="441"/>
      <c r="AO302" s="441"/>
      <c r="AP302" s="441"/>
      <c r="AQ302" s="441"/>
      <c r="AR302" s="450"/>
      <c r="AS302" s="485"/>
      <c r="AT302" s="486"/>
      <c r="AU302" s="486"/>
      <c r="AV302" s="486"/>
      <c r="AW302" s="486"/>
      <c r="AX302" s="486"/>
      <c r="AY302" s="487"/>
      <c r="AZ302" s="462"/>
      <c r="BA302" s="463"/>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5">
      <c r="A303" s="435"/>
      <c r="B303" s="36"/>
      <c r="C303" s="199" t="str">
        <f t="shared" ca="1" si="6"/>
        <v/>
      </c>
      <c r="D303" s="479"/>
      <c r="E303" s="480"/>
      <c r="F303" s="480"/>
      <c r="G303" s="480"/>
      <c r="H303" s="480"/>
      <c r="I303" s="480"/>
      <c r="J303" s="480"/>
      <c r="K303" s="440"/>
      <c r="L303" s="441"/>
      <c r="M303" s="441"/>
      <c r="N303" s="441"/>
      <c r="O303" s="441"/>
      <c r="P303" s="441"/>
      <c r="Q303" s="441"/>
      <c r="R303" s="444"/>
      <c r="S303" s="445"/>
      <c r="T303" s="444"/>
      <c r="U303" s="445"/>
      <c r="V303" s="440"/>
      <c r="W303" s="441"/>
      <c r="X303" s="441"/>
      <c r="Y303" s="441"/>
      <c r="Z303" s="441"/>
      <c r="AA303" s="441"/>
      <c r="AB303" s="441"/>
      <c r="AC303" s="441"/>
      <c r="AD303" s="440"/>
      <c r="AE303" s="441"/>
      <c r="AF303" s="441"/>
      <c r="AG303" s="441"/>
      <c r="AH303" s="441"/>
      <c r="AI303" s="441"/>
      <c r="AJ303" s="441"/>
      <c r="AK303" s="450"/>
      <c r="AL303" s="440"/>
      <c r="AM303" s="441"/>
      <c r="AN303" s="441"/>
      <c r="AO303" s="441"/>
      <c r="AP303" s="441"/>
      <c r="AQ303" s="441"/>
      <c r="AR303" s="450"/>
      <c r="AS303" s="485"/>
      <c r="AT303" s="486"/>
      <c r="AU303" s="486"/>
      <c r="AV303" s="486"/>
      <c r="AW303" s="486"/>
      <c r="AX303" s="486"/>
      <c r="AY303" s="487"/>
      <c r="AZ303" s="462"/>
      <c r="BA303" s="463"/>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5">
      <c r="A304" s="436"/>
      <c r="B304" s="37"/>
      <c r="C304" s="200" t="str">
        <f t="shared" ca="1" si="6"/>
        <v/>
      </c>
      <c r="D304" s="481"/>
      <c r="E304" s="482"/>
      <c r="F304" s="482"/>
      <c r="G304" s="482"/>
      <c r="H304" s="482"/>
      <c r="I304" s="482"/>
      <c r="J304" s="482"/>
      <c r="K304" s="409"/>
      <c r="L304" s="410"/>
      <c r="M304" s="410"/>
      <c r="N304" s="410"/>
      <c r="O304" s="410"/>
      <c r="P304" s="410"/>
      <c r="Q304" s="410"/>
      <c r="R304" s="446"/>
      <c r="S304" s="447"/>
      <c r="T304" s="446"/>
      <c r="U304" s="44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88"/>
      <c r="AT304" s="489"/>
      <c r="AU304" s="489"/>
      <c r="AV304" s="489"/>
      <c r="AW304" s="489"/>
      <c r="AX304" s="489"/>
      <c r="AY304" s="490"/>
      <c r="AZ304" s="464"/>
      <c r="BA304" s="465"/>
      <c r="BB304" s="62">
        <v>6</v>
      </c>
      <c r="BC304" s="426"/>
      <c r="BD304" s="427"/>
      <c r="BE304" s="427"/>
      <c r="BF304" s="428"/>
      <c r="BG304" s="429"/>
      <c r="BH304" s="430"/>
      <c r="BI304" s="196"/>
      <c r="BJ304" s="474"/>
      <c r="BK304" s="475"/>
      <c r="BL304" s="475"/>
      <c r="BM304" s="475"/>
      <c r="BN304" s="475"/>
      <c r="BO304" s="476"/>
      <c r="BP304" s="474"/>
      <c r="BQ304" s="475"/>
      <c r="BR304" s="475"/>
      <c r="BS304" s="475"/>
      <c r="BT304" s="475"/>
      <c r="BU304" s="476"/>
      <c r="BV304" s="474"/>
      <c r="BW304" s="475"/>
      <c r="BX304" s="475"/>
      <c r="BY304" s="475"/>
      <c r="BZ304" s="475"/>
      <c r="CA304" s="476"/>
      <c r="CB304" s="426"/>
      <c r="CC304" s="427"/>
      <c r="CD304" s="427"/>
      <c r="CE304" s="428"/>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5">
      <c r="A305" s="434">
        <v>50</v>
      </c>
      <c r="B305" s="36"/>
      <c r="C305" s="198" t="str">
        <f t="shared" ca="1" si="6"/>
        <v/>
      </c>
      <c r="D305" s="477"/>
      <c r="E305" s="478"/>
      <c r="F305" s="478"/>
      <c r="G305" s="478"/>
      <c r="H305" s="478"/>
      <c r="I305" s="478"/>
      <c r="J305" s="478"/>
      <c r="K305" s="438" t="s">
        <v>534</v>
      </c>
      <c r="L305" s="439"/>
      <c r="M305" s="439"/>
      <c r="N305" s="439"/>
      <c r="O305" s="439"/>
      <c r="P305" s="439"/>
      <c r="Q305" s="439"/>
      <c r="R305" s="442" t="s">
        <v>186</v>
      </c>
      <c r="S305" s="443"/>
      <c r="T305" s="442"/>
      <c r="U305" s="443"/>
      <c r="V305" s="438"/>
      <c r="W305" s="439"/>
      <c r="X305" s="439"/>
      <c r="Y305" s="439"/>
      <c r="Z305" s="439"/>
      <c r="AA305" s="439"/>
      <c r="AB305" s="439"/>
      <c r="AC305" s="439"/>
      <c r="AD305" s="438"/>
      <c r="AE305" s="439"/>
      <c r="AF305" s="439"/>
      <c r="AG305" s="439"/>
      <c r="AH305" s="439"/>
      <c r="AI305" s="439"/>
      <c r="AJ305" s="439"/>
      <c r="AK305" s="449"/>
      <c r="AL305" s="438"/>
      <c r="AM305" s="439"/>
      <c r="AN305" s="439"/>
      <c r="AO305" s="439"/>
      <c r="AP305" s="439"/>
      <c r="AQ305" s="439"/>
      <c r="AR305" s="449"/>
      <c r="AS305" s="500"/>
      <c r="AT305" s="483"/>
      <c r="AU305" s="483"/>
      <c r="AV305" s="483"/>
      <c r="AW305" s="483"/>
      <c r="AX305" s="483"/>
      <c r="AY305" s="484"/>
      <c r="AZ305" s="460"/>
      <c r="BA305" s="461"/>
      <c r="BB305" s="60">
        <v>1</v>
      </c>
      <c r="BC305" s="466"/>
      <c r="BD305" s="467"/>
      <c r="BE305" s="467"/>
      <c r="BF305" s="468"/>
      <c r="BG305" s="469"/>
      <c r="BH305" s="470"/>
      <c r="BI305" s="194"/>
      <c r="BJ305" s="471"/>
      <c r="BK305" s="472"/>
      <c r="BL305" s="472"/>
      <c r="BM305" s="472"/>
      <c r="BN305" s="472"/>
      <c r="BO305" s="473"/>
      <c r="BP305" s="471"/>
      <c r="BQ305" s="472"/>
      <c r="BR305" s="472"/>
      <c r="BS305" s="472"/>
      <c r="BT305" s="472"/>
      <c r="BU305" s="473"/>
      <c r="BV305" s="471"/>
      <c r="BW305" s="472"/>
      <c r="BX305" s="472"/>
      <c r="BY305" s="472"/>
      <c r="BZ305" s="472"/>
      <c r="CA305" s="473"/>
      <c r="CB305" s="466"/>
      <c r="CC305" s="467"/>
      <c r="CD305" s="467"/>
      <c r="CE305" s="468"/>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5">
      <c r="A306" s="435"/>
      <c r="B306" s="36"/>
      <c r="C306" s="199" t="str">
        <f t="shared" ca="1" si="6"/>
        <v/>
      </c>
      <c r="D306" s="479"/>
      <c r="E306" s="480"/>
      <c r="F306" s="480"/>
      <c r="G306" s="480"/>
      <c r="H306" s="480"/>
      <c r="I306" s="480"/>
      <c r="J306" s="480"/>
      <c r="K306" s="440"/>
      <c r="L306" s="441"/>
      <c r="M306" s="441"/>
      <c r="N306" s="441"/>
      <c r="O306" s="441"/>
      <c r="P306" s="441"/>
      <c r="Q306" s="441"/>
      <c r="R306" s="444"/>
      <c r="S306" s="445"/>
      <c r="T306" s="444"/>
      <c r="U306" s="445"/>
      <c r="V306" s="440"/>
      <c r="W306" s="441"/>
      <c r="X306" s="441"/>
      <c r="Y306" s="441"/>
      <c r="Z306" s="441"/>
      <c r="AA306" s="441"/>
      <c r="AB306" s="441"/>
      <c r="AC306" s="441"/>
      <c r="AD306" s="440"/>
      <c r="AE306" s="441"/>
      <c r="AF306" s="441"/>
      <c r="AG306" s="441"/>
      <c r="AH306" s="441"/>
      <c r="AI306" s="441"/>
      <c r="AJ306" s="441"/>
      <c r="AK306" s="450"/>
      <c r="AL306" s="440"/>
      <c r="AM306" s="441"/>
      <c r="AN306" s="441"/>
      <c r="AO306" s="441"/>
      <c r="AP306" s="441"/>
      <c r="AQ306" s="441"/>
      <c r="AR306" s="450"/>
      <c r="AS306" s="485"/>
      <c r="AT306" s="486"/>
      <c r="AU306" s="486"/>
      <c r="AV306" s="486"/>
      <c r="AW306" s="486"/>
      <c r="AX306" s="486"/>
      <c r="AY306" s="487"/>
      <c r="AZ306" s="462"/>
      <c r="BA306" s="463"/>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5">
      <c r="A307" s="435"/>
      <c r="B307" s="36"/>
      <c r="C307" s="199" t="str">
        <f t="shared" ca="1" si="6"/>
        <v/>
      </c>
      <c r="D307" s="479"/>
      <c r="E307" s="480"/>
      <c r="F307" s="480"/>
      <c r="G307" s="480"/>
      <c r="H307" s="480"/>
      <c r="I307" s="480"/>
      <c r="J307" s="480"/>
      <c r="K307" s="440"/>
      <c r="L307" s="441"/>
      <c r="M307" s="441"/>
      <c r="N307" s="441"/>
      <c r="O307" s="441"/>
      <c r="P307" s="441"/>
      <c r="Q307" s="441"/>
      <c r="R307" s="444"/>
      <c r="S307" s="445"/>
      <c r="T307" s="444"/>
      <c r="U307" s="445"/>
      <c r="V307" s="440"/>
      <c r="W307" s="441"/>
      <c r="X307" s="441"/>
      <c r="Y307" s="441"/>
      <c r="Z307" s="441"/>
      <c r="AA307" s="441"/>
      <c r="AB307" s="441"/>
      <c r="AC307" s="441"/>
      <c r="AD307" s="440"/>
      <c r="AE307" s="441"/>
      <c r="AF307" s="441"/>
      <c r="AG307" s="441"/>
      <c r="AH307" s="441"/>
      <c r="AI307" s="441"/>
      <c r="AJ307" s="441"/>
      <c r="AK307" s="450"/>
      <c r="AL307" s="440"/>
      <c r="AM307" s="441"/>
      <c r="AN307" s="441"/>
      <c r="AO307" s="441"/>
      <c r="AP307" s="441"/>
      <c r="AQ307" s="441"/>
      <c r="AR307" s="450"/>
      <c r="AS307" s="485"/>
      <c r="AT307" s="486"/>
      <c r="AU307" s="486"/>
      <c r="AV307" s="486"/>
      <c r="AW307" s="486"/>
      <c r="AX307" s="486"/>
      <c r="AY307" s="487"/>
      <c r="AZ307" s="462"/>
      <c r="BA307" s="463"/>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5">
      <c r="A308" s="435"/>
      <c r="B308" s="36"/>
      <c r="C308" s="199" t="str">
        <f t="shared" ca="1" si="6"/>
        <v/>
      </c>
      <c r="D308" s="479"/>
      <c r="E308" s="480"/>
      <c r="F308" s="480"/>
      <c r="G308" s="480"/>
      <c r="H308" s="480"/>
      <c r="I308" s="480"/>
      <c r="J308" s="480"/>
      <c r="K308" s="440"/>
      <c r="L308" s="441"/>
      <c r="M308" s="441"/>
      <c r="N308" s="441"/>
      <c r="O308" s="441"/>
      <c r="P308" s="441"/>
      <c r="Q308" s="441"/>
      <c r="R308" s="444"/>
      <c r="S308" s="445"/>
      <c r="T308" s="444"/>
      <c r="U308" s="445"/>
      <c r="V308" s="440"/>
      <c r="W308" s="441"/>
      <c r="X308" s="441"/>
      <c r="Y308" s="441"/>
      <c r="Z308" s="441"/>
      <c r="AA308" s="441"/>
      <c r="AB308" s="441"/>
      <c r="AC308" s="441"/>
      <c r="AD308" s="440"/>
      <c r="AE308" s="441"/>
      <c r="AF308" s="441"/>
      <c r="AG308" s="441"/>
      <c r="AH308" s="441"/>
      <c r="AI308" s="441"/>
      <c r="AJ308" s="441"/>
      <c r="AK308" s="450"/>
      <c r="AL308" s="440"/>
      <c r="AM308" s="441"/>
      <c r="AN308" s="441"/>
      <c r="AO308" s="441"/>
      <c r="AP308" s="441"/>
      <c r="AQ308" s="441"/>
      <c r="AR308" s="450"/>
      <c r="AS308" s="485"/>
      <c r="AT308" s="486"/>
      <c r="AU308" s="486"/>
      <c r="AV308" s="486"/>
      <c r="AW308" s="486"/>
      <c r="AX308" s="486"/>
      <c r="AY308" s="487"/>
      <c r="AZ308" s="462"/>
      <c r="BA308" s="463"/>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5">
      <c r="A309" s="435"/>
      <c r="B309" s="36"/>
      <c r="C309" s="199" t="str">
        <f t="shared" ca="1" si="6"/>
        <v/>
      </c>
      <c r="D309" s="479"/>
      <c r="E309" s="480"/>
      <c r="F309" s="480"/>
      <c r="G309" s="480"/>
      <c r="H309" s="480"/>
      <c r="I309" s="480"/>
      <c r="J309" s="480"/>
      <c r="K309" s="440"/>
      <c r="L309" s="441"/>
      <c r="M309" s="441"/>
      <c r="N309" s="441"/>
      <c r="O309" s="441"/>
      <c r="P309" s="441"/>
      <c r="Q309" s="441"/>
      <c r="R309" s="444"/>
      <c r="S309" s="445"/>
      <c r="T309" s="444"/>
      <c r="U309" s="445"/>
      <c r="V309" s="440"/>
      <c r="W309" s="441"/>
      <c r="X309" s="441"/>
      <c r="Y309" s="441"/>
      <c r="Z309" s="441"/>
      <c r="AA309" s="441"/>
      <c r="AB309" s="441"/>
      <c r="AC309" s="441"/>
      <c r="AD309" s="440"/>
      <c r="AE309" s="441"/>
      <c r="AF309" s="441"/>
      <c r="AG309" s="441"/>
      <c r="AH309" s="441"/>
      <c r="AI309" s="441"/>
      <c r="AJ309" s="441"/>
      <c r="AK309" s="450"/>
      <c r="AL309" s="440"/>
      <c r="AM309" s="441"/>
      <c r="AN309" s="441"/>
      <c r="AO309" s="441"/>
      <c r="AP309" s="441"/>
      <c r="AQ309" s="441"/>
      <c r="AR309" s="450"/>
      <c r="AS309" s="485"/>
      <c r="AT309" s="486"/>
      <c r="AU309" s="486"/>
      <c r="AV309" s="486"/>
      <c r="AW309" s="486"/>
      <c r="AX309" s="486"/>
      <c r="AY309" s="487"/>
      <c r="AZ309" s="462"/>
      <c r="BA309" s="463"/>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5">
      <c r="A310" s="436"/>
      <c r="B310" s="37"/>
      <c r="C310" s="200" t="str">
        <f t="shared" ca="1" si="6"/>
        <v/>
      </c>
      <c r="D310" s="481"/>
      <c r="E310" s="482"/>
      <c r="F310" s="482"/>
      <c r="G310" s="482"/>
      <c r="H310" s="482"/>
      <c r="I310" s="482"/>
      <c r="J310" s="482"/>
      <c r="K310" s="409"/>
      <c r="L310" s="410"/>
      <c r="M310" s="410"/>
      <c r="N310" s="410"/>
      <c r="O310" s="410"/>
      <c r="P310" s="410"/>
      <c r="Q310" s="410"/>
      <c r="R310" s="446"/>
      <c r="S310" s="447"/>
      <c r="T310" s="446"/>
      <c r="U310" s="44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88"/>
      <c r="AT310" s="489"/>
      <c r="AU310" s="489"/>
      <c r="AV310" s="489"/>
      <c r="AW310" s="489"/>
      <c r="AX310" s="489"/>
      <c r="AY310" s="490"/>
      <c r="AZ310" s="464"/>
      <c r="BA310" s="465"/>
      <c r="BB310" s="62">
        <v>6</v>
      </c>
      <c r="BC310" s="426"/>
      <c r="BD310" s="427"/>
      <c r="BE310" s="427"/>
      <c r="BF310" s="428"/>
      <c r="BG310" s="429"/>
      <c r="BH310" s="430"/>
      <c r="BI310" s="196"/>
      <c r="BJ310" s="474"/>
      <c r="BK310" s="475"/>
      <c r="BL310" s="475"/>
      <c r="BM310" s="475"/>
      <c r="BN310" s="475"/>
      <c r="BO310" s="476"/>
      <c r="BP310" s="474"/>
      <c r="BQ310" s="475"/>
      <c r="BR310" s="475"/>
      <c r="BS310" s="475"/>
      <c r="BT310" s="475"/>
      <c r="BU310" s="476"/>
      <c r="BV310" s="474"/>
      <c r="BW310" s="475"/>
      <c r="BX310" s="475"/>
      <c r="BY310" s="475"/>
      <c r="BZ310" s="475"/>
      <c r="CA310" s="476"/>
      <c r="CB310" s="426"/>
      <c r="CC310" s="427"/>
      <c r="CD310" s="427"/>
      <c r="CE310" s="428"/>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5">
      <c r="A311" s="434">
        <v>51</v>
      </c>
      <c r="B311" s="36"/>
      <c r="C311" s="198" t="str">
        <f t="shared" ca="1" si="6"/>
        <v/>
      </c>
      <c r="D311" s="477"/>
      <c r="E311" s="478"/>
      <c r="F311" s="478"/>
      <c r="G311" s="478"/>
      <c r="H311" s="478"/>
      <c r="I311" s="478"/>
      <c r="J311" s="478"/>
      <c r="K311" s="438" t="s">
        <v>535</v>
      </c>
      <c r="L311" s="439"/>
      <c r="M311" s="439"/>
      <c r="N311" s="439"/>
      <c r="O311" s="439"/>
      <c r="P311" s="439"/>
      <c r="Q311" s="439"/>
      <c r="R311" s="442" t="s">
        <v>186</v>
      </c>
      <c r="S311" s="443"/>
      <c r="T311" s="442"/>
      <c r="U311" s="443"/>
      <c r="V311" s="438"/>
      <c r="W311" s="439"/>
      <c r="X311" s="439"/>
      <c r="Y311" s="439"/>
      <c r="Z311" s="439"/>
      <c r="AA311" s="439"/>
      <c r="AB311" s="439"/>
      <c r="AC311" s="439"/>
      <c r="AD311" s="438"/>
      <c r="AE311" s="439"/>
      <c r="AF311" s="439"/>
      <c r="AG311" s="439"/>
      <c r="AH311" s="439"/>
      <c r="AI311" s="439"/>
      <c r="AJ311" s="439"/>
      <c r="AK311" s="449"/>
      <c r="AL311" s="438"/>
      <c r="AM311" s="439"/>
      <c r="AN311" s="439"/>
      <c r="AO311" s="439"/>
      <c r="AP311" s="439"/>
      <c r="AQ311" s="439"/>
      <c r="AR311" s="449"/>
      <c r="AS311" s="500"/>
      <c r="AT311" s="483"/>
      <c r="AU311" s="483"/>
      <c r="AV311" s="483"/>
      <c r="AW311" s="483"/>
      <c r="AX311" s="483"/>
      <c r="AY311" s="484"/>
      <c r="AZ311" s="460"/>
      <c r="BA311" s="461"/>
      <c r="BB311" s="60">
        <v>1</v>
      </c>
      <c r="BC311" s="466"/>
      <c r="BD311" s="467"/>
      <c r="BE311" s="467"/>
      <c r="BF311" s="468"/>
      <c r="BG311" s="469"/>
      <c r="BH311" s="470"/>
      <c r="BI311" s="194"/>
      <c r="BJ311" s="471"/>
      <c r="BK311" s="472"/>
      <c r="BL311" s="472"/>
      <c r="BM311" s="472"/>
      <c r="BN311" s="472"/>
      <c r="BO311" s="473"/>
      <c r="BP311" s="471"/>
      <c r="BQ311" s="472"/>
      <c r="BR311" s="472"/>
      <c r="BS311" s="472"/>
      <c r="BT311" s="472"/>
      <c r="BU311" s="473"/>
      <c r="BV311" s="471"/>
      <c r="BW311" s="472"/>
      <c r="BX311" s="472"/>
      <c r="BY311" s="472"/>
      <c r="BZ311" s="472"/>
      <c r="CA311" s="473"/>
      <c r="CB311" s="466"/>
      <c r="CC311" s="467"/>
      <c r="CD311" s="467"/>
      <c r="CE311" s="468"/>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5">
      <c r="A312" s="435"/>
      <c r="B312" s="36"/>
      <c r="C312" s="199" t="str">
        <f t="shared" ca="1" si="6"/>
        <v/>
      </c>
      <c r="D312" s="479"/>
      <c r="E312" s="480"/>
      <c r="F312" s="480"/>
      <c r="G312" s="480"/>
      <c r="H312" s="480"/>
      <c r="I312" s="480"/>
      <c r="J312" s="480"/>
      <c r="K312" s="440"/>
      <c r="L312" s="441"/>
      <c r="M312" s="441"/>
      <c r="N312" s="441"/>
      <c r="O312" s="441"/>
      <c r="P312" s="441"/>
      <c r="Q312" s="441"/>
      <c r="R312" s="444"/>
      <c r="S312" s="445"/>
      <c r="T312" s="444"/>
      <c r="U312" s="445"/>
      <c r="V312" s="440"/>
      <c r="W312" s="441"/>
      <c r="X312" s="441"/>
      <c r="Y312" s="441"/>
      <c r="Z312" s="441"/>
      <c r="AA312" s="441"/>
      <c r="AB312" s="441"/>
      <c r="AC312" s="441"/>
      <c r="AD312" s="440"/>
      <c r="AE312" s="441"/>
      <c r="AF312" s="441"/>
      <c r="AG312" s="441"/>
      <c r="AH312" s="441"/>
      <c r="AI312" s="441"/>
      <c r="AJ312" s="441"/>
      <c r="AK312" s="450"/>
      <c r="AL312" s="440"/>
      <c r="AM312" s="441"/>
      <c r="AN312" s="441"/>
      <c r="AO312" s="441"/>
      <c r="AP312" s="441"/>
      <c r="AQ312" s="441"/>
      <c r="AR312" s="450"/>
      <c r="AS312" s="485"/>
      <c r="AT312" s="486"/>
      <c r="AU312" s="486"/>
      <c r="AV312" s="486"/>
      <c r="AW312" s="486"/>
      <c r="AX312" s="486"/>
      <c r="AY312" s="487"/>
      <c r="AZ312" s="462"/>
      <c r="BA312" s="463"/>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5">
      <c r="A313" s="435"/>
      <c r="B313" s="36"/>
      <c r="C313" s="199" t="str">
        <f t="shared" ca="1" si="6"/>
        <v/>
      </c>
      <c r="D313" s="479"/>
      <c r="E313" s="480"/>
      <c r="F313" s="480"/>
      <c r="G313" s="480"/>
      <c r="H313" s="480"/>
      <c r="I313" s="480"/>
      <c r="J313" s="480"/>
      <c r="K313" s="440"/>
      <c r="L313" s="441"/>
      <c r="M313" s="441"/>
      <c r="N313" s="441"/>
      <c r="O313" s="441"/>
      <c r="P313" s="441"/>
      <c r="Q313" s="441"/>
      <c r="R313" s="444"/>
      <c r="S313" s="445"/>
      <c r="T313" s="444"/>
      <c r="U313" s="445"/>
      <c r="V313" s="440"/>
      <c r="W313" s="441"/>
      <c r="X313" s="441"/>
      <c r="Y313" s="441"/>
      <c r="Z313" s="441"/>
      <c r="AA313" s="441"/>
      <c r="AB313" s="441"/>
      <c r="AC313" s="441"/>
      <c r="AD313" s="440"/>
      <c r="AE313" s="441"/>
      <c r="AF313" s="441"/>
      <c r="AG313" s="441"/>
      <c r="AH313" s="441"/>
      <c r="AI313" s="441"/>
      <c r="AJ313" s="441"/>
      <c r="AK313" s="450"/>
      <c r="AL313" s="440"/>
      <c r="AM313" s="441"/>
      <c r="AN313" s="441"/>
      <c r="AO313" s="441"/>
      <c r="AP313" s="441"/>
      <c r="AQ313" s="441"/>
      <c r="AR313" s="450"/>
      <c r="AS313" s="485"/>
      <c r="AT313" s="486"/>
      <c r="AU313" s="486"/>
      <c r="AV313" s="486"/>
      <c r="AW313" s="486"/>
      <c r="AX313" s="486"/>
      <c r="AY313" s="487"/>
      <c r="AZ313" s="462"/>
      <c r="BA313" s="463"/>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5">
      <c r="A314" s="435"/>
      <c r="B314" s="36"/>
      <c r="C314" s="199" t="str">
        <f t="shared" ca="1" si="6"/>
        <v/>
      </c>
      <c r="D314" s="479"/>
      <c r="E314" s="480"/>
      <c r="F314" s="480"/>
      <c r="G314" s="480"/>
      <c r="H314" s="480"/>
      <c r="I314" s="480"/>
      <c r="J314" s="480"/>
      <c r="K314" s="440"/>
      <c r="L314" s="441"/>
      <c r="M314" s="441"/>
      <c r="N314" s="441"/>
      <c r="O314" s="441"/>
      <c r="P314" s="441"/>
      <c r="Q314" s="441"/>
      <c r="R314" s="444"/>
      <c r="S314" s="445"/>
      <c r="T314" s="444"/>
      <c r="U314" s="445"/>
      <c r="V314" s="440"/>
      <c r="W314" s="441"/>
      <c r="X314" s="441"/>
      <c r="Y314" s="441"/>
      <c r="Z314" s="441"/>
      <c r="AA314" s="441"/>
      <c r="AB314" s="441"/>
      <c r="AC314" s="441"/>
      <c r="AD314" s="440"/>
      <c r="AE314" s="441"/>
      <c r="AF314" s="441"/>
      <c r="AG314" s="441"/>
      <c r="AH314" s="441"/>
      <c r="AI314" s="441"/>
      <c r="AJ314" s="441"/>
      <c r="AK314" s="450"/>
      <c r="AL314" s="440"/>
      <c r="AM314" s="441"/>
      <c r="AN314" s="441"/>
      <c r="AO314" s="441"/>
      <c r="AP314" s="441"/>
      <c r="AQ314" s="441"/>
      <c r="AR314" s="450"/>
      <c r="AS314" s="485"/>
      <c r="AT314" s="486"/>
      <c r="AU314" s="486"/>
      <c r="AV314" s="486"/>
      <c r="AW314" s="486"/>
      <c r="AX314" s="486"/>
      <c r="AY314" s="487"/>
      <c r="AZ314" s="462"/>
      <c r="BA314" s="463"/>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5">
      <c r="A315" s="435"/>
      <c r="B315" s="36"/>
      <c r="C315" s="199" t="str">
        <f t="shared" ca="1" si="6"/>
        <v/>
      </c>
      <c r="D315" s="479"/>
      <c r="E315" s="480"/>
      <c r="F315" s="480"/>
      <c r="G315" s="480"/>
      <c r="H315" s="480"/>
      <c r="I315" s="480"/>
      <c r="J315" s="480"/>
      <c r="K315" s="440"/>
      <c r="L315" s="441"/>
      <c r="M315" s="441"/>
      <c r="N315" s="441"/>
      <c r="O315" s="441"/>
      <c r="P315" s="441"/>
      <c r="Q315" s="441"/>
      <c r="R315" s="444"/>
      <c r="S315" s="445"/>
      <c r="T315" s="444"/>
      <c r="U315" s="445"/>
      <c r="V315" s="440"/>
      <c r="W315" s="441"/>
      <c r="X315" s="441"/>
      <c r="Y315" s="441"/>
      <c r="Z315" s="441"/>
      <c r="AA315" s="441"/>
      <c r="AB315" s="441"/>
      <c r="AC315" s="441"/>
      <c r="AD315" s="440"/>
      <c r="AE315" s="441"/>
      <c r="AF315" s="441"/>
      <c r="AG315" s="441"/>
      <c r="AH315" s="441"/>
      <c r="AI315" s="441"/>
      <c r="AJ315" s="441"/>
      <c r="AK315" s="450"/>
      <c r="AL315" s="440"/>
      <c r="AM315" s="441"/>
      <c r="AN315" s="441"/>
      <c r="AO315" s="441"/>
      <c r="AP315" s="441"/>
      <c r="AQ315" s="441"/>
      <c r="AR315" s="450"/>
      <c r="AS315" s="485"/>
      <c r="AT315" s="486"/>
      <c r="AU315" s="486"/>
      <c r="AV315" s="486"/>
      <c r="AW315" s="486"/>
      <c r="AX315" s="486"/>
      <c r="AY315" s="487"/>
      <c r="AZ315" s="462"/>
      <c r="BA315" s="463"/>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5">
      <c r="A316" s="436"/>
      <c r="B316" s="37"/>
      <c r="C316" s="200" t="str">
        <f t="shared" ca="1" si="6"/>
        <v/>
      </c>
      <c r="D316" s="481"/>
      <c r="E316" s="482"/>
      <c r="F316" s="482"/>
      <c r="G316" s="482"/>
      <c r="H316" s="482"/>
      <c r="I316" s="482"/>
      <c r="J316" s="482"/>
      <c r="K316" s="409"/>
      <c r="L316" s="410"/>
      <c r="M316" s="410"/>
      <c r="N316" s="410"/>
      <c r="O316" s="410"/>
      <c r="P316" s="410"/>
      <c r="Q316" s="410"/>
      <c r="R316" s="446"/>
      <c r="S316" s="447"/>
      <c r="T316" s="446"/>
      <c r="U316" s="44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88"/>
      <c r="AT316" s="489"/>
      <c r="AU316" s="489"/>
      <c r="AV316" s="489"/>
      <c r="AW316" s="489"/>
      <c r="AX316" s="489"/>
      <c r="AY316" s="490"/>
      <c r="AZ316" s="464"/>
      <c r="BA316" s="465"/>
      <c r="BB316" s="62">
        <v>6</v>
      </c>
      <c r="BC316" s="426"/>
      <c r="BD316" s="427"/>
      <c r="BE316" s="427"/>
      <c r="BF316" s="428"/>
      <c r="BG316" s="429"/>
      <c r="BH316" s="430"/>
      <c r="BI316" s="196"/>
      <c r="BJ316" s="474"/>
      <c r="BK316" s="475"/>
      <c r="BL316" s="475"/>
      <c r="BM316" s="475"/>
      <c r="BN316" s="475"/>
      <c r="BO316" s="476"/>
      <c r="BP316" s="474"/>
      <c r="BQ316" s="475"/>
      <c r="BR316" s="475"/>
      <c r="BS316" s="475"/>
      <c r="BT316" s="475"/>
      <c r="BU316" s="476"/>
      <c r="BV316" s="474"/>
      <c r="BW316" s="475"/>
      <c r="BX316" s="475"/>
      <c r="BY316" s="475"/>
      <c r="BZ316" s="475"/>
      <c r="CA316" s="476"/>
      <c r="CB316" s="426"/>
      <c r="CC316" s="427"/>
      <c r="CD316" s="427"/>
      <c r="CE316" s="428"/>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5">
      <c r="A317" s="434">
        <v>52</v>
      </c>
      <c r="B317" s="36"/>
      <c r="C317" s="198" t="str">
        <f t="shared" ca="1" si="6"/>
        <v/>
      </c>
      <c r="D317" s="477" t="s">
        <v>417</v>
      </c>
      <c r="E317" s="478"/>
      <c r="F317" s="478"/>
      <c r="G317" s="478"/>
      <c r="H317" s="478"/>
      <c r="I317" s="478"/>
      <c r="J317" s="478"/>
      <c r="K317" s="438" t="s">
        <v>536</v>
      </c>
      <c r="L317" s="439"/>
      <c r="M317" s="439"/>
      <c r="N317" s="439"/>
      <c r="O317" s="439"/>
      <c r="P317" s="439"/>
      <c r="Q317" s="439"/>
      <c r="R317" s="442" t="s">
        <v>186</v>
      </c>
      <c r="S317" s="443"/>
      <c r="T317" s="442"/>
      <c r="U317" s="443"/>
      <c r="V317" s="438"/>
      <c r="W317" s="439"/>
      <c r="X317" s="439"/>
      <c r="Y317" s="439"/>
      <c r="Z317" s="439"/>
      <c r="AA317" s="439"/>
      <c r="AB317" s="439"/>
      <c r="AC317" s="439"/>
      <c r="AD317" s="438"/>
      <c r="AE317" s="439"/>
      <c r="AF317" s="439"/>
      <c r="AG317" s="439"/>
      <c r="AH317" s="439"/>
      <c r="AI317" s="439"/>
      <c r="AJ317" s="439"/>
      <c r="AK317" s="449"/>
      <c r="AL317" s="438"/>
      <c r="AM317" s="439"/>
      <c r="AN317" s="439"/>
      <c r="AO317" s="439"/>
      <c r="AP317" s="439"/>
      <c r="AQ317" s="439"/>
      <c r="AR317" s="449"/>
      <c r="AS317" s="500"/>
      <c r="AT317" s="483"/>
      <c r="AU317" s="483"/>
      <c r="AV317" s="483"/>
      <c r="AW317" s="483"/>
      <c r="AX317" s="483"/>
      <c r="AY317" s="484"/>
      <c r="AZ317" s="460"/>
      <c r="BA317" s="461"/>
      <c r="BB317" s="60">
        <v>1</v>
      </c>
      <c r="BC317" s="466"/>
      <c r="BD317" s="467"/>
      <c r="BE317" s="467"/>
      <c r="BF317" s="468"/>
      <c r="BG317" s="469"/>
      <c r="BH317" s="470"/>
      <c r="BI317" s="194"/>
      <c r="BJ317" s="471"/>
      <c r="BK317" s="472"/>
      <c r="BL317" s="472"/>
      <c r="BM317" s="472"/>
      <c r="BN317" s="472"/>
      <c r="BO317" s="473"/>
      <c r="BP317" s="471"/>
      <c r="BQ317" s="472"/>
      <c r="BR317" s="472"/>
      <c r="BS317" s="472"/>
      <c r="BT317" s="472"/>
      <c r="BU317" s="473"/>
      <c r="BV317" s="471"/>
      <c r="BW317" s="472"/>
      <c r="BX317" s="472"/>
      <c r="BY317" s="472"/>
      <c r="BZ317" s="472"/>
      <c r="CA317" s="473"/>
      <c r="CB317" s="466"/>
      <c r="CC317" s="467"/>
      <c r="CD317" s="467"/>
      <c r="CE317" s="468"/>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5">
      <c r="A318" s="435"/>
      <c r="B318" s="36"/>
      <c r="C318" s="199" t="str">
        <f t="shared" ca="1" si="6"/>
        <v/>
      </c>
      <c r="D318" s="479"/>
      <c r="E318" s="480"/>
      <c r="F318" s="480"/>
      <c r="G318" s="480"/>
      <c r="H318" s="480"/>
      <c r="I318" s="480"/>
      <c r="J318" s="480"/>
      <c r="K318" s="440"/>
      <c r="L318" s="441"/>
      <c r="M318" s="441"/>
      <c r="N318" s="441"/>
      <c r="O318" s="441"/>
      <c r="P318" s="441"/>
      <c r="Q318" s="441"/>
      <c r="R318" s="444"/>
      <c r="S318" s="445"/>
      <c r="T318" s="444"/>
      <c r="U318" s="445"/>
      <c r="V318" s="440"/>
      <c r="W318" s="441"/>
      <c r="X318" s="441"/>
      <c r="Y318" s="441"/>
      <c r="Z318" s="441"/>
      <c r="AA318" s="441"/>
      <c r="AB318" s="441"/>
      <c r="AC318" s="441"/>
      <c r="AD318" s="440"/>
      <c r="AE318" s="441"/>
      <c r="AF318" s="441"/>
      <c r="AG318" s="441"/>
      <c r="AH318" s="441"/>
      <c r="AI318" s="441"/>
      <c r="AJ318" s="441"/>
      <c r="AK318" s="450"/>
      <c r="AL318" s="440"/>
      <c r="AM318" s="441"/>
      <c r="AN318" s="441"/>
      <c r="AO318" s="441"/>
      <c r="AP318" s="441"/>
      <c r="AQ318" s="441"/>
      <c r="AR318" s="450"/>
      <c r="AS318" s="485"/>
      <c r="AT318" s="486"/>
      <c r="AU318" s="486"/>
      <c r="AV318" s="486"/>
      <c r="AW318" s="486"/>
      <c r="AX318" s="486"/>
      <c r="AY318" s="487"/>
      <c r="AZ318" s="462"/>
      <c r="BA318" s="463"/>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5">
      <c r="A319" s="435"/>
      <c r="B319" s="36"/>
      <c r="C319" s="199" t="str">
        <f t="shared" ca="1" si="6"/>
        <v/>
      </c>
      <c r="D319" s="479"/>
      <c r="E319" s="480"/>
      <c r="F319" s="480"/>
      <c r="G319" s="480"/>
      <c r="H319" s="480"/>
      <c r="I319" s="480"/>
      <c r="J319" s="480"/>
      <c r="K319" s="440"/>
      <c r="L319" s="441"/>
      <c r="M319" s="441"/>
      <c r="N319" s="441"/>
      <c r="O319" s="441"/>
      <c r="P319" s="441"/>
      <c r="Q319" s="441"/>
      <c r="R319" s="444"/>
      <c r="S319" s="445"/>
      <c r="T319" s="444"/>
      <c r="U319" s="445"/>
      <c r="V319" s="440"/>
      <c r="W319" s="441"/>
      <c r="X319" s="441"/>
      <c r="Y319" s="441"/>
      <c r="Z319" s="441"/>
      <c r="AA319" s="441"/>
      <c r="AB319" s="441"/>
      <c r="AC319" s="441"/>
      <c r="AD319" s="440"/>
      <c r="AE319" s="441"/>
      <c r="AF319" s="441"/>
      <c r="AG319" s="441"/>
      <c r="AH319" s="441"/>
      <c r="AI319" s="441"/>
      <c r="AJ319" s="441"/>
      <c r="AK319" s="450"/>
      <c r="AL319" s="440"/>
      <c r="AM319" s="441"/>
      <c r="AN319" s="441"/>
      <c r="AO319" s="441"/>
      <c r="AP319" s="441"/>
      <c r="AQ319" s="441"/>
      <c r="AR319" s="450"/>
      <c r="AS319" s="485"/>
      <c r="AT319" s="486"/>
      <c r="AU319" s="486"/>
      <c r="AV319" s="486"/>
      <c r="AW319" s="486"/>
      <c r="AX319" s="486"/>
      <c r="AY319" s="487"/>
      <c r="AZ319" s="462"/>
      <c r="BA319" s="463"/>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5">
      <c r="A320" s="435"/>
      <c r="B320" s="36"/>
      <c r="C320" s="199" t="str">
        <f t="shared" ca="1" si="6"/>
        <v/>
      </c>
      <c r="D320" s="479"/>
      <c r="E320" s="480"/>
      <c r="F320" s="480"/>
      <c r="G320" s="480"/>
      <c r="H320" s="480"/>
      <c r="I320" s="480"/>
      <c r="J320" s="480"/>
      <c r="K320" s="440"/>
      <c r="L320" s="441"/>
      <c r="M320" s="441"/>
      <c r="N320" s="441"/>
      <c r="O320" s="441"/>
      <c r="P320" s="441"/>
      <c r="Q320" s="441"/>
      <c r="R320" s="444"/>
      <c r="S320" s="445"/>
      <c r="T320" s="444"/>
      <c r="U320" s="445"/>
      <c r="V320" s="440"/>
      <c r="W320" s="441"/>
      <c r="X320" s="441"/>
      <c r="Y320" s="441"/>
      <c r="Z320" s="441"/>
      <c r="AA320" s="441"/>
      <c r="AB320" s="441"/>
      <c r="AC320" s="441"/>
      <c r="AD320" s="440"/>
      <c r="AE320" s="441"/>
      <c r="AF320" s="441"/>
      <c r="AG320" s="441"/>
      <c r="AH320" s="441"/>
      <c r="AI320" s="441"/>
      <c r="AJ320" s="441"/>
      <c r="AK320" s="450"/>
      <c r="AL320" s="440"/>
      <c r="AM320" s="441"/>
      <c r="AN320" s="441"/>
      <c r="AO320" s="441"/>
      <c r="AP320" s="441"/>
      <c r="AQ320" s="441"/>
      <c r="AR320" s="450"/>
      <c r="AS320" s="485"/>
      <c r="AT320" s="486"/>
      <c r="AU320" s="486"/>
      <c r="AV320" s="486"/>
      <c r="AW320" s="486"/>
      <c r="AX320" s="486"/>
      <c r="AY320" s="487"/>
      <c r="AZ320" s="462"/>
      <c r="BA320" s="463"/>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5">
      <c r="A321" s="435"/>
      <c r="B321" s="36"/>
      <c r="C321" s="199" t="str">
        <f t="shared" ca="1" si="6"/>
        <v/>
      </c>
      <c r="D321" s="479"/>
      <c r="E321" s="480"/>
      <c r="F321" s="480"/>
      <c r="G321" s="480"/>
      <c r="H321" s="480"/>
      <c r="I321" s="480"/>
      <c r="J321" s="480"/>
      <c r="K321" s="440"/>
      <c r="L321" s="441"/>
      <c r="M321" s="441"/>
      <c r="N321" s="441"/>
      <c r="O321" s="441"/>
      <c r="P321" s="441"/>
      <c r="Q321" s="441"/>
      <c r="R321" s="444"/>
      <c r="S321" s="445"/>
      <c r="T321" s="444"/>
      <c r="U321" s="445"/>
      <c r="V321" s="440"/>
      <c r="W321" s="441"/>
      <c r="X321" s="441"/>
      <c r="Y321" s="441"/>
      <c r="Z321" s="441"/>
      <c r="AA321" s="441"/>
      <c r="AB321" s="441"/>
      <c r="AC321" s="441"/>
      <c r="AD321" s="440"/>
      <c r="AE321" s="441"/>
      <c r="AF321" s="441"/>
      <c r="AG321" s="441"/>
      <c r="AH321" s="441"/>
      <c r="AI321" s="441"/>
      <c r="AJ321" s="441"/>
      <c r="AK321" s="450"/>
      <c r="AL321" s="440"/>
      <c r="AM321" s="441"/>
      <c r="AN321" s="441"/>
      <c r="AO321" s="441"/>
      <c r="AP321" s="441"/>
      <c r="AQ321" s="441"/>
      <c r="AR321" s="450"/>
      <c r="AS321" s="485"/>
      <c r="AT321" s="486"/>
      <c r="AU321" s="486"/>
      <c r="AV321" s="486"/>
      <c r="AW321" s="486"/>
      <c r="AX321" s="486"/>
      <c r="AY321" s="487"/>
      <c r="AZ321" s="462"/>
      <c r="BA321" s="463"/>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5">
      <c r="A322" s="436"/>
      <c r="B322" s="37"/>
      <c r="C322" s="200" t="str">
        <f t="shared" ca="1" si="6"/>
        <v/>
      </c>
      <c r="D322" s="481"/>
      <c r="E322" s="482"/>
      <c r="F322" s="482"/>
      <c r="G322" s="482"/>
      <c r="H322" s="482"/>
      <c r="I322" s="482"/>
      <c r="J322" s="482"/>
      <c r="K322" s="409"/>
      <c r="L322" s="410"/>
      <c r="M322" s="410"/>
      <c r="N322" s="410"/>
      <c r="O322" s="410"/>
      <c r="P322" s="410"/>
      <c r="Q322" s="410"/>
      <c r="R322" s="446"/>
      <c r="S322" s="447"/>
      <c r="T322" s="446"/>
      <c r="U322" s="44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88"/>
      <c r="AT322" s="489"/>
      <c r="AU322" s="489"/>
      <c r="AV322" s="489"/>
      <c r="AW322" s="489"/>
      <c r="AX322" s="489"/>
      <c r="AY322" s="490"/>
      <c r="AZ322" s="464"/>
      <c r="BA322" s="465"/>
      <c r="BB322" s="62">
        <v>6</v>
      </c>
      <c r="BC322" s="426"/>
      <c r="BD322" s="427"/>
      <c r="BE322" s="427"/>
      <c r="BF322" s="428"/>
      <c r="BG322" s="429"/>
      <c r="BH322" s="430"/>
      <c r="BI322" s="196"/>
      <c r="BJ322" s="474"/>
      <c r="BK322" s="475"/>
      <c r="BL322" s="475"/>
      <c r="BM322" s="475"/>
      <c r="BN322" s="475"/>
      <c r="BO322" s="476"/>
      <c r="BP322" s="474"/>
      <c r="BQ322" s="475"/>
      <c r="BR322" s="475"/>
      <c r="BS322" s="475"/>
      <c r="BT322" s="475"/>
      <c r="BU322" s="476"/>
      <c r="BV322" s="474"/>
      <c r="BW322" s="475"/>
      <c r="BX322" s="475"/>
      <c r="BY322" s="475"/>
      <c r="BZ322" s="475"/>
      <c r="CA322" s="476"/>
      <c r="CB322" s="426"/>
      <c r="CC322" s="427"/>
      <c r="CD322" s="427"/>
      <c r="CE322" s="428"/>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5">
      <c r="A323" s="434">
        <v>53</v>
      </c>
      <c r="B323" s="36"/>
      <c r="C323" s="198" t="str">
        <f t="shared" ca="1" si="6"/>
        <v/>
      </c>
      <c r="D323" s="477"/>
      <c r="E323" s="478"/>
      <c r="F323" s="478"/>
      <c r="G323" s="478"/>
      <c r="H323" s="478"/>
      <c r="I323" s="478"/>
      <c r="J323" s="478"/>
      <c r="K323" s="438" t="s">
        <v>537</v>
      </c>
      <c r="L323" s="439"/>
      <c r="M323" s="439"/>
      <c r="N323" s="439"/>
      <c r="O323" s="439"/>
      <c r="P323" s="439"/>
      <c r="Q323" s="439"/>
      <c r="R323" s="442" t="s">
        <v>186</v>
      </c>
      <c r="S323" s="443"/>
      <c r="T323" s="442"/>
      <c r="U323" s="443"/>
      <c r="V323" s="438"/>
      <c r="W323" s="439"/>
      <c r="X323" s="439"/>
      <c r="Y323" s="439"/>
      <c r="Z323" s="439"/>
      <c r="AA323" s="439"/>
      <c r="AB323" s="439"/>
      <c r="AC323" s="439"/>
      <c r="AD323" s="438"/>
      <c r="AE323" s="439"/>
      <c r="AF323" s="439"/>
      <c r="AG323" s="439"/>
      <c r="AH323" s="439"/>
      <c r="AI323" s="439"/>
      <c r="AJ323" s="439"/>
      <c r="AK323" s="449"/>
      <c r="AL323" s="438"/>
      <c r="AM323" s="439"/>
      <c r="AN323" s="439"/>
      <c r="AO323" s="439"/>
      <c r="AP323" s="439"/>
      <c r="AQ323" s="439"/>
      <c r="AR323" s="449"/>
      <c r="AS323" s="500"/>
      <c r="AT323" s="483"/>
      <c r="AU323" s="483"/>
      <c r="AV323" s="483"/>
      <c r="AW323" s="483"/>
      <c r="AX323" s="483"/>
      <c r="AY323" s="484"/>
      <c r="AZ323" s="460"/>
      <c r="BA323" s="461"/>
      <c r="BB323" s="60">
        <v>1</v>
      </c>
      <c r="BC323" s="466"/>
      <c r="BD323" s="467"/>
      <c r="BE323" s="467"/>
      <c r="BF323" s="468"/>
      <c r="BG323" s="469"/>
      <c r="BH323" s="470"/>
      <c r="BI323" s="194"/>
      <c r="BJ323" s="471"/>
      <c r="BK323" s="472"/>
      <c r="BL323" s="472"/>
      <c r="BM323" s="472"/>
      <c r="BN323" s="472"/>
      <c r="BO323" s="473"/>
      <c r="BP323" s="471"/>
      <c r="BQ323" s="472"/>
      <c r="BR323" s="472"/>
      <c r="BS323" s="472"/>
      <c r="BT323" s="472"/>
      <c r="BU323" s="473"/>
      <c r="BV323" s="471"/>
      <c r="BW323" s="472"/>
      <c r="BX323" s="472"/>
      <c r="BY323" s="472"/>
      <c r="BZ323" s="472"/>
      <c r="CA323" s="473"/>
      <c r="CB323" s="466"/>
      <c r="CC323" s="467"/>
      <c r="CD323" s="467"/>
      <c r="CE323" s="468"/>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5">
      <c r="A324" s="435"/>
      <c r="B324" s="36"/>
      <c r="C324" s="199" t="str">
        <f t="shared" ca="1" si="6"/>
        <v/>
      </c>
      <c r="D324" s="479"/>
      <c r="E324" s="480"/>
      <c r="F324" s="480"/>
      <c r="G324" s="480"/>
      <c r="H324" s="480"/>
      <c r="I324" s="480"/>
      <c r="J324" s="480"/>
      <c r="K324" s="440"/>
      <c r="L324" s="441"/>
      <c r="M324" s="441"/>
      <c r="N324" s="441"/>
      <c r="O324" s="441"/>
      <c r="P324" s="441"/>
      <c r="Q324" s="441"/>
      <c r="R324" s="444"/>
      <c r="S324" s="445"/>
      <c r="T324" s="444"/>
      <c r="U324" s="445"/>
      <c r="V324" s="440"/>
      <c r="W324" s="441"/>
      <c r="X324" s="441"/>
      <c r="Y324" s="441"/>
      <c r="Z324" s="441"/>
      <c r="AA324" s="441"/>
      <c r="AB324" s="441"/>
      <c r="AC324" s="441"/>
      <c r="AD324" s="440"/>
      <c r="AE324" s="441"/>
      <c r="AF324" s="441"/>
      <c r="AG324" s="441"/>
      <c r="AH324" s="441"/>
      <c r="AI324" s="441"/>
      <c r="AJ324" s="441"/>
      <c r="AK324" s="450"/>
      <c r="AL324" s="440"/>
      <c r="AM324" s="441"/>
      <c r="AN324" s="441"/>
      <c r="AO324" s="441"/>
      <c r="AP324" s="441"/>
      <c r="AQ324" s="441"/>
      <c r="AR324" s="450"/>
      <c r="AS324" s="485"/>
      <c r="AT324" s="486"/>
      <c r="AU324" s="486"/>
      <c r="AV324" s="486"/>
      <c r="AW324" s="486"/>
      <c r="AX324" s="486"/>
      <c r="AY324" s="487"/>
      <c r="AZ324" s="462"/>
      <c r="BA324" s="463"/>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5">
      <c r="A325" s="435"/>
      <c r="B325" s="36"/>
      <c r="C325" s="199" t="str">
        <f t="shared" ca="1" si="6"/>
        <v/>
      </c>
      <c r="D325" s="479"/>
      <c r="E325" s="480"/>
      <c r="F325" s="480"/>
      <c r="G325" s="480"/>
      <c r="H325" s="480"/>
      <c r="I325" s="480"/>
      <c r="J325" s="480"/>
      <c r="K325" s="440"/>
      <c r="L325" s="441"/>
      <c r="M325" s="441"/>
      <c r="N325" s="441"/>
      <c r="O325" s="441"/>
      <c r="P325" s="441"/>
      <c r="Q325" s="441"/>
      <c r="R325" s="444"/>
      <c r="S325" s="445"/>
      <c r="T325" s="444"/>
      <c r="U325" s="445"/>
      <c r="V325" s="440"/>
      <c r="W325" s="441"/>
      <c r="X325" s="441"/>
      <c r="Y325" s="441"/>
      <c r="Z325" s="441"/>
      <c r="AA325" s="441"/>
      <c r="AB325" s="441"/>
      <c r="AC325" s="441"/>
      <c r="AD325" s="440"/>
      <c r="AE325" s="441"/>
      <c r="AF325" s="441"/>
      <c r="AG325" s="441"/>
      <c r="AH325" s="441"/>
      <c r="AI325" s="441"/>
      <c r="AJ325" s="441"/>
      <c r="AK325" s="450"/>
      <c r="AL325" s="440"/>
      <c r="AM325" s="441"/>
      <c r="AN325" s="441"/>
      <c r="AO325" s="441"/>
      <c r="AP325" s="441"/>
      <c r="AQ325" s="441"/>
      <c r="AR325" s="450"/>
      <c r="AS325" s="485"/>
      <c r="AT325" s="486"/>
      <c r="AU325" s="486"/>
      <c r="AV325" s="486"/>
      <c r="AW325" s="486"/>
      <c r="AX325" s="486"/>
      <c r="AY325" s="487"/>
      <c r="AZ325" s="462"/>
      <c r="BA325" s="463"/>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5">
      <c r="A326" s="435"/>
      <c r="B326" s="36"/>
      <c r="C326" s="199" t="str">
        <f t="shared" ca="1" si="6"/>
        <v/>
      </c>
      <c r="D326" s="479"/>
      <c r="E326" s="480"/>
      <c r="F326" s="480"/>
      <c r="G326" s="480"/>
      <c r="H326" s="480"/>
      <c r="I326" s="480"/>
      <c r="J326" s="480"/>
      <c r="K326" s="440"/>
      <c r="L326" s="441"/>
      <c r="M326" s="441"/>
      <c r="N326" s="441"/>
      <c r="O326" s="441"/>
      <c r="P326" s="441"/>
      <c r="Q326" s="441"/>
      <c r="R326" s="444"/>
      <c r="S326" s="445"/>
      <c r="T326" s="444"/>
      <c r="U326" s="445"/>
      <c r="V326" s="440"/>
      <c r="W326" s="441"/>
      <c r="X326" s="441"/>
      <c r="Y326" s="441"/>
      <c r="Z326" s="441"/>
      <c r="AA326" s="441"/>
      <c r="AB326" s="441"/>
      <c r="AC326" s="441"/>
      <c r="AD326" s="440"/>
      <c r="AE326" s="441"/>
      <c r="AF326" s="441"/>
      <c r="AG326" s="441"/>
      <c r="AH326" s="441"/>
      <c r="AI326" s="441"/>
      <c r="AJ326" s="441"/>
      <c r="AK326" s="450"/>
      <c r="AL326" s="440"/>
      <c r="AM326" s="441"/>
      <c r="AN326" s="441"/>
      <c r="AO326" s="441"/>
      <c r="AP326" s="441"/>
      <c r="AQ326" s="441"/>
      <c r="AR326" s="450"/>
      <c r="AS326" s="485"/>
      <c r="AT326" s="486"/>
      <c r="AU326" s="486"/>
      <c r="AV326" s="486"/>
      <c r="AW326" s="486"/>
      <c r="AX326" s="486"/>
      <c r="AY326" s="487"/>
      <c r="AZ326" s="462"/>
      <c r="BA326" s="463"/>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5">
      <c r="A327" s="435"/>
      <c r="B327" s="36"/>
      <c r="C327" s="199" t="str">
        <f t="shared" ca="1" si="6"/>
        <v/>
      </c>
      <c r="D327" s="479"/>
      <c r="E327" s="480"/>
      <c r="F327" s="480"/>
      <c r="G327" s="480"/>
      <c r="H327" s="480"/>
      <c r="I327" s="480"/>
      <c r="J327" s="480"/>
      <c r="K327" s="440"/>
      <c r="L327" s="441"/>
      <c r="M327" s="441"/>
      <c r="N327" s="441"/>
      <c r="O327" s="441"/>
      <c r="P327" s="441"/>
      <c r="Q327" s="441"/>
      <c r="R327" s="444"/>
      <c r="S327" s="445"/>
      <c r="T327" s="444"/>
      <c r="U327" s="445"/>
      <c r="V327" s="440"/>
      <c r="W327" s="441"/>
      <c r="X327" s="441"/>
      <c r="Y327" s="441"/>
      <c r="Z327" s="441"/>
      <c r="AA327" s="441"/>
      <c r="AB327" s="441"/>
      <c r="AC327" s="441"/>
      <c r="AD327" s="440"/>
      <c r="AE327" s="441"/>
      <c r="AF327" s="441"/>
      <c r="AG327" s="441"/>
      <c r="AH327" s="441"/>
      <c r="AI327" s="441"/>
      <c r="AJ327" s="441"/>
      <c r="AK327" s="450"/>
      <c r="AL327" s="440"/>
      <c r="AM327" s="441"/>
      <c r="AN327" s="441"/>
      <c r="AO327" s="441"/>
      <c r="AP327" s="441"/>
      <c r="AQ327" s="441"/>
      <c r="AR327" s="450"/>
      <c r="AS327" s="485"/>
      <c r="AT327" s="486"/>
      <c r="AU327" s="486"/>
      <c r="AV327" s="486"/>
      <c r="AW327" s="486"/>
      <c r="AX327" s="486"/>
      <c r="AY327" s="487"/>
      <c r="AZ327" s="462"/>
      <c r="BA327" s="463"/>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5">
      <c r="A328" s="436"/>
      <c r="B328" s="37"/>
      <c r="C328" s="200" t="str">
        <f t="shared" ca="1" si="6"/>
        <v/>
      </c>
      <c r="D328" s="481"/>
      <c r="E328" s="482"/>
      <c r="F328" s="482"/>
      <c r="G328" s="482"/>
      <c r="H328" s="482"/>
      <c r="I328" s="482"/>
      <c r="J328" s="482"/>
      <c r="K328" s="409"/>
      <c r="L328" s="410"/>
      <c r="M328" s="410"/>
      <c r="N328" s="410"/>
      <c r="O328" s="410"/>
      <c r="P328" s="410"/>
      <c r="Q328" s="410"/>
      <c r="R328" s="446"/>
      <c r="S328" s="447"/>
      <c r="T328" s="446"/>
      <c r="U328" s="44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88"/>
      <c r="AT328" s="489"/>
      <c r="AU328" s="489"/>
      <c r="AV328" s="489"/>
      <c r="AW328" s="489"/>
      <c r="AX328" s="489"/>
      <c r="AY328" s="490"/>
      <c r="AZ328" s="464"/>
      <c r="BA328" s="465"/>
      <c r="BB328" s="62">
        <v>6</v>
      </c>
      <c r="BC328" s="426"/>
      <c r="BD328" s="427"/>
      <c r="BE328" s="427"/>
      <c r="BF328" s="428"/>
      <c r="BG328" s="429"/>
      <c r="BH328" s="430"/>
      <c r="BI328" s="196"/>
      <c r="BJ328" s="474"/>
      <c r="BK328" s="475"/>
      <c r="BL328" s="475"/>
      <c r="BM328" s="475"/>
      <c r="BN328" s="475"/>
      <c r="BO328" s="476"/>
      <c r="BP328" s="474"/>
      <c r="BQ328" s="475"/>
      <c r="BR328" s="475"/>
      <c r="BS328" s="475"/>
      <c r="BT328" s="475"/>
      <c r="BU328" s="476"/>
      <c r="BV328" s="474"/>
      <c r="BW328" s="475"/>
      <c r="BX328" s="475"/>
      <c r="BY328" s="475"/>
      <c r="BZ328" s="475"/>
      <c r="CA328" s="476"/>
      <c r="CB328" s="426"/>
      <c r="CC328" s="427"/>
      <c r="CD328" s="427"/>
      <c r="CE328" s="428"/>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5">
      <c r="A329" s="434">
        <v>54</v>
      </c>
      <c r="B329" s="36"/>
      <c r="C329" s="198" t="str">
        <f t="shared" ca="1" si="6"/>
        <v/>
      </c>
      <c r="D329" s="477" t="s">
        <v>538</v>
      </c>
      <c r="E329" s="478"/>
      <c r="F329" s="478"/>
      <c r="G329" s="478"/>
      <c r="H329" s="478"/>
      <c r="I329" s="478"/>
      <c r="J329" s="478"/>
      <c r="K329" s="438" t="s">
        <v>539</v>
      </c>
      <c r="L329" s="439"/>
      <c r="M329" s="439"/>
      <c r="N329" s="439"/>
      <c r="O329" s="439"/>
      <c r="P329" s="439"/>
      <c r="Q329" s="439"/>
      <c r="R329" s="442" t="s">
        <v>186</v>
      </c>
      <c r="S329" s="443"/>
      <c r="T329" s="442"/>
      <c r="U329" s="443"/>
      <c r="V329" s="438"/>
      <c r="W329" s="439"/>
      <c r="X329" s="439"/>
      <c r="Y329" s="439"/>
      <c r="Z329" s="439"/>
      <c r="AA329" s="439"/>
      <c r="AB329" s="439"/>
      <c r="AC329" s="439"/>
      <c r="AD329" s="438"/>
      <c r="AE329" s="439"/>
      <c r="AF329" s="439"/>
      <c r="AG329" s="439"/>
      <c r="AH329" s="439"/>
      <c r="AI329" s="439"/>
      <c r="AJ329" s="439"/>
      <c r="AK329" s="449"/>
      <c r="AL329" s="438"/>
      <c r="AM329" s="439"/>
      <c r="AN329" s="439"/>
      <c r="AO329" s="439"/>
      <c r="AP329" s="439"/>
      <c r="AQ329" s="439"/>
      <c r="AR329" s="449"/>
      <c r="AS329" s="500"/>
      <c r="AT329" s="483"/>
      <c r="AU329" s="483"/>
      <c r="AV329" s="483"/>
      <c r="AW329" s="483"/>
      <c r="AX329" s="483"/>
      <c r="AY329" s="484"/>
      <c r="AZ329" s="460"/>
      <c r="BA329" s="461"/>
      <c r="BB329" s="60">
        <v>1</v>
      </c>
      <c r="BC329" s="466"/>
      <c r="BD329" s="467"/>
      <c r="BE329" s="467"/>
      <c r="BF329" s="468"/>
      <c r="BG329" s="469"/>
      <c r="BH329" s="470"/>
      <c r="BI329" s="194"/>
      <c r="BJ329" s="471"/>
      <c r="BK329" s="472"/>
      <c r="BL329" s="472"/>
      <c r="BM329" s="472"/>
      <c r="BN329" s="472"/>
      <c r="BO329" s="473"/>
      <c r="BP329" s="471"/>
      <c r="BQ329" s="472"/>
      <c r="BR329" s="472"/>
      <c r="BS329" s="472"/>
      <c r="BT329" s="472"/>
      <c r="BU329" s="473"/>
      <c r="BV329" s="471"/>
      <c r="BW329" s="472"/>
      <c r="BX329" s="472"/>
      <c r="BY329" s="472"/>
      <c r="BZ329" s="472"/>
      <c r="CA329" s="473"/>
      <c r="CB329" s="466"/>
      <c r="CC329" s="467"/>
      <c r="CD329" s="467"/>
      <c r="CE329" s="468"/>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5">
      <c r="A330" s="435"/>
      <c r="B330" s="36"/>
      <c r="C330" s="199" t="str">
        <f t="shared" ca="1" si="6"/>
        <v/>
      </c>
      <c r="D330" s="479"/>
      <c r="E330" s="480"/>
      <c r="F330" s="480"/>
      <c r="G330" s="480"/>
      <c r="H330" s="480"/>
      <c r="I330" s="480"/>
      <c r="J330" s="480"/>
      <c r="K330" s="440"/>
      <c r="L330" s="441"/>
      <c r="M330" s="441"/>
      <c r="N330" s="441"/>
      <c r="O330" s="441"/>
      <c r="P330" s="441"/>
      <c r="Q330" s="441"/>
      <c r="R330" s="444"/>
      <c r="S330" s="445"/>
      <c r="T330" s="444"/>
      <c r="U330" s="445"/>
      <c r="V330" s="440"/>
      <c r="W330" s="441"/>
      <c r="X330" s="441"/>
      <c r="Y330" s="441"/>
      <c r="Z330" s="441"/>
      <c r="AA330" s="441"/>
      <c r="AB330" s="441"/>
      <c r="AC330" s="441"/>
      <c r="AD330" s="440"/>
      <c r="AE330" s="441"/>
      <c r="AF330" s="441"/>
      <c r="AG330" s="441"/>
      <c r="AH330" s="441"/>
      <c r="AI330" s="441"/>
      <c r="AJ330" s="441"/>
      <c r="AK330" s="450"/>
      <c r="AL330" s="440"/>
      <c r="AM330" s="441"/>
      <c r="AN330" s="441"/>
      <c r="AO330" s="441"/>
      <c r="AP330" s="441"/>
      <c r="AQ330" s="441"/>
      <c r="AR330" s="450"/>
      <c r="AS330" s="485"/>
      <c r="AT330" s="486"/>
      <c r="AU330" s="486"/>
      <c r="AV330" s="486"/>
      <c r="AW330" s="486"/>
      <c r="AX330" s="486"/>
      <c r="AY330" s="487"/>
      <c r="AZ330" s="462"/>
      <c r="BA330" s="463"/>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5">
      <c r="A331" s="435"/>
      <c r="B331" s="36"/>
      <c r="C331" s="199" t="str">
        <f t="shared" ca="1" si="6"/>
        <v/>
      </c>
      <c r="D331" s="479"/>
      <c r="E331" s="480"/>
      <c r="F331" s="480"/>
      <c r="G331" s="480"/>
      <c r="H331" s="480"/>
      <c r="I331" s="480"/>
      <c r="J331" s="480"/>
      <c r="K331" s="440"/>
      <c r="L331" s="441"/>
      <c r="M331" s="441"/>
      <c r="N331" s="441"/>
      <c r="O331" s="441"/>
      <c r="P331" s="441"/>
      <c r="Q331" s="441"/>
      <c r="R331" s="444"/>
      <c r="S331" s="445"/>
      <c r="T331" s="444"/>
      <c r="U331" s="445"/>
      <c r="V331" s="440"/>
      <c r="W331" s="441"/>
      <c r="X331" s="441"/>
      <c r="Y331" s="441"/>
      <c r="Z331" s="441"/>
      <c r="AA331" s="441"/>
      <c r="AB331" s="441"/>
      <c r="AC331" s="441"/>
      <c r="AD331" s="440"/>
      <c r="AE331" s="441"/>
      <c r="AF331" s="441"/>
      <c r="AG331" s="441"/>
      <c r="AH331" s="441"/>
      <c r="AI331" s="441"/>
      <c r="AJ331" s="441"/>
      <c r="AK331" s="450"/>
      <c r="AL331" s="440"/>
      <c r="AM331" s="441"/>
      <c r="AN331" s="441"/>
      <c r="AO331" s="441"/>
      <c r="AP331" s="441"/>
      <c r="AQ331" s="441"/>
      <c r="AR331" s="450"/>
      <c r="AS331" s="485"/>
      <c r="AT331" s="486"/>
      <c r="AU331" s="486"/>
      <c r="AV331" s="486"/>
      <c r="AW331" s="486"/>
      <c r="AX331" s="486"/>
      <c r="AY331" s="487"/>
      <c r="AZ331" s="462"/>
      <c r="BA331" s="463"/>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5">
      <c r="A332" s="435"/>
      <c r="B332" s="36"/>
      <c r="C332" s="199" t="str">
        <f ca="1">IF(AND(OFFSET($K332,-($BB332-1),0)&lt;&gt;"",OFFSET($R332,-($BB332-1),0)&lt;&gt;"x"),"●","")</f>
        <v/>
      </c>
      <c r="D332" s="479"/>
      <c r="E332" s="480"/>
      <c r="F332" s="480"/>
      <c r="G332" s="480"/>
      <c r="H332" s="480"/>
      <c r="I332" s="480"/>
      <c r="J332" s="480"/>
      <c r="K332" s="440"/>
      <c r="L332" s="441"/>
      <c r="M332" s="441"/>
      <c r="N332" s="441"/>
      <c r="O332" s="441"/>
      <c r="P332" s="441"/>
      <c r="Q332" s="441"/>
      <c r="R332" s="444"/>
      <c r="S332" s="445"/>
      <c r="T332" s="444"/>
      <c r="U332" s="445"/>
      <c r="V332" s="440"/>
      <c r="W332" s="441"/>
      <c r="X332" s="441"/>
      <c r="Y332" s="441"/>
      <c r="Z332" s="441"/>
      <c r="AA332" s="441"/>
      <c r="AB332" s="441"/>
      <c r="AC332" s="441"/>
      <c r="AD332" s="440"/>
      <c r="AE332" s="441"/>
      <c r="AF332" s="441"/>
      <c r="AG332" s="441"/>
      <c r="AH332" s="441"/>
      <c r="AI332" s="441"/>
      <c r="AJ332" s="441"/>
      <c r="AK332" s="450"/>
      <c r="AL332" s="440"/>
      <c r="AM332" s="441"/>
      <c r="AN332" s="441"/>
      <c r="AO332" s="441"/>
      <c r="AP332" s="441"/>
      <c r="AQ332" s="441"/>
      <c r="AR332" s="450"/>
      <c r="AS332" s="485"/>
      <c r="AT332" s="486"/>
      <c r="AU332" s="486"/>
      <c r="AV332" s="486"/>
      <c r="AW332" s="486"/>
      <c r="AX332" s="486"/>
      <c r="AY332" s="487"/>
      <c r="AZ332" s="462"/>
      <c r="BA332" s="463"/>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5">
      <c r="A333" s="435"/>
      <c r="B333" s="36"/>
      <c r="C333" s="199" t="str">
        <f ca="1">IF(AND(OFFSET($K333,-($BB333-1),0)&lt;&gt;"",OFFSET($R333,-($BB333-1),0)&lt;&gt;"x"),"●","")</f>
        <v/>
      </c>
      <c r="D333" s="479"/>
      <c r="E333" s="480"/>
      <c r="F333" s="480"/>
      <c r="G333" s="480"/>
      <c r="H333" s="480"/>
      <c r="I333" s="480"/>
      <c r="J333" s="480"/>
      <c r="K333" s="440"/>
      <c r="L333" s="441"/>
      <c r="M333" s="441"/>
      <c r="N333" s="441"/>
      <c r="O333" s="441"/>
      <c r="P333" s="441"/>
      <c r="Q333" s="441"/>
      <c r="R333" s="444"/>
      <c r="S333" s="445"/>
      <c r="T333" s="444"/>
      <c r="U333" s="445"/>
      <c r="V333" s="440"/>
      <c r="W333" s="441"/>
      <c r="X333" s="441"/>
      <c r="Y333" s="441"/>
      <c r="Z333" s="441"/>
      <c r="AA333" s="441"/>
      <c r="AB333" s="441"/>
      <c r="AC333" s="441"/>
      <c r="AD333" s="440"/>
      <c r="AE333" s="441"/>
      <c r="AF333" s="441"/>
      <c r="AG333" s="441"/>
      <c r="AH333" s="441"/>
      <c r="AI333" s="441"/>
      <c r="AJ333" s="441"/>
      <c r="AK333" s="450"/>
      <c r="AL333" s="440"/>
      <c r="AM333" s="441"/>
      <c r="AN333" s="441"/>
      <c r="AO333" s="441"/>
      <c r="AP333" s="441"/>
      <c r="AQ333" s="441"/>
      <c r="AR333" s="450"/>
      <c r="AS333" s="485"/>
      <c r="AT333" s="486"/>
      <c r="AU333" s="486"/>
      <c r="AV333" s="486"/>
      <c r="AW333" s="486"/>
      <c r="AX333" s="486"/>
      <c r="AY333" s="487"/>
      <c r="AZ333" s="462"/>
      <c r="BA333" s="463"/>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5">
      <c r="A334" s="436"/>
      <c r="B334" s="37"/>
      <c r="C334" s="200" t="str">
        <f ca="1">IF(AND(OFFSET($K334,-($BB334-1),0)&lt;&gt;"",OFFSET($R334,-($BB334-1),0)&lt;&gt;"x"),"●","")</f>
        <v/>
      </c>
      <c r="D334" s="481"/>
      <c r="E334" s="482"/>
      <c r="F334" s="482"/>
      <c r="G334" s="482"/>
      <c r="H334" s="482"/>
      <c r="I334" s="482"/>
      <c r="J334" s="482"/>
      <c r="K334" s="409"/>
      <c r="L334" s="410"/>
      <c r="M334" s="410"/>
      <c r="N334" s="410"/>
      <c r="O334" s="410"/>
      <c r="P334" s="410"/>
      <c r="Q334" s="410"/>
      <c r="R334" s="446"/>
      <c r="S334" s="447"/>
      <c r="T334" s="446"/>
      <c r="U334" s="44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88"/>
      <c r="AT334" s="489"/>
      <c r="AU334" s="489"/>
      <c r="AV334" s="489"/>
      <c r="AW334" s="489"/>
      <c r="AX334" s="489"/>
      <c r="AY334" s="490"/>
      <c r="AZ334" s="464"/>
      <c r="BA334" s="465"/>
      <c r="BB334" s="62">
        <v>6</v>
      </c>
      <c r="BC334" s="426"/>
      <c r="BD334" s="427"/>
      <c r="BE334" s="427"/>
      <c r="BF334" s="428"/>
      <c r="BG334" s="429"/>
      <c r="BH334" s="430"/>
      <c r="BI334" s="196"/>
      <c r="BJ334" s="474"/>
      <c r="BK334" s="475"/>
      <c r="BL334" s="475"/>
      <c r="BM334" s="475"/>
      <c r="BN334" s="475"/>
      <c r="BO334" s="476"/>
      <c r="BP334" s="474"/>
      <c r="BQ334" s="475"/>
      <c r="BR334" s="475"/>
      <c r="BS334" s="475"/>
      <c r="BT334" s="475"/>
      <c r="BU334" s="476"/>
      <c r="BV334" s="474"/>
      <c r="BW334" s="475"/>
      <c r="BX334" s="475"/>
      <c r="BY334" s="475"/>
      <c r="BZ334" s="475"/>
      <c r="CA334" s="476"/>
      <c r="CB334" s="426"/>
      <c r="CC334" s="427"/>
      <c r="CD334" s="427"/>
      <c r="CE334" s="428"/>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29.25" customHeight="1">
      <c r="A335" s="212" t="s">
        <v>540</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s>
  <phoneticPr fontId="3"/>
  <conditionalFormatting sqref="BP11:BU334">
    <cfRule type="expression" dxfId="9" priority="10">
      <formula>AND($BP11="",OR($BJ11&lt;&gt;"",$BV11&lt;&gt;""))</formula>
    </cfRule>
  </conditionalFormatting>
  <conditionalFormatting sqref="BJ11:BO334">
    <cfRule type="expression" dxfId="8" priority="9">
      <formula>AND($BJ11="",OR($BP11&lt;&gt;"",$BV11&lt;&gt;""))</formula>
    </cfRule>
  </conditionalFormatting>
  <conditionalFormatting sqref="BG11:BH334">
    <cfRule type="expression" dxfId="7" priority="8">
      <formula>AND($BG11="○", OR($BI11&lt;&gt;"", $BJ11&lt;&gt;"", $BP11&lt;&gt;"", $BV11&lt;&gt;""))</formula>
    </cfRule>
  </conditionalFormatting>
  <conditionalFormatting sqref="BB11:CE334 B11:C334">
    <cfRule type="expression" dxfId="6" priority="7" stopIfTrue="1">
      <formula>OFFSET($R11,-($BB11-1),0)="x"</formula>
    </cfRule>
  </conditionalFormatting>
  <conditionalFormatting sqref="A11:CY334">
    <cfRule type="expression" dxfId="5"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75"/>
  <cols>
    <col min="1" max="16384" width="9" style="131"/>
  </cols>
  <sheetData>
    <row r="1" spans="1:1">
      <c r="A1" s="131" t="s">
        <v>152</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75"/>
  <cols>
    <col min="1" max="16384" width="9" style="131"/>
  </cols>
  <sheetData>
    <row r="1" spans="1:1">
      <c r="A1" s="131" t="s">
        <v>152</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65"/>
  <sheetViews>
    <sheetView view="pageBreakPreview" zoomScale="85" zoomScaleNormal="70" zoomScaleSheetLayoutView="85" zoomScalePageLayoutView="70" workbookViewId="0">
      <pane ySplit="10" topLeftCell="A11" activePane="bottomLeft" state="frozen"/>
      <selection pane="bottomLeft" sqref="A1:M4"/>
      <selection sqref="A1:M4"/>
    </sheetView>
  </sheetViews>
  <sheetFormatPr defaultColWidth="3.7109375" defaultRowHeight="14.25"/>
  <cols>
    <col min="1" max="1" width="5.7109375" style="31" customWidth="1"/>
    <col min="2" max="3" width="3.7109375" style="31" hidden="1" customWidth="1"/>
    <col min="4" max="17" width="3.7109375" style="29"/>
    <col min="18" max="19" width="3.7109375" style="29" customWidth="1"/>
    <col min="20" max="60" width="3.7109375" style="29"/>
    <col min="61" max="61" width="6.85546875" style="29" customWidth="1"/>
    <col min="62" max="62" width="3.28515625" style="29" customWidth="1"/>
    <col min="63" max="98" width="3.7109375" style="29"/>
    <col min="99" max="99" width="3.7109375" style="29" customWidth="1"/>
    <col min="100" max="107" width="3.7109375" style="29"/>
    <col min="108" max="147" width="10.85546875" style="29" hidden="1" customWidth="1"/>
    <col min="148" max="149" width="3.7109375" style="29" customWidth="1"/>
    <col min="150" max="159" width="10.85546875" style="29" hidden="1" customWidth="1"/>
    <col min="160" max="16384" width="3.7109375" style="29"/>
  </cols>
  <sheetData>
    <row r="1" spans="1:159" s="32" customFormat="1" ht="19.5">
      <c r="A1" s="606" t="s">
        <v>541</v>
      </c>
      <c r="B1" s="606"/>
      <c r="C1" s="606"/>
      <c r="D1" s="606"/>
      <c r="E1" s="606"/>
      <c r="F1" s="606"/>
      <c r="G1" s="606"/>
      <c r="H1" s="606"/>
      <c r="I1" s="606"/>
      <c r="J1" s="606"/>
      <c r="K1" s="606"/>
      <c r="L1" s="606"/>
      <c r="M1" s="606"/>
      <c r="N1" s="607" t="s">
        <v>154</v>
      </c>
      <c r="O1" s="608"/>
      <c r="P1" s="608"/>
      <c r="Q1" s="608"/>
      <c r="R1" s="608"/>
      <c r="S1" s="608"/>
      <c r="T1" s="608"/>
      <c r="U1" s="608"/>
      <c r="V1" s="608"/>
      <c r="W1" s="608"/>
      <c r="X1" s="608"/>
      <c r="Y1" s="608"/>
      <c r="Z1" s="608"/>
      <c r="AA1" s="608"/>
      <c r="AB1" s="608"/>
      <c r="AC1" s="608"/>
      <c r="AD1" s="608"/>
      <c r="AE1" s="608"/>
      <c r="AF1" s="608"/>
      <c r="AG1" s="608"/>
      <c r="AH1" s="608"/>
      <c r="AI1" s="608"/>
      <c r="AJ1" s="608"/>
      <c r="AK1" s="608"/>
      <c r="AL1" s="608"/>
      <c r="AM1" s="608"/>
      <c r="AN1" s="608"/>
      <c r="AO1" s="608"/>
      <c r="AP1" s="609" t="str">
        <f>表紙!B6</f>
        <v>サブシステム名</v>
      </c>
      <c r="AQ1" s="610"/>
      <c r="AR1" s="610"/>
      <c r="AS1" s="610"/>
      <c r="AT1" s="611"/>
      <c r="AU1" s="610"/>
      <c r="AV1" s="610"/>
      <c r="AW1" s="610"/>
      <c r="AX1" s="610"/>
      <c r="AY1" s="610"/>
      <c r="AZ1" s="609" t="str">
        <f>表紙!B7</f>
        <v>業務プロセス名</v>
      </c>
      <c r="BA1" s="610"/>
      <c r="BB1" s="610"/>
      <c r="BC1" s="610"/>
      <c r="BD1" s="610"/>
      <c r="BE1" s="610"/>
      <c r="BF1" s="610"/>
      <c r="BG1" s="610"/>
      <c r="BH1" s="610"/>
      <c r="BI1" s="71"/>
    </row>
    <row r="2" spans="1:159" s="32" customFormat="1" ht="24" customHeight="1">
      <c r="A2" s="606"/>
      <c r="B2" s="606"/>
      <c r="C2" s="606"/>
      <c r="D2" s="606"/>
      <c r="E2" s="606"/>
      <c r="F2" s="606"/>
      <c r="G2" s="606"/>
      <c r="H2" s="606"/>
      <c r="I2" s="606"/>
      <c r="J2" s="606"/>
      <c r="K2" s="606"/>
      <c r="L2" s="606"/>
      <c r="M2" s="606"/>
      <c r="N2" s="608"/>
      <c r="O2" s="608"/>
      <c r="P2" s="608"/>
      <c r="Q2" s="608"/>
      <c r="R2" s="608"/>
      <c r="S2" s="608"/>
      <c r="T2" s="608"/>
      <c r="U2" s="608"/>
      <c r="V2" s="608"/>
      <c r="W2" s="608"/>
      <c r="X2" s="608"/>
      <c r="Y2" s="608"/>
      <c r="Z2" s="608"/>
      <c r="AA2" s="608"/>
      <c r="AB2" s="608"/>
      <c r="AC2" s="608"/>
      <c r="AD2" s="608"/>
      <c r="AE2" s="608"/>
      <c r="AF2" s="608"/>
      <c r="AG2" s="608"/>
      <c r="AH2" s="608"/>
      <c r="AI2" s="608"/>
      <c r="AJ2" s="608"/>
      <c r="AK2" s="608"/>
      <c r="AL2" s="608"/>
      <c r="AM2" s="608"/>
      <c r="AN2" s="608"/>
      <c r="AO2" s="608"/>
      <c r="AP2" s="612" t="str">
        <f>IF(表紙!I6="","",表紙!I6)</f>
        <v>EDI</v>
      </c>
      <c r="AQ2" s="612"/>
      <c r="AR2" s="612"/>
      <c r="AS2" s="612"/>
      <c r="AT2" s="612"/>
      <c r="AU2" s="612"/>
      <c r="AV2" s="612"/>
      <c r="AW2" s="612"/>
      <c r="AX2" s="612"/>
      <c r="AY2" s="612"/>
      <c r="AZ2" s="612" t="str">
        <f>IF(表紙!I7="","",表紙!I7)</f>
        <v>SPT</v>
      </c>
      <c r="BA2" s="612"/>
      <c r="BB2" s="612"/>
      <c r="BC2" s="612"/>
      <c r="BD2" s="612"/>
      <c r="BE2" s="612"/>
      <c r="BF2" s="612"/>
      <c r="BG2" s="612"/>
      <c r="BH2" s="612"/>
      <c r="BI2" s="72"/>
      <c r="CN2" s="561" t="s">
        <v>155</v>
      </c>
      <c r="CO2" s="562"/>
      <c r="CP2" s="562"/>
      <c r="CQ2" s="563"/>
      <c r="CR2" s="588">
        <f ca="1">COUNTIFS(INDIRECT("$K11:$K"&amp;ROW(テスト項目定義書_最終行)),"&lt;&gt;",INDIRECT("$R11:$R"&amp;ROW(テスト項目定義書_最終行)),"&lt;&gt;x")</f>
        <v>0</v>
      </c>
      <c r="CS2" s="589"/>
      <c r="CT2" s="561" t="s">
        <v>156</v>
      </c>
      <c r="CU2" s="562"/>
      <c r="CV2" s="562"/>
      <c r="CW2" s="563"/>
      <c r="CX2" s="588">
        <f ca="1">COUNTIFS(INDIRECT("$C11:$C"&amp;ROW(テスト項目定義書_最終行)),"=●",INDIRECT("$BG11:$BG"&amp;ROW(テスト項目定義書_最終行)),"=○")</f>
        <v>0</v>
      </c>
      <c r="CY2" s="589"/>
    </row>
    <row r="3" spans="1:159" s="32" customFormat="1" ht="19.5" hidden="1" customHeight="1">
      <c r="A3" s="606"/>
      <c r="B3" s="606"/>
      <c r="C3" s="606"/>
      <c r="D3" s="606"/>
      <c r="E3" s="606"/>
      <c r="F3" s="606"/>
      <c r="G3" s="606"/>
      <c r="H3" s="606"/>
      <c r="I3" s="606"/>
      <c r="J3" s="606"/>
      <c r="K3" s="606"/>
      <c r="L3" s="606"/>
      <c r="M3" s="606"/>
      <c r="N3" s="608"/>
      <c r="O3" s="608"/>
      <c r="P3" s="608"/>
      <c r="Q3" s="608"/>
      <c r="R3" s="608"/>
      <c r="S3" s="608"/>
      <c r="T3" s="608"/>
      <c r="U3" s="608"/>
      <c r="V3" s="608"/>
      <c r="W3" s="608"/>
      <c r="X3" s="608"/>
      <c r="Y3" s="608"/>
      <c r="Z3" s="608"/>
      <c r="AA3" s="608"/>
      <c r="AB3" s="608"/>
      <c r="AC3" s="608"/>
      <c r="AD3" s="608"/>
      <c r="AE3" s="608"/>
      <c r="AF3" s="608"/>
      <c r="AG3" s="608"/>
      <c r="AH3" s="608"/>
      <c r="AI3" s="608"/>
      <c r="AJ3" s="608"/>
      <c r="AK3" s="608"/>
      <c r="AL3" s="608"/>
      <c r="AM3" s="608"/>
      <c r="AN3" s="608"/>
      <c r="AO3" s="608"/>
      <c r="AP3" s="612"/>
      <c r="AQ3" s="612"/>
      <c r="AR3" s="612"/>
      <c r="AS3" s="612"/>
      <c r="AT3" s="612"/>
      <c r="AU3" s="612"/>
      <c r="AV3" s="612"/>
      <c r="AW3" s="612"/>
      <c r="AX3" s="612"/>
      <c r="AY3" s="612"/>
      <c r="AZ3" s="612"/>
      <c r="BA3" s="612"/>
      <c r="BB3" s="612"/>
      <c r="BC3" s="612"/>
      <c r="BD3" s="612"/>
      <c r="BE3" s="612"/>
      <c r="BF3" s="612"/>
      <c r="BG3" s="612"/>
      <c r="BH3" s="612"/>
      <c r="BI3" s="72"/>
    </row>
    <row r="4" spans="1:159" s="32" customFormat="1" ht="9.75" customHeight="1">
      <c r="A4" s="606"/>
      <c r="B4" s="606"/>
      <c r="C4" s="606"/>
      <c r="D4" s="606"/>
      <c r="E4" s="606"/>
      <c r="F4" s="606"/>
      <c r="G4" s="606"/>
      <c r="H4" s="606"/>
      <c r="I4" s="606"/>
      <c r="J4" s="606"/>
      <c r="K4" s="606"/>
      <c r="L4" s="606"/>
      <c r="M4" s="606"/>
      <c r="N4" s="608"/>
      <c r="O4" s="608"/>
      <c r="P4" s="608"/>
      <c r="Q4" s="608"/>
      <c r="R4" s="608"/>
      <c r="S4" s="608"/>
      <c r="T4" s="608"/>
      <c r="U4" s="608"/>
      <c r="V4" s="608"/>
      <c r="W4" s="608"/>
      <c r="X4" s="608"/>
      <c r="Y4" s="608"/>
      <c r="Z4" s="608"/>
      <c r="AA4" s="608"/>
      <c r="AB4" s="608"/>
      <c r="AC4" s="608"/>
      <c r="AD4" s="608"/>
      <c r="AE4" s="608"/>
      <c r="AF4" s="608"/>
      <c r="AG4" s="608"/>
      <c r="AH4" s="608"/>
      <c r="AI4" s="608"/>
      <c r="AJ4" s="608"/>
      <c r="AK4" s="608"/>
      <c r="AL4" s="608"/>
      <c r="AM4" s="608"/>
      <c r="AN4" s="608"/>
      <c r="AO4" s="608"/>
      <c r="AP4" s="612"/>
      <c r="AQ4" s="612"/>
      <c r="AR4" s="612"/>
      <c r="AS4" s="612"/>
      <c r="AT4" s="612"/>
      <c r="AU4" s="612"/>
      <c r="AV4" s="612"/>
      <c r="AW4" s="612"/>
      <c r="AX4" s="612"/>
      <c r="AY4" s="612"/>
      <c r="AZ4" s="612"/>
      <c r="BA4" s="612"/>
      <c r="BB4" s="612"/>
      <c r="BC4" s="612"/>
      <c r="BD4" s="612"/>
      <c r="BE4" s="612"/>
      <c r="BF4" s="612"/>
      <c r="BG4" s="612"/>
      <c r="BH4" s="612"/>
      <c r="BI4" s="72"/>
    </row>
    <row r="5" spans="1:159" ht="7.5" customHeight="1">
      <c r="A5" s="29"/>
      <c r="B5" s="603"/>
      <c r="C5" s="603"/>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604"/>
      <c r="BA5" s="604"/>
      <c r="BB5" s="604"/>
      <c r="BC5" s="604"/>
      <c r="BD5" s="168"/>
      <c r="BE5" s="168"/>
      <c r="BF5" s="168"/>
      <c r="BG5" s="605"/>
      <c r="BH5" s="605"/>
      <c r="BI5" s="605"/>
      <c r="BJ5" s="605"/>
      <c r="BK5" s="605"/>
      <c r="BL5" s="605"/>
      <c r="BM5" s="605"/>
      <c r="BN5" s="605"/>
      <c r="BO5" s="605"/>
      <c r="BP5" s="605"/>
      <c r="BQ5" s="203"/>
      <c r="BR5" s="203"/>
      <c r="BS5" s="203"/>
    </row>
    <row r="6" spans="1:159" s="30" customFormat="1" ht="24" customHeight="1">
      <c r="A6" s="561" t="str">
        <f>表紙!B8</f>
        <v>プロセス名</v>
      </c>
      <c r="B6" s="583"/>
      <c r="C6" s="583"/>
      <c r="D6" s="583"/>
      <c r="E6" s="583"/>
      <c r="F6" s="583"/>
      <c r="G6" s="583"/>
      <c r="H6" s="584"/>
      <c r="I6" s="597" t="str">
        <f>IF(表紙!I8="","",表紙!I8)</f>
        <v>SPT_発注</v>
      </c>
      <c r="J6" s="598"/>
      <c r="K6" s="598"/>
      <c r="L6" s="598"/>
      <c r="M6" s="598"/>
      <c r="N6" s="598"/>
      <c r="O6" s="598"/>
      <c r="P6" s="598"/>
      <c r="Q6" s="598"/>
      <c r="R6" s="598"/>
      <c r="S6" s="599"/>
      <c r="T6" s="561" t="str">
        <f>表紙!B9</f>
        <v>ジョブ名</v>
      </c>
      <c r="U6" s="583"/>
      <c r="V6" s="583"/>
      <c r="W6" s="583"/>
      <c r="X6" s="583"/>
      <c r="Y6" s="584"/>
      <c r="Z6" s="597" t="str">
        <f>IF(表紙!I9="","",表紙!I9)</f>
        <v>CMNA555S010</v>
      </c>
      <c r="AA6" s="598"/>
      <c r="AB6" s="598"/>
      <c r="AC6" s="598"/>
      <c r="AD6" s="598"/>
      <c r="AE6" s="598"/>
      <c r="AF6" s="598"/>
      <c r="AG6" s="598"/>
      <c r="AH6" s="598"/>
      <c r="AI6" s="598"/>
      <c r="AJ6" s="598"/>
      <c r="AK6" s="599"/>
      <c r="AL6" s="582" t="s">
        <v>157</v>
      </c>
      <c r="AM6" s="583"/>
      <c r="AN6" s="583"/>
      <c r="AO6" s="583"/>
      <c r="AP6" s="583"/>
      <c r="AQ6" s="583"/>
      <c r="AR6" s="583"/>
      <c r="AS6" s="600"/>
      <c r="AT6" s="601"/>
      <c r="AU6" s="601"/>
      <c r="AV6" s="601"/>
      <c r="AW6" s="601"/>
      <c r="AX6" s="601"/>
      <c r="AY6" s="601"/>
      <c r="AZ6" s="601"/>
      <c r="BA6" s="601"/>
      <c r="BB6" s="601"/>
      <c r="BC6" s="601"/>
      <c r="BD6" s="601"/>
      <c r="BE6" s="601"/>
      <c r="BF6" s="602"/>
      <c r="BG6" s="582" t="s">
        <v>158</v>
      </c>
      <c r="BH6" s="583"/>
      <c r="BI6" s="583"/>
      <c r="BJ6" s="583"/>
      <c r="BK6" s="583"/>
      <c r="BL6" s="583"/>
      <c r="BM6" s="584"/>
      <c r="BN6" s="585"/>
      <c r="BO6" s="586"/>
      <c r="BP6" s="586"/>
      <c r="BQ6" s="586"/>
      <c r="BR6" s="586"/>
      <c r="BS6" s="586"/>
      <c r="BT6" s="586"/>
      <c r="BU6" s="586"/>
      <c r="BV6" s="586"/>
      <c r="BW6" s="586"/>
      <c r="BX6" s="587"/>
      <c r="CT6" s="561" t="s">
        <v>71</v>
      </c>
      <c r="CU6" s="562"/>
      <c r="CV6" s="562"/>
      <c r="CW6" s="563"/>
      <c r="CX6" s="588">
        <f ca="1">COUNTIFS(INDIRECT("$C11:$C"&amp;ROW(テスト項目定義書_最終行)),"=●",INDIRECT("$BG11:$BG"&amp;ROW(テスト項目定義書_最終行)),"=×")</f>
        <v>0</v>
      </c>
      <c r="CY6" s="589"/>
    </row>
    <row r="7" spans="1:159" ht="18.75" customHeight="1">
      <c r="A7" s="68"/>
      <c r="B7" s="69"/>
      <c r="C7" s="69"/>
      <c r="D7" s="69"/>
      <c r="E7" s="69"/>
      <c r="F7" s="69"/>
      <c r="G7" s="69"/>
      <c r="H7" s="69"/>
      <c r="I7" s="67"/>
      <c r="J7" s="67"/>
      <c r="K7" s="218" t="s">
        <v>159</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c r="A8" s="590" t="s">
        <v>160</v>
      </c>
      <c r="B8" s="590" t="s">
        <v>161</v>
      </c>
      <c r="C8" s="593" t="s">
        <v>162</v>
      </c>
      <c r="D8" s="573" t="s">
        <v>163</v>
      </c>
      <c r="E8" s="574"/>
      <c r="F8" s="574"/>
      <c r="G8" s="574"/>
      <c r="H8" s="574"/>
      <c r="I8" s="574"/>
      <c r="J8" s="574"/>
      <c r="K8" s="596" t="s">
        <v>164</v>
      </c>
      <c r="L8" s="574"/>
      <c r="M8" s="574"/>
      <c r="N8" s="574"/>
      <c r="O8" s="574"/>
      <c r="P8" s="574"/>
      <c r="Q8" s="574"/>
      <c r="R8" s="567" t="s">
        <v>165</v>
      </c>
      <c r="S8" s="568"/>
      <c r="T8" s="567" t="s">
        <v>166</v>
      </c>
      <c r="U8" s="568"/>
      <c r="V8" s="573" t="s">
        <v>167</v>
      </c>
      <c r="W8" s="574"/>
      <c r="X8" s="574"/>
      <c r="Y8" s="574"/>
      <c r="Z8" s="574"/>
      <c r="AA8" s="574"/>
      <c r="AB8" s="574"/>
      <c r="AC8" s="574"/>
      <c r="AD8" s="573" t="s">
        <v>168</v>
      </c>
      <c r="AE8" s="574"/>
      <c r="AF8" s="574"/>
      <c r="AG8" s="574"/>
      <c r="AH8" s="574"/>
      <c r="AI8" s="574"/>
      <c r="AJ8" s="574"/>
      <c r="AK8" s="579"/>
      <c r="AL8" s="573" t="s">
        <v>169</v>
      </c>
      <c r="AM8" s="574"/>
      <c r="AN8" s="574"/>
      <c r="AO8" s="574"/>
      <c r="AP8" s="574"/>
      <c r="AQ8" s="574"/>
      <c r="AR8" s="579"/>
      <c r="AS8" s="573" t="s">
        <v>170</v>
      </c>
      <c r="AT8" s="574"/>
      <c r="AU8" s="574"/>
      <c r="AV8" s="574"/>
      <c r="AW8" s="574"/>
      <c r="AX8" s="574"/>
      <c r="AY8" s="579"/>
      <c r="AZ8" s="573" t="s">
        <v>171</v>
      </c>
      <c r="BA8" s="579"/>
      <c r="BB8" s="564" t="s">
        <v>79</v>
      </c>
      <c r="BC8" s="543" t="s">
        <v>172</v>
      </c>
      <c r="BD8" s="544"/>
      <c r="BE8" s="544"/>
      <c r="BF8" s="545"/>
      <c r="BG8" s="543" t="s">
        <v>173</v>
      </c>
      <c r="BH8" s="545"/>
      <c r="BI8" s="564" t="s">
        <v>174</v>
      </c>
      <c r="BJ8" s="543" t="s">
        <v>175</v>
      </c>
      <c r="BK8" s="544"/>
      <c r="BL8" s="544"/>
      <c r="BM8" s="544"/>
      <c r="BN8" s="544"/>
      <c r="BO8" s="545"/>
      <c r="BP8" s="543" t="s">
        <v>176</v>
      </c>
      <c r="BQ8" s="544"/>
      <c r="BR8" s="544"/>
      <c r="BS8" s="544"/>
      <c r="BT8" s="544"/>
      <c r="BU8" s="545"/>
      <c r="BV8" s="543" t="s">
        <v>177</v>
      </c>
      <c r="BW8" s="544"/>
      <c r="BX8" s="544"/>
      <c r="BY8" s="544"/>
      <c r="BZ8" s="544"/>
      <c r="CA8" s="545"/>
      <c r="CB8" s="552" t="s">
        <v>178</v>
      </c>
      <c r="CC8" s="553"/>
      <c r="CD8" s="553"/>
      <c r="CE8" s="554"/>
      <c r="CF8" s="561" t="s">
        <v>179</v>
      </c>
      <c r="CG8" s="562"/>
      <c r="CH8" s="562"/>
      <c r="CI8" s="562"/>
      <c r="CJ8" s="563"/>
      <c r="CK8" s="561" t="s">
        <v>180</v>
      </c>
      <c r="CL8" s="562"/>
      <c r="CM8" s="562"/>
      <c r="CN8" s="562"/>
      <c r="CO8" s="563"/>
      <c r="CP8" s="562" t="s">
        <v>181</v>
      </c>
      <c r="CQ8" s="562"/>
      <c r="CR8" s="562"/>
      <c r="CS8" s="562"/>
      <c r="CT8" s="563"/>
      <c r="CU8" s="561" t="s">
        <v>182</v>
      </c>
      <c r="CV8" s="562"/>
      <c r="CW8" s="562"/>
      <c r="CX8" s="562"/>
      <c r="CY8" s="563"/>
      <c r="CZ8" s="33"/>
      <c r="DA8" s="34"/>
      <c r="DD8" s="537" t="s">
        <v>132</v>
      </c>
      <c r="DE8" s="538"/>
      <c r="DF8" s="538"/>
      <c r="DG8" s="538"/>
      <c r="DH8" s="538"/>
      <c r="DI8" s="538"/>
      <c r="DJ8" s="538"/>
      <c r="DK8" s="538"/>
      <c r="DL8" s="538"/>
      <c r="DM8" s="538"/>
      <c r="DN8" s="538"/>
      <c r="DO8" s="538"/>
      <c r="DP8" s="538"/>
      <c r="DQ8" s="538"/>
      <c r="DR8" s="538"/>
      <c r="DS8" s="538"/>
      <c r="DT8" s="538"/>
      <c r="DU8" s="538"/>
      <c r="DV8" s="538"/>
      <c r="DW8" s="538"/>
      <c r="DX8" s="538"/>
      <c r="DY8" s="538"/>
      <c r="DZ8" s="538"/>
      <c r="EA8" s="538"/>
      <c r="EB8" s="538"/>
      <c r="EC8" s="538"/>
      <c r="ED8" s="538"/>
      <c r="EE8" s="538"/>
      <c r="EF8" s="538"/>
      <c r="EG8" s="538"/>
      <c r="EH8" s="538"/>
      <c r="EI8" s="538"/>
      <c r="EJ8" s="538"/>
      <c r="EK8" s="538"/>
      <c r="EL8" s="538"/>
      <c r="EM8" s="538"/>
      <c r="EN8" s="538"/>
      <c r="EO8" s="538"/>
      <c r="EP8" s="538"/>
      <c r="EQ8" s="539"/>
      <c r="ET8" s="540" t="s">
        <v>183</v>
      </c>
      <c r="EU8" s="541"/>
      <c r="EV8" s="541"/>
      <c r="EW8" s="541"/>
      <c r="EX8" s="541"/>
      <c r="EY8" s="541"/>
      <c r="EZ8" s="541"/>
      <c r="FA8" s="541"/>
      <c r="FB8" s="541"/>
      <c r="FC8" s="542"/>
    </row>
    <row r="9" spans="1:159" ht="57" customHeight="1">
      <c r="A9" s="591"/>
      <c r="B9" s="591"/>
      <c r="C9" s="594"/>
      <c r="D9" s="575"/>
      <c r="E9" s="576"/>
      <c r="F9" s="576"/>
      <c r="G9" s="576"/>
      <c r="H9" s="576"/>
      <c r="I9" s="576"/>
      <c r="J9" s="576"/>
      <c r="K9" s="575"/>
      <c r="L9" s="576"/>
      <c r="M9" s="576"/>
      <c r="N9" s="576"/>
      <c r="O9" s="576"/>
      <c r="P9" s="576"/>
      <c r="Q9" s="576"/>
      <c r="R9" s="569"/>
      <c r="S9" s="570"/>
      <c r="T9" s="569"/>
      <c r="U9" s="570"/>
      <c r="V9" s="575"/>
      <c r="W9" s="576"/>
      <c r="X9" s="576"/>
      <c r="Y9" s="576"/>
      <c r="Z9" s="576"/>
      <c r="AA9" s="576"/>
      <c r="AB9" s="576"/>
      <c r="AC9" s="576"/>
      <c r="AD9" s="575"/>
      <c r="AE9" s="576"/>
      <c r="AF9" s="576"/>
      <c r="AG9" s="576"/>
      <c r="AH9" s="576"/>
      <c r="AI9" s="576"/>
      <c r="AJ9" s="576"/>
      <c r="AK9" s="580"/>
      <c r="AL9" s="575"/>
      <c r="AM9" s="576"/>
      <c r="AN9" s="576"/>
      <c r="AO9" s="576"/>
      <c r="AP9" s="576"/>
      <c r="AQ9" s="576"/>
      <c r="AR9" s="580"/>
      <c r="AS9" s="575"/>
      <c r="AT9" s="576"/>
      <c r="AU9" s="576"/>
      <c r="AV9" s="576"/>
      <c r="AW9" s="576"/>
      <c r="AX9" s="576"/>
      <c r="AY9" s="580"/>
      <c r="AZ9" s="575"/>
      <c r="BA9" s="580"/>
      <c r="BB9" s="565"/>
      <c r="BC9" s="546"/>
      <c r="BD9" s="547"/>
      <c r="BE9" s="547"/>
      <c r="BF9" s="548"/>
      <c r="BG9" s="546"/>
      <c r="BH9" s="548"/>
      <c r="BI9" s="565"/>
      <c r="BJ9" s="546"/>
      <c r="BK9" s="547"/>
      <c r="BL9" s="547"/>
      <c r="BM9" s="547"/>
      <c r="BN9" s="547"/>
      <c r="BO9" s="548"/>
      <c r="BP9" s="546"/>
      <c r="BQ9" s="547"/>
      <c r="BR9" s="547"/>
      <c r="BS9" s="547"/>
      <c r="BT9" s="547"/>
      <c r="BU9" s="548"/>
      <c r="BV9" s="546"/>
      <c r="BW9" s="547"/>
      <c r="BX9" s="547"/>
      <c r="BY9" s="547"/>
      <c r="BZ9" s="547"/>
      <c r="CA9" s="548"/>
      <c r="CB9" s="555"/>
      <c r="CC9" s="556"/>
      <c r="CD9" s="556"/>
      <c r="CE9" s="557"/>
      <c r="CF9" s="561"/>
      <c r="CG9" s="562"/>
      <c r="CH9" s="562"/>
      <c r="CI9" s="562"/>
      <c r="CJ9" s="563"/>
      <c r="CK9" s="561"/>
      <c r="CL9" s="562"/>
      <c r="CM9" s="562"/>
      <c r="CN9" s="562"/>
      <c r="CO9" s="563"/>
      <c r="CP9" s="562"/>
      <c r="CQ9" s="562"/>
      <c r="CR9" s="562"/>
      <c r="CS9" s="562"/>
      <c r="CT9" s="563"/>
      <c r="CU9" s="561"/>
      <c r="CV9" s="562"/>
      <c r="CW9" s="562"/>
      <c r="CX9" s="562"/>
      <c r="CY9" s="56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c r="A10" s="592"/>
      <c r="B10" s="592"/>
      <c r="C10" s="595"/>
      <c r="D10" s="577"/>
      <c r="E10" s="578"/>
      <c r="F10" s="578"/>
      <c r="G10" s="578"/>
      <c r="H10" s="578"/>
      <c r="I10" s="578"/>
      <c r="J10" s="578"/>
      <c r="K10" s="577"/>
      <c r="L10" s="578"/>
      <c r="M10" s="578"/>
      <c r="N10" s="578"/>
      <c r="O10" s="578"/>
      <c r="P10" s="578"/>
      <c r="Q10" s="578"/>
      <c r="R10" s="571"/>
      <c r="S10" s="572"/>
      <c r="T10" s="571"/>
      <c r="U10" s="572"/>
      <c r="V10" s="577"/>
      <c r="W10" s="578"/>
      <c r="X10" s="578"/>
      <c r="Y10" s="578"/>
      <c r="Z10" s="578"/>
      <c r="AA10" s="578"/>
      <c r="AB10" s="578"/>
      <c r="AC10" s="578"/>
      <c r="AD10" s="577"/>
      <c r="AE10" s="578"/>
      <c r="AF10" s="578"/>
      <c r="AG10" s="578"/>
      <c r="AH10" s="578"/>
      <c r="AI10" s="578"/>
      <c r="AJ10" s="578"/>
      <c r="AK10" s="581"/>
      <c r="AL10" s="577"/>
      <c r="AM10" s="578"/>
      <c r="AN10" s="578"/>
      <c r="AO10" s="578"/>
      <c r="AP10" s="578"/>
      <c r="AQ10" s="578"/>
      <c r="AR10" s="581"/>
      <c r="AS10" s="577"/>
      <c r="AT10" s="578"/>
      <c r="AU10" s="578"/>
      <c r="AV10" s="578"/>
      <c r="AW10" s="578"/>
      <c r="AX10" s="578"/>
      <c r="AY10" s="581"/>
      <c r="AZ10" s="577"/>
      <c r="BA10" s="581"/>
      <c r="BB10" s="566"/>
      <c r="BC10" s="549"/>
      <c r="BD10" s="550"/>
      <c r="BE10" s="550"/>
      <c r="BF10" s="551"/>
      <c r="BG10" s="549"/>
      <c r="BH10" s="551"/>
      <c r="BI10" s="566"/>
      <c r="BJ10" s="549"/>
      <c r="BK10" s="550"/>
      <c r="BL10" s="550"/>
      <c r="BM10" s="550"/>
      <c r="BN10" s="550"/>
      <c r="BO10" s="551"/>
      <c r="BP10" s="549"/>
      <c r="BQ10" s="550"/>
      <c r="BR10" s="550"/>
      <c r="BS10" s="550"/>
      <c r="BT10" s="550"/>
      <c r="BU10" s="551"/>
      <c r="BV10" s="549"/>
      <c r="BW10" s="550"/>
      <c r="BX10" s="550"/>
      <c r="BY10" s="550"/>
      <c r="BZ10" s="550"/>
      <c r="CA10" s="551"/>
      <c r="CB10" s="558"/>
      <c r="CC10" s="559"/>
      <c r="CD10" s="559"/>
      <c r="CE10" s="560"/>
      <c r="CF10" s="561"/>
      <c r="CG10" s="562"/>
      <c r="CH10" s="562"/>
      <c r="CI10" s="562"/>
      <c r="CJ10" s="563"/>
      <c r="CK10" s="561"/>
      <c r="CL10" s="562"/>
      <c r="CM10" s="562"/>
      <c r="CN10" s="562"/>
      <c r="CO10" s="563"/>
      <c r="CP10" s="562"/>
      <c r="CQ10" s="562"/>
      <c r="CR10" s="562"/>
      <c r="CS10" s="562"/>
      <c r="CT10" s="563"/>
      <c r="CU10" s="561"/>
      <c r="CV10" s="562"/>
      <c r="CW10" s="562"/>
      <c r="CX10" s="562"/>
      <c r="CY10" s="56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5">
      <c r="A11" s="434">
        <v>1</v>
      </c>
      <c r="B11" s="36"/>
      <c r="C11" s="198" t="str">
        <f ca="1">IF(AND(OFFSET($K11,-($BB11-1),0)&lt;&gt;"",OFFSET($R11,-($BB11-1),0)&lt;&gt;"x"),"●","")</f>
        <v/>
      </c>
      <c r="D11" s="477" t="s">
        <v>542</v>
      </c>
      <c r="E11" s="478"/>
      <c r="F11" s="478"/>
      <c r="G11" s="478"/>
      <c r="H11" s="478"/>
      <c r="I11" s="478"/>
      <c r="J11" s="478"/>
      <c r="K11" s="438" t="s">
        <v>543</v>
      </c>
      <c r="L11" s="439"/>
      <c r="M11" s="439"/>
      <c r="N11" s="439"/>
      <c r="O11" s="439"/>
      <c r="P11" s="439"/>
      <c r="Q11" s="439"/>
      <c r="R11" s="442" t="s">
        <v>186</v>
      </c>
      <c r="S11" s="443"/>
      <c r="T11" s="442"/>
      <c r="U11" s="443"/>
      <c r="V11" s="438" t="s">
        <v>544</v>
      </c>
      <c r="W11" s="439"/>
      <c r="X11" s="439"/>
      <c r="Y11" s="439"/>
      <c r="Z11" s="439"/>
      <c r="AA11" s="439"/>
      <c r="AB11" s="439"/>
      <c r="AC11" s="439"/>
      <c r="AD11" s="438" t="s">
        <v>545</v>
      </c>
      <c r="AE11" s="439"/>
      <c r="AF11" s="439"/>
      <c r="AG11" s="439"/>
      <c r="AH11" s="439"/>
      <c r="AI11" s="439"/>
      <c r="AJ11" s="439"/>
      <c r="AK11" s="449"/>
      <c r="AL11" s="491" t="s">
        <v>546</v>
      </c>
      <c r="AM11" s="492"/>
      <c r="AN11" s="492"/>
      <c r="AO11" s="492"/>
      <c r="AP11" s="492"/>
      <c r="AQ11" s="492"/>
      <c r="AR11" s="493"/>
      <c r="AS11" s="438" t="s">
        <v>547</v>
      </c>
      <c r="AT11" s="439"/>
      <c r="AU11" s="439"/>
      <c r="AV11" s="439"/>
      <c r="AW11" s="439"/>
      <c r="AX11" s="439"/>
      <c r="AY11" s="449"/>
      <c r="AZ11" s="460"/>
      <c r="BA11" s="461"/>
      <c r="BB11" s="60">
        <v>1</v>
      </c>
      <c r="BC11" s="466"/>
      <c r="BD11" s="467"/>
      <c r="BE11" s="467"/>
      <c r="BF11" s="468"/>
      <c r="BG11" s="469"/>
      <c r="BH11" s="470"/>
      <c r="BI11" s="194"/>
      <c r="BJ11" s="471"/>
      <c r="BK11" s="472"/>
      <c r="BL11" s="472"/>
      <c r="BM11" s="472"/>
      <c r="BN11" s="472"/>
      <c r="BO11" s="473"/>
      <c r="BP11" s="471"/>
      <c r="BQ11" s="472"/>
      <c r="BR11" s="472"/>
      <c r="BS11" s="472"/>
      <c r="BT11" s="472"/>
      <c r="BU11" s="473"/>
      <c r="BV11" s="471"/>
      <c r="BW11" s="472"/>
      <c r="BX11" s="472"/>
      <c r="BY11" s="472"/>
      <c r="BZ11" s="472"/>
      <c r="CA11" s="473"/>
      <c r="CB11" s="466"/>
      <c r="CC11" s="467"/>
      <c r="CD11" s="467"/>
      <c r="CE11" s="468"/>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5">
      <c r="A12" s="435"/>
      <c r="B12" s="36"/>
      <c r="C12" s="199" t="str">
        <f t="shared" ref="C12:C64" ca="1" si="2">IF(AND(OFFSET($K12,-($BB12-1),0)&lt;&gt;"",OFFSET($R12,-($BB12-1),0)&lt;&gt;"x"),"●","")</f>
        <v/>
      </c>
      <c r="D12" s="479"/>
      <c r="E12" s="480"/>
      <c r="F12" s="480"/>
      <c r="G12" s="480"/>
      <c r="H12" s="480"/>
      <c r="I12" s="480"/>
      <c r="J12" s="480"/>
      <c r="K12" s="440"/>
      <c r="L12" s="441"/>
      <c r="M12" s="441"/>
      <c r="N12" s="441"/>
      <c r="O12" s="441"/>
      <c r="P12" s="441"/>
      <c r="Q12" s="441"/>
      <c r="R12" s="444"/>
      <c r="S12" s="445"/>
      <c r="T12" s="444"/>
      <c r="U12" s="445"/>
      <c r="V12" s="440"/>
      <c r="W12" s="441"/>
      <c r="X12" s="441"/>
      <c r="Y12" s="441"/>
      <c r="Z12" s="441"/>
      <c r="AA12" s="441"/>
      <c r="AB12" s="441"/>
      <c r="AC12" s="441"/>
      <c r="AD12" s="440"/>
      <c r="AE12" s="441"/>
      <c r="AF12" s="441"/>
      <c r="AG12" s="441"/>
      <c r="AH12" s="441"/>
      <c r="AI12" s="441"/>
      <c r="AJ12" s="441"/>
      <c r="AK12" s="450"/>
      <c r="AL12" s="494"/>
      <c r="AM12" s="495"/>
      <c r="AN12" s="495"/>
      <c r="AO12" s="495"/>
      <c r="AP12" s="495"/>
      <c r="AQ12" s="495"/>
      <c r="AR12" s="496"/>
      <c r="AS12" s="440"/>
      <c r="AT12" s="441"/>
      <c r="AU12" s="441"/>
      <c r="AV12" s="441"/>
      <c r="AW12" s="441"/>
      <c r="AX12" s="441"/>
      <c r="AY12" s="450"/>
      <c r="AZ12" s="462"/>
      <c r="BA12" s="463"/>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5">
      <c r="A13" s="435"/>
      <c r="B13" s="36"/>
      <c r="C13" s="199" t="str">
        <f t="shared" ca="1" si="2"/>
        <v/>
      </c>
      <c r="D13" s="479"/>
      <c r="E13" s="480"/>
      <c r="F13" s="480"/>
      <c r="G13" s="480"/>
      <c r="H13" s="480"/>
      <c r="I13" s="480"/>
      <c r="J13" s="480"/>
      <c r="K13" s="440"/>
      <c r="L13" s="441"/>
      <c r="M13" s="441"/>
      <c r="N13" s="441"/>
      <c r="O13" s="441"/>
      <c r="P13" s="441"/>
      <c r="Q13" s="441"/>
      <c r="R13" s="444"/>
      <c r="S13" s="445"/>
      <c r="T13" s="444"/>
      <c r="U13" s="445"/>
      <c r="V13" s="440"/>
      <c r="W13" s="441"/>
      <c r="X13" s="441"/>
      <c r="Y13" s="441"/>
      <c r="Z13" s="441"/>
      <c r="AA13" s="441"/>
      <c r="AB13" s="441"/>
      <c r="AC13" s="441"/>
      <c r="AD13" s="440"/>
      <c r="AE13" s="441"/>
      <c r="AF13" s="441"/>
      <c r="AG13" s="441"/>
      <c r="AH13" s="441"/>
      <c r="AI13" s="441"/>
      <c r="AJ13" s="441"/>
      <c r="AK13" s="450"/>
      <c r="AL13" s="494"/>
      <c r="AM13" s="495"/>
      <c r="AN13" s="495"/>
      <c r="AO13" s="495"/>
      <c r="AP13" s="495"/>
      <c r="AQ13" s="495"/>
      <c r="AR13" s="496"/>
      <c r="AS13" s="440"/>
      <c r="AT13" s="441"/>
      <c r="AU13" s="441"/>
      <c r="AV13" s="441"/>
      <c r="AW13" s="441"/>
      <c r="AX13" s="441"/>
      <c r="AY13" s="450"/>
      <c r="AZ13" s="462"/>
      <c r="BA13" s="463"/>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5">
      <c r="A14" s="435"/>
      <c r="B14" s="36"/>
      <c r="C14" s="199" t="str">
        <f t="shared" ca="1" si="2"/>
        <v/>
      </c>
      <c r="D14" s="479"/>
      <c r="E14" s="480"/>
      <c r="F14" s="480"/>
      <c r="G14" s="480"/>
      <c r="H14" s="480"/>
      <c r="I14" s="480"/>
      <c r="J14" s="480"/>
      <c r="K14" s="440"/>
      <c r="L14" s="441"/>
      <c r="M14" s="441"/>
      <c r="N14" s="441"/>
      <c r="O14" s="441"/>
      <c r="P14" s="441"/>
      <c r="Q14" s="441"/>
      <c r="R14" s="444"/>
      <c r="S14" s="445"/>
      <c r="T14" s="444"/>
      <c r="U14" s="445"/>
      <c r="V14" s="440"/>
      <c r="W14" s="441"/>
      <c r="X14" s="441"/>
      <c r="Y14" s="441"/>
      <c r="Z14" s="441"/>
      <c r="AA14" s="441"/>
      <c r="AB14" s="441"/>
      <c r="AC14" s="441"/>
      <c r="AD14" s="440"/>
      <c r="AE14" s="441"/>
      <c r="AF14" s="441"/>
      <c r="AG14" s="441"/>
      <c r="AH14" s="441"/>
      <c r="AI14" s="441"/>
      <c r="AJ14" s="441"/>
      <c r="AK14" s="450"/>
      <c r="AL14" s="494"/>
      <c r="AM14" s="495"/>
      <c r="AN14" s="495"/>
      <c r="AO14" s="495"/>
      <c r="AP14" s="495"/>
      <c r="AQ14" s="495"/>
      <c r="AR14" s="496"/>
      <c r="AS14" s="440"/>
      <c r="AT14" s="441"/>
      <c r="AU14" s="441"/>
      <c r="AV14" s="441"/>
      <c r="AW14" s="441"/>
      <c r="AX14" s="441"/>
      <c r="AY14" s="450"/>
      <c r="AZ14" s="462"/>
      <c r="BA14" s="463"/>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5">
      <c r="A15" s="435"/>
      <c r="B15" s="36"/>
      <c r="C15" s="199" t="str">
        <f t="shared" ca="1" si="2"/>
        <v/>
      </c>
      <c r="D15" s="479"/>
      <c r="E15" s="480"/>
      <c r="F15" s="480"/>
      <c r="G15" s="480"/>
      <c r="H15" s="480"/>
      <c r="I15" s="480"/>
      <c r="J15" s="480"/>
      <c r="K15" s="440"/>
      <c r="L15" s="441"/>
      <c r="M15" s="441"/>
      <c r="N15" s="441"/>
      <c r="O15" s="441"/>
      <c r="P15" s="441"/>
      <c r="Q15" s="441"/>
      <c r="R15" s="444"/>
      <c r="S15" s="445"/>
      <c r="T15" s="444"/>
      <c r="U15" s="445"/>
      <c r="V15" s="440"/>
      <c r="W15" s="441"/>
      <c r="X15" s="441"/>
      <c r="Y15" s="441"/>
      <c r="Z15" s="441"/>
      <c r="AA15" s="441"/>
      <c r="AB15" s="441"/>
      <c r="AC15" s="441"/>
      <c r="AD15" s="440"/>
      <c r="AE15" s="441"/>
      <c r="AF15" s="441"/>
      <c r="AG15" s="441"/>
      <c r="AH15" s="441"/>
      <c r="AI15" s="441"/>
      <c r="AJ15" s="441"/>
      <c r="AK15" s="450"/>
      <c r="AL15" s="494"/>
      <c r="AM15" s="495"/>
      <c r="AN15" s="495"/>
      <c r="AO15" s="495"/>
      <c r="AP15" s="495"/>
      <c r="AQ15" s="495"/>
      <c r="AR15" s="496"/>
      <c r="AS15" s="440"/>
      <c r="AT15" s="441"/>
      <c r="AU15" s="441"/>
      <c r="AV15" s="441"/>
      <c r="AW15" s="441"/>
      <c r="AX15" s="441"/>
      <c r="AY15" s="450"/>
      <c r="AZ15" s="462"/>
      <c r="BA15" s="463"/>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5">
      <c r="A16" s="436"/>
      <c r="B16" s="37"/>
      <c r="C16" s="200" t="str">
        <f t="shared" ca="1" si="2"/>
        <v/>
      </c>
      <c r="D16" s="481"/>
      <c r="E16" s="482"/>
      <c r="F16" s="482"/>
      <c r="G16" s="482"/>
      <c r="H16" s="482"/>
      <c r="I16" s="482"/>
      <c r="J16" s="482"/>
      <c r="K16" s="409"/>
      <c r="L16" s="410"/>
      <c r="M16" s="410"/>
      <c r="N16" s="410"/>
      <c r="O16" s="410"/>
      <c r="P16" s="410"/>
      <c r="Q16" s="410"/>
      <c r="R16" s="446"/>
      <c r="S16" s="447"/>
      <c r="T16" s="446"/>
      <c r="U16" s="447"/>
      <c r="V16" s="409"/>
      <c r="W16" s="410"/>
      <c r="X16" s="410"/>
      <c r="Y16" s="410"/>
      <c r="Z16" s="410"/>
      <c r="AA16" s="410"/>
      <c r="AB16" s="410"/>
      <c r="AC16" s="410"/>
      <c r="AD16" s="409"/>
      <c r="AE16" s="410"/>
      <c r="AF16" s="410"/>
      <c r="AG16" s="410"/>
      <c r="AH16" s="410"/>
      <c r="AI16" s="410"/>
      <c r="AJ16" s="410"/>
      <c r="AK16" s="411"/>
      <c r="AL16" s="497"/>
      <c r="AM16" s="498"/>
      <c r="AN16" s="498"/>
      <c r="AO16" s="498"/>
      <c r="AP16" s="498"/>
      <c r="AQ16" s="498"/>
      <c r="AR16" s="499"/>
      <c r="AS16" s="409"/>
      <c r="AT16" s="410"/>
      <c r="AU16" s="410"/>
      <c r="AV16" s="410"/>
      <c r="AW16" s="410"/>
      <c r="AX16" s="410"/>
      <c r="AY16" s="411"/>
      <c r="AZ16" s="464"/>
      <c r="BA16" s="465"/>
      <c r="BB16" s="62">
        <v>6</v>
      </c>
      <c r="BC16" s="426"/>
      <c r="BD16" s="427"/>
      <c r="BE16" s="427"/>
      <c r="BF16" s="428"/>
      <c r="BG16" s="429"/>
      <c r="BH16" s="430"/>
      <c r="BI16" s="196"/>
      <c r="BJ16" s="474"/>
      <c r="BK16" s="475"/>
      <c r="BL16" s="475"/>
      <c r="BM16" s="475"/>
      <c r="BN16" s="475"/>
      <c r="BO16" s="476"/>
      <c r="BP16" s="474"/>
      <c r="BQ16" s="475"/>
      <c r="BR16" s="475"/>
      <c r="BS16" s="475"/>
      <c r="BT16" s="475"/>
      <c r="BU16" s="476"/>
      <c r="BV16" s="474"/>
      <c r="BW16" s="475"/>
      <c r="BX16" s="475"/>
      <c r="BY16" s="475"/>
      <c r="BZ16" s="475"/>
      <c r="CA16" s="476"/>
      <c r="CB16" s="426"/>
      <c r="CC16" s="427"/>
      <c r="CD16" s="427"/>
      <c r="CE16" s="428"/>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5" customHeight="1">
      <c r="A17" s="434">
        <v>2</v>
      </c>
      <c r="B17" s="36"/>
      <c r="C17" s="198" t="str">
        <f t="shared" ca="1" si="2"/>
        <v/>
      </c>
      <c r="D17" s="477" t="s">
        <v>542</v>
      </c>
      <c r="E17" s="478"/>
      <c r="F17" s="478"/>
      <c r="G17" s="478"/>
      <c r="H17" s="478"/>
      <c r="I17" s="478"/>
      <c r="J17" s="478"/>
      <c r="K17" s="438" t="s">
        <v>548</v>
      </c>
      <c r="L17" s="439"/>
      <c r="M17" s="439"/>
      <c r="N17" s="439"/>
      <c r="O17" s="439"/>
      <c r="P17" s="439"/>
      <c r="Q17" s="439"/>
      <c r="R17" s="442" t="s">
        <v>186</v>
      </c>
      <c r="S17" s="443"/>
      <c r="T17" s="442"/>
      <c r="U17" s="443"/>
      <c r="V17" s="438" t="s">
        <v>544</v>
      </c>
      <c r="W17" s="439"/>
      <c r="X17" s="439"/>
      <c r="Y17" s="439"/>
      <c r="Z17" s="439"/>
      <c r="AA17" s="439"/>
      <c r="AB17" s="439"/>
      <c r="AC17" s="439"/>
      <c r="AD17" s="438" t="s">
        <v>549</v>
      </c>
      <c r="AE17" s="439"/>
      <c r="AF17" s="439"/>
      <c r="AG17" s="439"/>
      <c r="AH17" s="439"/>
      <c r="AI17" s="439"/>
      <c r="AJ17" s="439"/>
      <c r="AK17" s="449"/>
      <c r="AL17" s="491" t="s">
        <v>546</v>
      </c>
      <c r="AM17" s="492"/>
      <c r="AN17" s="492"/>
      <c r="AO17" s="492"/>
      <c r="AP17" s="492"/>
      <c r="AQ17" s="492"/>
      <c r="AR17" s="493"/>
      <c r="AS17" s="438" t="s">
        <v>550</v>
      </c>
      <c r="AT17" s="439"/>
      <c r="AU17" s="439"/>
      <c r="AV17" s="439"/>
      <c r="AW17" s="439"/>
      <c r="AX17" s="439"/>
      <c r="AY17" s="449"/>
      <c r="AZ17" s="460"/>
      <c r="BA17" s="461"/>
      <c r="BB17" s="60">
        <v>1</v>
      </c>
      <c r="BC17" s="466"/>
      <c r="BD17" s="467"/>
      <c r="BE17" s="467"/>
      <c r="BF17" s="468"/>
      <c r="BG17" s="469"/>
      <c r="BH17" s="470"/>
      <c r="BI17" s="194"/>
      <c r="BJ17" s="471"/>
      <c r="BK17" s="472"/>
      <c r="BL17" s="472"/>
      <c r="BM17" s="472"/>
      <c r="BN17" s="472"/>
      <c r="BO17" s="473"/>
      <c r="BP17" s="471"/>
      <c r="BQ17" s="472"/>
      <c r="BR17" s="472"/>
      <c r="BS17" s="472"/>
      <c r="BT17" s="472"/>
      <c r="BU17" s="473"/>
      <c r="BV17" s="471"/>
      <c r="BW17" s="472"/>
      <c r="BX17" s="472"/>
      <c r="BY17" s="472"/>
      <c r="BZ17" s="472"/>
      <c r="CA17" s="473"/>
      <c r="CB17" s="466"/>
      <c r="CC17" s="467"/>
      <c r="CD17" s="467"/>
      <c r="CE17" s="468"/>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5">
      <c r="A18" s="435"/>
      <c r="B18" s="36"/>
      <c r="C18" s="199" t="str">
        <f t="shared" ca="1" si="2"/>
        <v/>
      </c>
      <c r="D18" s="479"/>
      <c r="E18" s="480"/>
      <c r="F18" s="480"/>
      <c r="G18" s="480"/>
      <c r="H18" s="480"/>
      <c r="I18" s="480"/>
      <c r="J18" s="480"/>
      <c r="K18" s="440"/>
      <c r="L18" s="441"/>
      <c r="M18" s="441"/>
      <c r="N18" s="441"/>
      <c r="O18" s="441"/>
      <c r="P18" s="441"/>
      <c r="Q18" s="441"/>
      <c r="R18" s="444"/>
      <c r="S18" s="445"/>
      <c r="T18" s="444"/>
      <c r="U18" s="445"/>
      <c r="V18" s="440"/>
      <c r="W18" s="441"/>
      <c r="X18" s="441"/>
      <c r="Y18" s="441"/>
      <c r="Z18" s="441"/>
      <c r="AA18" s="441"/>
      <c r="AB18" s="441"/>
      <c r="AC18" s="441"/>
      <c r="AD18" s="440"/>
      <c r="AE18" s="441"/>
      <c r="AF18" s="441"/>
      <c r="AG18" s="441"/>
      <c r="AH18" s="441"/>
      <c r="AI18" s="441"/>
      <c r="AJ18" s="441"/>
      <c r="AK18" s="450"/>
      <c r="AL18" s="494"/>
      <c r="AM18" s="495"/>
      <c r="AN18" s="495"/>
      <c r="AO18" s="495"/>
      <c r="AP18" s="495"/>
      <c r="AQ18" s="495"/>
      <c r="AR18" s="496"/>
      <c r="AS18" s="440"/>
      <c r="AT18" s="441"/>
      <c r="AU18" s="441"/>
      <c r="AV18" s="441"/>
      <c r="AW18" s="441"/>
      <c r="AX18" s="441"/>
      <c r="AY18" s="450"/>
      <c r="AZ18" s="462"/>
      <c r="BA18" s="463"/>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5">
      <c r="A19" s="435"/>
      <c r="B19" s="36"/>
      <c r="C19" s="199" t="str">
        <f t="shared" ca="1" si="2"/>
        <v/>
      </c>
      <c r="D19" s="479"/>
      <c r="E19" s="480"/>
      <c r="F19" s="480"/>
      <c r="G19" s="480"/>
      <c r="H19" s="480"/>
      <c r="I19" s="480"/>
      <c r="J19" s="480"/>
      <c r="K19" s="440"/>
      <c r="L19" s="441"/>
      <c r="M19" s="441"/>
      <c r="N19" s="441"/>
      <c r="O19" s="441"/>
      <c r="P19" s="441"/>
      <c r="Q19" s="441"/>
      <c r="R19" s="444"/>
      <c r="S19" s="445"/>
      <c r="T19" s="444"/>
      <c r="U19" s="445"/>
      <c r="V19" s="440"/>
      <c r="W19" s="441"/>
      <c r="X19" s="441"/>
      <c r="Y19" s="441"/>
      <c r="Z19" s="441"/>
      <c r="AA19" s="441"/>
      <c r="AB19" s="441"/>
      <c r="AC19" s="441"/>
      <c r="AD19" s="440"/>
      <c r="AE19" s="441"/>
      <c r="AF19" s="441"/>
      <c r="AG19" s="441"/>
      <c r="AH19" s="441"/>
      <c r="AI19" s="441"/>
      <c r="AJ19" s="441"/>
      <c r="AK19" s="450"/>
      <c r="AL19" s="494"/>
      <c r="AM19" s="495"/>
      <c r="AN19" s="495"/>
      <c r="AO19" s="495"/>
      <c r="AP19" s="495"/>
      <c r="AQ19" s="495"/>
      <c r="AR19" s="496"/>
      <c r="AS19" s="440"/>
      <c r="AT19" s="441"/>
      <c r="AU19" s="441"/>
      <c r="AV19" s="441"/>
      <c r="AW19" s="441"/>
      <c r="AX19" s="441"/>
      <c r="AY19" s="450"/>
      <c r="AZ19" s="462"/>
      <c r="BA19" s="463"/>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5">
      <c r="A20" s="435"/>
      <c r="B20" s="36"/>
      <c r="C20" s="199" t="str">
        <f t="shared" ca="1" si="2"/>
        <v/>
      </c>
      <c r="D20" s="479"/>
      <c r="E20" s="480"/>
      <c r="F20" s="480"/>
      <c r="G20" s="480"/>
      <c r="H20" s="480"/>
      <c r="I20" s="480"/>
      <c r="J20" s="480"/>
      <c r="K20" s="440"/>
      <c r="L20" s="441"/>
      <c r="M20" s="441"/>
      <c r="N20" s="441"/>
      <c r="O20" s="441"/>
      <c r="P20" s="441"/>
      <c r="Q20" s="441"/>
      <c r="R20" s="444"/>
      <c r="S20" s="445"/>
      <c r="T20" s="444"/>
      <c r="U20" s="445"/>
      <c r="V20" s="440"/>
      <c r="W20" s="441"/>
      <c r="X20" s="441"/>
      <c r="Y20" s="441"/>
      <c r="Z20" s="441"/>
      <c r="AA20" s="441"/>
      <c r="AB20" s="441"/>
      <c r="AC20" s="441"/>
      <c r="AD20" s="440"/>
      <c r="AE20" s="441"/>
      <c r="AF20" s="441"/>
      <c r="AG20" s="441"/>
      <c r="AH20" s="441"/>
      <c r="AI20" s="441"/>
      <c r="AJ20" s="441"/>
      <c r="AK20" s="450"/>
      <c r="AL20" s="494"/>
      <c r="AM20" s="495"/>
      <c r="AN20" s="495"/>
      <c r="AO20" s="495"/>
      <c r="AP20" s="495"/>
      <c r="AQ20" s="495"/>
      <c r="AR20" s="496"/>
      <c r="AS20" s="440"/>
      <c r="AT20" s="441"/>
      <c r="AU20" s="441"/>
      <c r="AV20" s="441"/>
      <c r="AW20" s="441"/>
      <c r="AX20" s="441"/>
      <c r="AY20" s="450"/>
      <c r="AZ20" s="462"/>
      <c r="BA20" s="463"/>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5">
      <c r="A21" s="435"/>
      <c r="B21" s="36"/>
      <c r="C21" s="199" t="str">
        <f t="shared" ca="1" si="2"/>
        <v/>
      </c>
      <c r="D21" s="479"/>
      <c r="E21" s="480"/>
      <c r="F21" s="480"/>
      <c r="G21" s="480"/>
      <c r="H21" s="480"/>
      <c r="I21" s="480"/>
      <c r="J21" s="480"/>
      <c r="K21" s="440"/>
      <c r="L21" s="441"/>
      <c r="M21" s="441"/>
      <c r="N21" s="441"/>
      <c r="O21" s="441"/>
      <c r="P21" s="441"/>
      <c r="Q21" s="441"/>
      <c r="R21" s="444"/>
      <c r="S21" s="445"/>
      <c r="T21" s="444"/>
      <c r="U21" s="445"/>
      <c r="V21" s="440"/>
      <c r="W21" s="441"/>
      <c r="X21" s="441"/>
      <c r="Y21" s="441"/>
      <c r="Z21" s="441"/>
      <c r="AA21" s="441"/>
      <c r="AB21" s="441"/>
      <c r="AC21" s="441"/>
      <c r="AD21" s="440"/>
      <c r="AE21" s="441"/>
      <c r="AF21" s="441"/>
      <c r="AG21" s="441"/>
      <c r="AH21" s="441"/>
      <c r="AI21" s="441"/>
      <c r="AJ21" s="441"/>
      <c r="AK21" s="450"/>
      <c r="AL21" s="494"/>
      <c r="AM21" s="495"/>
      <c r="AN21" s="495"/>
      <c r="AO21" s="495"/>
      <c r="AP21" s="495"/>
      <c r="AQ21" s="495"/>
      <c r="AR21" s="496"/>
      <c r="AS21" s="440"/>
      <c r="AT21" s="441"/>
      <c r="AU21" s="441"/>
      <c r="AV21" s="441"/>
      <c r="AW21" s="441"/>
      <c r="AX21" s="441"/>
      <c r="AY21" s="450"/>
      <c r="AZ21" s="462"/>
      <c r="BA21" s="463"/>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5">
      <c r="A22" s="436"/>
      <c r="B22" s="37"/>
      <c r="C22" s="200" t="str">
        <f t="shared" ca="1" si="2"/>
        <v/>
      </c>
      <c r="D22" s="481"/>
      <c r="E22" s="482"/>
      <c r="F22" s="482"/>
      <c r="G22" s="482"/>
      <c r="H22" s="482"/>
      <c r="I22" s="482"/>
      <c r="J22" s="482"/>
      <c r="K22" s="409"/>
      <c r="L22" s="410"/>
      <c r="M22" s="410"/>
      <c r="N22" s="410"/>
      <c r="O22" s="410"/>
      <c r="P22" s="410"/>
      <c r="Q22" s="410"/>
      <c r="R22" s="446"/>
      <c r="S22" s="447"/>
      <c r="T22" s="446"/>
      <c r="U22" s="447"/>
      <c r="V22" s="409"/>
      <c r="W22" s="410"/>
      <c r="X22" s="410"/>
      <c r="Y22" s="410"/>
      <c r="Z22" s="410"/>
      <c r="AA22" s="410"/>
      <c r="AB22" s="410"/>
      <c r="AC22" s="410"/>
      <c r="AD22" s="409"/>
      <c r="AE22" s="410"/>
      <c r="AF22" s="410"/>
      <c r="AG22" s="410"/>
      <c r="AH22" s="410"/>
      <c r="AI22" s="410"/>
      <c r="AJ22" s="410"/>
      <c r="AK22" s="411"/>
      <c r="AL22" s="497"/>
      <c r="AM22" s="498"/>
      <c r="AN22" s="498"/>
      <c r="AO22" s="498"/>
      <c r="AP22" s="498"/>
      <c r="AQ22" s="498"/>
      <c r="AR22" s="499"/>
      <c r="AS22" s="409"/>
      <c r="AT22" s="410"/>
      <c r="AU22" s="410"/>
      <c r="AV22" s="410"/>
      <c r="AW22" s="410"/>
      <c r="AX22" s="410"/>
      <c r="AY22" s="411"/>
      <c r="AZ22" s="464"/>
      <c r="BA22" s="465"/>
      <c r="BB22" s="62">
        <v>6</v>
      </c>
      <c r="BC22" s="426"/>
      <c r="BD22" s="427"/>
      <c r="BE22" s="427"/>
      <c r="BF22" s="428"/>
      <c r="BG22" s="429"/>
      <c r="BH22" s="430"/>
      <c r="BI22" s="196"/>
      <c r="BJ22" s="474"/>
      <c r="BK22" s="475"/>
      <c r="BL22" s="475"/>
      <c r="BM22" s="475"/>
      <c r="BN22" s="475"/>
      <c r="BO22" s="476"/>
      <c r="BP22" s="474"/>
      <c r="BQ22" s="475"/>
      <c r="BR22" s="475"/>
      <c r="BS22" s="475"/>
      <c r="BT22" s="475"/>
      <c r="BU22" s="476"/>
      <c r="BV22" s="474"/>
      <c r="BW22" s="475"/>
      <c r="BX22" s="475"/>
      <c r="BY22" s="475"/>
      <c r="BZ22" s="475"/>
      <c r="CA22" s="476"/>
      <c r="CB22" s="426"/>
      <c r="CC22" s="427"/>
      <c r="CD22" s="427"/>
      <c r="CE22" s="428"/>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5" customHeight="1">
      <c r="A23" s="434">
        <v>3</v>
      </c>
      <c r="B23" s="36"/>
      <c r="C23" s="198" t="str">
        <f t="shared" ca="1" si="2"/>
        <v/>
      </c>
      <c r="D23" s="477" t="s">
        <v>542</v>
      </c>
      <c r="E23" s="478"/>
      <c r="F23" s="478"/>
      <c r="G23" s="478"/>
      <c r="H23" s="478"/>
      <c r="I23" s="478"/>
      <c r="J23" s="478"/>
      <c r="K23" s="438" t="s">
        <v>551</v>
      </c>
      <c r="L23" s="439"/>
      <c r="M23" s="439"/>
      <c r="N23" s="439"/>
      <c r="O23" s="439"/>
      <c r="P23" s="439"/>
      <c r="Q23" s="439"/>
      <c r="R23" s="442" t="s">
        <v>186</v>
      </c>
      <c r="S23" s="443"/>
      <c r="T23" s="442"/>
      <c r="U23" s="443"/>
      <c r="V23" s="438" t="s">
        <v>544</v>
      </c>
      <c r="W23" s="439"/>
      <c r="X23" s="439"/>
      <c r="Y23" s="439"/>
      <c r="Z23" s="439"/>
      <c r="AA23" s="439"/>
      <c r="AB23" s="439"/>
      <c r="AC23" s="439"/>
      <c r="AD23" s="438" t="s">
        <v>552</v>
      </c>
      <c r="AE23" s="439"/>
      <c r="AF23" s="439"/>
      <c r="AG23" s="439"/>
      <c r="AH23" s="439"/>
      <c r="AI23" s="439"/>
      <c r="AJ23" s="439"/>
      <c r="AK23" s="449"/>
      <c r="AL23" s="491" t="s">
        <v>546</v>
      </c>
      <c r="AM23" s="492"/>
      <c r="AN23" s="492"/>
      <c r="AO23" s="492"/>
      <c r="AP23" s="492"/>
      <c r="AQ23" s="492"/>
      <c r="AR23" s="493"/>
      <c r="AS23" s="438" t="s">
        <v>550</v>
      </c>
      <c r="AT23" s="439"/>
      <c r="AU23" s="439"/>
      <c r="AV23" s="439"/>
      <c r="AW23" s="439"/>
      <c r="AX23" s="439"/>
      <c r="AY23" s="449"/>
      <c r="AZ23" s="460"/>
      <c r="BA23" s="461"/>
      <c r="BB23" s="60">
        <v>1</v>
      </c>
      <c r="BC23" s="466"/>
      <c r="BD23" s="467"/>
      <c r="BE23" s="467"/>
      <c r="BF23" s="468"/>
      <c r="BG23" s="469"/>
      <c r="BH23" s="470"/>
      <c r="BI23" s="194"/>
      <c r="BJ23" s="471"/>
      <c r="BK23" s="472"/>
      <c r="BL23" s="472"/>
      <c r="BM23" s="472"/>
      <c r="BN23" s="472"/>
      <c r="BO23" s="473"/>
      <c r="BP23" s="471"/>
      <c r="BQ23" s="472"/>
      <c r="BR23" s="472"/>
      <c r="BS23" s="472"/>
      <c r="BT23" s="472"/>
      <c r="BU23" s="473"/>
      <c r="BV23" s="471"/>
      <c r="BW23" s="472"/>
      <c r="BX23" s="472"/>
      <c r="BY23" s="472"/>
      <c r="BZ23" s="472"/>
      <c r="CA23" s="473"/>
      <c r="CB23" s="466"/>
      <c r="CC23" s="467"/>
      <c r="CD23" s="467"/>
      <c r="CE23" s="468"/>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5">
      <c r="A24" s="435"/>
      <c r="B24" s="36"/>
      <c r="C24" s="199" t="str">
        <f t="shared" ca="1" si="2"/>
        <v/>
      </c>
      <c r="D24" s="479"/>
      <c r="E24" s="480"/>
      <c r="F24" s="480"/>
      <c r="G24" s="480"/>
      <c r="H24" s="480"/>
      <c r="I24" s="480"/>
      <c r="J24" s="480"/>
      <c r="K24" s="440"/>
      <c r="L24" s="441"/>
      <c r="M24" s="441"/>
      <c r="N24" s="441"/>
      <c r="O24" s="441"/>
      <c r="P24" s="441"/>
      <c r="Q24" s="441"/>
      <c r="R24" s="444"/>
      <c r="S24" s="445"/>
      <c r="T24" s="444"/>
      <c r="U24" s="445"/>
      <c r="V24" s="440"/>
      <c r="W24" s="441"/>
      <c r="X24" s="441"/>
      <c r="Y24" s="441"/>
      <c r="Z24" s="441"/>
      <c r="AA24" s="441"/>
      <c r="AB24" s="441"/>
      <c r="AC24" s="441"/>
      <c r="AD24" s="440"/>
      <c r="AE24" s="441"/>
      <c r="AF24" s="441"/>
      <c r="AG24" s="441"/>
      <c r="AH24" s="441"/>
      <c r="AI24" s="441"/>
      <c r="AJ24" s="441"/>
      <c r="AK24" s="450"/>
      <c r="AL24" s="494"/>
      <c r="AM24" s="495"/>
      <c r="AN24" s="495"/>
      <c r="AO24" s="495"/>
      <c r="AP24" s="495"/>
      <c r="AQ24" s="495"/>
      <c r="AR24" s="496"/>
      <c r="AS24" s="440"/>
      <c r="AT24" s="441"/>
      <c r="AU24" s="441"/>
      <c r="AV24" s="441"/>
      <c r="AW24" s="441"/>
      <c r="AX24" s="441"/>
      <c r="AY24" s="450"/>
      <c r="AZ24" s="462"/>
      <c r="BA24" s="463"/>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5">
      <c r="A25" s="435"/>
      <c r="B25" s="36"/>
      <c r="C25" s="199" t="str">
        <f t="shared" ca="1" si="2"/>
        <v/>
      </c>
      <c r="D25" s="479"/>
      <c r="E25" s="480"/>
      <c r="F25" s="480"/>
      <c r="G25" s="480"/>
      <c r="H25" s="480"/>
      <c r="I25" s="480"/>
      <c r="J25" s="480"/>
      <c r="K25" s="440"/>
      <c r="L25" s="441"/>
      <c r="M25" s="441"/>
      <c r="N25" s="441"/>
      <c r="O25" s="441"/>
      <c r="P25" s="441"/>
      <c r="Q25" s="441"/>
      <c r="R25" s="444"/>
      <c r="S25" s="445"/>
      <c r="T25" s="444"/>
      <c r="U25" s="445"/>
      <c r="V25" s="440"/>
      <c r="W25" s="441"/>
      <c r="X25" s="441"/>
      <c r="Y25" s="441"/>
      <c r="Z25" s="441"/>
      <c r="AA25" s="441"/>
      <c r="AB25" s="441"/>
      <c r="AC25" s="441"/>
      <c r="AD25" s="440"/>
      <c r="AE25" s="441"/>
      <c r="AF25" s="441"/>
      <c r="AG25" s="441"/>
      <c r="AH25" s="441"/>
      <c r="AI25" s="441"/>
      <c r="AJ25" s="441"/>
      <c r="AK25" s="450"/>
      <c r="AL25" s="494"/>
      <c r="AM25" s="495"/>
      <c r="AN25" s="495"/>
      <c r="AO25" s="495"/>
      <c r="AP25" s="495"/>
      <c r="AQ25" s="495"/>
      <c r="AR25" s="496"/>
      <c r="AS25" s="440"/>
      <c r="AT25" s="441"/>
      <c r="AU25" s="441"/>
      <c r="AV25" s="441"/>
      <c r="AW25" s="441"/>
      <c r="AX25" s="441"/>
      <c r="AY25" s="450"/>
      <c r="AZ25" s="462"/>
      <c r="BA25" s="463"/>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5">
      <c r="A26" s="435"/>
      <c r="B26" s="36"/>
      <c r="C26" s="199" t="str">
        <f t="shared" ca="1" si="2"/>
        <v/>
      </c>
      <c r="D26" s="479"/>
      <c r="E26" s="480"/>
      <c r="F26" s="480"/>
      <c r="G26" s="480"/>
      <c r="H26" s="480"/>
      <c r="I26" s="480"/>
      <c r="J26" s="480"/>
      <c r="K26" s="440"/>
      <c r="L26" s="441"/>
      <c r="M26" s="441"/>
      <c r="N26" s="441"/>
      <c r="O26" s="441"/>
      <c r="P26" s="441"/>
      <c r="Q26" s="441"/>
      <c r="R26" s="444"/>
      <c r="S26" s="445"/>
      <c r="T26" s="444"/>
      <c r="U26" s="445"/>
      <c r="V26" s="440"/>
      <c r="W26" s="441"/>
      <c r="X26" s="441"/>
      <c r="Y26" s="441"/>
      <c r="Z26" s="441"/>
      <c r="AA26" s="441"/>
      <c r="AB26" s="441"/>
      <c r="AC26" s="441"/>
      <c r="AD26" s="440"/>
      <c r="AE26" s="441"/>
      <c r="AF26" s="441"/>
      <c r="AG26" s="441"/>
      <c r="AH26" s="441"/>
      <c r="AI26" s="441"/>
      <c r="AJ26" s="441"/>
      <c r="AK26" s="450"/>
      <c r="AL26" s="494"/>
      <c r="AM26" s="495"/>
      <c r="AN26" s="495"/>
      <c r="AO26" s="495"/>
      <c r="AP26" s="495"/>
      <c r="AQ26" s="495"/>
      <c r="AR26" s="496"/>
      <c r="AS26" s="440"/>
      <c r="AT26" s="441"/>
      <c r="AU26" s="441"/>
      <c r="AV26" s="441"/>
      <c r="AW26" s="441"/>
      <c r="AX26" s="441"/>
      <c r="AY26" s="450"/>
      <c r="AZ26" s="462"/>
      <c r="BA26" s="463"/>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5">
      <c r="A27" s="435"/>
      <c r="B27" s="36"/>
      <c r="C27" s="199" t="str">
        <f t="shared" ca="1" si="2"/>
        <v/>
      </c>
      <c r="D27" s="479"/>
      <c r="E27" s="480"/>
      <c r="F27" s="480"/>
      <c r="G27" s="480"/>
      <c r="H27" s="480"/>
      <c r="I27" s="480"/>
      <c r="J27" s="480"/>
      <c r="K27" s="440"/>
      <c r="L27" s="441"/>
      <c r="M27" s="441"/>
      <c r="N27" s="441"/>
      <c r="O27" s="441"/>
      <c r="P27" s="441"/>
      <c r="Q27" s="441"/>
      <c r="R27" s="444"/>
      <c r="S27" s="445"/>
      <c r="T27" s="444"/>
      <c r="U27" s="445"/>
      <c r="V27" s="440"/>
      <c r="W27" s="441"/>
      <c r="X27" s="441"/>
      <c r="Y27" s="441"/>
      <c r="Z27" s="441"/>
      <c r="AA27" s="441"/>
      <c r="AB27" s="441"/>
      <c r="AC27" s="441"/>
      <c r="AD27" s="440"/>
      <c r="AE27" s="441"/>
      <c r="AF27" s="441"/>
      <c r="AG27" s="441"/>
      <c r="AH27" s="441"/>
      <c r="AI27" s="441"/>
      <c r="AJ27" s="441"/>
      <c r="AK27" s="450"/>
      <c r="AL27" s="494"/>
      <c r="AM27" s="495"/>
      <c r="AN27" s="495"/>
      <c r="AO27" s="495"/>
      <c r="AP27" s="495"/>
      <c r="AQ27" s="495"/>
      <c r="AR27" s="496"/>
      <c r="AS27" s="440"/>
      <c r="AT27" s="441"/>
      <c r="AU27" s="441"/>
      <c r="AV27" s="441"/>
      <c r="AW27" s="441"/>
      <c r="AX27" s="441"/>
      <c r="AY27" s="450"/>
      <c r="AZ27" s="462"/>
      <c r="BA27" s="463"/>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5">
      <c r="A28" s="436"/>
      <c r="B28" s="37"/>
      <c r="C28" s="200" t="str">
        <f t="shared" ca="1" si="2"/>
        <v/>
      </c>
      <c r="D28" s="481"/>
      <c r="E28" s="482"/>
      <c r="F28" s="482"/>
      <c r="G28" s="482"/>
      <c r="H28" s="482"/>
      <c r="I28" s="482"/>
      <c r="J28" s="482"/>
      <c r="K28" s="409"/>
      <c r="L28" s="410"/>
      <c r="M28" s="410"/>
      <c r="N28" s="410"/>
      <c r="O28" s="410"/>
      <c r="P28" s="410"/>
      <c r="Q28" s="410"/>
      <c r="R28" s="446"/>
      <c r="S28" s="447"/>
      <c r="T28" s="446"/>
      <c r="U28" s="447"/>
      <c r="V28" s="409"/>
      <c r="W28" s="410"/>
      <c r="X28" s="410"/>
      <c r="Y28" s="410"/>
      <c r="Z28" s="410"/>
      <c r="AA28" s="410"/>
      <c r="AB28" s="410"/>
      <c r="AC28" s="410"/>
      <c r="AD28" s="409"/>
      <c r="AE28" s="410"/>
      <c r="AF28" s="410"/>
      <c r="AG28" s="410"/>
      <c r="AH28" s="410"/>
      <c r="AI28" s="410"/>
      <c r="AJ28" s="410"/>
      <c r="AK28" s="411"/>
      <c r="AL28" s="497"/>
      <c r="AM28" s="498"/>
      <c r="AN28" s="498"/>
      <c r="AO28" s="498"/>
      <c r="AP28" s="498"/>
      <c r="AQ28" s="498"/>
      <c r="AR28" s="499"/>
      <c r="AS28" s="409"/>
      <c r="AT28" s="410"/>
      <c r="AU28" s="410"/>
      <c r="AV28" s="410"/>
      <c r="AW28" s="410"/>
      <c r="AX28" s="410"/>
      <c r="AY28" s="411"/>
      <c r="AZ28" s="464"/>
      <c r="BA28" s="465"/>
      <c r="BB28" s="62">
        <v>6</v>
      </c>
      <c r="BC28" s="426"/>
      <c r="BD28" s="427"/>
      <c r="BE28" s="427"/>
      <c r="BF28" s="428"/>
      <c r="BG28" s="429"/>
      <c r="BH28" s="430"/>
      <c r="BI28" s="196"/>
      <c r="BJ28" s="474"/>
      <c r="BK28" s="475"/>
      <c r="BL28" s="475"/>
      <c r="BM28" s="475"/>
      <c r="BN28" s="475"/>
      <c r="BO28" s="476"/>
      <c r="BP28" s="474"/>
      <c r="BQ28" s="475"/>
      <c r="BR28" s="475"/>
      <c r="BS28" s="475"/>
      <c r="BT28" s="475"/>
      <c r="BU28" s="476"/>
      <c r="BV28" s="474"/>
      <c r="BW28" s="475"/>
      <c r="BX28" s="475"/>
      <c r="BY28" s="475"/>
      <c r="BZ28" s="475"/>
      <c r="CA28" s="476"/>
      <c r="CB28" s="426"/>
      <c r="CC28" s="427"/>
      <c r="CD28" s="427"/>
      <c r="CE28" s="428"/>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5" customHeight="1">
      <c r="A29" s="434">
        <v>4</v>
      </c>
      <c r="B29" s="36"/>
      <c r="C29" s="198" t="str">
        <f t="shared" ca="1" si="2"/>
        <v/>
      </c>
      <c r="D29" s="477" t="s">
        <v>542</v>
      </c>
      <c r="E29" s="478"/>
      <c r="F29" s="478"/>
      <c r="G29" s="478"/>
      <c r="H29" s="478"/>
      <c r="I29" s="478"/>
      <c r="J29" s="478"/>
      <c r="K29" s="438" t="s">
        <v>553</v>
      </c>
      <c r="L29" s="439"/>
      <c r="M29" s="439"/>
      <c r="N29" s="439"/>
      <c r="O29" s="439"/>
      <c r="P29" s="439"/>
      <c r="Q29" s="439"/>
      <c r="R29" s="442" t="s">
        <v>186</v>
      </c>
      <c r="S29" s="443"/>
      <c r="T29" s="442"/>
      <c r="U29" s="443"/>
      <c r="V29" s="438" t="s">
        <v>544</v>
      </c>
      <c r="W29" s="439"/>
      <c r="X29" s="439"/>
      <c r="Y29" s="439"/>
      <c r="Z29" s="439"/>
      <c r="AA29" s="439"/>
      <c r="AB29" s="439"/>
      <c r="AC29" s="439"/>
      <c r="AD29" s="438" t="s">
        <v>554</v>
      </c>
      <c r="AE29" s="439"/>
      <c r="AF29" s="439"/>
      <c r="AG29" s="439"/>
      <c r="AH29" s="439"/>
      <c r="AI29" s="439"/>
      <c r="AJ29" s="439"/>
      <c r="AK29" s="449"/>
      <c r="AL29" s="491" t="s">
        <v>546</v>
      </c>
      <c r="AM29" s="492"/>
      <c r="AN29" s="492"/>
      <c r="AO29" s="492"/>
      <c r="AP29" s="492"/>
      <c r="AQ29" s="492"/>
      <c r="AR29" s="493"/>
      <c r="AS29" s="438" t="s">
        <v>550</v>
      </c>
      <c r="AT29" s="439"/>
      <c r="AU29" s="439"/>
      <c r="AV29" s="439"/>
      <c r="AW29" s="439"/>
      <c r="AX29" s="439"/>
      <c r="AY29" s="449"/>
      <c r="AZ29" s="460"/>
      <c r="BA29" s="461"/>
      <c r="BB29" s="60">
        <v>1</v>
      </c>
      <c r="BC29" s="466"/>
      <c r="BD29" s="467"/>
      <c r="BE29" s="467"/>
      <c r="BF29" s="468"/>
      <c r="BG29" s="469"/>
      <c r="BH29" s="470"/>
      <c r="BI29" s="194"/>
      <c r="BJ29" s="471"/>
      <c r="BK29" s="472"/>
      <c r="BL29" s="472"/>
      <c r="BM29" s="472"/>
      <c r="BN29" s="472"/>
      <c r="BO29" s="473"/>
      <c r="BP29" s="471"/>
      <c r="BQ29" s="472"/>
      <c r="BR29" s="472"/>
      <c r="BS29" s="472"/>
      <c r="BT29" s="472"/>
      <c r="BU29" s="473"/>
      <c r="BV29" s="471"/>
      <c r="BW29" s="472"/>
      <c r="BX29" s="472"/>
      <c r="BY29" s="472"/>
      <c r="BZ29" s="472"/>
      <c r="CA29" s="473"/>
      <c r="CB29" s="466"/>
      <c r="CC29" s="467"/>
      <c r="CD29" s="467"/>
      <c r="CE29" s="468"/>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5">
      <c r="A30" s="435"/>
      <c r="B30" s="36"/>
      <c r="C30" s="199" t="str">
        <f t="shared" ca="1" si="2"/>
        <v/>
      </c>
      <c r="D30" s="479"/>
      <c r="E30" s="480"/>
      <c r="F30" s="480"/>
      <c r="G30" s="480"/>
      <c r="H30" s="480"/>
      <c r="I30" s="480"/>
      <c r="J30" s="480"/>
      <c r="K30" s="440"/>
      <c r="L30" s="441"/>
      <c r="M30" s="441"/>
      <c r="N30" s="441"/>
      <c r="O30" s="441"/>
      <c r="P30" s="441"/>
      <c r="Q30" s="441"/>
      <c r="R30" s="444"/>
      <c r="S30" s="445"/>
      <c r="T30" s="444"/>
      <c r="U30" s="445"/>
      <c r="V30" s="440"/>
      <c r="W30" s="441"/>
      <c r="X30" s="441"/>
      <c r="Y30" s="441"/>
      <c r="Z30" s="441"/>
      <c r="AA30" s="441"/>
      <c r="AB30" s="441"/>
      <c r="AC30" s="441"/>
      <c r="AD30" s="440"/>
      <c r="AE30" s="441"/>
      <c r="AF30" s="441"/>
      <c r="AG30" s="441"/>
      <c r="AH30" s="441"/>
      <c r="AI30" s="441"/>
      <c r="AJ30" s="441"/>
      <c r="AK30" s="450"/>
      <c r="AL30" s="494"/>
      <c r="AM30" s="495"/>
      <c r="AN30" s="495"/>
      <c r="AO30" s="495"/>
      <c r="AP30" s="495"/>
      <c r="AQ30" s="495"/>
      <c r="AR30" s="496"/>
      <c r="AS30" s="440"/>
      <c r="AT30" s="441"/>
      <c r="AU30" s="441"/>
      <c r="AV30" s="441"/>
      <c r="AW30" s="441"/>
      <c r="AX30" s="441"/>
      <c r="AY30" s="450"/>
      <c r="AZ30" s="462"/>
      <c r="BA30" s="463"/>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5">
      <c r="A31" s="435"/>
      <c r="B31" s="36"/>
      <c r="C31" s="199" t="str">
        <f t="shared" ca="1" si="2"/>
        <v/>
      </c>
      <c r="D31" s="479"/>
      <c r="E31" s="480"/>
      <c r="F31" s="480"/>
      <c r="G31" s="480"/>
      <c r="H31" s="480"/>
      <c r="I31" s="480"/>
      <c r="J31" s="480"/>
      <c r="K31" s="440"/>
      <c r="L31" s="441"/>
      <c r="M31" s="441"/>
      <c r="N31" s="441"/>
      <c r="O31" s="441"/>
      <c r="P31" s="441"/>
      <c r="Q31" s="441"/>
      <c r="R31" s="444"/>
      <c r="S31" s="445"/>
      <c r="T31" s="444"/>
      <c r="U31" s="445"/>
      <c r="V31" s="440"/>
      <c r="W31" s="441"/>
      <c r="X31" s="441"/>
      <c r="Y31" s="441"/>
      <c r="Z31" s="441"/>
      <c r="AA31" s="441"/>
      <c r="AB31" s="441"/>
      <c r="AC31" s="441"/>
      <c r="AD31" s="440"/>
      <c r="AE31" s="441"/>
      <c r="AF31" s="441"/>
      <c r="AG31" s="441"/>
      <c r="AH31" s="441"/>
      <c r="AI31" s="441"/>
      <c r="AJ31" s="441"/>
      <c r="AK31" s="450"/>
      <c r="AL31" s="494"/>
      <c r="AM31" s="495"/>
      <c r="AN31" s="495"/>
      <c r="AO31" s="495"/>
      <c r="AP31" s="495"/>
      <c r="AQ31" s="495"/>
      <c r="AR31" s="496"/>
      <c r="AS31" s="440"/>
      <c r="AT31" s="441"/>
      <c r="AU31" s="441"/>
      <c r="AV31" s="441"/>
      <c r="AW31" s="441"/>
      <c r="AX31" s="441"/>
      <c r="AY31" s="450"/>
      <c r="AZ31" s="462"/>
      <c r="BA31" s="463"/>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5">
      <c r="A32" s="435"/>
      <c r="B32" s="36"/>
      <c r="C32" s="199" t="str">
        <f t="shared" ca="1" si="2"/>
        <v/>
      </c>
      <c r="D32" s="479"/>
      <c r="E32" s="480"/>
      <c r="F32" s="480"/>
      <c r="G32" s="480"/>
      <c r="H32" s="480"/>
      <c r="I32" s="480"/>
      <c r="J32" s="480"/>
      <c r="K32" s="440"/>
      <c r="L32" s="441"/>
      <c r="M32" s="441"/>
      <c r="N32" s="441"/>
      <c r="O32" s="441"/>
      <c r="P32" s="441"/>
      <c r="Q32" s="441"/>
      <c r="R32" s="444"/>
      <c r="S32" s="445"/>
      <c r="T32" s="444"/>
      <c r="U32" s="445"/>
      <c r="V32" s="440"/>
      <c r="W32" s="441"/>
      <c r="X32" s="441"/>
      <c r="Y32" s="441"/>
      <c r="Z32" s="441"/>
      <c r="AA32" s="441"/>
      <c r="AB32" s="441"/>
      <c r="AC32" s="441"/>
      <c r="AD32" s="440"/>
      <c r="AE32" s="441"/>
      <c r="AF32" s="441"/>
      <c r="AG32" s="441"/>
      <c r="AH32" s="441"/>
      <c r="AI32" s="441"/>
      <c r="AJ32" s="441"/>
      <c r="AK32" s="450"/>
      <c r="AL32" s="494"/>
      <c r="AM32" s="495"/>
      <c r="AN32" s="495"/>
      <c r="AO32" s="495"/>
      <c r="AP32" s="495"/>
      <c r="AQ32" s="495"/>
      <c r="AR32" s="496"/>
      <c r="AS32" s="440"/>
      <c r="AT32" s="441"/>
      <c r="AU32" s="441"/>
      <c r="AV32" s="441"/>
      <c r="AW32" s="441"/>
      <c r="AX32" s="441"/>
      <c r="AY32" s="450"/>
      <c r="AZ32" s="462"/>
      <c r="BA32" s="463"/>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5">
      <c r="A33" s="435"/>
      <c r="B33" s="36"/>
      <c r="C33" s="199" t="str">
        <f t="shared" ca="1" si="2"/>
        <v/>
      </c>
      <c r="D33" s="479"/>
      <c r="E33" s="480"/>
      <c r="F33" s="480"/>
      <c r="G33" s="480"/>
      <c r="H33" s="480"/>
      <c r="I33" s="480"/>
      <c r="J33" s="480"/>
      <c r="K33" s="440"/>
      <c r="L33" s="441"/>
      <c r="M33" s="441"/>
      <c r="N33" s="441"/>
      <c r="O33" s="441"/>
      <c r="P33" s="441"/>
      <c r="Q33" s="441"/>
      <c r="R33" s="444"/>
      <c r="S33" s="445"/>
      <c r="T33" s="444"/>
      <c r="U33" s="445"/>
      <c r="V33" s="440"/>
      <c r="W33" s="441"/>
      <c r="X33" s="441"/>
      <c r="Y33" s="441"/>
      <c r="Z33" s="441"/>
      <c r="AA33" s="441"/>
      <c r="AB33" s="441"/>
      <c r="AC33" s="441"/>
      <c r="AD33" s="440"/>
      <c r="AE33" s="441"/>
      <c r="AF33" s="441"/>
      <c r="AG33" s="441"/>
      <c r="AH33" s="441"/>
      <c r="AI33" s="441"/>
      <c r="AJ33" s="441"/>
      <c r="AK33" s="450"/>
      <c r="AL33" s="494"/>
      <c r="AM33" s="495"/>
      <c r="AN33" s="495"/>
      <c r="AO33" s="495"/>
      <c r="AP33" s="495"/>
      <c r="AQ33" s="495"/>
      <c r="AR33" s="496"/>
      <c r="AS33" s="440"/>
      <c r="AT33" s="441"/>
      <c r="AU33" s="441"/>
      <c r="AV33" s="441"/>
      <c r="AW33" s="441"/>
      <c r="AX33" s="441"/>
      <c r="AY33" s="450"/>
      <c r="AZ33" s="462"/>
      <c r="BA33" s="463"/>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5">
      <c r="A34" s="436"/>
      <c r="B34" s="37"/>
      <c r="C34" s="200" t="str">
        <f t="shared" ca="1" si="2"/>
        <v/>
      </c>
      <c r="D34" s="481"/>
      <c r="E34" s="482"/>
      <c r="F34" s="482"/>
      <c r="G34" s="482"/>
      <c r="H34" s="482"/>
      <c r="I34" s="482"/>
      <c r="J34" s="482"/>
      <c r="K34" s="409"/>
      <c r="L34" s="410"/>
      <c r="M34" s="410"/>
      <c r="N34" s="410"/>
      <c r="O34" s="410"/>
      <c r="P34" s="410"/>
      <c r="Q34" s="410"/>
      <c r="R34" s="446"/>
      <c r="S34" s="447"/>
      <c r="T34" s="446"/>
      <c r="U34" s="447"/>
      <c r="V34" s="409"/>
      <c r="W34" s="410"/>
      <c r="X34" s="410"/>
      <c r="Y34" s="410"/>
      <c r="Z34" s="410"/>
      <c r="AA34" s="410"/>
      <c r="AB34" s="410"/>
      <c r="AC34" s="410"/>
      <c r="AD34" s="409"/>
      <c r="AE34" s="410"/>
      <c r="AF34" s="410"/>
      <c r="AG34" s="410"/>
      <c r="AH34" s="410"/>
      <c r="AI34" s="410"/>
      <c r="AJ34" s="410"/>
      <c r="AK34" s="411"/>
      <c r="AL34" s="497"/>
      <c r="AM34" s="498"/>
      <c r="AN34" s="498"/>
      <c r="AO34" s="498"/>
      <c r="AP34" s="498"/>
      <c r="AQ34" s="498"/>
      <c r="AR34" s="499"/>
      <c r="AS34" s="409"/>
      <c r="AT34" s="410"/>
      <c r="AU34" s="410"/>
      <c r="AV34" s="410"/>
      <c r="AW34" s="410"/>
      <c r="AX34" s="410"/>
      <c r="AY34" s="411"/>
      <c r="AZ34" s="464"/>
      <c r="BA34" s="465"/>
      <c r="BB34" s="62">
        <v>6</v>
      </c>
      <c r="BC34" s="426"/>
      <c r="BD34" s="427"/>
      <c r="BE34" s="427"/>
      <c r="BF34" s="428"/>
      <c r="BG34" s="429"/>
      <c r="BH34" s="430"/>
      <c r="BI34" s="196"/>
      <c r="BJ34" s="474"/>
      <c r="BK34" s="475"/>
      <c r="BL34" s="475"/>
      <c r="BM34" s="475"/>
      <c r="BN34" s="475"/>
      <c r="BO34" s="476"/>
      <c r="BP34" s="474"/>
      <c r="BQ34" s="475"/>
      <c r="BR34" s="475"/>
      <c r="BS34" s="475"/>
      <c r="BT34" s="475"/>
      <c r="BU34" s="476"/>
      <c r="BV34" s="474"/>
      <c r="BW34" s="475"/>
      <c r="BX34" s="475"/>
      <c r="BY34" s="475"/>
      <c r="BZ34" s="475"/>
      <c r="CA34" s="476"/>
      <c r="CB34" s="426"/>
      <c r="CC34" s="427"/>
      <c r="CD34" s="427"/>
      <c r="CE34" s="428"/>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5" customHeight="1">
      <c r="A35" s="434">
        <v>5</v>
      </c>
      <c r="B35" s="36"/>
      <c r="C35" s="198" t="str">
        <f t="shared" ca="1" si="2"/>
        <v/>
      </c>
      <c r="D35" s="477" t="s">
        <v>542</v>
      </c>
      <c r="E35" s="478"/>
      <c r="F35" s="478"/>
      <c r="G35" s="478"/>
      <c r="H35" s="478"/>
      <c r="I35" s="478"/>
      <c r="J35" s="478"/>
      <c r="K35" s="438" t="s">
        <v>555</v>
      </c>
      <c r="L35" s="439"/>
      <c r="M35" s="439"/>
      <c r="N35" s="439"/>
      <c r="O35" s="439"/>
      <c r="P35" s="439"/>
      <c r="Q35" s="439"/>
      <c r="R35" s="442" t="s">
        <v>186</v>
      </c>
      <c r="S35" s="443"/>
      <c r="T35" s="442"/>
      <c r="U35" s="443"/>
      <c r="V35" s="438" t="s">
        <v>544</v>
      </c>
      <c r="W35" s="439"/>
      <c r="X35" s="439"/>
      <c r="Y35" s="439"/>
      <c r="Z35" s="439"/>
      <c r="AA35" s="439"/>
      <c r="AB35" s="439"/>
      <c r="AC35" s="439"/>
      <c r="AD35" s="438" t="s">
        <v>556</v>
      </c>
      <c r="AE35" s="439"/>
      <c r="AF35" s="439"/>
      <c r="AG35" s="439"/>
      <c r="AH35" s="439"/>
      <c r="AI35" s="439"/>
      <c r="AJ35" s="439"/>
      <c r="AK35" s="449"/>
      <c r="AL35" s="491" t="s">
        <v>546</v>
      </c>
      <c r="AM35" s="492"/>
      <c r="AN35" s="492"/>
      <c r="AO35" s="492"/>
      <c r="AP35" s="492"/>
      <c r="AQ35" s="492"/>
      <c r="AR35" s="493"/>
      <c r="AS35" s="438" t="s">
        <v>550</v>
      </c>
      <c r="AT35" s="439"/>
      <c r="AU35" s="439"/>
      <c r="AV35" s="439"/>
      <c r="AW35" s="439"/>
      <c r="AX35" s="439"/>
      <c r="AY35" s="449"/>
      <c r="AZ35" s="460"/>
      <c r="BA35" s="461"/>
      <c r="BB35" s="60">
        <v>1</v>
      </c>
      <c r="BC35" s="466"/>
      <c r="BD35" s="467"/>
      <c r="BE35" s="467"/>
      <c r="BF35" s="468"/>
      <c r="BG35" s="469"/>
      <c r="BH35" s="470"/>
      <c r="BI35" s="194"/>
      <c r="BJ35" s="471"/>
      <c r="BK35" s="472"/>
      <c r="BL35" s="472"/>
      <c r="BM35" s="472"/>
      <c r="BN35" s="472"/>
      <c r="BO35" s="473"/>
      <c r="BP35" s="471"/>
      <c r="BQ35" s="472"/>
      <c r="BR35" s="472"/>
      <c r="BS35" s="472"/>
      <c r="BT35" s="472"/>
      <c r="BU35" s="473"/>
      <c r="BV35" s="471"/>
      <c r="BW35" s="472"/>
      <c r="BX35" s="472"/>
      <c r="BY35" s="472"/>
      <c r="BZ35" s="472"/>
      <c r="CA35" s="473"/>
      <c r="CB35" s="466"/>
      <c r="CC35" s="467"/>
      <c r="CD35" s="467"/>
      <c r="CE35" s="468"/>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5">
      <c r="A36" s="435"/>
      <c r="B36" s="36"/>
      <c r="C36" s="199" t="str">
        <f t="shared" ca="1" si="2"/>
        <v/>
      </c>
      <c r="D36" s="479"/>
      <c r="E36" s="480"/>
      <c r="F36" s="480"/>
      <c r="G36" s="480"/>
      <c r="H36" s="480"/>
      <c r="I36" s="480"/>
      <c r="J36" s="480"/>
      <c r="K36" s="440"/>
      <c r="L36" s="441"/>
      <c r="M36" s="441"/>
      <c r="N36" s="441"/>
      <c r="O36" s="441"/>
      <c r="P36" s="441"/>
      <c r="Q36" s="441"/>
      <c r="R36" s="444"/>
      <c r="S36" s="445"/>
      <c r="T36" s="444"/>
      <c r="U36" s="445"/>
      <c r="V36" s="440"/>
      <c r="W36" s="441"/>
      <c r="X36" s="441"/>
      <c r="Y36" s="441"/>
      <c r="Z36" s="441"/>
      <c r="AA36" s="441"/>
      <c r="AB36" s="441"/>
      <c r="AC36" s="441"/>
      <c r="AD36" s="440"/>
      <c r="AE36" s="441"/>
      <c r="AF36" s="441"/>
      <c r="AG36" s="441"/>
      <c r="AH36" s="441"/>
      <c r="AI36" s="441"/>
      <c r="AJ36" s="441"/>
      <c r="AK36" s="450"/>
      <c r="AL36" s="494"/>
      <c r="AM36" s="495"/>
      <c r="AN36" s="495"/>
      <c r="AO36" s="495"/>
      <c r="AP36" s="495"/>
      <c r="AQ36" s="495"/>
      <c r="AR36" s="496"/>
      <c r="AS36" s="440"/>
      <c r="AT36" s="441"/>
      <c r="AU36" s="441"/>
      <c r="AV36" s="441"/>
      <c r="AW36" s="441"/>
      <c r="AX36" s="441"/>
      <c r="AY36" s="450"/>
      <c r="AZ36" s="462"/>
      <c r="BA36" s="463"/>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5">
      <c r="A37" s="435"/>
      <c r="B37" s="36"/>
      <c r="C37" s="199" t="str">
        <f t="shared" ca="1" si="2"/>
        <v/>
      </c>
      <c r="D37" s="479"/>
      <c r="E37" s="480"/>
      <c r="F37" s="480"/>
      <c r="G37" s="480"/>
      <c r="H37" s="480"/>
      <c r="I37" s="480"/>
      <c r="J37" s="480"/>
      <c r="K37" s="440"/>
      <c r="L37" s="441"/>
      <c r="M37" s="441"/>
      <c r="N37" s="441"/>
      <c r="O37" s="441"/>
      <c r="P37" s="441"/>
      <c r="Q37" s="441"/>
      <c r="R37" s="444"/>
      <c r="S37" s="445"/>
      <c r="T37" s="444"/>
      <c r="U37" s="445"/>
      <c r="V37" s="440"/>
      <c r="W37" s="441"/>
      <c r="X37" s="441"/>
      <c r="Y37" s="441"/>
      <c r="Z37" s="441"/>
      <c r="AA37" s="441"/>
      <c r="AB37" s="441"/>
      <c r="AC37" s="441"/>
      <c r="AD37" s="440"/>
      <c r="AE37" s="441"/>
      <c r="AF37" s="441"/>
      <c r="AG37" s="441"/>
      <c r="AH37" s="441"/>
      <c r="AI37" s="441"/>
      <c r="AJ37" s="441"/>
      <c r="AK37" s="450"/>
      <c r="AL37" s="494"/>
      <c r="AM37" s="495"/>
      <c r="AN37" s="495"/>
      <c r="AO37" s="495"/>
      <c r="AP37" s="495"/>
      <c r="AQ37" s="495"/>
      <c r="AR37" s="496"/>
      <c r="AS37" s="440"/>
      <c r="AT37" s="441"/>
      <c r="AU37" s="441"/>
      <c r="AV37" s="441"/>
      <c r="AW37" s="441"/>
      <c r="AX37" s="441"/>
      <c r="AY37" s="450"/>
      <c r="AZ37" s="462"/>
      <c r="BA37" s="463"/>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5">
      <c r="A38" s="435"/>
      <c r="B38" s="36"/>
      <c r="C38" s="199" t="str">
        <f t="shared" ca="1" si="2"/>
        <v/>
      </c>
      <c r="D38" s="479"/>
      <c r="E38" s="480"/>
      <c r="F38" s="480"/>
      <c r="G38" s="480"/>
      <c r="H38" s="480"/>
      <c r="I38" s="480"/>
      <c r="J38" s="480"/>
      <c r="K38" s="440"/>
      <c r="L38" s="441"/>
      <c r="M38" s="441"/>
      <c r="N38" s="441"/>
      <c r="O38" s="441"/>
      <c r="P38" s="441"/>
      <c r="Q38" s="441"/>
      <c r="R38" s="444"/>
      <c r="S38" s="445"/>
      <c r="T38" s="444"/>
      <c r="U38" s="445"/>
      <c r="V38" s="440"/>
      <c r="W38" s="441"/>
      <c r="X38" s="441"/>
      <c r="Y38" s="441"/>
      <c r="Z38" s="441"/>
      <c r="AA38" s="441"/>
      <c r="AB38" s="441"/>
      <c r="AC38" s="441"/>
      <c r="AD38" s="440"/>
      <c r="AE38" s="441"/>
      <c r="AF38" s="441"/>
      <c r="AG38" s="441"/>
      <c r="AH38" s="441"/>
      <c r="AI38" s="441"/>
      <c r="AJ38" s="441"/>
      <c r="AK38" s="450"/>
      <c r="AL38" s="494"/>
      <c r="AM38" s="495"/>
      <c r="AN38" s="495"/>
      <c r="AO38" s="495"/>
      <c r="AP38" s="495"/>
      <c r="AQ38" s="495"/>
      <c r="AR38" s="496"/>
      <c r="AS38" s="440"/>
      <c r="AT38" s="441"/>
      <c r="AU38" s="441"/>
      <c r="AV38" s="441"/>
      <c r="AW38" s="441"/>
      <c r="AX38" s="441"/>
      <c r="AY38" s="450"/>
      <c r="AZ38" s="462"/>
      <c r="BA38" s="463"/>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5">
      <c r="A39" s="435"/>
      <c r="B39" s="36"/>
      <c r="C39" s="199" t="str">
        <f t="shared" ca="1" si="2"/>
        <v/>
      </c>
      <c r="D39" s="479"/>
      <c r="E39" s="480"/>
      <c r="F39" s="480"/>
      <c r="G39" s="480"/>
      <c r="H39" s="480"/>
      <c r="I39" s="480"/>
      <c r="J39" s="480"/>
      <c r="K39" s="440"/>
      <c r="L39" s="441"/>
      <c r="M39" s="441"/>
      <c r="N39" s="441"/>
      <c r="O39" s="441"/>
      <c r="P39" s="441"/>
      <c r="Q39" s="441"/>
      <c r="R39" s="444"/>
      <c r="S39" s="445"/>
      <c r="T39" s="444"/>
      <c r="U39" s="445"/>
      <c r="V39" s="440"/>
      <c r="W39" s="441"/>
      <c r="X39" s="441"/>
      <c r="Y39" s="441"/>
      <c r="Z39" s="441"/>
      <c r="AA39" s="441"/>
      <c r="AB39" s="441"/>
      <c r="AC39" s="441"/>
      <c r="AD39" s="440"/>
      <c r="AE39" s="441"/>
      <c r="AF39" s="441"/>
      <c r="AG39" s="441"/>
      <c r="AH39" s="441"/>
      <c r="AI39" s="441"/>
      <c r="AJ39" s="441"/>
      <c r="AK39" s="450"/>
      <c r="AL39" s="494"/>
      <c r="AM39" s="495"/>
      <c r="AN39" s="495"/>
      <c r="AO39" s="495"/>
      <c r="AP39" s="495"/>
      <c r="AQ39" s="495"/>
      <c r="AR39" s="496"/>
      <c r="AS39" s="440"/>
      <c r="AT39" s="441"/>
      <c r="AU39" s="441"/>
      <c r="AV39" s="441"/>
      <c r="AW39" s="441"/>
      <c r="AX39" s="441"/>
      <c r="AY39" s="450"/>
      <c r="AZ39" s="462"/>
      <c r="BA39" s="463"/>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5">
      <c r="A40" s="436"/>
      <c r="B40" s="37"/>
      <c r="C40" s="200" t="str">
        <f t="shared" ca="1" si="2"/>
        <v/>
      </c>
      <c r="D40" s="481"/>
      <c r="E40" s="482"/>
      <c r="F40" s="482"/>
      <c r="G40" s="482"/>
      <c r="H40" s="482"/>
      <c r="I40" s="482"/>
      <c r="J40" s="482"/>
      <c r="K40" s="409"/>
      <c r="L40" s="410"/>
      <c r="M40" s="410"/>
      <c r="N40" s="410"/>
      <c r="O40" s="410"/>
      <c r="P40" s="410"/>
      <c r="Q40" s="410"/>
      <c r="R40" s="446"/>
      <c r="S40" s="447"/>
      <c r="T40" s="446"/>
      <c r="U40" s="447"/>
      <c r="V40" s="409"/>
      <c r="W40" s="410"/>
      <c r="X40" s="410"/>
      <c r="Y40" s="410"/>
      <c r="Z40" s="410"/>
      <c r="AA40" s="410"/>
      <c r="AB40" s="410"/>
      <c r="AC40" s="410"/>
      <c r="AD40" s="409"/>
      <c r="AE40" s="410"/>
      <c r="AF40" s="410"/>
      <c r="AG40" s="410"/>
      <c r="AH40" s="410"/>
      <c r="AI40" s="410"/>
      <c r="AJ40" s="410"/>
      <c r="AK40" s="411"/>
      <c r="AL40" s="497"/>
      <c r="AM40" s="498"/>
      <c r="AN40" s="498"/>
      <c r="AO40" s="498"/>
      <c r="AP40" s="498"/>
      <c r="AQ40" s="498"/>
      <c r="AR40" s="499"/>
      <c r="AS40" s="409"/>
      <c r="AT40" s="410"/>
      <c r="AU40" s="410"/>
      <c r="AV40" s="410"/>
      <c r="AW40" s="410"/>
      <c r="AX40" s="410"/>
      <c r="AY40" s="411"/>
      <c r="AZ40" s="464"/>
      <c r="BA40" s="465"/>
      <c r="BB40" s="62">
        <v>6</v>
      </c>
      <c r="BC40" s="426"/>
      <c r="BD40" s="427"/>
      <c r="BE40" s="427"/>
      <c r="BF40" s="428"/>
      <c r="BG40" s="429"/>
      <c r="BH40" s="430"/>
      <c r="BI40" s="196"/>
      <c r="BJ40" s="474"/>
      <c r="BK40" s="475"/>
      <c r="BL40" s="475"/>
      <c r="BM40" s="475"/>
      <c r="BN40" s="475"/>
      <c r="BO40" s="476"/>
      <c r="BP40" s="474"/>
      <c r="BQ40" s="475"/>
      <c r="BR40" s="475"/>
      <c r="BS40" s="475"/>
      <c r="BT40" s="475"/>
      <c r="BU40" s="476"/>
      <c r="BV40" s="474"/>
      <c r="BW40" s="475"/>
      <c r="BX40" s="475"/>
      <c r="BY40" s="475"/>
      <c r="BZ40" s="475"/>
      <c r="CA40" s="476"/>
      <c r="CB40" s="426"/>
      <c r="CC40" s="427"/>
      <c r="CD40" s="427"/>
      <c r="CE40" s="428"/>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5" customHeight="1">
      <c r="A41" s="434">
        <v>6</v>
      </c>
      <c r="B41" s="36"/>
      <c r="C41" s="198" t="str">
        <f t="shared" ca="1" si="2"/>
        <v/>
      </c>
      <c r="D41" s="477" t="s">
        <v>542</v>
      </c>
      <c r="E41" s="478"/>
      <c r="F41" s="478"/>
      <c r="G41" s="478"/>
      <c r="H41" s="478"/>
      <c r="I41" s="478"/>
      <c r="J41" s="478"/>
      <c r="K41" s="438" t="s">
        <v>557</v>
      </c>
      <c r="L41" s="439"/>
      <c r="M41" s="439"/>
      <c r="N41" s="439"/>
      <c r="O41" s="439"/>
      <c r="P41" s="439"/>
      <c r="Q41" s="439"/>
      <c r="R41" s="442" t="s">
        <v>186</v>
      </c>
      <c r="S41" s="443"/>
      <c r="T41" s="442"/>
      <c r="U41" s="443"/>
      <c r="V41" s="438" t="s">
        <v>544</v>
      </c>
      <c r="W41" s="439"/>
      <c r="X41" s="439"/>
      <c r="Y41" s="439"/>
      <c r="Z41" s="439"/>
      <c r="AA41" s="439"/>
      <c r="AB41" s="439"/>
      <c r="AC41" s="439"/>
      <c r="AD41" s="438" t="s">
        <v>558</v>
      </c>
      <c r="AE41" s="439"/>
      <c r="AF41" s="439"/>
      <c r="AG41" s="439"/>
      <c r="AH41" s="439"/>
      <c r="AI41" s="439"/>
      <c r="AJ41" s="439"/>
      <c r="AK41" s="449"/>
      <c r="AL41" s="491" t="s">
        <v>546</v>
      </c>
      <c r="AM41" s="492"/>
      <c r="AN41" s="492"/>
      <c r="AO41" s="492"/>
      <c r="AP41" s="492"/>
      <c r="AQ41" s="492"/>
      <c r="AR41" s="493"/>
      <c r="AS41" s="438" t="s">
        <v>550</v>
      </c>
      <c r="AT41" s="439"/>
      <c r="AU41" s="439"/>
      <c r="AV41" s="439"/>
      <c r="AW41" s="439"/>
      <c r="AX41" s="439"/>
      <c r="AY41" s="449"/>
      <c r="AZ41" s="460"/>
      <c r="BA41" s="461"/>
      <c r="BB41" s="60">
        <v>1</v>
      </c>
      <c r="BC41" s="466"/>
      <c r="BD41" s="467"/>
      <c r="BE41" s="467"/>
      <c r="BF41" s="468"/>
      <c r="BG41" s="469"/>
      <c r="BH41" s="470"/>
      <c r="BI41" s="194"/>
      <c r="BJ41" s="471"/>
      <c r="BK41" s="472"/>
      <c r="BL41" s="472"/>
      <c r="BM41" s="472"/>
      <c r="BN41" s="472"/>
      <c r="BO41" s="473"/>
      <c r="BP41" s="471"/>
      <c r="BQ41" s="472"/>
      <c r="BR41" s="472"/>
      <c r="BS41" s="472"/>
      <c r="BT41" s="472"/>
      <c r="BU41" s="473"/>
      <c r="BV41" s="471"/>
      <c r="BW41" s="472"/>
      <c r="BX41" s="472"/>
      <c r="BY41" s="472"/>
      <c r="BZ41" s="472"/>
      <c r="CA41" s="473"/>
      <c r="CB41" s="466"/>
      <c r="CC41" s="467"/>
      <c r="CD41" s="467"/>
      <c r="CE41" s="468"/>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5">
      <c r="A42" s="435"/>
      <c r="B42" s="36"/>
      <c r="C42" s="199" t="str">
        <f t="shared" ca="1" si="2"/>
        <v/>
      </c>
      <c r="D42" s="479"/>
      <c r="E42" s="480"/>
      <c r="F42" s="480"/>
      <c r="G42" s="480"/>
      <c r="H42" s="480"/>
      <c r="I42" s="480"/>
      <c r="J42" s="480"/>
      <c r="K42" s="440"/>
      <c r="L42" s="441"/>
      <c r="M42" s="441"/>
      <c r="N42" s="441"/>
      <c r="O42" s="441"/>
      <c r="P42" s="441"/>
      <c r="Q42" s="441"/>
      <c r="R42" s="444"/>
      <c r="S42" s="445"/>
      <c r="T42" s="444"/>
      <c r="U42" s="445"/>
      <c r="V42" s="440"/>
      <c r="W42" s="441"/>
      <c r="X42" s="441"/>
      <c r="Y42" s="441"/>
      <c r="Z42" s="441"/>
      <c r="AA42" s="441"/>
      <c r="AB42" s="441"/>
      <c r="AC42" s="441"/>
      <c r="AD42" s="440"/>
      <c r="AE42" s="441"/>
      <c r="AF42" s="441"/>
      <c r="AG42" s="441"/>
      <c r="AH42" s="441"/>
      <c r="AI42" s="441"/>
      <c r="AJ42" s="441"/>
      <c r="AK42" s="450"/>
      <c r="AL42" s="494"/>
      <c r="AM42" s="495"/>
      <c r="AN42" s="495"/>
      <c r="AO42" s="495"/>
      <c r="AP42" s="495"/>
      <c r="AQ42" s="495"/>
      <c r="AR42" s="496"/>
      <c r="AS42" s="440"/>
      <c r="AT42" s="441"/>
      <c r="AU42" s="441"/>
      <c r="AV42" s="441"/>
      <c r="AW42" s="441"/>
      <c r="AX42" s="441"/>
      <c r="AY42" s="450"/>
      <c r="AZ42" s="462"/>
      <c r="BA42" s="463"/>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5">
      <c r="A43" s="435"/>
      <c r="B43" s="36"/>
      <c r="C43" s="199" t="str">
        <f t="shared" ca="1" si="2"/>
        <v/>
      </c>
      <c r="D43" s="479"/>
      <c r="E43" s="480"/>
      <c r="F43" s="480"/>
      <c r="G43" s="480"/>
      <c r="H43" s="480"/>
      <c r="I43" s="480"/>
      <c r="J43" s="480"/>
      <c r="K43" s="440"/>
      <c r="L43" s="441"/>
      <c r="M43" s="441"/>
      <c r="N43" s="441"/>
      <c r="O43" s="441"/>
      <c r="P43" s="441"/>
      <c r="Q43" s="441"/>
      <c r="R43" s="444"/>
      <c r="S43" s="445"/>
      <c r="T43" s="444"/>
      <c r="U43" s="445"/>
      <c r="V43" s="440"/>
      <c r="W43" s="441"/>
      <c r="X43" s="441"/>
      <c r="Y43" s="441"/>
      <c r="Z43" s="441"/>
      <c r="AA43" s="441"/>
      <c r="AB43" s="441"/>
      <c r="AC43" s="441"/>
      <c r="AD43" s="440"/>
      <c r="AE43" s="441"/>
      <c r="AF43" s="441"/>
      <c r="AG43" s="441"/>
      <c r="AH43" s="441"/>
      <c r="AI43" s="441"/>
      <c r="AJ43" s="441"/>
      <c r="AK43" s="450"/>
      <c r="AL43" s="494"/>
      <c r="AM43" s="495"/>
      <c r="AN43" s="495"/>
      <c r="AO43" s="495"/>
      <c r="AP43" s="495"/>
      <c r="AQ43" s="495"/>
      <c r="AR43" s="496"/>
      <c r="AS43" s="440"/>
      <c r="AT43" s="441"/>
      <c r="AU43" s="441"/>
      <c r="AV43" s="441"/>
      <c r="AW43" s="441"/>
      <c r="AX43" s="441"/>
      <c r="AY43" s="450"/>
      <c r="AZ43" s="462"/>
      <c r="BA43" s="463"/>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5">
      <c r="A44" s="435"/>
      <c r="B44" s="36"/>
      <c r="C44" s="199" t="str">
        <f t="shared" ca="1" si="2"/>
        <v/>
      </c>
      <c r="D44" s="479"/>
      <c r="E44" s="480"/>
      <c r="F44" s="480"/>
      <c r="G44" s="480"/>
      <c r="H44" s="480"/>
      <c r="I44" s="480"/>
      <c r="J44" s="480"/>
      <c r="K44" s="440"/>
      <c r="L44" s="441"/>
      <c r="M44" s="441"/>
      <c r="N44" s="441"/>
      <c r="O44" s="441"/>
      <c r="P44" s="441"/>
      <c r="Q44" s="441"/>
      <c r="R44" s="444"/>
      <c r="S44" s="445"/>
      <c r="T44" s="444"/>
      <c r="U44" s="445"/>
      <c r="V44" s="440"/>
      <c r="W44" s="441"/>
      <c r="X44" s="441"/>
      <c r="Y44" s="441"/>
      <c r="Z44" s="441"/>
      <c r="AA44" s="441"/>
      <c r="AB44" s="441"/>
      <c r="AC44" s="441"/>
      <c r="AD44" s="440"/>
      <c r="AE44" s="441"/>
      <c r="AF44" s="441"/>
      <c r="AG44" s="441"/>
      <c r="AH44" s="441"/>
      <c r="AI44" s="441"/>
      <c r="AJ44" s="441"/>
      <c r="AK44" s="450"/>
      <c r="AL44" s="494"/>
      <c r="AM44" s="495"/>
      <c r="AN44" s="495"/>
      <c r="AO44" s="495"/>
      <c r="AP44" s="495"/>
      <c r="AQ44" s="495"/>
      <c r="AR44" s="496"/>
      <c r="AS44" s="440"/>
      <c r="AT44" s="441"/>
      <c r="AU44" s="441"/>
      <c r="AV44" s="441"/>
      <c r="AW44" s="441"/>
      <c r="AX44" s="441"/>
      <c r="AY44" s="450"/>
      <c r="AZ44" s="462"/>
      <c r="BA44" s="463"/>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5">
      <c r="A45" s="435"/>
      <c r="B45" s="36"/>
      <c r="C45" s="199" t="str">
        <f t="shared" ca="1" si="2"/>
        <v/>
      </c>
      <c r="D45" s="479"/>
      <c r="E45" s="480"/>
      <c r="F45" s="480"/>
      <c r="G45" s="480"/>
      <c r="H45" s="480"/>
      <c r="I45" s="480"/>
      <c r="J45" s="480"/>
      <c r="K45" s="440"/>
      <c r="L45" s="441"/>
      <c r="M45" s="441"/>
      <c r="N45" s="441"/>
      <c r="O45" s="441"/>
      <c r="P45" s="441"/>
      <c r="Q45" s="441"/>
      <c r="R45" s="444"/>
      <c r="S45" s="445"/>
      <c r="T45" s="444"/>
      <c r="U45" s="445"/>
      <c r="V45" s="440"/>
      <c r="W45" s="441"/>
      <c r="X45" s="441"/>
      <c r="Y45" s="441"/>
      <c r="Z45" s="441"/>
      <c r="AA45" s="441"/>
      <c r="AB45" s="441"/>
      <c r="AC45" s="441"/>
      <c r="AD45" s="440"/>
      <c r="AE45" s="441"/>
      <c r="AF45" s="441"/>
      <c r="AG45" s="441"/>
      <c r="AH45" s="441"/>
      <c r="AI45" s="441"/>
      <c r="AJ45" s="441"/>
      <c r="AK45" s="450"/>
      <c r="AL45" s="494"/>
      <c r="AM45" s="495"/>
      <c r="AN45" s="495"/>
      <c r="AO45" s="495"/>
      <c r="AP45" s="495"/>
      <c r="AQ45" s="495"/>
      <c r="AR45" s="496"/>
      <c r="AS45" s="440"/>
      <c r="AT45" s="441"/>
      <c r="AU45" s="441"/>
      <c r="AV45" s="441"/>
      <c r="AW45" s="441"/>
      <c r="AX45" s="441"/>
      <c r="AY45" s="450"/>
      <c r="AZ45" s="462"/>
      <c r="BA45" s="463"/>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5">
      <c r="A46" s="436"/>
      <c r="B46" s="37"/>
      <c r="C46" s="200" t="str">
        <f t="shared" ca="1" si="2"/>
        <v/>
      </c>
      <c r="D46" s="481"/>
      <c r="E46" s="482"/>
      <c r="F46" s="482"/>
      <c r="G46" s="482"/>
      <c r="H46" s="482"/>
      <c r="I46" s="482"/>
      <c r="J46" s="482"/>
      <c r="K46" s="409"/>
      <c r="L46" s="410"/>
      <c r="M46" s="410"/>
      <c r="N46" s="410"/>
      <c r="O46" s="410"/>
      <c r="P46" s="410"/>
      <c r="Q46" s="410"/>
      <c r="R46" s="446"/>
      <c r="S46" s="447"/>
      <c r="T46" s="446"/>
      <c r="U46" s="447"/>
      <c r="V46" s="409"/>
      <c r="W46" s="410"/>
      <c r="X46" s="410"/>
      <c r="Y46" s="410"/>
      <c r="Z46" s="410"/>
      <c r="AA46" s="410"/>
      <c r="AB46" s="410"/>
      <c r="AC46" s="410"/>
      <c r="AD46" s="409"/>
      <c r="AE46" s="410"/>
      <c r="AF46" s="410"/>
      <c r="AG46" s="410"/>
      <c r="AH46" s="410"/>
      <c r="AI46" s="410"/>
      <c r="AJ46" s="410"/>
      <c r="AK46" s="411"/>
      <c r="AL46" s="497"/>
      <c r="AM46" s="498"/>
      <c r="AN46" s="498"/>
      <c r="AO46" s="498"/>
      <c r="AP46" s="498"/>
      <c r="AQ46" s="498"/>
      <c r="AR46" s="499"/>
      <c r="AS46" s="409"/>
      <c r="AT46" s="410"/>
      <c r="AU46" s="410"/>
      <c r="AV46" s="410"/>
      <c r="AW46" s="410"/>
      <c r="AX46" s="410"/>
      <c r="AY46" s="411"/>
      <c r="AZ46" s="464"/>
      <c r="BA46" s="465"/>
      <c r="BB46" s="62">
        <v>6</v>
      </c>
      <c r="BC46" s="426"/>
      <c r="BD46" s="427"/>
      <c r="BE46" s="427"/>
      <c r="BF46" s="428"/>
      <c r="BG46" s="429"/>
      <c r="BH46" s="430"/>
      <c r="BI46" s="196"/>
      <c r="BJ46" s="474"/>
      <c r="BK46" s="475"/>
      <c r="BL46" s="475"/>
      <c r="BM46" s="475"/>
      <c r="BN46" s="475"/>
      <c r="BO46" s="476"/>
      <c r="BP46" s="474"/>
      <c r="BQ46" s="475"/>
      <c r="BR46" s="475"/>
      <c r="BS46" s="475"/>
      <c r="BT46" s="475"/>
      <c r="BU46" s="476"/>
      <c r="BV46" s="474"/>
      <c r="BW46" s="475"/>
      <c r="BX46" s="475"/>
      <c r="BY46" s="475"/>
      <c r="BZ46" s="475"/>
      <c r="CA46" s="476"/>
      <c r="CB46" s="426"/>
      <c r="CC46" s="427"/>
      <c r="CD46" s="427"/>
      <c r="CE46" s="428"/>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5" customHeight="1">
      <c r="A47" s="434">
        <v>7</v>
      </c>
      <c r="B47" s="36"/>
      <c r="C47" s="198" t="str">
        <f t="shared" ca="1" si="2"/>
        <v/>
      </c>
      <c r="D47" s="477" t="s">
        <v>542</v>
      </c>
      <c r="E47" s="478"/>
      <c r="F47" s="478"/>
      <c r="G47" s="478"/>
      <c r="H47" s="478"/>
      <c r="I47" s="478"/>
      <c r="J47" s="478"/>
      <c r="K47" s="438" t="s">
        <v>559</v>
      </c>
      <c r="L47" s="439"/>
      <c r="M47" s="439"/>
      <c r="N47" s="439"/>
      <c r="O47" s="439"/>
      <c r="P47" s="439"/>
      <c r="Q47" s="439"/>
      <c r="R47" s="442" t="s">
        <v>186</v>
      </c>
      <c r="S47" s="443"/>
      <c r="T47" s="442"/>
      <c r="U47" s="443"/>
      <c r="V47" s="438" t="s">
        <v>544</v>
      </c>
      <c r="W47" s="439"/>
      <c r="X47" s="439"/>
      <c r="Y47" s="439"/>
      <c r="Z47" s="439"/>
      <c r="AA47" s="439"/>
      <c r="AB47" s="439"/>
      <c r="AC47" s="439"/>
      <c r="AD47" s="438" t="s">
        <v>560</v>
      </c>
      <c r="AE47" s="439"/>
      <c r="AF47" s="439"/>
      <c r="AG47" s="439"/>
      <c r="AH47" s="439"/>
      <c r="AI47" s="439"/>
      <c r="AJ47" s="439"/>
      <c r="AK47" s="449"/>
      <c r="AL47" s="491" t="s">
        <v>546</v>
      </c>
      <c r="AM47" s="492"/>
      <c r="AN47" s="492"/>
      <c r="AO47" s="492"/>
      <c r="AP47" s="492"/>
      <c r="AQ47" s="492"/>
      <c r="AR47" s="493"/>
      <c r="AS47" s="438" t="s">
        <v>561</v>
      </c>
      <c r="AT47" s="439"/>
      <c r="AU47" s="439"/>
      <c r="AV47" s="439"/>
      <c r="AW47" s="439"/>
      <c r="AX47" s="439"/>
      <c r="AY47" s="449"/>
      <c r="AZ47" s="460"/>
      <c r="BA47" s="461"/>
      <c r="BB47" s="60">
        <v>1</v>
      </c>
      <c r="BC47" s="466"/>
      <c r="BD47" s="467"/>
      <c r="BE47" s="467"/>
      <c r="BF47" s="468"/>
      <c r="BG47" s="469"/>
      <c r="BH47" s="470"/>
      <c r="BI47" s="194"/>
      <c r="BJ47" s="471"/>
      <c r="BK47" s="472"/>
      <c r="BL47" s="472"/>
      <c r="BM47" s="472"/>
      <c r="BN47" s="472"/>
      <c r="BO47" s="473"/>
      <c r="BP47" s="471"/>
      <c r="BQ47" s="472"/>
      <c r="BR47" s="472"/>
      <c r="BS47" s="472"/>
      <c r="BT47" s="472"/>
      <c r="BU47" s="473"/>
      <c r="BV47" s="471"/>
      <c r="BW47" s="472"/>
      <c r="BX47" s="472"/>
      <c r="BY47" s="472"/>
      <c r="BZ47" s="472"/>
      <c r="CA47" s="473"/>
      <c r="CB47" s="466"/>
      <c r="CC47" s="467"/>
      <c r="CD47" s="467"/>
      <c r="CE47" s="468"/>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5">
      <c r="A48" s="435"/>
      <c r="B48" s="36"/>
      <c r="C48" s="199" t="str">
        <f t="shared" ca="1" si="2"/>
        <v/>
      </c>
      <c r="D48" s="479"/>
      <c r="E48" s="480"/>
      <c r="F48" s="480"/>
      <c r="G48" s="480"/>
      <c r="H48" s="480"/>
      <c r="I48" s="480"/>
      <c r="J48" s="480"/>
      <c r="K48" s="440"/>
      <c r="L48" s="441"/>
      <c r="M48" s="441"/>
      <c r="N48" s="441"/>
      <c r="O48" s="441"/>
      <c r="P48" s="441"/>
      <c r="Q48" s="441"/>
      <c r="R48" s="444"/>
      <c r="S48" s="445"/>
      <c r="T48" s="444"/>
      <c r="U48" s="445"/>
      <c r="V48" s="440"/>
      <c r="W48" s="441"/>
      <c r="X48" s="441"/>
      <c r="Y48" s="441"/>
      <c r="Z48" s="441"/>
      <c r="AA48" s="441"/>
      <c r="AB48" s="441"/>
      <c r="AC48" s="441"/>
      <c r="AD48" s="440"/>
      <c r="AE48" s="441"/>
      <c r="AF48" s="441"/>
      <c r="AG48" s="441"/>
      <c r="AH48" s="441"/>
      <c r="AI48" s="441"/>
      <c r="AJ48" s="441"/>
      <c r="AK48" s="450"/>
      <c r="AL48" s="494"/>
      <c r="AM48" s="495"/>
      <c r="AN48" s="495"/>
      <c r="AO48" s="495"/>
      <c r="AP48" s="495"/>
      <c r="AQ48" s="495"/>
      <c r="AR48" s="496"/>
      <c r="AS48" s="440"/>
      <c r="AT48" s="441"/>
      <c r="AU48" s="441"/>
      <c r="AV48" s="441"/>
      <c r="AW48" s="441"/>
      <c r="AX48" s="441"/>
      <c r="AY48" s="450"/>
      <c r="AZ48" s="462"/>
      <c r="BA48" s="463"/>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5">
      <c r="A49" s="435"/>
      <c r="B49" s="36"/>
      <c r="C49" s="199" t="str">
        <f t="shared" ca="1" si="2"/>
        <v/>
      </c>
      <c r="D49" s="479"/>
      <c r="E49" s="480"/>
      <c r="F49" s="480"/>
      <c r="G49" s="480"/>
      <c r="H49" s="480"/>
      <c r="I49" s="480"/>
      <c r="J49" s="480"/>
      <c r="K49" s="440"/>
      <c r="L49" s="441"/>
      <c r="M49" s="441"/>
      <c r="N49" s="441"/>
      <c r="O49" s="441"/>
      <c r="P49" s="441"/>
      <c r="Q49" s="441"/>
      <c r="R49" s="444"/>
      <c r="S49" s="445"/>
      <c r="T49" s="444"/>
      <c r="U49" s="445"/>
      <c r="V49" s="440"/>
      <c r="W49" s="441"/>
      <c r="X49" s="441"/>
      <c r="Y49" s="441"/>
      <c r="Z49" s="441"/>
      <c r="AA49" s="441"/>
      <c r="AB49" s="441"/>
      <c r="AC49" s="441"/>
      <c r="AD49" s="440"/>
      <c r="AE49" s="441"/>
      <c r="AF49" s="441"/>
      <c r="AG49" s="441"/>
      <c r="AH49" s="441"/>
      <c r="AI49" s="441"/>
      <c r="AJ49" s="441"/>
      <c r="AK49" s="450"/>
      <c r="AL49" s="494"/>
      <c r="AM49" s="495"/>
      <c r="AN49" s="495"/>
      <c r="AO49" s="495"/>
      <c r="AP49" s="495"/>
      <c r="AQ49" s="495"/>
      <c r="AR49" s="496"/>
      <c r="AS49" s="440"/>
      <c r="AT49" s="441"/>
      <c r="AU49" s="441"/>
      <c r="AV49" s="441"/>
      <c r="AW49" s="441"/>
      <c r="AX49" s="441"/>
      <c r="AY49" s="450"/>
      <c r="AZ49" s="462"/>
      <c r="BA49" s="463"/>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5">
      <c r="A50" s="435"/>
      <c r="B50" s="36"/>
      <c r="C50" s="199" t="str">
        <f t="shared" ca="1" si="2"/>
        <v/>
      </c>
      <c r="D50" s="479"/>
      <c r="E50" s="480"/>
      <c r="F50" s="480"/>
      <c r="G50" s="480"/>
      <c r="H50" s="480"/>
      <c r="I50" s="480"/>
      <c r="J50" s="480"/>
      <c r="K50" s="440"/>
      <c r="L50" s="441"/>
      <c r="M50" s="441"/>
      <c r="N50" s="441"/>
      <c r="O50" s="441"/>
      <c r="P50" s="441"/>
      <c r="Q50" s="441"/>
      <c r="R50" s="444"/>
      <c r="S50" s="445"/>
      <c r="T50" s="444"/>
      <c r="U50" s="445"/>
      <c r="V50" s="440"/>
      <c r="W50" s="441"/>
      <c r="X50" s="441"/>
      <c r="Y50" s="441"/>
      <c r="Z50" s="441"/>
      <c r="AA50" s="441"/>
      <c r="AB50" s="441"/>
      <c r="AC50" s="441"/>
      <c r="AD50" s="440"/>
      <c r="AE50" s="441"/>
      <c r="AF50" s="441"/>
      <c r="AG50" s="441"/>
      <c r="AH50" s="441"/>
      <c r="AI50" s="441"/>
      <c r="AJ50" s="441"/>
      <c r="AK50" s="450"/>
      <c r="AL50" s="494"/>
      <c r="AM50" s="495"/>
      <c r="AN50" s="495"/>
      <c r="AO50" s="495"/>
      <c r="AP50" s="495"/>
      <c r="AQ50" s="495"/>
      <c r="AR50" s="496"/>
      <c r="AS50" s="440"/>
      <c r="AT50" s="441"/>
      <c r="AU50" s="441"/>
      <c r="AV50" s="441"/>
      <c r="AW50" s="441"/>
      <c r="AX50" s="441"/>
      <c r="AY50" s="450"/>
      <c r="AZ50" s="462"/>
      <c r="BA50" s="463"/>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5">
      <c r="A51" s="435"/>
      <c r="B51" s="36"/>
      <c r="C51" s="199" t="str">
        <f t="shared" ca="1" si="2"/>
        <v/>
      </c>
      <c r="D51" s="479"/>
      <c r="E51" s="480"/>
      <c r="F51" s="480"/>
      <c r="G51" s="480"/>
      <c r="H51" s="480"/>
      <c r="I51" s="480"/>
      <c r="J51" s="480"/>
      <c r="K51" s="440"/>
      <c r="L51" s="441"/>
      <c r="M51" s="441"/>
      <c r="N51" s="441"/>
      <c r="O51" s="441"/>
      <c r="P51" s="441"/>
      <c r="Q51" s="441"/>
      <c r="R51" s="444"/>
      <c r="S51" s="445"/>
      <c r="T51" s="444"/>
      <c r="U51" s="445"/>
      <c r="V51" s="440"/>
      <c r="W51" s="441"/>
      <c r="X51" s="441"/>
      <c r="Y51" s="441"/>
      <c r="Z51" s="441"/>
      <c r="AA51" s="441"/>
      <c r="AB51" s="441"/>
      <c r="AC51" s="441"/>
      <c r="AD51" s="440"/>
      <c r="AE51" s="441"/>
      <c r="AF51" s="441"/>
      <c r="AG51" s="441"/>
      <c r="AH51" s="441"/>
      <c r="AI51" s="441"/>
      <c r="AJ51" s="441"/>
      <c r="AK51" s="450"/>
      <c r="AL51" s="494"/>
      <c r="AM51" s="495"/>
      <c r="AN51" s="495"/>
      <c r="AO51" s="495"/>
      <c r="AP51" s="495"/>
      <c r="AQ51" s="495"/>
      <c r="AR51" s="496"/>
      <c r="AS51" s="440"/>
      <c r="AT51" s="441"/>
      <c r="AU51" s="441"/>
      <c r="AV51" s="441"/>
      <c r="AW51" s="441"/>
      <c r="AX51" s="441"/>
      <c r="AY51" s="450"/>
      <c r="AZ51" s="462"/>
      <c r="BA51" s="463"/>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5">
      <c r="A52" s="436"/>
      <c r="B52" s="37"/>
      <c r="C52" s="200" t="str">
        <f t="shared" ca="1" si="2"/>
        <v/>
      </c>
      <c r="D52" s="481"/>
      <c r="E52" s="482"/>
      <c r="F52" s="482"/>
      <c r="G52" s="482"/>
      <c r="H52" s="482"/>
      <c r="I52" s="482"/>
      <c r="J52" s="482"/>
      <c r="K52" s="409"/>
      <c r="L52" s="410"/>
      <c r="M52" s="410"/>
      <c r="N52" s="410"/>
      <c r="O52" s="410"/>
      <c r="P52" s="410"/>
      <c r="Q52" s="410"/>
      <c r="R52" s="446"/>
      <c r="S52" s="447"/>
      <c r="T52" s="446"/>
      <c r="U52" s="447"/>
      <c r="V52" s="409"/>
      <c r="W52" s="410"/>
      <c r="X52" s="410"/>
      <c r="Y52" s="410"/>
      <c r="Z52" s="410"/>
      <c r="AA52" s="410"/>
      <c r="AB52" s="410"/>
      <c r="AC52" s="410"/>
      <c r="AD52" s="409"/>
      <c r="AE52" s="410"/>
      <c r="AF52" s="410"/>
      <c r="AG52" s="410"/>
      <c r="AH52" s="410"/>
      <c r="AI52" s="410"/>
      <c r="AJ52" s="410"/>
      <c r="AK52" s="411"/>
      <c r="AL52" s="497"/>
      <c r="AM52" s="498"/>
      <c r="AN52" s="498"/>
      <c r="AO52" s="498"/>
      <c r="AP52" s="498"/>
      <c r="AQ52" s="498"/>
      <c r="AR52" s="499"/>
      <c r="AS52" s="409"/>
      <c r="AT52" s="410"/>
      <c r="AU52" s="410"/>
      <c r="AV52" s="410"/>
      <c r="AW52" s="410"/>
      <c r="AX52" s="410"/>
      <c r="AY52" s="411"/>
      <c r="AZ52" s="464"/>
      <c r="BA52" s="465"/>
      <c r="BB52" s="62">
        <v>6</v>
      </c>
      <c r="BC52" s="426"/>
      <c r="BD52" s="427"/>
      <c r="BE52" s="427"/>
      <c r="BF52" s="428"/>
      <c r="BG52" s="429"/>
      <c r="BH52" s="430"/>
      <c r="BI52" s="196"/>
      <c r="BJ52" s="474"/>
      <c r="BK52" s="475"/>
      <c r="BL52" s="475"/>
      <c r="BM52" s="475"/>
      <c r="BN52" s="475"/>
      <c r="BO52" s="476"/>
      <c r="BP52" s="474"/>
      <c r="BQ52" s="475"/>
      <c r="BR52" s="475"/>
      <c r="BS52" s="475"/>
      <c r="BT52" s="475"/>
      <c r="BU52" s="476"/>
      <c r="BV52" s="474"/>
      <c r="BW52" s="475"/>
      <c r="BX52" s="475"/>
      <c r="BY52" s="475"/>
      <c r="BZ52" s="475"/>
      <c r="CA52" s="476"/>
      <c r="CB52" s="426"/>
      <c r="CC52" s="427"/>
      <c r="CD52" s="427"/>
      <c r="CE52" s="428"/>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5" customHeight="1">
      <c r="A53" s="434">
        <v>8</v>
      </c>
      <c r="B53" s="36"/>
      <c r="C53" s="198" t="str">
        <f t="shared" ca="1" si="2"/>
        <v/>
      </c>
      <c r="D53" s="477" t="s">
        <v>542</v>
      </c>
      <c r="E53" s="478"/>
      <c r="F53" s="478"/>
      <c r="G53" s="478"/>
      <c r="H53" s="478"/>
      <c r="I53" s="478"/>
      <c r="J53" s="478"/>
      <c r="K53" s="438" t="s">
        <v>562</v>
      </c>
      <c r="L53" s="439"/>
      <c r="M53" s="439"/>
      <c r="N53" s="439"/>
      <c r="O53" s="439"/>
      <c r="P53" s="439"/>
      <c r="Q53" s="439"/>
      <c r="R53" s="442" t="s">
        <v>186</v>
      </c>
      <c r="S53" s="443"/>
      <c r="T53" s="442"/>
      <c r="U53" s="443"/>
      <c r="V53" s="438" t="s">
        <v>544</v>
      </c>
      <c r="W53" s="439"/>
      <c r="X53" s="439"/>
      <c r="Y53" s="439"/>
      <c r="Z53" s="439"/>
      <c r="AA53" s="439"/>
      <c r="AB53" s="439"/>
      <c r="AC53" s="439"/>
      <c r="AD53" s="438" t="s">
        <v>563</v>
      </c>
      <c r="AE53" s="439"/>
      <c r="AF53" s="439"/>
      <c r="AG53" s="439"/>
      <c r="AH53" s="439"/>
      <c r="AI53" s="439"/>
      <c r="AJ53" s="439"/>
      <c r="AK53" s="449"/>
      <c r="AL53" s="491" t="s">
        <v>546</v>
      </c>
      <c r="AM53" s="492"/>
      <c r="AN53" s="492"/>
      <c r="AO53" s="492"/>
      <c r="AP53" s="492"/>
      <c r="AQ53" s="492"/>
      <c r="AR53" s="493"/>
      <c r="AS53" s="438" t="s">
        <v>561</v>
      </c>
      <c r="AT53" s="439"/>
      <c r="AU53" s="439"/>
      <c r="AV53" s="439"/>
      <c r="AW53" s="439"/>
      <c r="AX53" s="439"/>
      <c r="AY53" s="449"/>
      <c r="AZ53" s="460"/>
      <c r="BA53" s="461"/>
      <c r="BB53" s="60">
        <v>1</v>
      </c>
      <c r="BC53" s="466"/>
      <c r="BD53" s="467"/>
      <c r="BE53" s="467"/>
      <c r="BF53" s="468"/>
      <c r="BG53" s="469"/>
      <c r="BH53" s="470"/>
      <c r="BI53" s="194"/>
      <c r="BJ53" s="471"/>
      <c r="BK53" s="472"/>
      <c r="BL53" s="472"/>
      <c r="BM53" s="472"/>
      <c r="BN53" s="472"/>
      <c r="BO53" s="473"/>
      <c r="BP53" s="471"/>
      <c r="BQ53" s="472"/>
      <c r="BR53" s="472"/>
      <c r="BS53" s="472"/>
      <c r="BT53" s="472"/>
      <c r="BU53" s="473"/>
      <c r="BV53" s="471"/>
      <c r="BW53" s="472"/>
      <c r="BX53" s="472"/>
      <c r="BY53" s="472"/>
      <c r="BZ53" s="472"/>
      <c r="CA53" s="473"/>
      <c r="CB53" s="466"/>
      <c r="CC53" s="467"/>
      <c r="CD53" s="467"/>
      <c r="CE53" s="468"/>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5">
      <c r="A54" s="435"/>
      <c r="B54" s="36"/>
      <c r="C54" s="199" t="str">
        <f t="shared" ca="1" si="2"/>
        <v/>
      </c>
      <c r="D54" s="479"/>
      <c r="E54" s="480"/>
      <c r="F54" s="480"/>
      <c r="G54" s="480"/>
      <c r="H54" s="480"/>
      <c r="I54" s="480"/>
      <c r="J54" s="480"/>
      <c r="K54" s="440"/>
      <c r="L54" s="441"/>
      <c r="M54" s="441"/>
      <c r="N54" s="441"/>
      <c r="O54" s="441"/>
      <c r="P54" s="441"/>
      <c r="Q54" s="441"/>
      <c r="R54" s="444"/>
      <c r="S54" s="445"/>
      <c r="T54" s="444"/>
      <c r="U54" s="445"/>
      <c r="V54" s="440"/>
      <c r="W54" s="441"/>
      <c r="X54" s="441"/>
      <c r="Y54" s="441"/>
      <c r="Z54" s="441"/>
      <c r="AA54" s="441"/>
      <c r="AB54" s="441"/>
      <c r="AC54" s="441"/>
      <c r="AD54" s="440"/>
      <c r="AE54" s="441"/>
      <c r="AF54" s="441"/>
      <c r="AG54" s="441"/>
      <c r="AH54" s="441"/>
      <c r="AI54" s="441"/>
      <c r="AJ54" s="441"/>
      <c r="AK54" s="450"/>
      <c r="AL54" s="494"/>
      <c r="AM54" s="495"/>
      <c r="AN54" s="495"/>
      <c r="AO54" s="495"/>
      <c r="AP54" s="495"/>
      <c r="AQ54" s="495"/>
      <c r="AR54" s="496"/>
      <c r="AS54" s="440"/>
      <c r="AT54" s="441"/>
      <c r="AU54" s="441"/>
      <c r="AV54" s="441"/>
      <c r="AW54" s="441"/>
      <c r="AX54" s="441"/>
      <c r="AY54" s="450"/>
      <c r="AZ54" s="462"/>
      <c r="BA54" s="463"/>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5">
      <c r="A55" s="435"/>
      <c r="B55" s="36"/>
      <c r="C55" s="199" t="str">
        <f t="shared" ca="1" si="2"/>
        <v/>
      </c>
      <c r="D55" s="479"/>
      <c r="E55" s="480"/>
      <c r="F55" s="480"/>
      <c r="G55" s="480"/>
      <c r="H55" s="480"/>
      <c r="I55" s="480"/>
      <c r="J55" s="480"/>
      <c r="K55" s="440"/>
      <c r="L55" s="441"/>
      <c r="M55" s="441"/>
      <c r="N55" s="441"/>
      <c r="O55" s="441"/>
      <c r="P55" s="441"/>
      <c r="Q55" s="441"/>
      <c r="R55" s="444"/>
      <c r="S55" s="445"/>
      <c r="T55" s="444"/>
      <c r="U55" s="445"/>
      <c r="V55" s="440"/>
      <c r="W55" s="441"/>
      <c r="X55" s="441"/>
      <c r="Y55" s="441"/>
      <c r="Z55" s="441"/>
      <c r="AA55" s="441"/>
      <c r="AB55" s="441"/>
      <c r="AC55" s="441"/>
      <c r="AD55" s="440"/>
      <c r="AE55" s="441"/>
      <c r="AF55" s="441"/>
      <c r="AG55" s="441"/>
      <c r="AH55" s="441"/>
      <c r="AI55" s="441"/>
      <c r="AJ55" s="441"/>
      <c r="AK55" s="450"/>
      <c r="AL55" s="494"/>
      <c r="AM55" s="495"/>
      <c r="AN55" s="495"/>
      <c r="AO55" s="495"/>
      <c r="AP55" s="495"/>
      <c r="AQ55" s="495"/>
      <c r="AR55" s="496"/>
      <c r="AS55" s="440"/>
      <c r="AT55" s="441"/>
      <c r="AU55" s="441"/>
      <c r="AV55" s="441"/>
      <c r="AW55" s="441"/>
      <c r="AX55" s="441"/>
      <c r="AY55" s="450"/>
      <c r="AZ55" s="462"/>
      <c r="BA55" s="463"/>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5">
      <c r="A56" s="435"/>
      <c r="B56" s="36"/>
      <c r="C56" s="199" t="str">
        <f t="shared" ca="1" si="2"/>
        <v/>
      </c>
      <c r="D56" s="479"/>
      <c r="E56" s="480"/>
      <c r="F56" s="480"/>
      <c r="G56" s="480"/>
      <c r="H56" s="480"/>
      <c r="I56" s="480"/>
      <c r="J56" s="480"/>
      <c r="K56" s="440"/>
      <c r="L56" s="441"/>
      <c r="M56" s="441"/>
      <c r="N56" s="441"/>
      <c r="O56" s="441"/>
      <c r="P56" s="441"/>
      <c r="Q56" s="441"/>
      <c r="R56" s="444"/>
      <c r="S56" s="445"/>
      <c r="T56" s="444"/>
      <c r="U56" s="445"/>
      <c r="V56" s="440"/>
      <c r="W56" s="441"/>
      <c r="X56" s="441"/>
      <c r="Y56" s="441"/>
      <c r="Z56" s="441"/>
      <c r="AA56" s="441"/>
      <c r="AB56" s="441"/>
      <c r="AC56" s="441"/>
      <c r="AD56" s="440"/>
      <c r="AE56" s="441"/>
      <c r="AF56" s="441"/>
      <c r="AG56" s="441"/>
      <c r="AH56" s="441"/>
      <c r="AI56" s="441"/>
      <c r="AJ56" s="441"/>
      <c r="AK56" s="450"/>
      <c r="AL56" s="494"/>
      <c r="AM56" s="495"/>
      <c r="AN56" s="495"/>
      <c r="AO56" s="495"/>
      <c r="AP56" s="495"/>
      <c r="AQ56" s="495"/>
      <c r="AR56" s="496"/>
      <c r="AS56" s="440"/>
      <c r="AT56" s="441"/>
      <c r="AU56" s="441"/>
      <c r="AV56" s="441"/>
      <c r="AW56" s="441"/>
      <c r="AX56" s="441"/>
      <c r="AY56" s="450"/>
      <c r="AZ56" s="462"/>
      <c r="BA56" s="463"/>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5">
      <c r="A57" s="435"/>
      <c r="B57" s="36"/>
      <c r="C57" s="199" t="str">
        <f t="shared" ca="1" si="2"/>
        <v/>
      </c>
      <c r="D57" s="479"/>
      <c r="E57" s="480"/>
      <c r="F57" s="480"/>
      <c r="G57" s="480"/>
      <c r="H57" s="480"/>
      <c r="I57" s="480"/>
      <c r="J57" s="480"/>
      <c r="K57" s="440"/>
      <c r="L57" s="441"/>
      <c r="M57" s="441"/>
      <c r="N57" s="441"/>
      <c r="O57" s="441"/>
      <c r="P57" s="441"/>
      <c r="Q57" s="441"/>
      <c r="R57" s="444"/>
      <c r="S57" s="445"/>
      <c r="T57" s="444"/>
      <c r="U57" s="445"/>
      <c r="V57" s="440"/>
      <c r="W57" s="441"/>
      <c r="X57" s="441"/>
      <c r="Y57" s="441"/>
      <c r="Z57" s="441"/>
      <c r="AA57" s="441"/>
      <c r="AB57" s="441"/>
      <c r="AC57" s="441"/>
      <c r="AD57" s="440"/>
      <c r="AE57" s="441"/>
      <c r="AF57" s="441"/>
      <c r="AG57" s="441"/>
      <c r="AH57" s="441"/>
      <c r="AI57" s="441"/>
      <c r="AJ57" s="441"/>
      <c r="AK57" s="450"/>
      <c r="AL57" s="494"/>
      <c r="AM57" s="495"/>
      <c r="AN57" s="495"/>
      <c r="AO57" s="495"/>
      <c r="AP57" s="495"/>
      <c r="AQ57" s="495"/>
      <c r="AR57" s="496"/>
      <c r="AS57" s="440"/>
      <c r="AT57" s="441"/>
      <c r="AU57" s="441"/>
      <c r="AV57" s="441"/>
      <c r="AW57" s="441"/>
      <c r="AX57" s="441"/>
      <c r="AY57" s="450"/>
      <c r="AZ57" s="462"/>
      <c r="BA57" s="463"/>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5">
      <c r="A58" s="436"/>
      <c r="B58" s="37"/>
      <c r="C58" s="200" t="str">
        <f t="shared" ca="1" si="2"/>
        <v/>
      </c>
      <c r="D58" s="481"/>
      <c r="E58" s="482"/>
      <c r="F58" s="482"/>
      <c r="G58" s="482"/>
      <c r="H58" s="482"/>
      <c r="I58" s="482"/>
      <c r="J58" s="482"/>
      <c r="K58" s="409"/>
      <c r="L58" s="410"/>
      <c r="M58" s="410"/>
      <c r="N58" s="410"/>
      <c r="O58" s="410"/>
      <c r="P58" s="410"/>
      <c r="Q58" s="410"/>
      <c r="R58" s="446"/>
      <c r="S58" s="447"/>
      <c r="T58" s="446"/>
      <c r="U58" s="447"/>
      <c r="V58" s="409"/>
      <c r="W58" s="410"/>
      <c r="X58" s="410"/>
      <c r="Y58" s="410"/>
      <c r="Z58" s="410"/>
      <c r="AA58" s="410"/>
      <c r="AB58" s="410"/>
      <c r="AC58" s="410"/>
      <c r="AD58" s="409"/>
      <c r="AE58" s="410"/>
      <c r="AF58" s="410"/>
      <c r="AG58" s="410"/>
      <c r="AH58" s="410"/>
      <c r="AI58" s="410"/>
      <c r="AJ58" s="410"/>
      <c r="AK58" s="411"/>
      <c r="AL58" s="497"/>
      <c r="AM58" s="498"/>
      <c r="AN58" s="498"/>
      <c r="AO58" s="498"/>
      <c r="AP58" s="498"/>
      <c r="AQ58" s="498"/>
      <c r="AR58" s="499"/>
      <c r="AS58" s="409"/>
      <c r="AT58" s="410"/>
      <c r="AU58" s="410"/>
      <c r="AV58" s="410"/>
      <c r="AW58" s="410"/>
      <c r="AX58" s="410"/>
      <c r="AY58" s="411"/>
      <c r="AZ58" s="464"/>
      <c r="BA58" s="465"/>
      <c r="BB58" s="62">
        <v>6</v>
      </c>
      <c r="BC58" s="426"/>
      <c r="BD58" s="427"/>
      <c r="BE58" s="427"/>
      <c r="BF58" s="428"/>
      <c r="BG58" s="429"/>
      <c r="BH58" s="430"/>
      <c r="BI58" s="196"/>
      <c r="BJ58" s="474"/>
      <c r="BK58" s="475"/>
      <c r="BL58" s="475"/>
      <c r="BM58" s="475"/>
      <c r="BN58" s="475"/>
      <c r="BO58" s="476"/>
      <c r="BP58" s="474"/>
      <c r="BQ58" s="475"/>
      <c r="BR58" s="475"/>
      <c r="BS58" s="475"/>
      <c r="BT58" s="475"/>
      <c r="BU58" s="476"/>
      <c r="BV58" s="474"/>
      <c r="BW58" s="475"/>
      <c r="BX58" s="475"/>
      <c r="BY58" s="475"/>
      <c r="BZ58" s="475"/>
      <c r="CA58" s="476"/>
      <c r="CB58" s="426"/>
      <c r="CC58" s="427"/>
      <c r="CD58" s="427"/>
      <c r="CE58" s="428"/>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5" customHeight="1">
      <c r="A59" s="434">
        <v>9</v>
      </c>
      <c r="B59" s="36"/>
      <c r="C59" s="198" t="str">
        <f t="shared" ca="1" si="2"/>
        <v/>
      </c>
      <c r="D59" s="477" t="s">
        <v>542</v>
      </c>
      <c r="E59" s="478"/>
      <c r="F59" s="478"/>
      <c r="G59" s="478"/>
      <c r="H59" s="478"/>
      <c r="I59" s="478"/>
      <c r="J59" s="478"/>
      <c r="K59" s="438" t="s">
        <v>564</v>
      </c>
      <c r="L59" s="439"/>
      <c r="M59" s="439"/>
      <c r="N59" s="439"/>
      <c r="O59" s="439"/>
      <c r="P59" s="439"/>
      <c r="Q59" s="439"/>
      <c r="R59" s="442" t="s">
        <v>186</v>
      </c>
      <c r="S59" s="443"/>
      <c r="T59" s="442"/>
      <c r="U59" s="443"/>
      <c r="V59" s="438" t="s">
        <v>544</v>
      </c>
      <c r="W59" s="439"/>
      <c r="X59" s="439"/>
      <c r="Y59" s="439"/>
      <c r="Z59" s="439"/>
      <c r="AA59" s="439"/>
      <c r="AB59" s="439"/>
      <c r="AC59" s="439"/>
      <c r="AD59" s="438" t="s">
        <v>565</v>
      </c>
      <c r="AE59" s="439"/>
      <c r="AF59" s="439"/>
      <c r="AG59" s="439"/>
      <c r="AH59" s="439"/>
      <c r="AI59" s="439"/>
      <c r="AJ59" s="439"/>
      <c r="AK59" s="449"/>
      <c r="AL59" s="491" t="s">
        <v>546</v>
      </c>
      <c r="AM59" s="492"/>
      <c r="AN59" s="492"/>
      <c r="AO59" s="492"/>
      <c r="AP59" s="492"/>
      <c r="AQ59" s="492"/>
      <c r="AR59" s="493"/>
      <c r="AS59" s="438" t="s">
        <v>566</v>
      </c>
      <c r="AT59" s="439"/>
      <c r="AU59" s="439"/>
      <c r="AV59" s="439"/>
      <c r="AW59" s="439"/>
      <c r="AX59" s="439"/>
      <c r="AY59" s="449"/>
      <c r="AZ59" s="460"/>
      <c r="BA59" s="461"/>
      <c r="BB59" s="60">
        <v>1</v>
      </c>
      <c r="BC59" s="466"/>
      <c r="BD59" s="467"/>
      <c r="BE59" s="467"/>
      <c r="BF59" s="468"/>
      <c r="BG59" s="469"/>
      <c r="BH59" s="470"/>
      <c r="BI59" s="194"/>
      <c r="BJ59" s="471"/>
      <c r="BK59" s="472"/>
      <c r="BL59" s="472"/>
      <c r="BM59" s="472"/>
      <c r="BN59" s="472"/>
      <c r="BO59" s="473"/>
      <c r="BP59" s="471"/>
      <c r="BQ59" s="472"/>
      <c r="BR59" s="472"/>
      <c r="BS59" s="472"/>
      <c r="BT59" s="472"/>
      <c r="BU59" s="473"/>
      <c r="BV59" s="471"/>
      <c r="BW59" s="472"/>
      <c r="BX59" s="472"/>
      <c r="BY59" s="472"/>
      <c r="BZ59" s="472"/>
      <c r="CA59" s="473"/>
      <c r="CB59" s="466"/>
      <c r="CC59" s="467"/>
      <c r="CD59" s="467"/>
      <c r="CE59" s="468"/>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5">
      <c r="A60" s="435"/>
      <c r="B60" s="36"/>
      <c r="C60" s="199" t="str">
        <f t="shared" ca="1" si="2"/>
        <v/>
      </c>
      <c r="D60" s="479"/>
      <c r="E60" s="480"/>
      <c r="F60" s="480"/>
      <c r="G60" s="480"/>
      <c r="H60" s="480"/>
      <c r="I60" s="480"/>
      <c r="J60" s="480"/>
      <c r="K60" s="440"/>
      <c r="L60" s="441"/>
      <c r="M60" s="441"/>
      <c r="N60" s="441"/>
      <c r="O60" s="441"/>
      <c r="P60" s="441"/>
      <c r="Q60" s="441"/>
      <c r="R60" s="444"/>
      <c r="S60" s="445"/>
      <c r="T60" s="444"/>
      <c r="U60" s="445"/>
      <c r="V60" s="440"/>
      <c r="W60" s="441"/>
      <c r="X60" s="441"/>
      <c r="Y60" s="441"/>
      <c r="Z60" s="441"/>
      <c r="AA60" s="441"/>
      <c r="AB60" s="441"/>
      <c r="AC60" s="441"/>
      <c r="AD60" s="440"/>
      <c r="AE60" s="441"/>
      <c r="AF60" s="441"/>
      <c r="AG60" s="441"/>
      <c r="AH60" s="441"/>
      <c r="AI60" s="441"/>
      <c r="AJ60" s="441"/>
      <c r="AK60" s="450"/>
      <c r="AL60" s="494"/>
      <c r="AM60" s="495"/>
      <c r="AN60" s="495"/>
      <c r="AO60" s="495"/>
      <c r="AP60" s="495"/>
      <c r="AQ60" s="495"/>
      <c r="AR60" s="496"/>
      <c r="AS60" s="440"/>
      <c r="AT60" s="441"/>
      <c r="AU60" s="441"/>
      <c r="AV60" s="441"/>
      <c r="AW60" s="441"/>
      <c r="AX60" s="441"/>
      <c r="AY60" s="450"/>
      <c r="AZ60" s="462"/>
      <c r="BA60" s="463"/>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5">
      <c r="A61" s="435"/>
      <c r="B61" s="36"/>
      <c r="C61" s="199" t="str">
        <f t="shared" ca="1" si="2"/>
        <v/>
      </c>
      <c r="D61" s="479"/>
      <c r="E61" s="480"/>
      <c r="F61" s="480"/>
      <c r="G61" s="480"/>
      <c r="H61" s="480"/>
      <c r="I61" s="480"/>
      <c r="J61" s="480"/>
      <c r="K61" s="440"/>
      <c r="L61" s="441"/>
      <c r="M61" s="441"/>
      <c r="N61" s="441"/>
      <c r="O61" s="441"/>
      <c r="P61" s="441"/>
      <c r="Q61" s="441"/>
      <c r="R61" s="444"/>
      <c r="S61" s="445"/>
      <c r="T61" s="444"/>
      <c r="U61" s="445"/>
      <c r="V61" s="440"/>
      <c r="W61" s="441"/>
      <c r="X61" s="441"/>
      <c r="Y61" s="441"/>
      <c r="Z61" s="441"/>
      <c r="AA61" s="441"/>
      <c r="AB61" s="441"/>
      <c r="AC61" s="441"/>
      <c r="AD61" s="440"/>
      <c r="AE61" s="441"/>
      <c r="AF61" s="441"/>
      <c r="AG61" s="441"/>
      <c r="AH61" s="441"/>
      <c r="AI61" s="441"/>
      <c r="AJ61" s="441"/>
      <c r="AK61" s="450"/>
      <c r="AL61" s="494"/>
      <c r="AM61" s="495"/>
      <c r="AN61" s="495"/>
      <c r="AO61" s="495"/>
      <c r="AP61" s="495"/>
      <c r="AQ61" s="495"/>
      <c r="AR61" s="496"/>
      <c r="AS61" s="440"/>
      <c r="AT61" s="441"/>
      <c r="AU61" s="441"/>
      <c r="AV61" s="441"/>
      <c r="AW61" s="441"/>
      <c r="AX61" s="441"/>
      <c r="AY61" s="450"/>
      <c r="AZ61" s="462"/>
      <c r="BA61" s="463"/>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5">
      <c r="A62" s="435"/>
      <c r="B62" s="36"/>
      <c r="C62" s="199" t="str">
        <f t="shared" ca="1" si="2"/>
        <v/>
      </c>
      <c r="D62" s="479"/>
      <c r="E62" s="480"/>
      <c r="F62" s="480"/>
      <c r="G62" s="480"/>
      <c r="H62" s="480"/>
      <c r="I62" s="480"/>
      <c r="J62" s="480"/>
      <c r="K62" s="440"/>
      <c r="L62" s="441"/>
      <c r="M62" s="441"/>
      <c r="N62" s="441"/>
      <c r="O62" s="441"/>
      <c r="P62" s="441"/>
      <c r="Q62" s="441"/>
      <c r="R62" s="444"/>
      <c r="S62" s="445"/>
      <c r="T62" s="444"/>
      <c r="U62" s="445"/>
      <c r="V62" s="440"/>
      <c r="W62" s="441"/>
      <c r="X62" s="441"/>
      <c r="Y62" s="441"/>
      <c r="Z62" s="441"/>
      <c r="AA62" s="441"/>
      <c r="AB62" s="441"/>
      <c r="AC62" s="441"/>
      <c r="AD62" s="440"/>
      <c r="AE62" s="441"/>
      <c r="AF62" s="441"/>
      <c r="AG62" s="441"/>
      <c r="AH62" s="441"/>
      <c r="AI62" s="441"/>
      <c r="AJ62" s="441"/>
      <c r="AK62" s="450"/>
      <c r="AL62" s="494"/>
      <c r="AM62" s="495"/>
      <c r="AN62" s="495"/>
      <c r="AO62" s="495"/>
      <c r="AP62" s="495"/>
      <c r="AQ62" s="495"/>
      <c r="AR62" s="496"/>
      <c r="AS62" s="440"/>
      <c r="AT62" s="441"/>
      <c r="AU62" s="441"/>
      <c r="AV62" s="441"/>
      <c r="AW62" s="441"/>
      <c r="AX62" s="441"/>
      <c r="AY62" s="450"/>
      <c r="AZ62" s="462"/>
      <c r="BA62" s="463"/>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5">
      <c r="A63" s="435"/>
      <c r="B63" s="36"/>
      <c r="C63" s="199" t="str">
        <f t="shared" ca="1" si="2"/>
        <v/>
      </c>
      <c r="D63" s="479"/>
      <c r="E63" s="480"/>
      <c r="F63" s="480"/>
      <c r="G63" s="480"/>
      <c r="H63" s="480"/>
      <c r="I63" s="480"/>
      <c r="J63" s="480"/>
      <c r="K63" s="440"/>
      <c r="L63" s="441"/>
      <c r="M63" s="441"/>
      <c r="N63" s="441"/>
      <c r="O63" s="441"/>
      <c r="P63" s="441"/>
      <c r="Q63" s="441"/>
      <c r="R63" s="444"/>
      <c r="S63" s="445"/>
      <c r="T63" s="444"/>
      <c r="U63" s="445"/>
      <c r="V63" s="440"/>
      <c r="W63" s="441"/>
      <c r="X63" s="441"/>
      <c r="Y63" s="441"/>
      <c r="Z63" s="441"/>
      <c r="AA63" s="441"/>
      <c r="AB63" s="441"/>
      <c r="AC63" s="441"/>
      <c r="AD63" s="440"/>
      <c r="AE63" s="441"/>
      <c r="AF63" s="441"/>
      <c r="AG63" s="441"/>
      <c r="AH63" s="441"/>
      <c r="AI63" s="441"/>
      <c r="AJ63" s="441"/>
      <c r="AK63" s="450"/>
      <c r="AL63" s="494"/>
      <c r="AM63" s="495"/>
      <c r="AN63" s="495"/>
      <c r="AO63" s="495"/>
      <c r="AP63" s="495"/>
      <c r="AQ63" s="495"/>
      <c r="AR63" s="496"/>
      <c r="AS63" s="440"/>
      <c r="AT63" s="441"/>
      <c r="AU63" s="441"/>
      <c r="AV63" s="441"/>
      <c r="AW63" s="441"/>
      <c r="AX63" s="441"/>
      <c r="AY63" s="450"/>
      <c r="AZ63" s="462"/>
      <c r="BA63" s="463"/>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5">
      <c r="A64" s="436"/>
      <c r="B64" s="37"/>
      <c r="C64" s="200" t="str">
        <f t="shared" ca="1" si="2"/>
        <v/>
      </c>
      <c r="D64" s="481"/>
      <c r="E64" s="482"/>
      <c r="F64" s="482"/>
      <c r="G64" s="482"/>
      <c r="H64" s="482"/>
      <c r="I64" s="482"/>
      <c r="J64" s="482"/>
      <c r="K64" s="409"/>
      <c r="L64" s="410"/>
      <c r="M64" s="410"/>
      <c r="N64" s="410"/>
      <c r="O64" s="410"/>
      <c r="P64" s="410"/>
      <c r="Q64" s="410"/>
      <c r="R64" s="446"/>
      <c r="S64" s="447"/>
      <c r="T64" s="446"/>
      <c r="U64" s="447"/>
      <c r="V64" s="409"/>
      <c r="W64" s="410"/>
      <c r="X64" s="410"/>
      <c r="Y64" s="410"/>
      <c r="Z64" s="410"/>
      <c r="AA64" s="410"/>
      <c r="AB64" s="410"/>
      <c r="AC64" s="410"/>
      <c r="AD64" s="409"/>
      <c r="AE64" s="410"/>
      <c r="AF64" s="410"/>
      <c r="AG64" s="410"/>
      <c r="AH64" s="410"/>
      <c r="AI64" s="410"/>
      <c r="AJ64" s="410"/>
      <c r="AK64" s="411"/>
      <c r="AL64" s="497"/>
      <c r="AM64" s="498"/>
      <c r="AN64" s="498"/>
      <c r="AO64" s="498"/>
      <c r="AP64" s="498"/>
      <c r="AQ64" s="498"/>
      <c r="AR64" s="499"/>
      <c r="AS64" s="409"/>
      <c r="AT64" s="410"/>
      <c r="AU64" s="410"/>
      <c r="AV64" s="410"/>
      <c r="AW64" s="410"/>
      <c r="AX64" s="410"/>
      <c r="AY64" s="411"/>
      <c r="AZ64" s="464"/>
      <c r="BA64" s="465"/>
      <c r="BB64" s="62">
        <v>6</v>
      </c>
      <c r="BC64" s="426"/>
      <c r="BD64" s="427"/>
      <c r="BE64" s="427"/>
      <c r="BF64" s="428"/>
      <c r="BG64" s="429"/>
      <c r="BH64" s="430"/>
      <c r="BI64" s="196"/>
      <c r="BJ64" s="474"/>
      <c r="BK64" s="475"/>
      <c r="BL64" s="475"/>
      <c r="BM64" s="475"/>
      <c r="BN64" s="475"/>
      <c r="BO64" s="476"/>
      <c r="BP64" s="474"/>
      <c r="BQ64" s="475"/>
      <c r="BR64" s="475"/>
      <c r="BS64" s="475"/>
      <c r="BT64" s="475"/>
      <c r="BU64" s="476"/>
      <c r="BV64" s="474"/>
      <c r="BW64" s="475"/>
      <c r="BX64" s="475"/>
      <c r="BY64" s="475"/>
      <c r="BZ64" s="475"/>
      <c r="CA64" s="476"/>
      <c r="CB64" s="426"/>
      <c r="CC64" s="427"/>
      <c r="CD64" s="427"/>
      <c r="CE64" s="428"/>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3" ht="29.25" customHeight="1">
      <c r="A65" s="212" t="s">
        <v>331</v>
      </c>
      <c r="B65" s="213"/>
      <c r="C65" s="213"/>
      <c r="D65" s="214"/>
      <c r="E65" s="214"/>
      <c r="F65" s="214"/>
      <c r="G65" s="214"/>
      <c r="H65" s="214"/>
      <c r="I65" s="214"/>
      <c r="J65" s="214"/>
      <c r="K65" s="214"/>
      <c r="L65" s="214"/>
      <c r="M65" s="214"/>
      <c r="N65" s="214"/>
      <c r="O65" s="214"/>
      <c r="P65" s="214"/>
      <c r="Q65" s="214"/>
      <c r="R65" s="214"/>
      <c r="S65" s="214"/>
      <c r="T65" s="214"/>
      <c r="U65" s="214"/>
      <c r="V65" s="214"/>
      <c r="W65" s="214"/>
      <c r="X65" s="214"/>
      <c r="Y65" s="214"/>
      <c r="Z65" s="214"/>
      <c r="AA65" s="214"/>
      <c r="AB65" s="214"/>
      <c r="AC65" s="214"/>
      <c r="AD65" s="214"/>
      <c r="AE65" s="214"/>
      <c r="AF65" s="214"/>
      <c r="AG65" s="214"/>
      <c r="AH65" s="214"/>
      <c r="AI65" s="214"/>
      <c r="AJ65" s="214"/>
      <c r="AK65" s="214"/>
      <c r="AL65" s="214"/>
      <c r="AM65" s="214"/>
      <c r="AN65" s="214"/>
      <c r="AO65" s="214"/>
      <c r="AP65" s="214"/>
      <c r="AQ65" s="214"/>
      <c r="AR65" s="214"/>
      <c r="AS65" s="214"/>
      <c r="AT65" s="214"/>
      <c r="AU65" s="214"/>
      <c r="AV65" s="214"/>
      <c r="AW65" s="214"/>
      <c r="AX65" s="214"/>
      <c r="AY65" s="214"/>
      <c r="AZ65" s="214"/>
      <c r="BA65" s="214"/>
      <c r="BB65" s="214"/>
      <c r="BC65" s="214"/>
      <c r="BD65" s="214"/>
      <c r="BE65" s="214"/>
      <c r="BF65" s="214"/>
      <c r="BG65" s="214"/>
      <c r="BH65" s="214"/>
      <c r="BI65" s="214"/>
      <c r="BJ65" s="214"/>
      <c r="BK65" s="214"/>
      <c r="BL65" s="214"/>
      <c r="BM65" s="214"/>
      <c r="BN65" s="214"/>
      <c r="BO65" s="214"/>
      <c r="BP65" s="214"/>
      <c r="BQ65" s="214"/>
      <c r="BR65" s="214"/>
      <c r="BS65" s="214"/>
      <c r="BT65" s="214"/>
      <c r="BU65" s="214"/>
      <c r="BV65" s="214"/>
      <c r="BW65" s="214"/>
      <c r="BX65" s="214"/>
      <c r="BY65" s="214"/>
      <c r="BZ65" s="214"/>
      <c r="CA65" s="214"/>
      <c r="CB65" s="214"/>
      <c r="CC65" s="214"/>
      <c r="CD65" s="214"/>
      <c r="CE65" s="214"/>
      <c r="CF65" s="214"/>
      <c r="CG65" s="214"/>
      <c r="CH65" s="214"/>
      <c r="CI65" s="214"/>
      <c r="CJ65" s="214"/>
      <c r="CK65" s="214"/>
      <c r="CL65" s="214"/>
      <c r="CM65" s="214"/>
      <c r="CN65" s="214"/>
      <c r="CO65" s="214"/>
      <c r="CP65" s="214"/>
      <c r="CQ65" s="214"/>
      <c r="CR65" s="214"/>
      <c r="CS65" s="214"/>
      <c r="CT65" s="214"/>
      <c r="CU65" s="214"/>
      <c r="CV65" s="214"/>
      <c r="CW65" s="214"/>
      <c r="CX65" s="214"/>
      <c r="CY65" s="215"/>
    </row>
  </sheetData>
  <dataConsolidate link="1"/>
  <mergeCells count="499">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 ref="CN2:CQ2"/>
    <mergeCell ref="CR2:CS2"/>
    <mergeCell ref="CT2:CW2"/>
    <mergeCell ref="CX2:CY2"/>
    <mergeCell ref="B5:C5"/>
    <mergeCell ref="AZ5:BC5"/>
    <mergeCell ref="BG5:BP5"/>
    <mergeCell ref="A1:M4"/>
    <mergeCell ref="N1:AO4"/>
    <mergeCell ref="AP1:AY1"/>
    <mergeCell ref="AZ1:BH1"/>
    <mergeCell ref="AP2:AY4"/>
    <mergeCell ref="AZ2:BH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BV25:CA25"/>
    <mergeCell ref="CB13:CE13"/>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3:BF13"/>
    <mergeCell ref="BG13:BH13"/>
    <mergeCell ref="BJ13:BO13"/>
    <mergeCell ref="BP13:BU13"/>
    <mergeCell ref="BV13:CA13"/>
    <mergeCell ref="BC25:BF25"/>
    <mergeCell ref="BG25:BH25"/>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BP22:BU22"/>
    <mergeCell ref="BV22:CA22"/>
    <mergeCell ref="CB22:CE22"/>
    <mergeCell ref="BJ20:BO20"/>
    <mergeCell ref="BP28:BU28"/>
    <mergeCell ref="BV28:CA28"/>
    <mergeCell ref="CB28:CE28"/>
    <mergeCell ref="BC24:BF24"/>
    <mergeCell ref="BG24:BH24"/>
    <mergeCell ref="CP17:CT22"/>
    <mergeCell ref="BJ26:BO26"/>
    <mergeCell ref="BP26:BU26"/>
    <mergeCell ref="BP20:BU20"/>
    <mergeCell ref="BV20:CA20"/>
    <mergeCell ref="CB20:CE20"/>
    <mergeCell ref="BJ21:BO21"/>
    <mergeCell ref="BP21:BU21"/>
    <mergeCell ref="BV21:CA21"/>
    <mergeCell ref="CB21:CE21"/>
    <mergeCell ref="BJ24:BO24"/>
    <mergeCell ref="BP24:BU24"/>
    <mergeCell ref="BV24:CA24"/>
    <mergeCell ref="CB24:CE24"/>
    <mergeCell ref="BJ23:BO23"/>
    <mergeCell ref="BP23:BU23"/>
    <mergeCell ref="BG26:BH26"/>
    <mergeCell ref="BV26:CA26"/>
    <mergeCell ref="BV23:CA23"/>
    <mergeCell ref="CB26:CE26"/>
    <mergeCell ref="BC27:BF27"/>
    <mergeCell ref="BG27:BH27"/>
    <mergeCell ref="BJ27:BO27"/>
    <mergeCell ref="BP27:BU27"/>
    <mergeCell ref="BV27:CA27"/>
    <mergeCell ref="CB27:CE27"/>
    <mergeCell ref="AZ17:BA22"/>
    <mergeCell ref="BC22:BF22"/>
    <mergeCell ref="BG22:BH22"/>
    <mergeCell ref="BC21:BF21"/>
    <mergeCell ref="BG21:BH21"/>
    <mergeCell ref="BC17:BF17"/>
    <mergeCell ref="BG17:BH17"/>
    <mergeCell ref="BC20:BF20"/>
    <mergeCell ref="BG20:BH20"/>
    <mergeCell ref="AZ23:BA28"/>
    <mergeCell ref="BC28:BF28"/>
    <mergeCell ref="BG28:BH28"/>
    <mergeCell ref="CB25:CE25"/>
    <mergeCell ref="BC23:BF23"/>
    <mergeCell ref="BG23:BH23"/>
    <mergeCell ref="BC26:BF26"/>
    <mergeCell ref="BJ28:BO28"/>
    <mergeCell ref="A17:A22"/>
    <mergeCell ref="D17:J22"/>
    <mergeCell ref="K17:Q22"/>
    <mergeCell ref="R17:S22"/>
    <mergeCell ref="T17:U22"/>
    <mergeCell ref="V17:AC22"/>
    <mergeCell ref="AD17:AK22"/>
    <mergeCell ref="AL17:AR22"/>
    <mergeCell ref="AS17:AY22"/>
    <mergeCell ref="CP29:CT34"/>
    <mergeCell ref="CP23:CT28"/>
    <mergeCell ref="A29:A34"/>
    <mergeCell ref="D29:J34"/>
    <mergeCell ref="K29:Q34"/>
    <mergeCell ref="R29:S34"/>
    <mergeCell ref="T29:U34"/>
    <mergeCell ref="V29:AC34"/>
    <mergeCell ref="AD23:AK28"/>
    <mergeCell ref="AL23:AR28"/>
    <mergeCell ref="AS23:AY28"/>
    <mergeCell ref="A23:A28"/>
    <mergeCell ref="D23:J28"/>
    <mergeCell ref="K23:Q28"/>
    <mergeCell ref="R23:S28"/>
    <mergeCell ref="T23:U28"/>
    <mergeCell ref="V23:AC28"/>
    <mergeCell ref="CF23:CJ28"/>
    <mergeCell ref="CK23:CO28"/>
    <mergeCell ref="BJ25:BO25"/>
    <mergeCell ref="BP25:BU25"/>
    <mergeCell ref="AD29:AK34"/>
    <mergeCell ref="AL29:AR34"/>
    <mergeCell ref="AS29:AY34"/>
    <mergeCell ref="CB38:CE38"/>
    <mergeCell ref="BC39:BF39"/>
    <mergeCell ref="BG39:BH39"/>
    <mergeCell ref="BC30:BF30"/>
    <mergeCell ref="BG30:BH30"/>
    <mergeCell ref="BP31:BU31"/>
    <mergeCell ref="BV31:CA31"/>
    <mergeCell ref="CB31:CE31"/>
    <mergeCell ref="BC29:BF29"/>
    <mergeCell ref="BG33:BH33"/>
    <mergeCell ref="BJ33:BO33"/>
    <mergeCell ref="BP33:BU33"/>
    <mergeCell ref="BV33:CA33"/>
    <mergeCell ref="CB33:CE33"/>
    <mergeCell ref="BG29:BH29"/>
    <mergeCell ref="BC32:BF32"/>
    <mergeCell ref="BG32:BH32"/>
    <mergeCell ref="BJ32:BO32"/>
    <mergeCell ref="BP32:BU32"/>
    <mergeCell ref="BV32:CA32"/>
    <mergeCell ref="CB32:CE32"/>
    <mergeCell ref="BC33:BF33"/>
    <mergeCell ref="BV34:CA34"/>
    <mergeCell ref="CB34:CE34"/>
    <mergeCell ref="AZ29:BA34"/>
    <mergeCell ref="BC34:BF34"/>
    <mergeCell ref="BG34:BH34"/>
    <mergeCell ref="BJ38:BO38"/>
    <mergeCell ref="BP38:BU38"/>
    <mergeCell ref="BV38:CA38"/>
    <mergeCell ref="CU23:CY28"/>
    <mergeCell ref="CB23:CE23"/>
    <mergeCell ref="CU29:CY34"/>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J34:BO34"/>
    <mergeCell ref="BP34:BU34"/>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A41:A46"/>
    <mergeCell ref="D41:J46"/>
    <mergeCell ref="K41:Q46"/>
    <mergeCell ref="R41:S46"/>
    <mergeCell ref="T41:U46"/>
    <mergeCell ref="V41:AC46"/>
    <mergeCell ref="AD35:AK40"/>
    <mergeCell ref="AL35:AR40"/>
    <mergeCell ref="AS35:AY40"/>
    <mergeCell ref="A35:A40"/>
    <mergeCell ref="D35:J40"/>
    <mergeCell ref="K35:Q40"/>
    <mergeCell ref="R35:S40"/>
    <mergeCell ref="T35:U40"/>
    <mergeCell ref="V35:AC40"/>
    <mergeCell ref="AZ35:BA40"/>
    <mergeCell ref="BC40:BF40"/>
    <mergeCell ref="BG40:BH40"/>
    <mergeCell ref="BJ44:BO44"/>
    <mergeCell ref="BP44:BU44"/>
    <mergeCell ref="BV44:CA44"/>
    <mergeCell ref="CB44:CE44"/>
    <mergeCell ref="BC45:BF45"/>
    <mergeCell ref="BG45:BH45"/>
    <mergeCell ref="BP43:BU43"/>
    <mergeCell ref="BV43:CA43"/>
    <mergeCell ref="CB43:CE43"/>
    <mergeCell ref="BC41:BF41"/>
    <mergeCell ref="BG41:BH41"/>
    <mergeCell ref="BC44:BF44"/>
    <mergeCell ref="BG44:BH44"/>
    <mergeCell ref="BV39:CA39"/>
    <mergeCell ref="CB39:CE39"/>
    <mergeCell ref="BJ40:BO40"/>
    <mergeCell ref="BP40:BU40"/>
    <mergeCell ref="BV40:CA40"/>
    <mergeCell ref="CB40:CE40"/>
    <mergeCell ref="BJ39:BO39"/>
    <mergeCell ref="BP39:BU39"/>
    <mergeCell ref="D47:J52"/>
    <mergeCell ref="K47:Q52"/>
    <mergeCell ref="R47:S52"/>
    <mergeCell ref="T47:U52"/>
    <mergeCell ref="V47:AC52"/>
    <mergeCell ref="AD41:AK46"/>
    <mergeCell ref="AL41:AR46"/>
    <mergeCell ref="AS41:AY46"/>
    <mergeCell ref="AZ41:BA46"/>
    <mergeCell ref="AD47:AK52"/>
    <mergeCell ref="AL47:AR52"/>
    <mergeCell ref="AS47:AY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J45:BO45"/>
    <mergeCell ref="BP45:BU45"/>
    <mergeCell ref="BV45:CA45"/>
    <mergeCell ref="CB45:CE45"/>
    <mergeCell ref="BJ46:BO46"/>
    <mergeCell ref="BP46:BU46"/>
    <mergeCell ref="BV46:CA46"/>
    <mergeCell ref="BC57:BF57"/>
    <mergeCell ref="CB46:CE46"/>
    <mergeCell ref="BC48:BF48"/>
    <mergeCell ref="BG48:BH48"/>
    <mergeCell ref="BJ48:BO48"/>
    <mergeCell ref="BP48:BU48"/>
    <mergeCell ref="BV48:CA48"/>
    <mergeCell ref="CB48:CE48"/>
    <mergeCell ref="BC46:BF46"/>
    <mergeCell ref="BG46:BH46"/>
    <mergeCell ref="BJ49:BO49"/>
    <mergeCell ref="BP49:BU49"/>
    <mergeCell ref="BV49:CA49"/>
    <mergeCell ref="CB49:CE49"/>
    <mergeCell ref="BC47:BF47"/>
    <mergeCell ref="BG47:BH47"/>
    <mergeCell ref="BC50:BF50"/>
    <mergeCell ref="BG50:BH50"/>
    <mergeCell ref="BC49:BF49"/>
    <mergeCell ref="BG49:BH49"/>
    <mergeCell ref="BJ50:BO50"/>
    <mergeCell ref="BP50:BU50"/>
    <mergeCell ref="BV50:CA50"/>
    <mergeCell ref="CB50:CE50"/>
    <mergeCell ref="BC53:BF53"/>
    <mergeCell ref="CB56:CE56"/>
    <mergeCell ref="BG53:BH53"/>
    <mergeCell ref="BC56:BF56"/>
    <mergeCell ref="BG56:BH56"/>
    <mergeCell ref="A47:A52"/>
    <mergeCell ref="BG57:BH57"/>
    <mergeCell ref="BJ57:BO57"/>
    <mergeCell ref="BP57:BU57"/>
    <mergeCell ref="BV57:CA57"/>
    <mergeCell ref="CB57:CE57"/>
    <mergeCell ref="AZ47:BA52"/>
    <mergeCell ref="BC52:BF52"/>
    <mergeCell ref="BG52:BH52"/>
    <mergeCell ref="BC51:BF51"/>
    <mergeCell ref="BG51:BH51"/>
    <mergeCell ref="BJ51:BO51"/>
    <mergeCell ref="BP51:BU51"/>
    <mergeCell ref="BV51:CA51"/>
    <mergeCell ref="CB51:CE51"/>
    <mergeCell ref="BJ52:BO52"/>
    <mergeCell ref="BP52:BU52"/>
    <mergeCell ref="BV52:CA52"/>
    <mergeCell ref="CB52:CE52"/>
    <mergeCell ref="AZ53:BA58"/>
    <mergeCell ref="BC58:BF58"/>
    <mergeCell ref="BG58:BH58"/>
    <mergeCell ref="BJ62:BO62"/>
    <mergeCell ref="BP62:BU62"/>
    <mergeCell ref="BV62:CA62"/>
    <mergeCell ref="CB62:CE62"/>
    <mergeCell ref="BC63:BF63"/>
    <mergeCell ref="CP53:CT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A59:A64"/>
    <mergeCell ref="D59:J64"/>
    <mergeCell ref="K59:Q64"/>
    <mergeCell ref="R59:S64"/>
    <mergeCell ref="T59:U64"/>
    <mergeCell ref="V59:AC64"/>
    <mergeCell ref="AD53:AK58"/>
    <mergeCell ref="AL53:AR58"/>
    <mergeCell ref="AS53:AY58"/>
    <mergeCell ref="A53:A58"/>
    <mergeCell ref="D53:J58"/>
    <mergeCell ref="K53:Q58"/>
    <mergeCell ref="R53:S58"/>
    <mergeCell ref="T53:U58"/>
    <mergeCell ref="V53:AC58"/>
    <mergeCell ref="BV63:CA63"/>
    <mergeCell ref="CP47:CT52"/>
    <mergeCell ref="BJ47:BO47"/>
    <mergeCell ref="BP47:BU47"/>
    <mergeCell ref="BV47:CA47"/>
    <mergeCell ref="CB47:CE47"/>
    <mergeCell ref="CK47:CO52"/>
    <mergeCell ref="CP59:CT64"/>
    <mergeCell ref="CU59:CY64"/>
    <mergeCell ref="CF59:CJ64"/>
    <mergeCell ref="CK59:CO64"/>
    <mergeCell ref="CU47:CY52"/>
    <mergeCell ref="CF47:CJ52"/>
    <mergeCell ref="BJ58:BO58"/>
    <mergeCell ref="BP58:BU58"/>
    <mergeCell ref="BV58:CA58"/>
    <mergeCell ref="CB58:CE58"/>
    <mergeCell ref="CU53:CY58"/>
    <mergeCell ref="BP55:BU55"/>
    <mergeCell ref="BV55:CA55"/>
    <mergeCell ref="CB55:CE55"/>
    <mergeCell ref="BJ56:BO56"/>
    <mergeCell ref="BP56:BU56"/>
    <mergeCell ref="BV56:CA56"/>
    <mergeCell ref="BJ59:BO59"/>
    <mergeCell ref="BP59:BU59"/>
    <mergeCell ref="BV59:CA59"/>
    <mergeCell ref="CB59:CE59"/>
    <mergeCell ref="BJ61:BO61"/>
    <mergeCell ref="BP61:BU61"/>
    <mergeCell ref="BV61:CA61"/>
    <mergeCell ref="CB61:CE61"/>
    <mergeCell ref="BC59:BF59"/>
    <mergeCell ref="BG59:BH59"/>
    <mergeCell ref="BC62:BF62"/>
    <mergeCell ref="BG62:BH62"/>
    <mergeCell ref="CB63:CE63"/>
    <mergeCell ref="BJ64:BO64"/>
    <mergeCell ref="BP64:BU64"/>
    <mergeCell ref="BV64:CA64"/>
    <mergeCell ref="CB64:CE64"/>
    <mergeCell ref="AD59:AK64"/>
    <mergeCell ref="AL59:AR64"/>
    <mergeCell ref="AS59:AY64"/>
    <mergeCell ref="AZ59:BA64"/>
    <mergeCell ref="BC64:BF64"/>
    <mergeCell ref="BG64:BH64"/>
    <mergeCell ref="BG63:BH63"/>
    <mergeCell ref="BJ63:BO63"/>
    <mergeCell ref="BP63:BU63"/>
    <mergeCell ref="BC60:BF60"/>
    <mergeCell ref="BG60:BH60"/>
    <mergeCell ref="BJ60:BO60"/>
    <mergeCell ref="BP60:BU60"/>
    <mergeCell ref="BV60:CA60"/>
    <mergeCell ref="CB60:CE60"/>
    <mergeCell ref="BC61:BF61"/>
    <mergeCell ref="BG61:BH61"/>
  </mergeCells>
  <phoneticPr fontId="3"/>
  <conditionalFormatting sqref="BP11:BU64">
    <cfRule type="expression" dxfId="4" priority="5">
      <formula>AND($BP11="",OR($BJ11&lt;&gt;"",$BV11&lt;&gt;""))</formula>
    </cfRule>
  </conditionalFormatting>
  <conditionalFormatting sqref="BJ11:BO64">
    <cfRule type="expression" dxfId="3" priority="4">
      <formula>AND($BJ11="",OR($BP11&lt;&gt;"",$BV11&lt;&gt;""))</formula>
    </cfRule>
  </conditionalFormatting>
  <conditionalFormatting sqref="BG11:BH64">
    <cfRule type="expression" dxfId="2" priority="3">
      <formula>AND($BG11="○", OR($BI11&lt;&gt;"", $BJ11&lt;&gt;"", $BP11&lt;&gt;"", $BV11&lt;&gt;""))</formula>
    </cfRule>
  </conditionalFormatting>
  <conditionalFormatting sqref="B11:C64 BB11:CE64">
    <cfRule type="expression" dxfId="1" priority="2" stopIfTrue="1">
      <formula>OFFSET($R11,-($BB11-1),0)="x"</formula>
    </cfRule>
  </conditionalFormatting>
  <conditionalFormatting sqref="A11:CY64">
    <cfRule type="expression" dxfId="0" priority="1" stopIfTrue="1">
      <formula>$R11="x"</formula>
    </cfRule>
  </conditionalFormatting>
  <dataValidations count="7">
    <dataValidation type="list" allowBlank="1" showInputMessage="1" showErrorMessage="1" sqref="BG11:BG64" xr:uid="{00000000-0002-0000-1100-000000000000}">
      <formula1>"○,×"</formula1>
    </dataValidation>
    <dataValidation type="list" allowBlank="1" showInputMessage="1" showErrorMessage="1" sqref="T11:U64" xr:uid="{00000000-0002-0000-1100-000001000000}">
      <formula1>"正常,異常"</formula1>
    </dataValidation>
    <dataValidation type="list" allowBlank="1" showInputMessage="1" showErrorMessage="1" sqref="BI11:BI64"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64" xr:uid="{00000000-0002-0000-1100-000003000000}">
      <formula1>40</formula1>
    </dataValidation>
    <dataValidation type="whole" operator="greaterThanOrEqual" allowBlank="1" showInputMessage="1" showErrorMessage="1" sqref="A11:A64 BB11:BB64" xr:uid="{00000000-0002-0000-1100-000004000000}">
      <formula1>0</formula1>
    </dataValidation>
    <dataValidation type="date" allowBlank="1" showInputMessage="1" showErrorMessage="1" sqref="BC11:BF64 CB11:CE64" xr:uid="{00000000-0002-0000-1100-000005000000}">
      <formula1>36526</formula1>
      <formula2>2958465</formula2>
    </dataValidation>
    <dataValidation type="list" allowBlank="1" showInputMessage="1" showErrorMessage="1" sqref="R11:S64" xr:uid="{00000000-0002-0000-1100-000006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75"/>
  <cols>
    <col min="1" max="1" width="1.85546875" style="148" hidden="1" customWidth="1"/>
    <col min="2" max="2" width="2.28515625" style="148" hidden="1" customWidth="1"/>
    <col min="3" max="3" width="18.7109375" style="153" customWidth="1"/>
    <col min="4" max="4" width="1.7109375" style="153" customWidth="1"/>
    <col min="5" max="5" width="25.7109375" style="153" hidden="1" customWidth="1"/>
    <col min="6" max="6" width="1.7109375" style="153" customWidth="1"/>
    <col min="7" max="7" width="23" style="153" customWidth="1"/>
    <col min="8" max="8" width="1.7109375" style="153" customWidth="1"/>
    <col min="9" max="9" width="15.7109375" style="153" customWidth="1"/>
    <col min="10" max="16384" width="9" style="153"/>
  </cols>
  <sheetData>
    <row r="1" spans="1:14" s="143" customFormat="1" ht="68.25" customHeight="1">
      <c r="C1" s="144" t="s">
        <v>567</v>
      </c>
      <c r="D1" s="145"/>
      <c r="E1" s="146" t="s">
        <v>568</v>
      </c>
      <c r="F1" s="145"/>
      <c r="G1" s="144" t="s">
        <v>569</v>
      </c>
      <c r="H1" s="145"/>
      <c r="I1" s="145" t="s">
        <v>570</v>
      </c>
    </row>
    <row r="2" spans="1:14" s="148" customFormat="1">
      <c r="A2" s="147"/>
      <c r="C2" s="149" t="s">
        <v>571</v>
      </c>
      <c r="E2" s="150" t="s">
        <v>572</v>
      </c>
      <c r="G2" s="149" t="s">
        <v>573</v>
      </c>
      <c r="I2" s="151" t="s">
        <v>574</v>
      </c>
      <c r="K2" s="63"/>
      <c r="L2" s="64"/>
      <c r="M2" s="64"/>
      <c r="N2" s="64"/>
    </row>
    <row r="3" spans="1:14">
      <c r="C3" s="152"/>
      <c r="E3" s="154"/>
      <c r="G3" s="152"/>
      <c r="I3" s="155"/>
      <c r="K3" s="219" t="s">
        <v>575</v>
      </c>
      <c r="L3" s="64"/>
      <c r="M3" s="64"/>
      <c r="N3" s="64"/>
    </row>
    <row r="4" spans="1:14">
      <c r="B4" s="148" t="s">
        <v>576</v>
      </c>
      <c r="C4" s="152" t="s">
        <v>577</v>
      </c>
      <c r="E4" s="154"/>
      <c r="G4" s="152" t="s">
        <v>18</v>
      </c>
      <c r="I4" s="152" t="s">
        <v>578</v>
      </c>
      <c r="K4" s="220" t="s">
        <v>579</v>
      </c>
      <c r="L4" s="66"/>
      <c r="M4" s="65"/>
      <c r="N4" s="64"/>
    </row>
    <row r="5" spans="1:14">
      <c r="B5" s="148" t="s">
        <v>580</v>
      </c>
      <c r="C5" s="152" t="s">
        <v>581</v>
      </c>
      <c r="E5" s="154"/>
      <c r="G5" s="152"/>
      <c r="I5" s="152" t="s">
        <v>582</v>
      </c>
      <c r="K5" s="221" t="s">
        <v>583</v>
      </c>
      <c r="L5" s="65"/>
      <c r="M5" s="65"/>
      <c r="N5" s="64"/>
    </row>
    <row r="6" spans="1:14">
      <c r="B6" s="148" t="s">
        <v>584</v>
      </c>
      <c r="C6" s="152" t="s">
        <v>585</v>
      </c>
      <c r="E6" s="154"/>
      <c r="G6" s="152"/>
      <c r="I6" s="152" t="s">
        <v>586</v>
      </c>
      <c r="K6" s="221" t="s">
        <v>587</v>
      </c>
      <c r="L6" s="64"/>
      <c r="M6" s="64"/>
      <c r="N6" s="64"/>
    </row>
    <row r="7" spans="1:14">
      <c r="B7" s="148" t="s">
        <v>588</v>
      </c>
      <c r="C7" s="152" t="s">
        <v>589</v>
      </c>
      <c r="E7" s="154"/>
      <c r="G7" s="152"/>
      <c r="I7" s="152" t="s">
        <v>590</v>
      </c>
      <c r="K7" s="219" t="s">
        <v>591</v>
      </c>
      <c r="L7" s="64"/>
      <c r="M7" s="64"/>
      <c r="N7" s="64"/>
    </row>
    <row r="8" spans="1:14">
      <c r="B8" s="148" t="s">
        <v>592</v>
      </c>
      <c r="C8" s="152" t="s">
        <v>593</v>
      </c>
      <c r="E8" s="154"/>
      <c r="G8" s="152"/>
      <c r="I8" s="152" t="s">
        <v>594</v>
      </c>
      <c r="K8" s="219" t="s">
        <v>595</v>
      </c>
      <c r="L8" s="64"/>
      <c r="M8" s="64"/>
      <c r="N8" s="64"/>
    </row>
    <row r="9" spans="1:14">
      <c r="B9" s="148" t="s">
        <v>596</v>
      </c>
      <c r="C9" s="152" t="s">
        <v>597</v>
      </c>
      <c r="E9" s="154"/>
      <c r="G9" s="152"/>
      <c r="I9" s="152" t="s">
        <v>598</v>
      </c>
      <c r="K9" s="220" t="s">
        <v>599</v>
      </c>
      <c r="L9" s="64"/>
      <c r="M9" s="64"/>
      <c r="N9" s="64"/>
    </row>
    <row r="10" spans="1:14">
      <c r="B10" s="148" t="s">
        <v>600</v>
      </c>
      <c r="C10" s="152" t="s">
        <v>601</v>
      </c>
      <c r="E10" s="154"/>
      <c r="G10" s="152"/>
      <c r="I10" s="152" t="s">
        <v>602</v>
      </c>
      <c r="K10" s="220" t="s">
        <v>603</v>
      </c>
      <c r="L10" s="64"/>
      <c r="M10" s="64"/>
      <c r="N10" s="64"/>
    </row>
    <row r="11" spans="1:14">
      <c r="B11" s="148" t="s">
        <v>604</v>
      </c>
      <c r="C11" s="152" t="s">
        <v>605</v>
      </c>
      <c r="E11" s="154"/>
      <c r="G11" s="152"/>
      <c r="I11" s="152" t="s">
        <v>54</v>
      </c>
      <c r="K11" s="221" t="s">
        <v>583</v>
      </c>
      <c r="L11" s="66"/>
      <c r="M11" s="65"/>
      <c r="N11" s="64"/>
    </row>
    <row r="12" spans="1:14">
      <c r="B12" s="148" t="s">
        <v>606</v>
      </c>
      <c r="C12" s="152" t="s">
        <v>607</v>
      </c>
      <c r="E12" s="154"/>
      <c r="G12" s="152"/>
      <c r="I12" s="152"/>
      <c r="K12" s="222" t="s">
        <v>608</v>
      </c>
      <c r="L12" s="65"/>
      <c r="M12" s="65"/>
      <c r="N12" s="64"/>
    </row>
    <row r="13" spans="1:14">
      <c r="B13" s="148" t="s">
        <v>609</v>
      </c>
      <c r="C13" s="152"/>
      <c r="E13" s="154"/>
      <c r="G13" s="152"/>
      <c r="I13" s="152"/>
      <c r="K13" s="221" t="s">
        <v>610</v>
      </c>
      <c r="L13" s="64"/>
      <c r="M13" s="65"/>
      <c r="N13" s="64"/>
    </row>
    <row r="14" spans="1:14">
      <c r="B14" s="148" t="s">
        <v>611</v>
      </c>
      <c r="C14" s="152"/>
      <c r="E14" s="154"/>
      <c r="G14" s="152"/>
      <c r="I14" s="152"/>
    </row>
    <row r="15" spans="1:14">
      <c r="B15" s="148" t="s">
        <v>612</v>
      </c>
      <c r="C15" s="152"/>
      <c r="E15" s="154"/>
      <c r="G15" s="152"/>
      <c r="I15" s="152"/>
    </row>
    <row r="16" spans="1:14">
      <c r="B16" s="148" t="s">
        <v>613</v>
      </c>
      <c r="C16" s="152"/>
      <c r="E16" s="154"/>
      <c r="G16" s="152"/>
      <c r="I16" s="152"/>
    </row>
    <row r="17" spans="1:9">
      <c r="A17" s="153"/>
      <c r="B17" s="148" t="s">
        <v>614</v>
      </c>
      <c r="C17" s="152"/>
      <c r="E17" s="154"/>
      <c r="G17" s="152"/>
      <c r="I17" s="152"/>
    </row>
    <row r="18" spans="1:9">
      <c r="A18" s="153"/>
      <c r="B18" s="148" t="s">
        <v>615</v>
      </c>
      <c r="C18" s="152"/>
      <c r="E18" s="154"/>
      <c r="G18" s="152"/>
      <c r="I18" s="152"/>
    </row>
    <row r="19" spans="1:9">
      <c r="A19" s="153"/>
      <c r="B19" s="148" t="s">
        <v>616</v>
      </c>
      <c r="C19" s="152"/>
      <c r="E19" s="156"/>
      <c r="G19" s="152"/>
      <c r="I19" s="152"/>
    </row>
    <row r="20" spans="1:9">
      <c r="A20" s="153"/>
      <c r="B20" s="148" t="s">
        <v>617</v>
      </c>
      <c r="C20" s="152"/>
      <c r="E20" s="154"/>
      <c r="G20" s="152"/>
      <c r="I20" s="152"/>
    </row>
    <row r="21" spans="1:9">
      <c r="A21" s="153"/>
      <c r="B21" s="148" t="s">
        <v>618</v>
      </c>
      <c r="C21" s="157"/>
      <c r="E21" s="154"/>
      <c r="G21" s="152"/>
      <c r="I21" s="152"/>
    </row>
    <row r="22" spans="1:9">
      <c r="A22" s="153"/>
      <c r="B22" s="148" t="s">
        <v>619</v>
      </c>
      <c r="C22" s="158"/>
      <c r="E22" s="154"/>
      <c r="G22" s="152"/>
      <c r="I22" s="152"/>
    </row>
    <row r="23" spans="1:9">
      <c r="A23" s="153"/>
      <c r="B23" s="148" t="s">
        <v>620</v>
      </c>
      <c r="C23" s="152"/>
      <c r="E23" s="154"/>
      <c r="G23" s="152"/>
      <c r="I23" s="152"/>
    </row>
    <row r="24" spans="1:9">
      <c r="A24" s="153"/>
      <c r="B24" s="148" t="s">
        <v>621</v>
      </c>
      <c r="C24" s="159"/>
      <c r="E24" s="154"/>
      <c r="G24" s="152"/>
      <c r="I24" s="152"/>
    </row>
    <row r="25" spans="1:9">
      <c r="A25" s="153"/>
      <c r="B25" s="148" t="s">
        <v>622</v>
      </c>
      <c r="C25" s="152"/>
      <c r="E25" s="154"/>
      <c r="G25" s="152"/>
      <c r="I25" s="152"/>
    </row>
    <row r="26" spans="1:9">
      <c r="A26" s="153"/>
      <c r="B26" s="148" t="s">
        <v>623</v>
      </c>
      <c r="C26" s="152"/>
      <c r="E26" s="154"/>
      <c r="G26" s="152"/>
      <c r="I26" s="152"/>
    </row>
    <row r="27" spans="1:9">
      <c r="A27" s="153"/>
      <c r="B27" s="148" t="s">
        <v>624</v>
      </c>
      <c r="C27" s="152"/>
      <c r="E27" s="154"/>
      <c r="G27" s="152"/>
      <c r="I27" s="152"/>
    </row>
    <row r="28" spans="1:9">
      <c r="A28" s="153"/>
      <c r="B28" s="148" t="s">
        <v>625</v>
      </c>
      <c r="C28" s="152"/>
      <c r="E28" s="154"/>
      <c r="G28" s="152"/>
      <c r="I28" s="152"/>
    </row>
    <row r="29" spans="1:9">
      <c r="A29" s="153"/>
      <c r="B29" s="148" t="s">
        <v>626</v>
      </c>
      <c r="C29" s="160"/>
      <c r="E29" s="161"/>
      <c r="G29" s="152"/>
      <c r="I29" s="160"/>
    </row>
    <row r="30" spans="1:9">
      <c r="A30" s="153"/>
      <c r="C30" s="162" t="s">
        <v>627</v>
      </c>
      <c r="E30" s="162" t="s">
        <v>627</v>
      </c>
      <c r="G30" s="152"/>
      <c r="I30" s="163" t="s">
        <v>628</v>
      </c>
    </row>
    <row r="31" spans="1:9">
      <c r="G31" s="152"/>
    </row>
    <row r="32" spans="1:9">
      <c r="G32" s="152"/>
    </row>
    <row r="33" spans="7:7">
      <c r="G33" s="152"/>
    </row>
    <row r="34" spans="7:7">
      <c r="G34" s="152"/>
    </row>
    <row r="35" spans="7:7">
      <c r="G35" s="160"/>
    </row>
    <row r="36" spans="7:7">
      <c r="G36" s="155"/>
    </row>
    <row r="37" spans="7:7">
      <c r="G37" s="160"/>
    </row>
    <row r="38" spans="7:7">
      <c r="G38" s="163" t="s">
        <v>628</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66675</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topLeftCell="A4" zoomScaleNormal="100" zoomScaleSheetLayoutView="80" zoomScalePageLayoutView="80" workbookViewId="0">
      <selection activeCell="A4" sqref="A4"/>
    </sheetView>
  </sheetViews>
  <sheetFormatPr defaultColWidth="9" defaultRowHeight="15.75"/>
  <cols>
    <col min="1" max="1" width="2.7109375" style="131" customWidth="1"/>
    <col min="2" max="2" width="16.28515625" style="131" customWidth="1"/>
    <col min="3" max="3" width="30.85546875" style="131" customWidth="1"/>
    <col min="4" max="4" width="75.85546875" style="131" customWidth="1"/>
    <col min="5" max="5" width="30.28515625" style="131" customWidth="1"/>
    <col min="6" max="6" width="22.28515625" style="131" customWidth="1"/>
    <col min="7" max="7" width="4.7109375" style="131" customWidth="1"/>
    <col min="8" max="16384" width="9" style="131"/>
  </cols>
  <sheetData>
    <row r="6" spans="2:11">
      <c r="B6" s="128" t="s">
        <v>629</v>
      </c>
      <c r="C6" s="129"/>
      <c r="D6" s="130" t="s">
        <v>630</v>
      </c>
      <c r="E6" s="129"/>
      <c r="F6" s="129"/>
    </row>
    <row r="7" spans="2:11">
      <c r="B7" s="132" t="s">
        <v>631</v>
      </c>
      <c r="C7" s="717" t="s">
        <v>632</v>
      </c>
      <c r="D7" s="717"/>
      <c r="E7" s="717" t="s">
        <v>633</v>
      </c>
      <c r="F7" s="717"/>
      <c r="H7" s="63"/>
      <c r="I7" s="64"/>
      <c r="J7" s="64"/>
      <c r="K7" s="64"/>
    </row>
    <row r="8" spans="2:11">
      <c r="B8" s="98" t="s">
        <v>634</v>
      </c>
      <c r="C8" s="99" t="s">
        <v>132</v>
      </c>
      <c r="D8" s="100" t="s">
        <v>635</v>
      </c>
      <c r="E8" s="101" t="s">
        <v>636</v>
      </c>
      <c r="F8" s="242" t="s">
        <v>637</v>
      </c>
      <c r="H8" s="64"/>
      <c r="I8" s="64"/>
      <c r="J8" s="64"/>
      <c r="K8" s="64"/>
    </row>
    <row r="9" spans="2:11" hidden="1">
      <c r="B9" s="102" t="s">
        <v>638</v>
      </c>
      <c r="C9" s="106"/>
      <c r="D9" s="107"/>
      <c r="E9" s="108"/>
      <c r="F9" s="109"/>
      <c r="H9" s="64"/>
      <c r="I9" s="66"/>
      <c r="J9" s="65"/>
      <c r="K9" s="64"/>
    </row>
    <row r="10" spans="2:11">
      <c r="B10" s="103" t="s">
        <v>639</v>
      </c>
      <c r="C10" s="110" t="s">
        <v>81</v>
      </c>
      <c r="D10" s="111" t="s">
        <v>640</v>
      </c>
      <c r="E10" s="112" t="s">
        <v>641</v>
      </c>
      <c r="F10" s="113" t="s">
        <v>641</v>
      </c>
      <c r="H10" s="219" t="s">
        <v>575</v>
      </c>
      <c r="I10" s="65"/>
      <c r="J10" s="65"/>
      <c r="K10" s="64"/>
    </row>
    <row r="11" spans="2:11">
      <c r="B11" s="104" t="s">
        <v>639</v>
      </c>
      <c r="C11" s="114" t="s">
        <v>82</v>
      </c>
      <c r="D11" s="115" t="s">
        <v>642</v>
      </c>
      <c r="E11" s="116" t="s">
        <v>641</v>
      </c>
      <c r="F11" s="117" t="s">
        <v>641</v>
      </c>
      <c r="H11" s="220" t="s">
        <v>579</v>
      </c>
      <c r="I11" s="64"/>
      <c r="J11" s="64"/>
      <c r="K11" s="64"/>
    </row>
    <row r="12" spans="2:11">
      <c r="B12" s="104" t="s">
        <v>639</v>
      </c>
      <c r="C12" s="114" t="s">
        <v>83</v>
      </c>
      <c r="D12" s="115" t="s">
        <v>643</v>
      </c>
      <c r="E12" s="116" t="s">
        <v>641</v>
      </c>
      <c r="F12" s="117" t="s">
        <v>641</v>
      </c>
      <c r="H12" s="221" t="s">
        <v>583</v>
      </c>
      <c r="I12" s="64"/>
      <c r="J12" s="64"/>
      <c r="K12" s="64"/>
    </row>
    <row r="13" spans="2:11" ht="31.5">
      <c r="B13" s="104" t="s">
        <v>639</v>
      </c>
      <c r="C13" s="114" t="s">
        <v>84</v>
      </c>
      <c r="D13" s="115" t="s">
        <v>644</v>
      </c>
      <c r="E13" s="116" t="s">
        <v>641</v>
      </c>
      <c r="F13" s="117" t="s">
        <v>641</v>
      </c>
      <c r="H13" s="221" t="s">
        <v>645</v>
      </c>
      <c r="I13" s="64"/>
      <c r="J13" s="64"/>
      <c r="K13" s="64"/>
    </row>
    <row r="14" spans="2:11">
      <c r="B14" s="104" t="s">
        <v>639</v>
      </c>
      <c r="C14" s="114" t="s">
        <v>85</v>
      </c>
      <c r="D14" s="115" t="s">
        <v>646</v>
      </c>
      <c r="E14" s="116" t="s">
        <v>641</v>
      </c>
      <c r="F14" s="117" t="s">
        <v>641</v>
      </c>
      <c r="H14" s="219" t="s">
        <v>591</v>
      </c>
      <c r="I14" s="64"/>
      <c r="J14" s="64"/>
      <c r="K14" s="64"/>
    </row>
    <row r="15" spans="2:11">
      <c r="B15" s="104" t="s">
        <v>647</v>
      </c>
      <c r="C15" s="114" t="s">
        <v>86</v>
      </c>
      <c r="D15" s="115" t="s">
        <v>648</v>
      </c>
      <c r="E15" s="116" t="s">
        <v>641</v>
      </c>
      <c r="F15" s="117" t="s">
        <v>641</v>
      </c>
      <c r="H15" s="219" t="s">
        <v>595</v>
      </c>
      <c r="I15" s="64"/>
      <c r="J15" s="64"/>
      <c r="K15" s="64"/>
    </row>
    <row r="16" spans="2:11">
      <c r="B16" s="105" t="s">
        <v>647</v>
      </c>
      <c r="C16" s="114" t="s">
        <v>87</v>
      </c>
      <c r="D16" s="115" t="s">
        <v>649</v>
      </c>
      <c r="E16" s="116" t="s">
        <v>641</v>
      </c>
      <c r="F16" s="117" t="s">
        <v>641</v>
      </c>
      <c r="H16" s="220" t="s">
        <v>599</v>
      </c>
      <c r="I16" s="66"/>
      <c r="J16" s="65"/>
      <c r="K16" s="64"/>
    </row>
    <row r="17" spans="2:11">
      <c r="B17" s="105" t="s">
        <v>647</v>
      </c>
      <c r="C17" s="114" t="s">
        <v>88</v>
      </c>
      <c r="D17" s="115" t="s">
        <v>650</v>
      </c>
      <c r="E17" s="116" t="s">
        <v>641</v>
      </c>
      <c r="F17" s="117" t="s">
        <v>641</v>
      </c>
      <c r="H17" s="221" t="s">
        <v>583</v>
      </c>
      <c r="I17" s="65"/>
      <c r="J17" s="65"/>
      <c r="K17" s="64"/>
    </row>
    <row r="18" spans="2:11">
      <c r="B18" s="105" t="s">
        <v>647</v>
      </c>
      <c r="C18" s="114" t="s">
        <v>89</v>
      </c>
      <c r="D18" s="115" t="s">
        <v>651</v>
      </c>
      <c r="E18" s="116" t="s">
        <v>641</v>
      </c>
      <c r="F18" s="117" t="s">
        <v>641</v>
      </c>
      <c r="H18" s="222" t="s">
        <v>608</v>
      </c>
      <c r="I18" s="64"/>
      <c r="J18" s="65"/>
      <c r="K18" s="64"/>
    </row>
    <row r="19" spans="2:11">
      <c r="B19" s="105" t="s">
        <v>647</v>
      </c>
      <c r="C19" s="114" t="s">
        <v>90</v>
      </c>
      <c r="D19" s="115" t="s">
        <v>652</v>
      </c>
      <c r="E19" s="116" t="s">
        <v>641</v>
      </c>
      <c r="F19" s="117" t="s">
        <v>641</v>
      </c>
      <c r="H19" s="221" t="s">
        <v>653</v>
      </c>
    </row>
    <row r="20" spans="2:11">
      <c r="B20" s="105" t="s">
        <v>654</v>
      </c>
      <c r="C20" s="114" t="s">
        <v>91</v>
      </c>
      <c r="D20" s="115" t="s">
        <v>655</v>
      </c>
      <c r="E20" s="116" t="s">
        <v>641</v>
      </c>
      <c r="F20" s="117" t="s">
        <v>641</v>
      </c>
    </row>
    <row r="21" spans="2:11">
      <c r="B21" s="105" t="s">
        <v>654</v>
      </c>
      <c r="C21" s="114" t="s">
        <v>92</v>
      </c>
      <c r="D21" s="115" t="s">
        <v>656</v>
      </c>
      <c r="E21" s="116" t="s">
        <v>641</v>
      </c>
      <c r="F21" s="117" t="s">
        <v>641</v>
      </c>
    </row>
    <row r="22" spans="2:11">
      <c r="B22" s="105" t="s">
        <v>657</v>
      </c>
      <c r="C22" s="114" t="s">
        <v>93</v>
      </c>
      <c r="D22" s="115" t="s">
        <v>658</v>
      </c>
      <c r="E22" s="116" t="s">
        <v>641</v>
      </c>
      <c r="F22" s="117" t="s">
        <v>641</v>
      </c>
    </row>
    <row r="23" spans="2:11">
      <c r="B23" s="105" t="s">
        <v>657</v>
      </c>
      <c r="C23" s="114" t="s">
        <v>94</v>
      </c>
      <c r="D23" s="115" t="s">
        <v>659</v>
      </c>
      <c r="E23" s="116" t="s">
        <v>641</v>
      </c>
      <c r="F23" s="117" t="s">
        <v>641</v>
      </c>
    </row>
    <row r="24" spans="2:11">
      <c r="B24" s="105" t="s">
        <v>657</v>
      </c>
      <c r="C24" s="114" t="s">
        <v>95</v>
      </c>
      <c r="D24" s="115" t="s">
        <v>660</v>
      </c>
      <c r="E24" s="116" t="s">
        <v>641</v>
      </c>
      <c r="F24" s="117" t="s">
        <v>641</v>
      </c>
    </row>
    <row r="25" spans="2:11" ht="31.5">
      <c r="B25" s="105" t="s">
        <v>661</v>
      </c>
      <c r="C25" s="114" t="s">
        <v>96</v>
      </c>
      <c r="D25" s="115" t="s">
        <v>662</v>
      </c>
      <c r="E25" s="116" t="s">
        <v>641</v>
      </c>
      <c r="F25" s="117" t="s">
        <v>641</v>
      </c>
    </row>
    <row r="26" spans="2:11">
      <c r="B26" s="105" t="s">
        <v>663</v>
      </c>
      <c r="C26" s="114" t="s">
        <v>97</v>
      </c>
      <c r="D26" s="115" t="s">
        <v>664</v>
      </c>
      <c r="E26" s="116" t="s">
        <v>641</v>
      </c>
      <c r="F26" s="117" t="s">
        <v>641</v>
      </c>
    </row>
    <row r="27" spans="2:11">
      <c r="B27" s="104" t="s">
        <v>665</v>
      </c>
      <c r="C27" s="114" t="s">
        <v>98</v>
      </c>
      <c r="D27" s="115" t="s">
        <v>666</v>
      </c>
      <c r="E27" s="116" t="s">
        <v>641</v>
      </c>
      <c r="F27" s="117" t="s">
        <v>641</v>
      </c>
    </row>
    <row r="28" spans="2:11">
      <c r="B28" s="105" t="s">
        <v>667</v>
      </c>
      <c r="C28" s="114" t="s">
        <v>99</v>
      </c>
      <c r="D28" s="115" t="s">
        <v>668</v>
      </c>
      <c r="E28" s="116" t="s">
        <v>641</v>
      </c>
      <c r="F28" s="117" t="s">
        <v>641</v>
      </c>
    </row>
    <row r="29" spans="2:11">
      <c r="B29" s="105" t="s">
        <v>667</v>
      </c>
      <c r="C29" s="114" t="s">
        <v>100</v>
      </c>
      <c r="D29" s="115" t="s">
        <v>669</v>
      </c>
      <c r="E29" s="116" t="s">
        <v>641</v>
      </c>
      <c r="F29" s="117" t="s">
        <v>641</v>
      </c>
    </row>
    <row r="30" spans="2:11" ht="29.25" customHeight="1">
      <c r="B30" s="216" t="s">
        <v>670</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9525</xdr:colOff>
                    <xdr:row>0</xdr:row>
                    <xdr:rowOff>161925</xdr:rowOff>
                  </from>
                  <to>
                    <xdr:col>2</xdr:col>
                    <xdr:colOff>180975</xdr:colOff>
                    <xdr:row>2</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75"/>
  <cols>
    <col min="1" max="3" width="6.7109375" style="64" customWidth="1"/>
    <col min="4" max="5" width="23.85546875" style="64" customWidth="1"/>
    <col min="6" max="6" width="31.28515625" style="64" customWidth="1"/>
    <col min="7" max="8" width="2.7109375" style="64" customWidth="1"/>
    <col min="9" max="16384" width="8" style="64"/>
  </cols>
  <sheetData>
    <row r="1" spans="4:10">
      <c r="D1" s="63"/>
    </row>
    <row r="2" spans="4:10">
      <c r="D2" s="121" t="s">
        <v>671</v>
      </c>
      <c r="E2" s="121" t="s">
        <v>672</v>
      </c>
      <c r="F2" s="121" t="s">
        <v>673</v>
      </c>
      <c r="H2" s="63"/>
    </row>
    <row r="3" spans="4:10">
      <c r="D3" s="193" t="s">
        <v>674</v>
      </c>
      <c r="E3" s="193" t="s">
        <v>675</v>
      </c>
      <c r="F3" s="193" t="s">
        <v>676</v>
      </c>
      <c r="I3" s="219" t="s">
        <v>575</v>
      </c>
    </row>
    <row r="4" spans="4:10">
      <c r="D4" s="193"/>
      <c r="E4" s="193"/>
      <c r="F4" s="193"/>
      <c r="I4" s="220" t="s">
        <v>579</v>
      </c>
      <c r="J4" s="65"/>
    </row>
    <row r="5" spans="4:10">
      <c r="D5" s="224"/>
      <c r="E5" s="224"/>
      <c r="F5" s="224"/>
      <c r="I5" s="221" t="s">
        <v>583</v>
      </c>
      <c r="J5" s="65"/>
    </row>
    <row r="6" spans="4:10">
      <c r="D6" s="224"/>
      <c r="E6" s="224"/>
      <c r="F6" s="224"/>
      <c r="I6" s="221" t="s">
        <v>645</v>
      </c>
    </row>
    <row r="7" spans="4:10">
      <c r="D7" s="224"/>
      <c r="E7" s="224"/>
      <c r="F7" s="224"/>
      <c r="H7" s="63"/>
      <c r="I7" s="219" t="s">
        <v>591</v>
      </c>
    </row>
    <row r="8" spans="4:10">
      <c r="D8" s="224"/>
      <c r="E8" s="224"/>
      <c r="F8" s="224"/>
      <c r="I8" s="219" t="s">
        <v>595</v>
      </c>
    </row>
    <row r="9" spans="4:10">
      <c r="D9" s="224"/>
      <c r="E9" s="224"/>
      <c r="F9" s="224"/>
      <c r="I9" s="220" t="s">
        <v>599</v>
      </c>
    </row>
    <row r="10" spans="4:10">
      <c r="D10" s="224"/>
      <c r="E10" s="224"/>
      <c r="F10" s="224"/>
      <c r="I10" s="220" t="s">
        <v>603</v>
      </c>
    </row>
    <row r="11" spans="4:10" ht="16.5">
      <c r="D11" s="217" t="s">
        <v>677</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66675</xdr:colOff>
                    <xdr:row>1</xdr:row>
                    <xdr:rowOff>9525</xdr:rowOff>
                  </from>
                  <to>
                    <xdr:col>2</xdr:col>
                    <xdr:colOff>428625</xdr:colOff>
                    <xdr:row>3</xdr:row>
                    <xdr:rowOff>142875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heetViews>
  <sheetFormatPr defaultColWidth="9" defaultRowHeight="15.75"/>
  <cols>
    <col min="1" max="3" width="2.140625" style="133" customWidth="1"/>
    <col min="4" max="4" width="15.140625" style="133" customWidth="1"/>
    <col min="5" max="5" width="5.140625" style="133" customWidth="1"/>
    <col min="6" max="7" width="15.140625" style="133" customWidth="1"/>
    <col min="8" max="8" width="15.140625" style="140" customWidth="1"/>
    <col min="9" max="9" width="5.28515625" style="133" customWidth="1"/>
    <col min="10" max="11" width="15.140625" style="133" customWidth="1"/>
    <col min="12" max="12" width="15.140625" style="141" customWidth="1"/>
    <col min="13" max="16384" width="9" style="133"/>
  </cols>
  <sheetData>
    <row r="2" spans="4:12" ht="31.5" customHeight="1">
      <c r="D2" s="134" t="s">
        <v>678</v>
      </c>
      <c r="E2" s="135"/>
      <c r="F2" s="136" t="s">
        <v>679</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c r="D3" s="120" t="s">
        <v>12</v>
      </c>
      <c r="F3" s="120" t="s">
        <v>12</v>
      </c>
      <c r="G3" s="120" t="s">
        <v>13</v>
      </c>
      <c r="H3" s="140" t="s">
        <v>680</v>
      </c>
      <c r="J3" s="120" t="s">
        <v>681</v>
      </c>
      <c r="K3" s="120" t="s">
        <v>14</v>
      </c>
      <c r="L3" s="141" t="s">
        <v>682</v>
      </c>
    </row>
    <row r="4" spans="4:1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75"/>
  <cols>
    <col min="1" max="1" width="2.7109375" style="123" customWidth="1"/>
    <col min="2" max="2" width="15.7109375" style="123" customWidth="1"/>
    <col min="3" max="3" width="50.7109375" style="123" customWidth="1"/>
    <col min="4" max="16384" width="9" style="123"/>
  </cols>
  <sheetData>
    <row r="1" spans="1:3" ht="19.5">
      <c r="A1" s="122" t="s">
        <v>683</v>
      </c>
    </row>
    <row r="3" spans="1:3" ht="17.25" hidden="1" customHeight="1">
      <c r="B3" s="124" t="s">
        <v>684</v>
      </c>
      <c r="C3" s="125" t="s">
        <v>685</v>
      </c>
    </row>
    <row r="4" spans="1:3" ht="21.95" customHeight="1">
      <c r="B4" s="124" t="s">
        <v>686</v>
      </c>
      <c r="C4" s="125" t="s">
        <v>687</v>
      </c>
    </row>
    <row r="5" spans="1:3" ht="18.75" customHeight="1">
      <c r="B5" s="124" t="s">
        <v>688</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75"/>
  <cols>
    <col min="1" max="16384" width="9" style="127"/>
  </cols>
  <sheetData>
    <row r="1" spans="1:2">
      <c r="A1" s="127" t="s">
        <v>689</v>
      </c>
      <c r="B1" s="127" t="s">
        <v>690</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FB6A11-8233-415F-B4AA-89004E157C42}"/>
</file>

<file path=customXml/itemProps2.xml><?xml version="1.0" encoding="utf-8"?>
<ds:datastoreItem xmlns:ds="http://schemas.openxmlformats.org/officeDocument/2006/customXml" ds:itemID="{F396F8D6-361D-42E2-96E9-0ED06EF47714}"/>
</file>

<file path=customXml/itemProps3.xml><?xml version="1.0" encoding="utf-8"?>
<ds:datastoreItem xmlns:ds="http://schemas.openxmlformats.org/officeDocument/2006/customXml" ds:itemID="{F51833E4-C4B8-4C9D-90D9-540D8AA77C52}"/>
</file>

<file path=docProps/app.xml><?xml version="1.0" encoding="utf-8"?>
<Properties xmlns="http://schemas.openxmlformats.org/officeDocument/2006/extended-properties" xmlns:vt="http://schemas.openxmlformats.org/officeDocument/2006/docPropsVTypes">
  <Application>Microsoft Excel Online</Application>
  <Manager/>
  <Company>富士通株式会社</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Lee, Hao Ming</cp:lastModifiedBy>
  <cp:revision/>
  <dcterms:created xsi:type="dcterms:W3CDTF">2008-06-03T06:44:26Z</dcterms:created>
  <dcterms:modified xsi:type="dcterms:W3CDTF">2025-08-12T05:52:03Z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