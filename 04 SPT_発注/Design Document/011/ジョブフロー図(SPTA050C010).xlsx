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izshahiran\Documents\Project\inabata\Task\R60795 Phase 2\02_SS_Fixing\011：ジョブフロー(EDI)\発注\SPT_住化プラステック\"/>
    </mc:Choice>
  </mc:AlternateContent>
  <xr:revisionPtr revIDLastSave="0" documentId="13_ncr:1_{EA6D5E13-16D7-416F-8DB2-FD150796866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ジョブフロー図!$A$1:$AZ$79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ジョブフロー図!$1:$18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2" l="1"/>
  <c r="AA3" i="12"/>
  <c r="AF3" i="12" l="1"/>
  <c r="B8" i="18" l="1"/>
  <c r="AO3" i="12"/>
  <c r="AK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7" i="12" l="1"/>
  <c r="A16" i="12"/>
  <c r="A15" i="12"/>
</calcChain>
</file>

<file path=xl/sharedStrings.xml><?xml version="1.0" encoding="utf-8"?>
<sst xmlns="http://schemas.openxmlformats.org/spreadsheetml/2006/main" count="83" uniqueCount="68">
  <si>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</si>
  <si>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</si>
  <si>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</si>
  <si>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</si>
  <si>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</si>
  <si>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</si>
  <si>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</si>
  <si>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</si>
  <si>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</si>
  <si>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</si>
  <si>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</si>
  <si>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</si>
  <si>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</si>
  <si>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</si>
  <si>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</si>
  <si>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</si>
  <si>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</si>
  <si>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</si>
  <si>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</si>
  <si>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</si>
  <si>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</si>
  <si>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</si>
  <si>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</si>
  <si>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</si>
  <si>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</si>
  <si>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</si>
  <si>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</si>
  <si>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</si>
  <si>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</si>
  <si>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</si>
  <si>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</si>
  <si>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</si>
  <si>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</si>
  <si>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</si>
  <si>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</si>
  <si>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</si>
  <si>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</si>
  <si>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</si>
  <si>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</si>
  <si>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</si>
  <si>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</si>
  <si>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</si>
  <si>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</si>
  <si>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</si>
  <si>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</si>
  <si>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</si>
  <si>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パラメタファイルの設定内容</t>
    <rPh sb="9" eb="11">
      <t>セッテイ</t>
    </rPh>
    <rPh sb="11" eb="13">
      <t>ナイヨウ</t>
    </rPh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</si>
  <si>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</si>
  <si>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</si>
  <si>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</si>
  <si>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</si>
  <si>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</si>
  <si>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</si>
  <si>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</si>
  <si>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R60795</t>
    <phoneticPr fontId="2"/>
  </si>
  <si>
    <t>発注</t>
    <rPh sb="0" eb="2">
      <t>ハッチュウ</t>
    </rPh>
    <phoneticPr fontId="2"/>
  </si>
  <si>
    <t>送信ファイルを、EDI-Master Tran for CII（NTS）で</t>
    <rPh sb="0" eb="2">
      <t>ソウシン</t>
    </rPh>
    <phoneticPr fontId="2"/>
  </si>
  <si>
    <t>CII標準ファイルへ変換する。</t>
    <phoneticPr fontId="2"/>
  </si>
  <si>
    <t>送信ファイルをSJIS固定長テキストファイル</t>
    <phoneticPr fontId="2"/>
  </si>
  <si>
    <t>からCII標準ファイルに変換する。</t>
    <phoneticPr fontId="2"/>
  </si>
  <si>
    <t>FJ)カーマン</t>
    <phoneticPr fontId="2"/>
  </si>
  <si>
    <t>ジョブフロー図(SPTA050C010)</t>
    <rPh sb="6" eb="7">
      <t>ズ</t>
    </rPh>
    <phoneticPr fontId="2"/>
  </si>
  <si>
    <t>機能名称：住化プラステック_発注データＣＩＩ変換</t>
    <rPh sb="0" eb="2">
      <t>キノウ</t>
    </rPh>
    <rPh sb="2" eb="4">
      <t>メイショウ</t>
    </rPh>
    <phoneticPr fontId="2"/>
  </si>
  <si>
    <t>住化プラステック</t>
  </si>
  <si>
    <t>SPT</t>
  </si>
  <si>
    <t>SPTA050C010</t>
  </si>
  <si>
    <t>住化プラステック_発注データＣＩＩ変換</t>
    <rPh sb="9" eb="11">
      <t>ハッチュウ</t>
    </rPh>
    <rPh sb="17" eb="19">
      <t>ヘンカン</t>
    </rPh>
    <phoneticPr fontId="2"/>
  </si>
  <si>
    <t>1.CII変換処理(住化プラステック_発注)</t>
    <rPh sb="7" eb="9">
      <t>ショリ</t>
    </rPh>
    <rPh sb="19" eb="21">
      <t>ハッチュウ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</si>
</sst>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81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76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82" fontId="9" fillId="3" borderId="28" xfId="0" applyNumberFormat="1" applyFont="1" applyFill="1" applyBorder="1" applyAlignment="1">
      <alignment horizontal="center" vertical="center"/>
    </xf>
    <xf numFmtId="182" fontId="9" fillId="3" borderId="2" xfId="0" applyNumberFormat="1" applyFont="1" applyFill="1" applyBorder="1" applyAlignment="1">
      <alignment horizontal="center" vertical="center"/>
    </xf>
    <xf numFmtId="182" fontId="9" fillId="3" borderId="29" xfId="0" applyNumberFormat="1" applyFont="1" applyFill="1" applyBorder="1" applyAlignment="1">
      <alignment horizontal="center" vertical="center"/>
    </xf>
    <xf numFmtId="182" fontId="9" fillId="3" borderId="30" xfId="0" applyNumberFormat="1" applyFont="1" applyFill="1" applyBorder="1" applyAlignment="1">
      <alignment horizontal="center" vertical="center"/>
    </xf>
    <xf numFmtId="182" fontId="9" fillId="3" borderId="31" xfId="0" applyNumberFormat="1" applyFont="1" applyFill="1" applyBorder="1" applyAlignment="1">
      <alignment horizontal="center" vertical="center"/>
    </xf>
    <xf numFmtId="182" fontId="9" fillId="3" borderId="32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195053</xdr:colOff>
      <xdr:row>28</xdr:row>
      <xdr:rowOff>18883</xdr:rowOff>
    </xdr:from>
    <xdr:to>
      <xdr:col>21</xdr:col>
      <xdr:colOff>11180</xdr:colOff>
      <xdr:row>31</xdr:row>
      <xdr:rowOff>3975</xdr:rowOff>
    </xdr:to>
    <xdr:sp macro="" textlink="">
      <xdr:nvSpPr>
        <xdr:cNvPr id="32" name="AutoShape 90">
          <a:extLst>
            <a:ext uri="{FF2B5EF4-FFF2-40B4-BE49-F238E27FC236}">
              <a16:creationId xmlns:a16="http://schemas.microsoft.com/office/drawing/2014/main" id="{72FF3545-9D70-422F-BBE3-CD1DDA5572BD}"/>
            </a:ext>
          </a:extLst>
        </xdr:cNvPr>
        <xdr:cNvSpPr>
          <a:spLocks noChangeArrowheads="1"/>
        </xdr:cNvSpPr>
      </xdr:nvSpPr>
      <xdr:spPr bwMode="auto">
        <a:xfrm>
          <a:off x="2978010" y="4889057"/>
          <a:ext cx="1207605" cy="506896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送信ファイル名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</a:t>
          </a:r>
          <a:r>
            <a:rPr lang="en-US" altLang="ja-JP" sz="75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SPTA0501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14</xdr:col>
      <xdr:colOff>195053</xdr:colOff>
      <xdr:row>33</xdr:row>
      <xdr:rowOff>135541</xdr:rowOff>
    </xdr:from>
    <xdr:to>
      <xdr:col>21</xdr:col>
      <xdr:colOff>11180</xdr:colOff>
      <xdr:row>36</xdr:row>
      <xdr:rowOff>120633</xdr:rowOff>
    </xdr:to>
    <xdr:grpSp>
      <xdr:nvGrpSpPr>
        <xdr:cNvPr id="33" name="Group 104">
          <a:extLst>
            <a:ext uri="{FF2B5EF4-FFF2-40B4-BE49-F238E27FC236}">
              <a16:creationId xmlns:a16="http://schemas.microsoft.com/office/drawing/2014/main" id="{AAA2761D-22B3-4DD6-91CD-605A5D65B087}"/>
            </a:ext>
          </a:extLst>
        </xdr:cNvPr>
        <xdr:cNvGrpSpPr>
          <a:grpSpLocks/>
        </xdr:cNvGrpSpPr>
      </xdr:nvGrpSpPr>
      <xdr:grpSpPr bwMode="auto">
        <a:xfrm>
          <a:off x="2978010" y="5875389"/>
          <a:ext cx="1207605" cy="506896"/>
          <a:chOff x="779" y="635"/>
          <a:chExt cx="147" cy="65"/>
        </a:xfrm>
      </xdr:grpSpPr>
      <xdr:grpSp>
        <xdr:nvGrpSpPr>
          <xdr:cNvPr id="34" name="Group 92">
            <a:extLst>
              <a:ext uri="{FF2B5EF4-FFF2-40B4-BE49-F238E27FC236}">
                <a16:creationId xmlns:a16="http://schemas.microsoft.com/office/drawing/2014/main" id="{0008994C-A53E-9079-EEB8-CBAF6A18A328}"/>
              </a:ext>
            </a:extLst>
          </xdr:cNvPr>
          <xdr:cNvGrpSpPr>
            <a:grpSpLocks/>
          </xdr:cNvGrpSpPr>
        </xdr:nvGrpSpPr>
        <xdr:grpSpPr bwMode="auto">
          <a:xfrm>
            <a:off x="779" y="635"/>
            <a:ext cx="147" cy="65"/>
            <a:chOff x="261" y="468"/>
            <a:chExt cx="147" cy="65"/>
          </a:xfrm>
        </xdr:grpSpPr>
        <xdr:sp macro="" textlink="">
          <xdr:nvSpPr>
            <xdr:cNvPr id="36" name="Text Box 93">
              <a:extLst>
                <a:ext uri="{FF2B5EF4-FFF2-40B4-BE49-F238E27FC236}">
                  <a16:creationId xmlns:a16="http://schemas.microsoft.com/office/drawing/2014/main" id="{0DF99B35-08E6-387D-CCCF-A6E88EB198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1" y="494"/>
              <a:ext cx="147" cy="3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lnSpc>
                  <a:spcPts val="900"/>
                </a:lnSpc>
                <a:defRPr sz="1000"/>
              </a:pP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CII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変換処理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(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住化プラステック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_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発注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)</a:t>
              </a:r>
              <a:endPara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endParaRPr>
            </a:p>
          </xdr:txBody>
        </xdr:sp>
        <xdr:sp macro="" textlink="">
          <xdr:nvSpPr>
            <xdr:cNvPr id="37" name="Text Box 94">
              <a:extLst>
                <a:ext uri="{FF2B5EF4-FFF2-40B4-BE49-F238E27FC236}">
                  <a16:creationId xmlns:a16="http://schemas.microsoft.com/office/drawing/2014/main" id="{69BB1072-3CD6-1065-0588-DF58146B49B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1" y="468"/>
              <a:ext cx="147" cy="28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NTS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（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410trn.exe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）</a:t>
              </a:r>
            </a:p>
          </xdr:txBody>
        </xdr:sp>
      </xdr:grpSp>
      <xdr:sp macro="" textlink="">
        <xdr:nvSpPr>
          <xdr:cNvPr id="35" name="Rectangle 95">
            <a:extLst>
              <a:ext uri="{FF2B5EF4-FFF2-40B4-BE49-F238E27FC236}">
                <a16:creationId xmlns:a16="http://schemas.microsoft.com/office/drawing/2014/main" id="{64562330-78F0-D71C-85FF-AF7609ED51C0}"/>
              </a:ext>
            </a:extLst>
          </xdr:cNvPr>
          <xdr:cNvSpPr>
            <a:spLocks noChangeArrowheads="1"/>
          </xdr:cNvSpPr>
        </xdr:nvSpPr>
        <xdr:spPr bwMode="auto">
          <a:xfrm>
            <a:off x="779" y="635"/>
            <a:ext cx="147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18</xdr:col>
      <xdr:colOff>3726</xdr:colOff>
      <xdr:row>31</xdr:row>
      <xdr:rowOff>3975</xdr:rowOff>
    </xdr:from>
    <xdr:to>
      <xdr:col>18</xdr:col>
      <xdr:colOff>3726</xdr:colOff>
      <xdr:row>33</xdr:row>
      <xdr:rowOff>135541</xdr:rowOff>
    </xdr:to>
    <xdr:cxnSp macro="">
      <xdr:nvCxnSpPr>
        <xdr:cNvPr id="38" name="AutoShape 188">
          <a:extLst>
            <a:ext uri="{FF2B5EF4-FFF2-40B4-BE49-F238E27FC236}">
              <a16:creationId xmlns:a16="http://schemas.microsoft.com/office/drawing/2014/main" id="{B625C897-4D43-47FC-B318-EA3C6C587CBF}"/>
            </a:ext>
          </a:extLst>
        </xdr:cNvPr>
        <xdr:cNvCxnSpPr>
          <a:cxnSpLocks noChangeShapeType="1"/>
          <a:stCxn id="32" idx="2"/>
          <a:endCxn id="37" idx="0"/>
        </xdr:cNvCxnSpPr>
      </xdr:nvCxnSpPr>
      <xdr:spPr bwMode="auto">
        <a:xfrm>
          <a:off x="3581813" y="5395953"/>
          <a:ext cx="0" cy="479436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195053</xdr:colOff>
      <xdr:row>39</xdr:row>
      <xdr:rowOff>86674</xdr:rowOff>
    </xdr:from>
    <xdr:to>
      <xdr:col>21</xdr:col>
      <xdr:colOff>11180</xdr:colOff>
      <xdr:row>42</xdr:row>
      <xdr:rowOff>71765</xdr:rowOff>
    </xdr:to>
    <xdr:sp macro="" textlink="">
      <xdr:nvSpPr>
        <xdr:cNvPr id="39" name="AutoShape 90">
          <a:extLst>
            <a:ext uri="{FF2B5EF4-FFF2-40B4-BE49-F238E27FC236}">
              <a16:creationId xmlns:a16="http://schemas.microsoft.com/office/drawing/2014/main" id="{FD608111-4447-459F-B09E-C31138792AEE}"/>
            </a:ext>
          </a:extLst>
        </xdr:cNvPr>
        <xdr:cNvSpPr>
          <a:spLocks noChangeArrowheads="1"/>
        </xdr:cNvSpPr>
      </xdr:nvSpPr>
      <xdr:spPr bwMode="auto">
        <a:xfrm>
          <a:off x="2978010" y="6870131"/>
          <a:ext cx="1207605" cy="506895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CII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変換後ファイル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(SPTA0501CII)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161510</xdr:colOff>
      <xdr:row>49</xdr:row>
      <xdr:rowOff>8403</xdr:rowOff>
    </xdr:from>
    <xdr:to>
      <xdr:col>23</xdr:col>
      <xdr:colOff>50125</xdr:colOff>
      <xdr:row>52</xdr:row>
      <xdr:rowOff>79218</xdr:rowOff>
    </xdr:to>
    <xdr:sp macro="" textlink="">
      <xdr:nvSpPr>
        <xdr:cNvPr id="40" name="フレーム 52">
          <a:extLst>
            <a:ext uri="{FF2B5EF4-FFF2-40B4-BE49-F238E27FC236}">
              <a16:creationId xmlns:a16="http://schemas.microsoft.com/office/drawing/2014/main" id="{092DC1F2-0B6B-462B-8242-235C17855CA6}"/>
            </a:ext>
          </a:extLst>
        </xdr:cNvPr>
        <xdr:cNvSpPr>
          <a:spLocks noChangeArrowheads="1"/>
        </xdr:cNvSpPr>
      </xdr:nvSpPr>
      <xdr:spPr bwMode="auto">
        <a:xfrm>
          <a:off x="2546901" y="8531207"/>
          <a:ext cx="2075224" cy="59262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SPTA050S020SND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住化プラステック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発注データ送信</a:t>
          </a:r>
        </a:p>
      </xdr:txBody>
    </xdr:sp>
    <xdr:clientData/>
  </xdr:twoCellAnchor>
  <xdr:twoCellAnchor>
    <xdr:from>
      <xdr:col>18</xdr:col>
      <xdr:colOff>3726</xdr:colOff>
      <xdr:row>36</xdr:row>
      <xdr:rowOff>120633</xdr:rowOff>
    </xdr:from>
    <xdr:to>
      <xdr:col>18</xdr:col>
      <xdr:colOff>3726</xdr:colOff>
      <xdr:row>39</xdr:row>
      <xdr:rowOff>86674</xdr:rowOff>
    </xdr:to>
    <xdr:cxnSp macro="">
      <xdr:nvCxnSpPr>
        <xdr:cNvPr id="41" name="AutoShape 188">
          <a:extLst>
            <a:ext uri="{FF2B5EF4-FFF2-40B4-BE49-F238E27FC236}">
              <a16:creationId xmlns:a16="http://schemas.microsoft.com/office/drawing/2014/main" id="{B5E9215C-848D-4D16-80F4-19440A7DB726}"/>
            </a:ext>
          </a:extLst>
        </xdr:cNvPr>
        <xdr:cNvCxnSpPr>
          <a:cxnSpLocks noChangeShapeType="1"/>
          <a:stCxn id="36" idx="2"/>
          <a:endCxn id="39" idx="0"/>
        </xdr:cNvCxnSpPr>
      </xdr:nvCxnSpPr>
      <xdr:spPr bwMode="auto">
        <a:xfrm>
          <a:off x="3581813" y="6382285"/>
          <a:ext cx="0" cy="487846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3726</xdr:colOff>
      <xdr:row>42</xdr:row>
      <xdr:rowOff>71765</xdr:rowOff>
    </xdr:from>
    <xdr:to>
      <xdr:col>18</xdr:col>
      <xdr:colOff>6426</xdr:colOff>
      <xdr:row>49</xdr:row>
      <xdr:rowOff>8403</xdr:rowOff>
    </xdr:to>
    <xdr:cxnSp macro="">
      <xdr:nvCxnSpPr>
        <xdr:cNvPr id="42" name="AutoShape 188">
          <a:extLst>
            <a:ext uri="{FF2B5EF4-FFF2-40B4-BE49-F238E27FC236}">
              <a16:creationId xmlns:a16="http://schemas.microsoft.com/office/drawing/2014/main" id="{5E5BA088-DCC0-4BAE-83AD-C27486365136}"/>
            </a:ext>
          </a:extLst>
        </xdr:cNvPr>
        <xdr:cNvCxnSpPr>
          <a:cxnSpLocks noChangeShapeType="1"/>
          <a:stCxn id="39" idx="2"/>
          <a:endCxn id="40" idx="0"/>
        </xdr:cNvCxnSpPr>
      </xdr:nvCxnSpPr>
      <xdr:spPr bwMode="auto">
        <a:xfrm>
          <a:off x="3581813" y="7377026"/>
          <a:ext cx="2700" cy="115418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190500</xdr:colOff>
      <xdr:row>30</xdr:row>
      <xdr:rowOff>169914</xdr:rowOff>
    </xdr:from>
    <xdr:to>
      <xdr:col>10</xdr:col>
      <xdr:colOff>162752</xdr:colOff>
      <xdr:row>40</xdr:row>
      <xdr:rowOff>157369</xdr:rowOff>
    </xdr:to>
    <xdr:grpSp>
      <xdr:nvGrpSpPr>
        <xdr:cNvPr id="43" name="グループ化 16">
          <a:extLst>
            <a:ext uri="{FF2B5EF4-FFF2-40B4-BE49-F238E27FC236}">
              <a16:creationId xmlns:a16="http://schemas.microsoft.com/office/drawing/2014/main" id="{89B9D584-9EC2-424E-B91F-20383CB09045}"/>
            </a:ext>
          </a:extLst>
        </xdr:cNvPr>
        <xdr:cNvGrpSpPr/>
      </xdr:nvGrpSpPr>
      <xdr:grpSpPr>
        <a:xfrm>
          <a:off x="588065" y="5387957"/>
          <a:ext cx="1562513" cy="1726803"/>
          <a:chOff x="266701" y="6191250"/>
          <a:chExt cx="1552574" cy="1552576"/>
        </a:xfrm>
      </xdr:grpSpPr>
      <xdr:sp macro="" textlink="">
        <xdr:nvSpPr>
          <xdr:cNvPr id="44" name="正方形/長方形 17">
            <a:extLst>
              <a:ext uri="{FF2B5EF4-FFF2-40B4-BE49-F238E27FC236}">
                <a16:creationId xmlns:a16="http://schemas.microsoft.com/office/drawing/2014/main" id="{6994689F-C984-20A6-13BF-4A7A60F7B6B7}"/>
              </a:ext>
            </a:extLst>
          </xdr:cNvPr>
          <xdr:cNvSpPr/>
        </xdr:nvSpPr>
        <xdr:spPr bwMode="auto">
          <a:xfrm>
            <a:off x="266701" y="6191250"/>
            <a:ext cx="1552574" cy="1552576"/>
          </a:xfrm>
          <a:prstGeom prst="rect">
            <a:avLst/>
          </a:prstGeom>
          <a:solidFill>
            <a:srgbClr val="FFFFCC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r>
              <a:rPr kumimoji="1" lang="ja-JP" altLang="en-US" sz="8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変換定義</a:t>
            </a:r>
            <a:endParaRPr kumimoji="1" lang="en-US" altLang="ja-JP" sz="8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5" name="AutoShape 90">
            <a:extLst>
              <a:ext uri="{FF2B5EF4-FFF2-40B4-BE49-F238E27FC236}">
                <a16:creationId xmlns:a16="http://schemas.microsoft.com/office/drawing/2014/main" id="{F024313D-5AE8-1E8B-9382-4D656DD334ED}"/>
              </a:ext>
            </a:extLst>
          </xdr:cNvPr>
          <xdr:cNvSpPr>
            <a:spLocks noChangeArrowheads="1"/>
          </xdr:cNvSpPr>
        </xdr:nvSpPr>
        <xdr:spPr bwMode="auto">
          <a:xfrm>
            <a:off x="428625" y="6390159"/>
            <a:ext cx="1200150" cy="514350"/>
          </a:xfrm>
          <a:prstGeom prst="flowChartOnlineStorag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ヘッダ情報ファイル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(</a:t>
            </a: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住化プラステック</a:t>
            </a:r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.HDT</a:t>
            </a: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)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  <xdr:sp macro="" textlink="">
        <xdr:nvSpPr>
          <xdr:cNvPr id="46" name="AutoShape 90">
            <a:extLst>
              <a:ext uri="{FF2B5EF4-FFF2-40B4-BE49-F238E27FC236}">
                <a16:creationId xmlns:a16="http://schemas.microsoft.com/office/drawing/2014/main" id="{48C68F5B-2CC7-34E7-56B3-E90E5B049A20}"/>
              </a:ext>
            </a:extLst>
          </xdr:cNvPr>
          <xdr:cNvSpPr>
            <a:spLocks noChangeArrowheads="1"/>
          </xdr:cNvSpPr>
        </xdr:nvSpPr>
        <xdr:spPr bwMode="auto">
          <a:xfrm>
            <a:off x="447675" y="7075959"/>
            <a:ext cx="1200150" cy="514350"/>
          </a:xfrm>
          <a:prstGeom prst="flowChartOnlineStorag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変換テーブル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(</a:t>
            </a: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住化プラステック</a:t>
            </a:r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.tdt</a:t>
            </a: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)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10</xdr:col>
      <xdr:colOff>162752</xdr:colOff>
      <xdr:row>35</xdr:row>
      <xdr:rowOff>142499</xdr:rowOff>
    </xdr:from>
    <xdr:to>
      <xdr:col>14</xdr:col>
      <xdr:colOff>195053</xdr:colOff>
      <xdr:row>35</xdr:row>
      <xdr:rowOff>163642</xdr:rowOff>
    </xdr:to>
    <xdr:cxnSp macro="">
      <xdr:nvCxnSpPr>
        <xdr:cNvPr id="47" name="AutoShape 188">
          <a:extLst>
            <a:ext uri="{FF2B5EF4-FFF2-40B4-BE49-F238E27FC236}">
              <a16:creationId xmlns:a16="http://schemas.microsoft.com/office/drawing/2014/main" id="{EDA05D86-0110-4A59-9563-7E92D5F32248}"/>
            </a:ext>
          </a:extLst>
        </xdr:cNvPr>
        <xdr:cNvCxnSpPr>
          <a:cxnSpLocks noChangeShapeType="1"/>
          <a:stCxn id="44" idx="3"/>
          <a:endCxn id="36" idx="1"/>
        </xdr:cNvCxnSpPr>
      </xdr:nvCxnSpPr>
      <xdr:spPr bwMode="auto">
        <a:xfrm flipV="1">
          <a:off x="2150578" y="6230216"/>
          <a:ext cx="827432" cy="2114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7123</xdr:colOff>
      <xdr:row>20</xdr:row>
      <xdr:rowOff>57977</xdr:rowOff>
    </xdr:from>
    <xdr:to>
      <xdr:col>23</xdr:col>
      <xdr:colOff>497</xdr:colOff>
      <xdr:row>23</xdr:row>
      <xdr:rowOff>42903</xdr:rowOff>
    </xdr:to>
    <xdr:sp macro="" textlink="">
      <xdr:nvSpPr>
        <xdr:cNvPr id="48" name="フレーム 52">
          <a:extLst>
            <a:ext uri="{FF2B5EF4-FFF2-40B4-BE49-F238E27FC236}">
              <a16:creationId xmlns:a16="http://schemas.microsoft.com/office/drawing/2014/main" id="{8BDD4141-D340-431C-8149-6A71CD5CE986}"/>
            </a:ext>
          </a:extLst>
        </xdr:cNvPr>
        <xdr:cNvSpPr>
          <a:spLocks noChangeArrowheads="1"/>
        </xdr:cNvSpPr>
      </xdr:nvSpPr>
      <xdr:spPr bwMode="auto">
        <a:xfrm>
          <a:off x="2591297" y="3536673"/>
          <a:ext cx="1981200" cy="50673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SPTA050S020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住化プラステック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発注データ編集</a:t>
          </a:r>
        </a:p>
      </xdr:txBody>
    </xdr:sp>
    <xdr:clientData/>
  </xdr:twoCellAnchor>
  <xdr:twoCellAnchor>
    <xdr:from>
      <xdr:col>18</xdr:col>
      <xdr:colOff>3726</xdr:colOff>
      <xdr:row>23</xdr:row>
      <xdr:rowOff>42903</xdr:rowOff>
    </xdr:from>
    <xdr:to>
      <xdr:col>18</xdr:col>
      <xdr:colOff>3810</xdr:colOff>
      <xdr:row>28</xdr:row>
      <xdr:rowOff>18883</xdr:rowOff>
    </xdr:to>
    <xdr:cxnSp macro="">
      <xdr:nvCxnSpPr>
        <xdr:cNvPr id="49" name="AutoShape 108">
          <a:extLst>
            <a:ext uri="{FF2B5EF4-FFF2-40B4-BE49-F238E27FC236}">
              <a16:creationId xmlns:a16="http://schemas.microsoft.com/office/drawing/2014/main" id="{39EB59E0-2F18-4D92-904E-661F35ED2848}"/>
            </a:ext>
          </a:extLst>
        </xdr:cNvPr>
        <xdr:cNvCxnSpPr>
          <a:cxnSpLocks noChangeShapeType="1"/>
          <a:stCxn id="48" idx="2"/>
          <a:endCxn id="32" idx="0"/>
        </xdr:cNvCxnSpPr>
      </xdr:nvCxnSpPr>
      <xdr:spPr bwMode="auto">
        <a:xfrm flipH="1">
          <a:off x="3581813" y="4043403"/>
          <a:ext cx="84" cy="84565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24846</xdr:colOff>
      <xdr:row>33</xdr:row>
      <xdr:rowOff>145066</xdr:rowOff>
    </xdr:from>
    <xdr:to>
      <xdr:col>21</xdr:col>
      <xdr:colOff>39755</xdr:colOff>
      <xdr:row>36</xdr:row>
      <xdr:rowOff>130158</xdr:rowOff>
    </xdr:to>
    <xdr:sp macro="" textlink="">
      <xdr:nvSpPr>
        <xdr:cNvPr id="50" name="Rectangle 95">
          <a:extLst>
            <a:ext uri="{FF2B5EF4-FFF2-40B4-BE49-F238E27FC236}">
              <a16:creationId xmlns:a16="http://schemas.microsoft.com/office/drawing/2014/main" id="{2FE155DE-9752-4A4A-9CD0-DCE1E19BED02}"/>
            </a:ext>
          </a:extLst>
        </xdr:cNvPr>
        <xdr:cNvSpPr>
          <a:spLocks noChangeArrowheads="1"/>
        </xdr:cNvSpPr>
      </xdr:nvSpPr>
      <xdr:spPr bwMode="auto">
        <a:xfrm>
          <a:off x="3006585" y="5884914"/>
          <a:ext cx="1207605" cy="506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4"/>
  </cols>
  <sheetData>
    <row r="1" spans="1:52" s="61" customFormat="1" x14ac:dyDescent="0.15"/>
    <row r="2" spans="1:52" s="61" customFormat="1" ht="24" x14ac:dyDescent="0.15">
      <c r="C2" s="62" t="s">
        <v>23</v>
      </c>
    </row>
    <row r="3" spans="1:52" s="61" customFormat="1" x14ac:dyDescent="0.15"/>
    <row r="4" spans="1:52" s="61" customFormat="1" x14ac:dyDescent="0.15"/>
    <row r="5" spans="1:52" s="61" customFormat="1" x14ac:dyDescent="0.15"/>
    <row r="6" spans="1:52" s="61" customFormat="1" x14ac:dyDescent="0.15"/>
    <row r="7" spans="1:52" s="61" customFormat="1" x14ac:dyDescent="0.15"/>
    <row r="8" spans="1:52" s="61" customFormat="1" x14ac:dyDescent="0.15">
      <c r="A8" s="88" t="s">
        <v>47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</row>
    <row r="9" spans="1:52" s="61" customFormat="1" x14ac:dyDescent="0.15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</row>
    <row r="10" spans="1:52" s="61" customFormat="1" x14ac:dyDescent="0.15">
      <c r="A10" s="89" t="s">
        <v>61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</row>
    <row r="11" spans="1:52" s="61" customFormat="1" x14ac:dyDescent="0.1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</row>
    <row r="12" spans="1:52" s="61" customFormat="1" x14ac:dyDescent="0.15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</row>
    <row r="13" spans="1:52" s="61" customFormat="1" x14ac:dyDescent="0.15">
      <c r="A13" s="89" t="s">
        <v>62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</row>
    <row r="14" spans="1:52" s="61" customFormat="1" x14ac:dyDescent="0.15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</row>
    <row r="15" spans="1:52" s="61" customFormat="1" x14ac:dyDescent="0.15">
      <c r="A15" s="89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</row>
    <row r="16" spans="1:52" s="61" customFormat="1" x14ac:dyDescent="0.15"/>
    <row r="17" spans="1:52" s="61" customFormat="1" ht="18.75" x14ac:dyDescent="0.15">
      <c r="A17" s="90" t="s">
        <v>51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</row>
    <row r="18" spans="1:52" s="61" customFormat="1" ht="13.5" customHeight="1" x14ac:dyDescent="0.1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1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15"/>
    <row r="21" spans="1:52" s="61" customFormat="1" x14ac:dyDescent="0.15"/>
    <row r="22" spans="1:52" s="61" customFormat="1" x14ac:dyDescent="0.15">
      <c r="A22" s="83">
        <v>45784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</row>
    <row r="23" spans="1:52" s="61" customFormat="1" x14ac:dyDescent="0.15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</row>
    <row r="24" spans="1:52" s="61" customFormat="1" x14ac:dyDescent="0.15">
      <c r="A24" s="84" t="s">
        <v>24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</row>
    <row r="25" spans="1:52" s="61" customFormat="1" x14ac:dyDescent="0.1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</row>
    <row r="26" spans="1:52" s="61" customFormat="1" x14ac:dyDescent="0.15"/>
    <row r="27" spans="1:52" s="61" customFormat="1" x14ac:dyDescent="0.15"/>
    <row r="28" spans="1:52" s="61" customFormat="1" x14ac:dyDescent="0.15">
      <c r="V28" s="85" t="s">
        <v>14</v>
      </c>
      <c r="W28" s="86"/>
      <c r="X28" s="86"/>
      <c r="Y28" s="86"/>
      <c r="Z28" s="87"/>
      <c r="AA28" s="85" t="s">
        <v>15</v>
      </c>
      <c r="AB28" s="86"/>
      <c r="AC28" s="86"/>
      <c r="AD28" s="86"/>
      <c r="AE28" s="87"/>
    </row>
    <row r="29" spans="1:52" s="61" customFormat="1" x14ac:dyDescent="0.15">
      <c r="V29" s="91"/>
      <c r="W29" s="92"/>
      <c r="X29" s="92"/>
      <c r="Y29" s="92"/>
      <c r="Z29" s="93"/>
      <c r="AA29" s="91">
        <v>45784</v>
      </c>
      <c r="AB29" s="92"/>
      <c r="AC29" s="92"/>
      <c r="AD29" s="92"/>
      <c r="AE29" s="93"/>
    </row>
    <row r="30" spans="1:52" s="61" customFormat="1" x14ac:dyDescent="0.15">
      <c r="V30" s="71"/>
      <c r="W30" s="72"/>
      <c r="X30" s="72"/>
      <c r="Y30" s="72"/>
      <c r="Z30" s="73"/>
      <c r="AA30" s="77" t="s">
        <v>60</v>
      </c>
      <c r="AB30" s="78"/>
      <c r="AC30" s="78"/>
      <c r="AD30" s="78"/>
      <c r="AE30" s="79"/>
    </row>
    <row r="31" spans="1:52" s="61" customFormat="1" x14ac:dyDescent="0.15">
      <c r="V31" s="71"/>
      <c r="W31" s="72"/>
      <c r="X31" s="72"/>
      <c r="Y31" s="72"/>
      <c r="Z31" s="73"/>
      <c r="AA31" s="77"/>
      <c r="AB31" s="78"/>
      <c r="AC31" s="78"/>
      <c r="AD31" s="78"/>
      <c r="AE31" s="79"/>
    </row>
    <row r="32" spans="1:52" s="61" customFormat="1" x14ac:dyDescent="0.15">
      <c r="V32" s="71"/>
      <c r="W32" s="72"/>
      <c r="X32" s="72"/>
      <c r="Y32" s="72"/>
      <c r="Z32" s="73"/>
      <c r="AA32" s="77"/>
      <c r="AB32" s="78"/>
      <c r="AC32" s="78"/>
      <c r="AD32" s="78"/>
      <c r="AE32" s="79"/>
    </row>
    <row r="33" spans="22:31" s="61" customFormat="1" x14ac:dyDescent="0.15">
      <c r="V33" s="71"/>
      <c r="W33" s="72"/>
      <c r="X33" s="72"/>
      <c r="Y33" s="72"/>
      <c r="Z33" s="73"/>
      <c r="AA33" s="77"/>
      <c r="AB33" s="78"/>
      <c r="AC33" s="78"/>
      <c r="AD33" s="78"/>
      <c r="AE33" s="79"/>
    </row>
    <row r="34" spans="22:31" s="61" customFormat="1" x14ac:dyDescent="0.15">
      <c r="V34" s="74"/>
      <c r="W34" s="75"/>
      <c r="X34" s="75"/>
      <c r="Y34" s="75"/>
      <c r="Z34" s="76"/>
      <c r="AA34" s="80"/>
      <c r="AB34" s="81"/>
      <c r="AC34" s="81"/>
      <c r="AD34" s="81"/>
      <c r="AE34" s="82"/>
    </row>
    <row r="35" spans="22:31" s="61" customFormat="1" x14ac:dyDescent="0.15"/>
    <row r="36" spans="22:31" s="61" customFormat="1" x14ac:dyDescent="0.15"/>
    <row r="37" spans="22:31" s="61" customFormat="1" x14ac:dyDescent="0.15"/>
    <row r="38" spans="22:31" s="61" customFormat="1" x14ac:dyDescent="0.15"/>
    <row r="39" spans="22:31" s="61" customFormat="1" x14ac:dyDescent="0.15"/>
    <row r="40" spans="22:31" s="61" customFormat="1" x14ac:dyDescent="0.15"/>
    <row r="41" spans="22:31" s="61" customFormat="1" x14ac:dyDescent="0.15"/>
    <row r="42" spans="22:31" s="61" customFormat="1" x14ac:dyDescent="0.15"/>
    <row r="43" spans="22:31" s="61" customFormat="1" x14ac:dyDescent="0.15"/>
    <row r="44" spans="22:31" s="61" customFormat="1" x14ac:dyDescent="0.15"/>
    <row r="45" spans="22:31" s="61" customFormat="1" x14ac:dyDescent="0.15"/>
    <row r="46" spans="22:31" s="61" customFormat="1" x14ac:dyDescent="0.15"/>
    <row r="47" spans="22:31" s="61" customFormat="1" x14ac:dyDescent="0.15"/>
    <row r="48" spans="22:31" s="61" customFormat="1" x14ac:dyDescent="0.15"/>
    <row r="49" s="61" customFormat="1" x14ac:dyDescent="0.15"/>
    <row r="50" s="61" customFormat="1" x14ac:dyDescent="0.15"/>
    <row r="51" s="61" customFormat="1" x14ac:dyDescent="0.15"/>
    <row r="52" s="61" customFormat="1" x14ac:dyDescent="0.15"/>
    <row r="53" s="61" customFormat="1" x14ac:dyDescent="0.15"/>
    <row r="54" s="61" customFormat="1" x14ac:dyDescent="0.15"/>
    <row r="55" s="61" customFormat="1" x14ac:dyDescent="0.15"/>
    <row r="56" s="61" customFormat="1" x14ac:dyDescent="0.15"/>
    <row r="57" s="61" customFormat="1" x14ac:dyDescent="0.15"/>
    <row r="58" s="61" customFormat="1" x14ac:dyDescent="0.15"/>
    <row r="59" s="61" customFormat="1" x14ac:dyDescent="0.15"/>
    <row r="60" s="61" customFormat="1" x14ac:dyDescent="0.15"/>
    <row r="61" s="61" customFormat="1" x14ac:dyDescent="0.15"/>
    <row r="62" s="61" customFormat="1" x14ac:dyDescent="0.15"/>
    <row r="63" s="61" customFormat="1" x14ac:dyDescent="0.15"/>
    <row r="64" s="61" customFormat="1" x14ac:dyDescent="0.15"/>
    <row r="65" s="61" customFormat="1" x14ac:dyDescent="0.15"/>
    <row r="66" s="61" customFormat="1" x14ac:dyDescent="0.15"/>
    <row r="67" s="61" customFormat="1" x14ac:dyDescent="0.15"/>
    <row r="68" s="61" customFormat="1" x14ac:dyDescent="0.15"/>
    <row r="69" s="61" customFormat="1" x14ac:dyDescent="0.15"/>
    <row r="70" s="61" customFormat="1" x14ac:dyDescent="0.15"/>
    <row r="71" s="61" customFormat="1" x14ac:dyDescent="0.15"/>
    <row r="72" s="61" customFormat="1" x14ac:dyDescent="0.15"/>
    <row r="73" s="61" customFormat="1" x14ac:dyDescent="0.15"/>
    <row r="74" s="61" customFormat="1" x14ac:dyDescent="0.15"/>
    <row r="75" s="61" customFormat="1" x14ac:dyDescent="0.15"/>
    <row r="76" s="61" customFormat="1" x14ac:dyDescent="0.15"/>
    <row r="77" s="61" customFormat="1" x14ac:dyDescent="0.15"/>
    <row r="78" s="61" customFormat="1" x14ac:dyDescent="0.15"/>
    <row r="79" s="61" customFormat="1" x14ac:dyDescent="0.15"/>
    <row r="80" s="61" customFormat="1" x14ac:dyDescent="0.15"/>
    <row r="81" s="61" customFormat="1" x14ac:dyDescent="0.15"/>
    <row r="82" s="61" customFormat="1" x14ac:dyDescent="0.15"/>
    <row r="83" s="61" customFormat="1" x14ac:dyDescent="0.15"/>
    <row r="84" s="61" customFormat="1" x14ac:dyDescent="0.15"/>
    <row r="85" s="61" customFormat="1" x14ac:dyDescent="0.15"/>
    <row r="86" s="61" customFormat="1" x14ac:dyDescent="0.15"/>
    <row r="87" s="61" customFormat="1" x14ac:dyDescent="0.15"/>
    <row r="88" s="61" customFormat="1" x14ac:dyDescent="0.15"/>
    <row r="89" s="61" customFormat="1" x14ac:dyDescent="0.15"/>
    <row r="90" s="61" customFormat="1" x14ac:dyDescent="0.15"/>
    <row r="91" s="61" customFormat="1" x14ac:dyDescent="0.15"/>
    <row r="92" s="61" customFormat="1" x14ac:dyDescent="0.15"/>
    <row r="93" s="61" customFormat="1" x14ac:dyDescent="0.15"/>
    <row r="94" s="61" customFormat="1" x14ac:dyDescent="0.15"/>
    <row r="95" s="61" customFormat="1" x14ac:dyDescent="0.15"/>
    <row r="96" s="61" customFormat="1" x14ac:dyDescent="0.15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21" customWidth="1"/>
    <col min="8" max="11" width="2.625" style="37" customWidth="1"/>
    <col min="12" max="16384" width="2.625" style="21"/>
  </cols>
  <sheetData>
    <row r="1" spans="1:69" ht="13.5" customHeight="1" x14ac:dyDescent="0.15">
      <c r="A1" s="108" t="s">
        <v>11</v>
      </c>
      <c r="B1" s="109"/>
      <c r="C1" s="109"/>
      <c r="D1" s="109"/>
      <c r="E1" s="109"/>
      <c r="F1" s="114" t="s">
        <v>2</v>
      </c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6"/>
      <c r="T1" s="123" t="s">
        <v>32</v>
      </c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3" t="s">
        <v>33</v>
      </c>
      <c r="AI1" s="124"/>
      <c r="AJ1" s="124"/>
      <c r="AK1" s="124"/>
      <c r="AL1" s="124"/>
      <c r="AM1" s="124"/>
      <c r="AN1" s="124"/>
      <c r="AO1" s="124"/>
      <c r="AP1" s="124"/>
      <c r="AQ1" s="124"/>
      <c r="AR1" s="127"/>
      <c r="AS1" s="123" t="s">
        <v>34</v>
      </c>
      <c r="AT1" s="124"/>
      <c r="AU1" s="124"/>
      <c r="AV1" s="124"/>
      <c r="AW1" s="124"/>
      <c r="AX1" s="124"/>
      <c r="AY1" s="124"/>
      <c r="AZ1" s="124"/>
      <c r="BA1" s="127"/>
      <c r="BB1" s="123" t="s">
        <v>35</v>
      </c>
      <c r="BC1" s="124"/>
      <c r="BD1" s="124"/>
      <c r="BE1" s="127"/>
      <c r="BF1" s="123" t="s">
        <v>36</v>
      </c>
      <c r="BG1" s="124"/>
      <c r="BH1" s="124"/>
      <c r="BI1" s="127"/>
      <c r="BJ1" s="123" t="s">
        <v>37</v>
      </c>
      <c r="BK1" s="124"/>
      <c r="BL1" s="124"/>
      <c r="BM1" s="127"/>
      <c r="BN1" s="123" t="s">
        <v>38</v>
      </c>
      <c r="BO1" s="124"/>
      <c r="BP1" s="124"/>
      <c r="BQ1" s="127"/>
    </row>
    <row r="2" spans="1:69" ht="13.5" customHeight="1" x14ac:dyDescent="0.15">
      <c r="A2" s="110"/>
      <c r="B2" s="111"/>
      <c r="C2" s="111"/>
      <c r="D2" s="111"/>
      <c r="E2" s="111"/>
      <c r="F2" s="117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9"/>
      <c r="T2" s="125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5"/>
      <c r="AI2" s="126"/>
      <c r="AJ2" s="126"/>
      <c r="AK2" s="126"/>
      <c r="AL2" s="126"/>
      <c r="AM2" s="126"/>
      <c r="AN2" s="126"/>
      <c r="AO2" s="126"/>
      <c r="AP2" s="126"/>
      <c r="AQ2" s="126"/>
      <c r="AR2" s="128"/>
      <c r="AS2" s="125"/>
      <c r="AT2" s="126"/>
      <c r="AU2" s="126"/>
      <c r="AV2" s="126"/>
      <c r="AW2" s="126"/>
      <c r="AX2" s="126"/>
      <c r="AY2" s="126"/>
      <c r="AZ2" s="126"/>
      <c r="BA2" s="128"/>
      <c r="BB2" s="125"/>
      <c r="BC2" s="126"/>
      <c r="BD2" s="126"/>
      <c r="BE2" s="128"/>
      <c r="BF2" s="125"/>
      <c r="BG2" s="126"/>
      <c r="BH2" s="126"/>
      <c r="BI2" s="128"/>
      <c r="BJ2" s="125"/>
      <c r="BK2" s="126"/>
      <c r="BL2" s="126"/>
      <c r="BM2" s="128"/>
      <c r="BN2" s="125"/>
      <c r="BO2" s="126"/>
      <c r="BP2" s="126"/>
      <c r="BQ2" s="128"/>
    </row>
    <row r="3" spans="1:69" ht="13.5" customHeight="1" x14ac:dyDescent="0.15">
      <c r="A3" s="110"/>
      <c r="B3" s="111"/>
      <c r="C3" s="111"/>
      <c r="D3" s="111"/>
      <c r="E3" s="111"/>
      <c r="F3" s="117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9"/>
      <c r="T3" s="129" t="s">
        <v>63</v>
      </c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29" t="s">
        <v>64</v>
      </c>
      <c r="AI3" s="130"/>
      <c r="AJ3" s="130"/>
      <c r="AK3" s="130"/>
      <c r="AL3" s="130"/>
      <c r="AM3" s="130"/>
      <c r="AN3" s="130"/>
      <c r="AO3" s="130"/>
      <c r="AP3" s="130"/>
      <c r="AQ3" s="130"/>
      <c r="AR3" s="133"/>
      <c r="AS3" s="129" t="s">
        <v>55</v>
      </c>
      <c r="AT3" s="130"/>
      <c r="AU3" s="130"/>
      <c r="AV3" s="130"/>
      <c r="AW3" s="130"/>
      <c r="AX3" s="130"/>
      <c r="AY3" s="130"/>
      <c r="AZ3" s="130"/>
      <c r="BA3" s="133"/>
      <c r="BB3" s="129" t="s">
        <v>60</v>
      </c>
      <c r="BC3" s="130"/>
      <c r="BD3" s="130"/>
      <c r="BE3" s="133"/>
      <c r="BF3" s="135">
        <v>45784</v>
      </c>
      <c r="BG3" s="136"/>
      <c r="BH3" s="136"/>
      <c r="BI3" s="137"/>
      <c r="BJ3" s="129"/>
      <c r="BK3" s="130"/>
      <c r="BL3" s="130"/>
      <c r="BM3" s="133"/>
      <c r="BN3" s="135"/>
      <c r="BO3" s="136"/>
      <c r="BP3" s="136"/>
      <c r="BQ3" s="137"/>
    </row>
    <row r="4" spans="1:69" ht="13.5" customHeight="1" thickBot="1" x14ac:dyDescent="0.2">
      <c r="A4" s="112"/>
      <c r="B4" s="113"/>
      <c r="C4" s="113"/>
      <c r="D4" s="113"/>
      <c r="E4" s="113"/>
      <c r="F4" s="120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2"/>
      <c r="T4" s="131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1"/>
      <c r="AI4" s="132"/>
      <c r="AJ4" s="132"/>
      <c r="AK4" s="132"/>
      <c r="AL4" s="132"/>
      <c r="AM4" s="132"/>
      <c r="AN4" s="132"/>
      <c r="AO4" s="132"/>
      <c r="AP4" s="132"/>
      <c r="AQ4" s="132"/>
      <c r="AR4" s="134"/>
      <c r="AS4" s="131"/>
      <c r="AT4" s="132"/>
      <c r="AU4" s="132"/>
      <c r="AV4" s="132"/>
      <c r="AW4" s="132"/>
      <c r="AX4" s="132"/>
      <c r="AY4" s="132"/>
      <c r="AZ4" s="132"/>
      <c r="BA4" s="134"/>
      <c r="BB4" s="131"/>
      <c r="BC4" s="132"/>
      <c r="BD4" s="132"/>
      <c r="BE4" s="134"/>
      <c r="BF4" s="138"/>
      <c r="BG4" s="139"/>
      <c r="BH4" s="139"/>
      <c r="BI4" s="140"/>
      <c r="BJ4" s="131"/>
      <c r="BK4" s="132"/>
      <c r="BL4" s="132"/>
      <c r="BM4" s="134"/>
      <c r="BN4" s="138"/>
      <c r="BO4" s="139"/>
      <c r="BP4" s="139"/>
      <c r="BQ4" s="140"/>
    </row>
    <row r="6" spans="1:69" ht="13.5" customHeight="1" x14ac:dyDescent="0.1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15">
      <c r="A7" s="25"/>
      <c r="B7" s="103" t="s">
        <v>26</v>
      </c>
      <c r="C7" s="103"/>
      <c r="D7" s="97" t="s">
        <v>48</v>
      </c>
      <c r="E7" s="98"/>
      <c r="F7" s="98"/>
      <c r="G7" s="99"/>
      <c r="H7" s="103" t="s">
        <v>16</v>
      </c>
      <c r="I7" s="103"/>
      <c r="J7" s="103"/>
      <c r="K7" s="103"/>
      <c r="L7" s="103" t="s">
        <v>17</v>
      </c>
      <c r="M7" s="103"/>
      <c r="N7" s="103"/>
      <c r="O7" s="97" t="s">
        <v>22</v>
      </c>
      <c r="P7" s="99"/>
      <c r="Q7" s="100" t="s">
        <v>49</v>
      </c>
      <c r="R7" s="101"/>
      <c r="S7" s="101"/>
      <c r="T7" s="102"/>
      <c r="U7" s="97" t="s">
        <v>25</v>
      </c>
      <c r="V7" s="98"/>
      <c r="W7" s="98"/>
      <c r="X7" s="98"/>
      <c r="Y7" s="98"/>
      <c r="Z7" s="98"/>
      <c r="AA7" s="98"/>
      <c r="AB7" s="98"/>
      <c r="AC7" s="98"/>
      <c r="AD7" s="98"/>
      <c r="AE7" s="99"/>
      <c r="AF7" s="97" t="s">
        <v>18</v>
      </c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9"/>
      <c r="AY7" s="97" t="s">
        <v>19</v>
      </c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9"/>
      <c r="BQ7" s="26"/>
    </row>
    <row r="8" spans="1:69" ht="13.5" customHeight="1" x14ac:dyDescent="0.15">
      <c r="A8" s="25"/>
      <c r="B8" s="104">
        <f t="shared" ref="B8" si="0">ROW()-7</f>
        <v>1</v>
      </c>
      <c r="C8" s="105"/>
      <c r="D8" s="107" t="s">
        <v>52</v>
      </c>
      <c r="E8" s="95"/>
      <c r="F8" s="95"/>
      <c r="G8" s="96"/>
      <c r="H8" s="106">
        <v>45784</v>
      </c>
      <c r="I8" s="95"/>
      <c r="J8" s="95"/>
      <c r="K8" s="96"/>
      <c r="L8" s="94" t="s">
        <v>60</v>
      </c>
      <c r="M8" s="95"/>
      <c r="N8" s="96"/>
      <c r="O8" s="94" t="s">
        <v>27</v>
      </c>
      <c r="P8" s="96"/>
      <c r="Q8" s="94" t="s">
        <v>54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53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15">
      <c r="A9" s="25"/>
      <c r="B9" s="104">
        <f t="shared" ref="B9:B51" si="1">ROW()-7</f>
        <v>2</v>
      </c>
      <c r="C9" s="105"/>
      <c r="D9" s="94"/>
      <c r="E9" s="95"/>
      <c r="F9" s="95"/>
      <c r="G9" s="96"/>
      <c r="H9" s="106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15">
      <c r="A10" s="25"/>
      <c r="B10" s="104">
        <f t="shared" si="1"/>
        <v>3</v>
      </c>
      <c r="C10" s="105"/>
      <c r="D10" s="94"/>
      <c r="E10" s="95"/>
      <c r="F10" s="95"/>
      <c r="G10" s="96"/>
      <c r="H10" s="106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15">
      <c r="A11" s="25"/>
      <c r="B11" s="104">
        <f t="shared" si="1"/>
        <v>4</v>
      </c>
      <c r="C11" s="105"/>
      <c r="D11" s="94"/>
      <c r="E11" s="95"/>
      <c r="F11" s="95"/>
      <c r="G11" s="96"/>
      <c r="H11" s="106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15">
      <c r="A12" s="25"/>
      <c r="B12" s="104">
        <f t="shared" si="1"/>
        <v>5</v>
      </c>
      <c r="C12" s="105"/>
      <c r="D12" s="94"/>
      <c r="E12" s="95"/>
      <c r="F12" s="95"/>
      <c r="G12" s="96"/>
      <c r="H12" s="106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15">
      <c r="A13" s="25"/>
      <c r="B13" s="104">
        <f t="shared" si="1"/>
        <v>6</v>
      </c>
      <c r="C13" s="105"/>
      <c r="D13" s="94"/>
      <c r="E13" s="95"/>
      <c r="F13" s="95"/>
      <c r="G13" s="96"/>
      <c r="H13" s="106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15">
      <c r="A14" s="25"/>
      <c r="B14" s="104">
        <f t="shared" si="1"/>
        <v>7</v>
      </c>
      <c r="C14" s="105"/>
      <c r="D14" s="94"/>
      <c r="E14" s="95"/>
      <c r="F14" s="95"/>
      <c r="G14" s="96"/>
      <c r="H14" s="106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15">
      <c r="A15" s="25"/>
      <c r="B15" s="104">
        <f t="shared" si="1"/>
        <v>8</v>
      </c>
      <c r="C15" s="105"/>
      <c r="D15" s="94"/>
      <c r="E15" s="95"/>
      <c r="F15" s="95"/>
      <c r="G15" s="96"/>
      <c r="H15" s="106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15">
      <c r="A16" s="25"/>
      <c r="B16" s="104">
        <f t="shared" si="1"/>
        <v>9</v>
      </c>
      <c r="C16" s="105"/>
      <c r="D16" s="94"/>
      <c r="E16" s="95"/>
      <c r="F16" s="95"/>
      <c r="G16" s="96"/>
      <c r="H16" s="106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15">
      <c r="A17" s="25"/>
      <c r="B17" s="104">
        <f t="shared" si="1"/>
        <v>10</v>
      </c>
      <c r="C17" s="105"/>
      <c r="D17" s="94"/>
      <c r="E17" s="95"/>
      <c r="F17" s="95"/>
      <c r="G17" s="96"/>
      <c r="H17" s="106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15">
      <c r="A18" s="25"/>
      <c r="B18" s="104">
        <f t="shared" si="1"/>
        <v>11</v>
      </c>
      <c r="C18" s="105"/>
      <c r="D18" s="94"/>
      <c r="E18" s="95"/>
      <c r="F18" s="95"/>
      <c r="G18" s="96"/>
      <c r="H18" s="106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15">
      <c r="A19" s="25"/>
      <c r="B19" s="104">
        <f t="shared" si="1"/>
        <v>12</v>
      </c>
      <c r="C19" s="105"/>
      <c r="D19" s="94"/>
      <c r="E19" s="95"/>
      <c r="F19" s="95"/>
      <c r="G19" s="96"/>
      <c r="H19" s="106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15">
      <c r="A20" s="25"/>
      <c r="B20" s="104">
        <f t="shared" si="1"/>
        <v>13</v>
      </c>
      <c r="C20" s="105"/>
      <c r="D20" s="94"/>
      <c r="E20" s="95"/>
      <c r="F20" s="95"/>
      <c r="G20" s="96"/>
      <c r="H20" s="106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15">
      <c r="A21" s="25"/>
      <c r="B21" s="104">
        <f t="shared" si="1"/>
        <v>14</v>
      </c>
      <c r="C21" s="105"/>
      <c r="D21" s="94"/>
      <c r="E21" s="95"/>
      <c r="F21" s="95"/>
      <c r="G21" s="96"/>
      <c r="H21" s="106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15">
      <c r="A22" s="25"/>
      <c r="B22" s="104">
        <f t="shared" si="1"/>
        <v>15</v>
      </c>
      <c r="C22" s="105"/>
      <c r="D22" s="94"/>
      <c r="E22" s="95"/>
      <c r="F22" s="95"/>
      <c r="G22" s="96"/>
      <c r="H22" s="106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15">
      <c r="A23" s="25"/>
      <c r="B23" s="104">
        <f t="shared" si="1"/>
        <v>16</v>
      </c>
      <c r="C23" s="105"/>
      <c r="D23" s="94"/>
      <c r="E23" s="95"/>
      <c r="F23" s="95"/>
      <c r="G23" s="96"/>
      <c r="H23" s="106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15">
      <c r="A24" s="25"/>
      <c r="B24" s="104">
        <f t="shared" si="1"/>
        <v>17</v>
      </c>
      <c r="C24" s="105"/>
      <c r="D24" s="94"/>
      <c r="E24" s="95"/>
      <c r="F24" s="95"/>
      <c r="G24" s="96"/>
      <c r="H24" s="106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15">
      <c r="A25" s="25"/>
      <c r="B25" s="104">
        <f t="shared" si="1"/>
        <v>18</v>
      </c>
      <c r="C25" s="105"/>
      <c r="D25" s="94"/>
      <c r="E25" s="95"/>
      <c r="F25" s="95"/>
      <c r="G25" s="96"/>
      <c r="H25" s="106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15">
      <c r="A26" s="25"/>
      <c r="B26" s="104">
        <f t="shared" si="1"/>
        <v>19</v>
      </c>
      <c r="C26" s="105"/>
      <c r="D26" s="94"/>
      <c r="E26" s="95"/>
      <c r="F26" s="95"/>
      <c r="G26" s="96"/>
      <c r="H26" s="106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15">
      <c r="A27" s="25"/>
      <c r="B27" s="104">
        <f t="shared" si="1"/>
        <v>20</v>
      </c>
      <c r="C27" s="105"/>
      <c r="D27" s="94"/>
      <c r="E27" s="95"/>
      <c r="F27" s="95"/>
      <c r="G27" s="96"/>
      <c r="H27" s="106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15">
      <c r="A28" s="25"/>
      <c r="B28" s="104">
        <f t="shared" si="1"/>
        <v>21</v>
      </c>
      <c r="C28" s="105"/>
      <c r="D28" s="94"/>
      <c r="E28" s="95"/>
      <c r="F28" s="95"/>
      <c r="G28" s="96"/>
      <c r="H28" s="106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15">
      <c r="A29" s="25"/>
      <c r="B29" s="104">
        <f t="shared" si="1"/>
        <v>22</v>
      </c>
      <c r="C29" s="105"/>
      <c r="D29" s="94"/>
      <c r="E29" s="95"/>
      <c r="F29" s="95"/>
      <c r="G29" s="96"/>
      <c r="H29" s="106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15">
      <c r="A30" s="25"/>
      <c r="B30" s="104">
        <f t="shared" si="1"/>
        <v>23</v>
      </c>
      <c r="C30" s="105"/>
      <c r="D30" s="94"/>
      <c r="E30" s="95"/>
      <c r="F30" s="95"/>
      <c r="G30" s="96"/>
      <c r="H30" s="106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15">
      <c r="A31" s="25"/>
      <c r="B31" s="104">
        <f t="shared" si="1"/>
        <v>24</v>
      </c>
      <c r="C31" s="105"/>
      <c r="D31" s="94"/>
      <c r="E31" s="95"/>
      <c r="F31" s="95"/>
      <c r="G31" s="96"/>
      <c r="H31" s="106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15">
      <c r="A32" s="25"/>
      <c r="B32" s="104">
        <f t="shared" si="1"/>
        <v>25</v>
      </c>
      <c r="C32" s="105"/>
      <c r="D32" s="94"/>
      <c r="E32" s="95"/>
      <c r="F32" s="95"/>
      <c r="G32" s="96"/>
      <c r="H32" s="106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15">
      <c r="A33" s="25"/>
      <c r="B33" s="104">
        <f t="shared" si="1"/>
        <v>26</v>
      </c>
      <c r="C33" s="105"/>
      <c r="D33" s="94"/>
      <c r="E33" s="95"/>
      <c r="F33" s="95"/>
      <c r="G33" s="96"/>
      <c r="H33" s="106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15">
      <c r="A34" s="25"/>
      <c r="B34" s="104">
        <f t="shared" si="1"/>
        <v>27</v>
      </c>
      <c r="C34" s="105"/>
      <c r="D34" s="94"/>
      <c r="E34" s="95"/>
      <c r="F34" s="95"/>
      <c r="G34" s="96"/>
      <c r="H34" s="106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15">
      <c r="A35" s="25"/>
      <c r="B35" s="104">
        <f t="shared" si="1"/>
        <v>28</v>
      </c>
      <c r="C35" s="105"/>
      <c r="D35" s="94"/>
      <c r="E35" s="95"/>
      <c r="F35" s="95"/>
      <c r="G35" s="96"/>
      <c r="H35" s="106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15">
      <c r="A36" s="25"/>
      <c r="B36" s="104">
        <f t="shared" si="1"/>
        <v>29</v>
      </c>
      <c r="C36" s="105"/>
      <c r="D36" s="94"/>
      <c r="E36" s="95"/>
      <c r="F36" s="95"/>
      <c r="G36" s="96"/>
      <c r="H36" s="106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15">
      <c r="A37" s="25"/>
      <c r="B37" s="104">
        <f t="shared" si="1"/>
        <v>30</v>
      </c>
      <c r="C37" s="105"/>
      <c r="D37" s="94"/>
      <c r="E37" s="95"/>
      <c r="F37" s="95"/>
      <c r="G37" s="96"/>
      <c r="H37" s="106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15">
      <c r="A38" s="27"/>
      <c r="B38" s="104">
        <f t="shared" si="1"/>
        <v>31</v>
      </c>
      <c r="C38" s="105"/>
      <c r="D38" s="94"/>
      <c r="E38" s="95"/>
      <c r="F38" s="95"/>
      <c r="G38" s="96"/>
      <c r="H38" s="106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15">
      <c r="A39" s="27"/>
      <c r="B39" s="104">
        <f t="shared" si="1"/>
        <v>32</v>
      </c>
      <c r="C39" s="105"/>
      <c r="D39" s="94"/>
      <c r="E39" s="95"/>
      <c r="F39" s="95"/>
      <c r="G39" s="96"/>
      <c r="H39" s="106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15">
      <c r="A40" s="27"/>
      <c r="B40" s="104">
        <f t="shared" si="1"/>
        <v>33</v>
      </c>
      <c r="C40" s="105"/>
      <c r="D40" s="94"/>
      <c r="E40" s="95"/>
      <c r="F40" s="95"/>
      <c r="G40" s="96"/>
      <c r="H40" s="106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15">
      <c r="A41" s="27"/>
      <c r="B41" s="104">
        <f t="shared" si="1"/>
        <v>34</v>
      </c>
      <c r="C41" s="105"/>
      <c r="D41" s="94"/>
      <c r="E41" s="95"/>
      <c r="F41" s="95"/>
      <c r="G41" s="96"/>
      <c r="H41" s="106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15">
      <c r="A42" s="27"/>
      <c r="B42" s="104">
        <f t="shared" si="1"/>
        <v>35</v>
      </c>
      <c r="C42" s="105"/>
      <c r="D42" s="94"/>
      <c r="E42" s="95"/>
      <c r="F42" s="95"/>
      <c r="G42" s="96"/>
      <c r="H42" s="106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15">
      <c r="A43" s="27"/>
      <c r="B43" s="104">
        <f t="shared" si="1"/>
        <v>36</v>
      </c>
      <c r="C43" s="105"/>
      <c r="D43" s="94"/>
      <c r="E43" s="95"/>
      <c r="F43" s="95"/>
      <c r="G43" s="96"/>
      <c r="H43" s="106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15">
      <c r="A44" s="27"/>
      <c r="B44" s="104">
        <f t="shared" si="1"/>
        <v>37</v>
      </c>
      <c r="C44" s="105"/>
      <c r="D44" s="94"/>
      <c r="E44" s="95"/>
      <c r="F44" s="95"/>
      <c r="G44" s="96"/>
      <c r="H44" s="106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15">
      <c r="A45" s="27"/>
      <c r="B45" s="104">
        <f t="shared" si="1"/>
        <v>38</v>
      </c>
      <c r="C45" s="105"/>
      <c r="D45" s="94"/>
      <c r="E45" s="95"/>
      <c r="F45" s="95"/>
      <c r="G45" s="96"/>
      <c r="H45" s="106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15">
      <c r="A46" s="27"/>
      <c r="B46" s="104">
        <f t="shared" si="1"/>
        <v>39</v>
      </c>
      <c r="C46" s="105"/>
      <c r="D46" s="94"/>
      <c r="E46" s="95"/>
      <c r="F46" s="95"/>
      <c r="G46" s="96"/>
      <c r="H46" s="106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15">
      <c r="A47" s="27"/>
      <c r="B47" s="104">
        <f t="shared" si="1"/>
        <v>40</v>
      </c>
      <c r="C47" s="105"/>
      <c r="D47" s="94"/>
      <c r="E47" s="95"/>
      <c r="F47" s="95"/>
      <c r="G47" s="96"/>
      <c r="H47" s="106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15">
      <c r="A48" s="27"/>
      <c r="B48" s="104">
        <f t="shared" si="1"/>
        <v>41</v>
      </c>
      <c r="C48" s="105"/>
      <c r="D48" s="94"/>
      <c r="E48" s="95"/>
      <c r="F48" s="95"/>
      <c r="G48" s="96"/>
      <c r="H48" s="106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15">
      <c r="A49" s="27"/>
      <c r="B49" s="104">
        <f t="shared" si="1"/>
        <v>42</v>
      </c>
      <c r="C49" s="105"/>
      <c r="D49" s="94"/>
      <c r="E49" s="95"/>
      <c r="F49" s="95"/>
      <c r="G49" s="96"/>
      <c r="H49" s="106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15">
      <c r="A50" s="27"/>
      <c r="B50" s="104">
        <f t="shared" si="1"/>
        <v>43</v>
      </c>
      <c r="C50" s="105"/>
      <c r="D50" s="94"/>
      <c r="E50" s="95"/>
      <c r="F50" s="95"/>
      <c r="G50" s="96"/>
      <c r="H50" s="106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15">
      <c r="A51" s="27"/>
      <c r="B51" s="104">
        <f t="shared" si="1"/>
        <v>44</v>
      </c>
      <c r="C51" s="105"/>
      <c r="D51" s="94"/>
      <c r="E51" s="95"/>
      <c r="F51" s="95"/>
      <c r="G51" s="96"/>
      <c r="H51" s="106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15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15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3"/>
  <sheetViews>
    <sheetView showGridLines="0" view="pageBreakPreview" zoomScale="115" zoomScaleNormal="100" zoomScaleSheetLayoutView="115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8" t="s">
        <v>11</v>
      </c>
      <c r="B1" s="109"/>
      <c r="C1" s="109"/>
      <c r="D1" s="109"/>
      <c r="E1" s="109"/>
      <c r="F1" s="109"/>
      <c r="G1" s="114" t="s">
        <v>2</v>
      </c>
      <c r="H1" s="115"/>
      <c r="I1" s="115"/>
      <c r="J1" s="115"/>
      <c r="K1" s="115"/>
      <c r="L1" s="115"/>
      <c r="M1" s="115"/>
      <c r="N1" s="115"/>
      <c r="O1" s="115"/>
      <c r="P1" s="115"/>
      <c r="Q1" s="116"/>
      <c r="R1" s="123" t="s">
        <v>32</v>
      </c>
      <c r="S1" s="124"/>
      <c r="T1" s="124"/>
      <c r="U1" s="124"/>
      <c r="V1" s="124"/>
      <c r="W1" s="124"/>
      <c r="X1" s="124"/>
      <c r="Y1" s="124"/>
      <c r="Z1" s="127"/>
      <c r="AA1" s="123" t="s">
        <v>33</v>
      </c>
      <c r="AB1" s="124"/>
      <c r="AC1" s="124"/>
      <c r="AD1" s="124"/>
      <c r="AE1" s="127"/>
      <c r="AF1" s="123" t="s">
        <v>34</v>
      </c>
      <c r="AG1" s="124"/>
      <c r="AH1" s="124"/>
      <c r="AI1" s="124"/>
      <c r="AJ1" s="124"/>
      <c r="AK1" s="123" t="s">
        <v>35</v>
      </c>
      <c r="AL1" s="124"/>
      <c r="AM1" s="124"/>
      <c r="AN1" s="124"/>
      <c r="AO1" s="123" t="s">
        <v>36</v>
      </c>
      <c r="AP1" s="124"/>
      <c r="AQ1" s="124"/>
      <c r="AR1" s="124"/>
      <c r="AS1" s="123" t="s">
        <v>37</v>
      </c>
      <c r="AT1" s="124"/>
      <c r="AU1" s="124"/>
      <c r="AV1" s="127"/>
      <c r="AW1" s="123" t="s">
        <v>38</v>
      </c>
      <c r="AX1" s="124"/>
      <c r="AY1" s="124"/>
      <c r="AZ1" s="127"/>
    </row>
    <row r="2" spans="1:53" ht="13.5" customHeight="1" x14ac:dyDescent="0.15">
      <c r="A2" s="110"/>
      <c r="B2" s="111"/>
      <c r="C2" s="111"/>
      <c r="D2" s="111"/>
      <c r="E2" s="111"/>
      <c r="F2" s="111"/>
      <c r="G2" s="117"/>
      <c r="H2" s="118"/>
      <c r="I2" s="118"/>
      <c r="J2" s="118"/>
      <c r="K2" s="118"/>
      <c r="L2" s="118"/>
      <c r="M2" s="118"/>
      <c r="N2" s="118"/>
      <c r="O2" s="118"/>
      <c r="P2" s="118"/>
      <c r="Q2" s="119"/>
      <c r="R2" s="125"/>
      <c r="S2" s="126"/>
      <c r="T2" s="126"/>
      <c r="U2" s="126"/>
      <c r="V2" s="126"/>
      <c r="W2" s="126"/>
      <c r="X2" s="126"/>
      <c r="Y2" s="126"/>
      <c r="Z2" s="128"/>
      <c r="AA2" s="125"/>
      <c r="AB2" s="126"/>
      <c r="AC2" s="126"/>
      <c r="AD2" s="126"/>
      <c r="AE2" s="128"/>
      <c r="AF2" s="125"/>
      <c r="AG2" s="126"/>
      <c r="AH2" s="126"/>
      <c r="AI2" s="126"/>
      <c r="AJ2" s="126"/>
      <c r="AK2" s="125"/>
      <c r="AL2" s="126"/>
      <c r="AM2" s="126"/>
      <c r="AN2" s="126"/>
      <c r="AO2" s="125"/>
      <c r="AP2" s="126"/>
      <c r="AQ2" s="126"/>
      <c r="AR2" s="126"/>
      <c r="AS2" s="125"/>
      <c r="AT2" s="126"/>
      <c r="AU2" s="126"/>
      <c r="AV2" s="128"/>
      <c r="AW2" s="125"/>
      <c r="AX2" s="126"/>
      <c r="AY2" s="126"/>
      <c r="AZ2" s="128"/>
    </row>
    <row r="3" spans="1:53" ht="13.5" customHeight="1" x14ac:dyDescent="0.15">
      <c r="A3" s="110"/>
      <c r="B3" s="111"/>
      <c r="C3" s="111"/>
      <c r="D3" s="111"/>
      <c r="E3" s="111"/>
      <c r="F3" s="111"/>
      <c r="G3" s="117"/>
      <c r="H3" s="118"/>
      <c r="I3" s="118"/>
      <c r="J3" s="118"/>
      <c r="K3" s="118"/>
      <c r="L3" s="118"/>
      <c r="M3" s="118"/>
      <c r="N3" s="118"/>
      <c r="O3" s="118"/>
      <c r="P3" s="118"/>
      <c r="Q3" s="119"/>
      <c r="R3" s="129" t="str">
        <f>変更履歴!T3</f>
        <v>住化プラステック</v>
      </c>
      <c r="S3" s="130"/>
      <c r="T3" s="130"/>
      <c r="U3" s="130"/>
      <c r="V3" s="130"/>
      <c r="W3" s="130"/>
      <c r="X3" s="130"/>
      <c r="Y3" s="130"/>
      <c r="Z3" s="133"/>
      <c r="AA3" s="129" t="str">
        <f>変更履歴!AH3</f>
        <v>SPT</v>
      </c>
      <c r="AB3" s="130"/>
      <c r="AC3" s="130"/>
      <c r="AD3" s="130"/>
      <c r="AE3" s="133"/>
      <c r="AF3" s="129" t="str">
        <f>変更履歴!AS3</f>
        <v>発注</v>
      </c>
      <c r="AG3" s="130"/>
      <c r="AH3" s="130"/>
      <c r="AI3" s="130"/>
      <c r="AJ3" s="130"/>
      <c r="AK3" s="129" t="str">
        <f>変更履歴!BB3</f>
        <v>FJ)カーマン</v>
      </c>
      <c r="AL3" s="130"/>
      <c r="AM3" s="130"/>
      <c r="AN3" s="130"/>
      <c r="AO3" s="135">
        <f>変更履歴!BF3</f>
        <v>45784</v>
      </c>
      <c r="AP3" s="136"/>
      <c r="AQ3" s="136"/>
      <c r="AR3" s="136"/>
      <c r="AS3" s="129"/>
      <c r="AT3" s="130"/>
      <c r="AU3" s="130"/>
      <c r="AV3" s="130"/>
      <c r="AW3" s="135"/>
      <c r="AX3" s="136"/>
      <c r="AY3" s="136"/>
      <c r="AZ3" s="137"/>
    </row>
    <row r="4" spans="1:53" ht="13.5" customHeight="1" thickBot="1" x14ac:dyDescent="0.2">
      <c r="A4" s="112"/>
      <c r="B4" s="113"/>
      <c r="C4" s="113"/>
      <c r="D4" s="113"/>
      <c r="E4" s="113"/>
      <c r="F4" s="113"/>
      <c r="G4" s="120"/>
      <c r="H4" s="121"/>
      <c r="I4" s="121"/>
      <c r="J4" s="121"/>
      <c r="K4" s="121"/>
      <c r="L4" s="121"/>
      <c r="M4" s="121"/>
      <c r="N4" s="121"/>
      <c r="O4" s="121"/>
      <c r="P4" s="121"/>
      <c r="Q4" s="122"/>
      <c r="R4" s="131"/>
      <c r="S4" s="132"/>
      <c r="T4" s="132"/>
      <c r="U4" s="132"/>
      <c r="V4" s="132"/>
      <c r="W4" s="132"/>
      <c r="X4" s="132"/>
      <c r="Y4" s="132"/>
      <c r="Z4" s="134"/>
      <c r="AA4" s="131"/>
      <c r="AB4" s="132"/>
      <c r="AC4" s="132"/>
      <c r="AD4" s="132"/>
      <c r="AE4" s="134"/>
      <c r="AF4" s="131"/>
      <c r="AG4" s="132"/>
      <c r="AH4" s="132"/>
      <c r="AI4" s="132"/>
      <c r="AJ4" s="132"/>
      <c r="AK4" s="131"/>
      <c r="AL4" s="132"/>
      <c r="AM4" s="132"/>
      <c r="AN4" s="132"/>
      <c r="AO4" s="138"/>
      <c r="AP4" s="139"/>
      <c r="AQ4" s="139"/>
      <c r="AR4" s="139"/>
      <c r="AS4" s="131"/>
      <c r="AT4" s="132"/>
      <c r="AU4" s="132"/>
      <c r="AV4" s="132"/>
      <c r="AW4" s="138"/>
      <c r="AX4" s="139"/>
      <c r="AY4" s="139"/>
      <c r="AZ4" s="140"/>
    </row>
    <row r="5" spans="1:53" ht="13.5" customHeight="1" x14ac:dyDescent="0.15"/>
    <row r="6" spans="1:53" s="2" customFormat="1" ht="13.5" customHeight="1" x14ac:dyDescent="0.15">
      <c r="A6" s="148" t="s">
        <v>29</v>
      </c>
      <c r="B6" s="160"/>
      <c r="C6" s="160"/>
      <c r="D6" s="160"/>
      <c r="E6" s="160"/>
      <c r="F6" s="161"/>
      <c r="G6" s="173" t="s">
        <v>65</v>
      </c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5"/>
      <c r="AB6" s="148" t="s">
        <v>8</v>
      </c>
      <c r="AC6" s="160"/>
      <c r="AD6" s="160"/>
      <c r="AE6" s="160"/>
      <c r="AF6" s="160"/>
      <c r="AG6" s="161"/>
      <c r="AH6" s="173" t="s">
        <v>31</v>
      </c>
      <c r="AI6" s="174"/>
      <c r="AJ6" s="174"/>
      <c r="AK6" s="174"/>
      <c r="AL6" s="174"/>
      <c r="AM6" s="174"/>
      <c r="AN6" s="174"/>
      <c r="AO6" s="175"/>
      <c r="AP6" s="148" t="s">
        <v>0</v>
      </c>
      <c r="AQ6" s="160"/>
      <c r="AR6" s="160"/>
      <c r="AS6" s="160"/>
      <c r="AT6" s="160"/>
      <c r="AU6" s="161"/>
      <c r="AV6" s="170" t="s">
        <v>7</v>
      </c>
      <c r="AW6" s="171"/>
      <c r="AX6" s="171"/>
      <c r="AY6" s="171"/>
      <c r="AZ6" s="172"/>
    </row>
    <row r="7" spans="1:53" ht="13.5" customHeight="1" x14ac:dyDescent="0.15">
      <c r="A7" s="148" t="s">
        <v>12</v>
      </c>
      <c r="B7" s="160"/>
      <c r="C7" s="160"/>
      <c r="D7" s="160"/>
      <c r="E7" s="160"/>
      <c r="F7" s="161"/>
      <c r="G7" s="173" t="s">
        <v>66</v>
      </c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5"/>
      <c r="AB7" s="148" t="s">
        <v>13</v>
      </c>
      <c r="AC7" s="149"/>
      <c r="AD7" s="149"/>
      <c r="AE7" s="149"/>
      <c r="AF7" s="149"/>
      <c r="AG7" s="150"/>
      <c r="AH7" s="173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5"/>
    </row>
    <row r="8" spans="1:53" ht="13.5" customHeight="1" x14ac:dyDescent="0.15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51" t="s">
        <v>21</v>
      </c>
      <c r="B9" s="162"/>
      <c r="C9" s="162"/>
      <c r="D9" s="163"/>
      <c r="E9" s="44" t="s">
        <v>56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51" t="s">
        <v>20</v>
      </c>
      <c r="AJ9" s="152"/>
      <c r="AK9" s="153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64"/>
      <c r="B10" s="165"/>
      <c r="C10" s="165"/>
      <c r="D10" s="166"/>
      <c r="E10" s="48" t="s">
        <v>57</v>
      </c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54"/>
      <c r="AJ10" s="155"/>
      <c r="AK10" s="156"/>
      <c r="AL10" s="41" t="s">
        <v>50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7"/>
      <c r="B11" s="168"/>
      <c r="C11" s="168"/>
      <c r="D11" s="169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7"/>
      <c r="AJ11" s="158"/>
      <c r="AK11" s="159"/>
      <c r="AL11" s="51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76" t="s">
        <v>39</v>
      </c>
      <c r="B12" s="177"/>
      <c r="C12" s="177"/>
      <c r="D12" s="178"/>
      <c r="E12" s="179" t="s">
        <v>40</v>
      </c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1"/>
    </row>
    <row r="13" spans="1:53" ht="13.5" customHeight="1" x14ac:dyDescent="0.15">
      <c r="A13" s="144" t="s">
        <v>46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6"/>
      <c r="BA13" s="39"/>
    </row>
    <row r="14" spans="1:53" ht="13.5" customHeight="1" x14ac:dyDescent="0.15">
      <c r="A14" s="68" t="s">
        <v>45</v>
      </c>
      <c r="B14" s="147" t="s">
        <v>41</v>
      </c>
      <c r="C14" s="147"/>
      <c r="D14" s="147"/>
      <c r="E14" s="147"/>
      <c r="F14" s="147"/>
      <c r="G14" s="147"/>
      <c r="H14" s="147"/>
      <c r="I14" s="147"/>
      <c r="J14" s="147"/>
      <c r="K14" s="147"/>
      <c r="L14" s="147" t="s">
        <v>42</v>
      </c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 t="s">
        <v>43</v>
      </c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 t="s">
        <v>44</v>
      </c>
      <c r="AX14" s="147"/>
      <c r="AY14" s="147"/>
      <c r="AZ14" s="147"/>
      <c r="BA14" s="39"/>
    </row>
    <row r="15" spans="1:53" ht="13.5" customHeight="1" x14ac:dyDescent="0.15">
      <c r="A15" s="69">
        <f t="shared" ref="A15:A17" si="0">ROW()-14</f>
        <v>1</v>
      </c>
      <c r="B15" s="65"/>
      <c r="C15" s="66"/>
      <c r="D15" s="66"/>
      <c r="E15" s="66"/>
      <c r="F15" s="66"/>
      <c r="G15" s="66"/>
      <c r="H15" s="66"/>
      <c r="I15" s="66"/>
      <c r="J15" s="66"/>
      <c r="K15" s="67"/>
      <c r="L15" s="65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41"/>
      <c r="AX15" s="142"/>
      <c r="AY15" s="142"/>
      <c r="AZ15" s="143"/>
      <c r="BA15" s="39"/>
    </row>
    <row r="16" spans="1:53" ht="13.5" customHeight="1" x14ac:dyDescent="0.15">
      <c r="A16" s="69">
        <f t="shared" si="0"/>
        <v>2</v>
      </c>
      <c r="B16" s="65"/>
      <c r="C16" s="66"/>
      <c r="D16" s="66"/>
      <c r="E16" s="66"/>
      <c r="F16" s="66"/>
      <c r="G16" s="66"/>
      <c r="H16" s="66"/>
      <c r="I16" s="66"/>
      <c r="J16" s="66"/>
      <c r="K16" s="67"/>
      <c r="L16" s="65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41"/>
      <c r="AX16" s="142"/>
      <c r="AY16" s="142"/>
      <c r="AZ16" s="143"/>
      <c r="BA16" s="11"/>
    </row>
    <row r="17" spans="1:54" ht="13.5" customHeight="1" x14ac:dyDescent="0.15">
      <c r="A17" s="69">
        <f t="shared" si="0"/>
        <v>3</v>
      </c>
      <c r="B17" s="65"/>
      <c r="C17" s="66"/>
      <c r="D17" s="66"/>
      <c r="E17" s="66"/>
      <c r="F17" s="66"/>
      <c r="G17" s="66"/>
      <c r="H17" s="66"/>
      <c r="I17" s="66"/>
      <c r="J17" s="66"/>
      <c r="K17" s="67"/>
      <c r="L17" s="65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41"/>
      <c r="AX17" s="142"/>
      <c r="AY17" s="142"/>
      <c r="AZ17" s="143"/>
      <c r="BA17" s="39"/>
    </row>
    <row r="18" spans="1:54" ht="13.5" customHeight="1" x14ac:dyDescent="0.15">
      <c r="A18" s="148" t="s">
        <v>2</v>
      </c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50"/>
      <c r="AK18" s="148" t="s">
        <v>1</v>
      </c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50"/>
    </row>
    <row r="19" spans="1:54" s="2" customFormat="1" ht="13.5" customHeight="1" x14ac:dyDescent="0.15">
      <c r="A19" s="7"/>
      <c r="B19" s="12"/>
      <c r="C19" s="12"/>
      <c r="D19" s="12"/>
      <c r="E19" s="12"/>
      <c r="F19" s="12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40"/>
      <c r="AE19" s="40"/>
      <c r="AF19" s="40"/>
      <c r="AG19" s="6"/>
      <c r="AH19" s="12"/>
      <c r="AI19" s="12"/>
      <c r="AJ19" s="13"/>
      <c r="AK19" s="5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7"/>
      <c r="BA19" s="38"/>
    </row>
    <row r="20" spans="1:54" s="2" customFormat="1" ht="13.5" customHeight="1" x14ac:dyDescent="0.15">
      <c r="A20" s="19"/>
      <c r="V20" s="1"/>
      <c r="W20" s="1"/>
      <c r="X20" s="1"/>
      <c r="Y20" s="1"/>
      <c r="Z20" s="1"/>
      <c r="AB20" s="41"/>
      <c r="AC20" s="41"/>
      <c r="AD20" s="41"/>
      <c r="AE20" s="1"/>
      <c r="AF20" s="1"/>
      <c r="AG20" s="1"/>
      <c r="AH20" s="1"/>
      <c r="AI20" s="1"/>
      <c r="AJ20" s="15"/>
      <c r="AK20" s="56" t="s">
        <v>67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7"/>
      <c r="AZ20" s="50"/>
      <c r="BA20" s="39"/>
      <c r="BB20" s="1"/>
    </row>
    <row r="21" spans="1:54" ht="13.5" customHeight="1" x14ac:dyDescent="0.15">
      <c r="A21" s="9"/>
      <c r="D21" s="2"/>
      <c r="E21" s="2"/>
      <c r="F21" s="2"/>
      <c r="G21" s="2"/>
      <c r="H21" s="2"/>
      <c r="AJ21" s="16"/>
      <c r="AK21" s="56"/>
      <c r="AL21" s="56" t="s">
        <v>58</v>
      </c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0"/>
      <c r="BA21" s="39"/>
    </row>
    <row r="22" spans="1:54" ht="13.5" customHeight="1" x14ac:dyDescent="0.15">
      <c r="A22" s="9"/>
      <c r="AJ22" s="15"/>
      <c r="AK22" s="56"/>
      <c r="AL22" s="56" t="s">
        <v>59</v>
      </c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0"/>
      <c r="BA22" s="39"/>
    </row>
    <row r="23" spans="1:54" ht="13.5" customHeight="1" x14ac:dyDescent="0.15">
      <c r="A23" s="9"/>
      <c r="AJ23" s="1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0"/>
      <c r="BA23" s="39"/>
    </row>
    <row r="24" spans="1:54" ht="13.5" customHeight="1" x14ac:dyDescent="0.15">
      <c r="A24" s="9"/>
      <c r="AJ24" s="15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0"/>
      <c r="BA24" s="39"/>
    </row>
    <row r="25" spans="1:54" ht="13.5" customHeight="1" x14ac:dyDescent="0.15">
      <c r="A25" s="9"/>
      <c r="AJ25" s="1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0"/>
      <c r="BA25" s="39"/>
      <c r="BB25" s="56"/>
    </row>
    <row r="26" spans="1:54" ht="13.5" customHeight="1" x14ac:dyDescent="0.15">
      <c r="A26" s="42"/>
      <c r="AJ26" s="16"/>
      <c r="AK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0"/>
      <c r="BA26" s="39"/>
      <c r="BB26" s="56"/>
    </row>
    <row r="27" spans="1:54" ht="13.5" customHeight="1" x14ac:dyDescent="0.15">
      <c r="A27" s="43"/>
      <c r="AJ27" s="15"/>
      <c r="AK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0"/>
      <c r="BA27" s="39"/>
      <c r="BB27" s="56"/>
    </row>
    <row r="28" spans="1:54" ht="13.5" customHeight="1" x14ac:dyDescent="0.15">
      <c r="A28" s="43"/>
      <c r="AJ28" s="16"/>
      <c r="AK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0"/>
      <c r="BA28" s="39"/>
      <c r="BB28" s="56"/>
    </row>
    <row r="29" spans="1:54" ht="13.5" customHeight="1" x14ac:dyDescent="0.15">
      <c r="A29" s="43"/>
      <c r="AG29" s="41"/>
      <c r="AJ29" s="16"/>
      <c r="AK29" s="56"/>
      <c r="AM29" s="56"/>
      <c r="AN29" s="56"/>
      <c r="AO29" s="56"/>
      <c r="AP29" s="56"/>
      <c r="AQ29" s="56"/>
      <c r="AR29" s="56"/>
      <c r="AS29" s="56"/>
      <c r="AT29" s="56"/>
      <c r="AY29" s="56"/>
      <c r="AZ29" s="58"/>
      <c r="BA29" s="39"/>
      <c r="BB29" s="56"/>
    </row>
    <row r="30" spans="1:54" ht="13.5" customHeight="1" x14ac:dyDescent="0.15">
      <c r="A30" s="43"/>
      <c r="AA30" s="41"/>
      <c r="AB30" s="41"/>
      <c r="AJ30" s="16"/>
      <c r="AK30" s="56"/>
      <c r="AO30" s="56"/>
      <c r="AP30" s="56"/>
      <c r="AQ30" s="56"/>
      <c r="AR30" s="56"/>
      <c r="AS30" s="56"/>
      <c r="AT30" s="56"/>
      <c r="AY30" s="56"/>
      <c r="AZ30" s="58"/>
      <c r="BA30" s="11"/>
      <c r="BB30" s="56"/>
    </row>
    <row r="31" spans="1:54" ht="13.5" customHeight="1" x14ac:dyDescent="0.15">
      <c r="A31" s="43"/>
      <c r="AJ31" s="16"/>
      <c r="AK31" s="56"/>
      <c r="AO31" s="56"/>
      <c r="AP31" s="56"/>
      <c r="AQ31" s="56"/>
      <c r="AR31" s="56"/>
      <c r="AS31" s="56"/>
      <c r="AT31" s="56"/>
      <c r="AY31" s="56"/>
      <c r="AZ31" s="58"/>
      <c r="BA31" s="11"/>
      <c r="BB31" s="56"/>
    </row>
    <row r="32" spans="1:54" ht="13.5" customHeight="1" x14ac:dyDescent="0.15">
      <c r="A32" s="43"/>
      <c r="AF32" s="41"/>
      <c r="AJ32" s="16"/>
      <c r="AK32" s="56"/>
      <c r="AM32" s="56"/>
      <c r="AO32" s="56"/>
      <c r="AP32" s="56"/>
      <c r="AQ32" s="56"/>
      <c r="AR32" s="56"/>
      <c r="AS32" s="56"/>
      <c r="AT32" s="56"/>
      <c r="AY32" s="56"/>
      <c r="AZ32" s="58"/>
      <c r="BA32" s="11"/>
      <c r="BB32" s="56"/>
    </row>
    <row r="33" spans="1:53" ht="13.5" customHeight="1" x14ac:dyDescent="0.15">
      <c r="A33" s="43"/>
      <c r="M33" s="41"/>
      <c r="N33" s="41"/>
      <c r="O33" s="41"/>
      <c r="P33" s="41"/>
      <c r="Q33" s="41"/>
      <c r="R33" s="41"/>
      <c r="S33" s="41"/>
      <c r="AC33" s="41"/>
      <c r="AD33" s="41"/>
      <c r="AE33" s="41"/>
      <c r="AJ33" s="16"/>
      <c r="AK33" s="56"/>
      <c r="AM33" s="56"/>
      <c r="AN33" s="56"/>
      <c r="AO33" s="56"/>
      <c r="AP33" s="56"/>
      <c r="AQ33" s="56"/>
      <c r="AR33" s="56"/>
      <c r="AS33" s="56"/>
      <c r="AT33" s="56"/>
      <c r="AY33" s="56"/>
      <c r="AZ33" s="58"/>
      <c r="BA33" s="11"/>
    </row>
    <row r="34" spans="1:53" ht="13.5" customHeight="1" x14ac:dyDescent="0.15">
      <c r="A34" s="43"/>
      <c r="M34" s="41"/>
      <c r="O34" s="41"/>
      <c r="P34" s="41"/>
      <c r="AJ34" s="16"/>
      <c r="AK34" s="56"/>
      <c r="AM34" s="56"/>
      <c r="AN34" s="56"/>
      <c r="AO34" s="56"/>
      <c r="AP34" s="56"/>
      <c r="AQ34" s="56"/>
      <c r="AR34" s="56"/>
      <c r="AS34" s="56"/>
      <c r="AT34" s="56"/>
      <c r="AY34" s="56"/>
      <c r="AZ34" s="58"/>
      <c r="BA34" s="39"/>
    </row>
    <row r="35" spans="1:53" ht="13.5" customHeight="1" x14ac:dyDescent="0.15">
      <c r="A35" s="43"/>
      <c r="M35" s="41"/>
      <c r="N35" s="41"/>
      <c r="O35" s="41"/>
      <c r="P35" s="41"/>
      <c r="AB35" s="41"/>
      <c r="AC35" s="41"/>
      <c r="AD35" s="41"/>
      <c r="AJ35" s="16"/>
      <c r="AK35" s="56"/>
      <c r="AM35" s="56"/>
      <c r="AN35" s="56"/>
      <c r="AO35" s="56"/>
      <c r="AP35" s="56"/>
      <c r="AQ35" s="56"/>
      <c r="AR35" s="56"/>
      <c r="AS35" s="56"/>
      <c r="AT35" s="56"/>
      <c r="AY35" s="56"/>
      <c r="AZ35" s="58"/>
      <c r="BA35" s="39"/>
    </row>
    <row r="36" spans="1:53" ht="13.5" customHeight="1" x14ac:dyDescent="0.15">
      <c r="A36" s="43"/>
      <c r="AA36" s="41"/>
      <c r="AB36" s="41"/>
      <c r="AC36" s="41"/>
      <c r="AD36" s="41"/>
      <c r="AJ36" s="16"/>
      <c r="AK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8"/>
      <c r="BA36" s="39"/>
    </row>
    <row r="37" spans="1:53" ht="13.5" customHeight="1" x14ac:dyDescent="0.15">
      <c r="A37" s="43"/>
      <c r="AA37" s="41"/>
      <c r="AB37" s="41"/>
      <c r="AC37" s="41"/>
      <c r="AD37" s="41"/>
      <c r="AJ37" s="16"/>
      <c r="AK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8"/>
      <c r="BA37" s="39"/>
    </row>
    <row r="38" spans="1:53" ht="13.5" customHeight="1" x14ac:dyDescent="0.15">
      <c r="A38" s="43"/>
      <c r="AA38" s="41"/>
      <c r="AB38" s="41"/>
      <c r="AC38" s="41"/>
      <c r="AD38" s="41"/>
      <c r="AJ38" s="16"/>
      <c r="AK38" s="56"/>
      <c r="AL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0"/>
      <c r="BA38" s="39"/>
    </row>
    <row r="39" spans="1:53" ht="13.5" customHeight="1" x14ac:dyDescent="0.15">
      <c r="A39" s="43"/>
      <c r="AJ39" s="1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49"/>
      <c r="AZ39" s="58"/>
      <c r="BA39" s="11"/>
    </row>
    <row r="40" spans="1:53" ht="13.5" customHeight="1" x14ac:dyDescent="0.15">
      <c r="A40" s="9"/>
      <c r="M40" s="41"/>
      <c r="N40" s="41"/>
      <c r="O40" s="41"/>
      <c r="P40" s="41"/>
      <c r="Q40" s="41"/>
      <c r="R40" s="41"/>
      <c r="S40" s="41"/>
      <c r="AJ40" s="16"/>
      <c r="AK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8"/>
      <c r="BA40" s="11"/>
    </row>
    <row r="41" spans="1:53" ht="13.5" customHeight="1" x14ac:dyDescent="0.15">
      <c r="A41" s="9"/>
      <c r="J41" s="41"/>
      <c r="M41" s="41"/>
      <c r="N41" s="41"/>
      <c r="O41" s="41"/>
      <c r="P41" s="41"/>
      <c r="Q41" s="41"/>
      <c r="R41" s="41"/>
      <c r="S41" s="41"/>
      <c r="AJ41" s="1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8"/>
      <c r="BA41" s="39"/>
    </row>
    <row r="42" spans="1:53" ht="13.5" customHeight="1" x14ac:dyDescent="0.15">
      <c r="A42" s="9"/>
      <c r="D42" s="41"/>
      <c r="E42" s="41"/>
      <c r="J42" s="41"/>
      <c r="K42" s="41"/>
      <c r="M42" s="41"/>
      <c r="O42" s="41"/>
      <c r="P42" s="41"/>
      <c r="Q42" s="41"/>
      <c r="R42" s="41"/>
      <c r="S42" s="41"/>
      <c r="AJ42" s="1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8"/>
      <c r="BA42" s="39"/>
    </row>
    <row r="43" spans="1:53" ht="13.5" customHeight="1" x14ac:dyDescent="0.15">
      <c r="A43" s="9"/>
      <c r="D43" s="41"/>
      <c r="E43" s="41"/>
      <c r="J43" s="41"/>
      <c r="K43" s="41"/>
      <c r="M43" s="41"/>
      <c r="N43" s="41"/>
      <c r="O43" s="41"/>
      <c r="P43" s="41"/>
      <c r="Q43" s="41"/>
      <c r="R43" s="41"/>
      <c r="S43" s="41"/>
      <c r="AJ43" s="1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8"/>
      <c r="BA43" s="39"/>
    </row>
    <row r="44" spans="1:53" ht="13.5" customHeight="1" x14ac:dyDescent="0.15">
      <c r="A44" s="19"/>
      <c r="D44" s="41"/>
      <c r="E44" s="41"/>
      <c r="I44" s="41"/>
      <c r="K44" s="41"/>
      <c r="M44" s="41"/>
      <c r="N44" s="41"/>
      <c r="O44" s="41"/>
      <c r="P44" s="41"/>
      <c r="Q44" s="41"/>
      <c r="R44" s="41"/>
      <c r="S44" s="41"/>
      <c r="AE44" s="41"/>
      <c r="AJ44" s="1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8"/>
      <c r="BA44" s="39"/>
    </row>
    <row r="45" spans="1:53" ht="13.5" customHeight="1" x14ac:dyDescent="0.15">
      <c r="A45" s="19"/>
      <c r="D45" s="2"/>
      <c r="F45" s="41"/>
      <c r="G45" s="41"/>
      <c r="H45" s="41"/>
      <c r="I45" s="41"/>
      <c r="M45" s="41"/>
      <c r="AJ45" s="1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8"/>
      <c r="BA45" s="39"/>
    </row>
    <row r="46" spans="1:53" ht="13.5" customHeight="1" x14ac:dyDescent="0.15">
      <c r="A46" s="19"/>
      <c r="D46" s="2"/>
      <c r="F46" s="41"/>
      <c r="G46" s="41"/>
      <c r="H46" s="41"/>
      <c r="I46" s="41"/>
      <c r="M46" s="41"/>
      <c r="N46" s="41"/>
      <c r="AJ46" s="1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3" ht="13.5" customHeight="1" x14ac:dyDescent="0.15">
      <c r="A47" s="19"/>
      <c r="D47" s="2"/>
      <c r="F47" s="41"/>
      <c r="G47" s="41"/>
      <c r="H47" s="41"/>
      <c r="J47" s="41"/>
      <c r="M47" s="41"/>
      <c r="N47" s="41"/>
      <c r="AJ47" s="1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49"/>
      <c r="AY47" s="56"/>
      <c r="AZ47" s="58"/>
      <c r="BA47" s="39"/>
    </row>
    <row r="48" spans="1:53" ht="13.5" customHeight="1" x14ac:dyDescent="0.15">
      <c r="A48" s="19"/>
      <c r="D48" s="41"/>
      <c r="E48" s="41"/>
      <c r="J48" s="41"/>
      <c r="K48" s="41"/>
      <c r="M48" s="41"/>
      <c r="N48" s="41"/>
      <c r="AJ48" s="16"/>
      <c r="AK48" s="56"/>
      <c r="AL48" s="56"/>
      <c r="AU48" s="56"/>
      <c r="AV48" s="56"/>
      <c r="AW48" s="56"/>
      <c r="AX48" s="56"/>
      <c r="AY48" s="56"/>
      <c r="AZ48" s="58"/>
      <c r="BA48" s="11"/>
    </row>
    <row r="49" spans="1:53" ht="13.5" customHeight="1" x14ac:dyDescent="0.15">
      <c r="A49" s="19"/>
      <c r="K49" s="41"/>
      <c r="M49" s="41"/>
      <c r="N49" s="41"/>
      <c r="AJ49" s="16"/>
      <c r="AK49" s="56"/>
      <c r="AL49" s="56"/>
      <c r="AU49" s="56"/>
      <c r="AV49" s="56"/>
      <c r="AW49" s="56"/>
      <c r="AX49" s="56"/>
      <c r="AY49" s="56"/>
      <c r="AZ49" s="58"/>
      <c r="BA49" s="39"/>
    </row>
    <row r="50" spans="1:53" ht="13.5" customHeight="1" x14ac:dyDescent="0.15">
      <c r="A50" s="19"/>
      <c r="AJ50" s="16"/>
      <c r="AU50" s="56"/>
      <c r="AV50" s="56"/>
      <c r="AW50" s="56"/>
      <c r="AX50" s="56"/>
      <c r="AY50" s="56"/>
      <c r="AZ50" s="58"/>
      <c r="BA50" s="39"/>
    </row>
    <row r="51" spans="1:53" ht="13.5" customHeight="1" x14ac:dyDescent="0.15">
      <c r="A51" s="19"/>
      <c r="F51" s="41"/>
      <c r="AJ51" s="16"/>
      <c r="AU51" s="56"/>
      <c r="AV51" s="56"/>
      <c r="AW51" s="56"/>
      <c r="AX51" s="56"/>
      <c r="AY51" s="56"/>
      <c r="AZ51" s="58"/>
      <c r="BA51" s="39"/>
    </row>
    <row r="52" spans="1:53" ht="13.5" customHeight="1" x14ac:dyDescent="0.15">
      <c r="A52" s="19"/>
      <c r="AJ52" s="16"/>
      <c r="AU52" s="56"/>
      <c r="AV52" s="56"/>
      <c r="AW52" s="56"/>
      <c r="AX52" s="56"/>
      <c r="AY52" s="56"/>
      <c r="AZ52" s="58"/>
      <c r="BA52" s="39"/>
    </row>
    <row r="53" spans="1:53" ht="13.5" customHeight="1" x14ac:dyDescent="0.15">
      <c r="A53" s="19"/>
      <c r="I53" s="41"/>
      <c r="J53" s="41"/>
      <c r="K53" s="41"/>
      <c r="L53" s="41"/>
      <c r="AJ53" s="1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19"/>
      <c r="H54" s="41"/>
      <c r="I54" s="41"/>
      <c r="J54" s="41"/>
      <c r="K54" s="14"/>
      <c r="L54" s="41"/>
      <c r="O54" s="41"/>
      <c r="AJ54" s="1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9"/>
      <c r="H55" s="41"/>
      <c r="I55" s="41"/>
      <c r="AJ55" s="1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9"/>
      <c r="H56" s="41"/>
      <c r="I56" s="41"/>
      <c r="AJ56" s="1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9"/>
      <c r="H57" s="41"/>
      <c r="I57" s="41"/>
      <c r="K57" s="14"/>
      <c r="AJ57" s="16"/>
      <c r="AU57" s="56"/>
      <c r="AV57" s="56"/>
      <c r="AW57" s="56"/>
      <c r="AX57" s="56"/>
      <c r="AY57" s="56"/>
      <c r="AZ57" s="58"/>
      <c r="BA57" s="39"/>
    </row>
    <row r="58" spans="1:53" ht="13.5" customHeight="1" x14ac:dyDescent="0.15">
      <c r="A58" s="9"/>
      <c r="AJ58" s="16"/>
      <c r="AU58" s="56"/>
      <c r="AV58" s="56"/>
      <c r="AW58" s="56"/>
      <c r="AX58" s="56"/>
      <c r="AY58" s="56"/>
      <c r="AZ58" s="58"/>
      <c r="BA58" s="39"/>
    </row>
    <row r="59" spans="1:53" ht="13.5" customHeight="1" x14ac:dyDescent="0.15">
      <c r="A59" s="9"/>
      <c r="AJ59" s="1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9"/>
      <c r="D60" s="41"/>
      <c r="E60" s="41"/>
      <c r="AJ60" s="16"/>
      <c r="AK60" s="59"/>
      <c r="AL60" s="59"/>
      <c r="AM60" s="59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9"/>
      <c r="D61" s="41"/>
      <c r="E61" s="41"/>
      <c r="AJ61" s="16"/>
      <c r="AK61" s="59"/>
      <c r="AL61" s="59"/>
      <c r="AM61" s="59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9"/>
      <c r="D62" s="41"/>
      <c r="E62" s="41"/>
      <c r="G62" s="41"/>
      <c r="P62" s="41"/>
      <c r="Q62" s="41"/>
      <c r="R62" s="41"/>
      <c r="S62" s="41"/>
      <c r="AJ62" s="16"/>
      <c r="AK62" s="59"/>
      <c r="AL62" s="59"/>
      <c r="AM62" s="59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9"/>
      <c r="D63" s="41"/>
      <c r="E63" s="41"/>
      <c r="F63" s="41"/>
      <c r="H63" s="41"/>
      <c r="I63" s="41"/>
      <c r="O63" s="41"/>
      <c r="P63" s="41"/>
      <c r="Q63" s="41"/>
      <c r="R63" s="14"/>
      <c r="S63" s="41"/>
      <c r="AJ63" s="16"/>
      <c r="AK63" s="59"/>
      <c r="AL63" s="59"/>
      <c r="AM63" s="59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9"/>
      <c r="D64" s="41"/>
      <c r="E64" s="41"/>
      <c r="F64" s="41"/>
      <c r="G64" s="41"/>
      <c r="H64" s="41"/>
      <c r="I64" s="41"/>
      <c r="O64" s="41"/>
      <c r="P64" s="41"/>
      <c r="AJ64" s="16"/>
      <c r="AK64" s="59"/>
      <c r="AL64" s="59"/>
      <c r="AM64" s="59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9"/>
      <c r="D65" s="41"/>
      <c r="E65" s="41"/>
      <c r="F65" s="41"/>
      <c r="G65" s="41"/>
      <c r="H65" s="41"/>
      <c r="O65" s="41"/>
      <c r="P65" s="41"/>
      <c r="AJ65" s="16"/>
      <c r="AK65" s="59"/>
      <c r="AL65" s="59"/>
      <c r="AM65" s="59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9"/>
      <c r="D66" s="41"/>
      <c r="E66" s="41"/>
      <c r="F66" s="41"/>
      <c r="G66" s="41"/>
      <c r="H66" s="41"/>
      <c r="I66" s="41"/>
      <c r="J66" s="41"/>
      <c r="K66" s="41"/>
      <c r="L66" s="41"/>
      <c r="O66" s="41"/>
      <c r="P66" s="41"/>
      <c r="R66" s="14"/>
      <c r="AJ66" s="1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9"/>
      <c r="D67" s="2"/>
      <c r="M67" s="41"/>
      <c r="N67" s="41"/>
      <c r="AJ67" s="1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9"/>
      <c r="D68" s="2"/>
      <c r="M68" s="41"/>
      <c r="N68" s="41"/>
      <c r="O68" s="41"/>
      <c r="P68" s="41"/>
      <c r="Q68" s="41"/>
      <c r="R68" s="14"/>
      <c r="S68" s="41"/>
      <c r="AA68" s="41"/>
      <c r="AC68" s="41"/>
      <c r="AD68" s="41"/>
      <c r="AJ68" s="16"/>
      <c r="AK68" s="43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9"/>
      <c r="D69" s="2"/>
      <c r="M69" s="41"/>
      <c r="N69" s="41"/>
      <c r="O69" s="41"/>
      <c r="P69" s="41"/>
      <c r="AJ69" s="1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8"/>
      <c r="BA69" s="38"/>
    </row>
    <row r="70" spans="1:53" ht="13.5" customHeight="1" x14ac:dyDescent="0.15">
      <c r="A70" s="9"/>
      <c r="M70" s="41"/>
      <c r="N70" s="41"/>
      <c r="O70" s="41"/>
      <c r="P70" s="41"/>
      <c r="AJ70" s="1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M71" s="41"/>
      <c r="N71" s="41"/>
      <c r="O71" s="41"/>
      <c r="P71" s="41"/>
      <c r="R71" s="14"/>
      <c r="AJ71" s="1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M72" s="41"/>
      <c r="N72" s="41"/>
      <c r="AJ72" s="1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M73" s="41"/>
      <c r="N73" s="41"/>
      <c r="AJ73" s="1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9"/>
    </row>
    <row r="74" spans="1:53" ht="13.5" customHeight="1" x14ac:dyDescent="0.15">
      <c r="A74" s="9"/>
      <c r="M74" s="41"/>
      <c r="N74" s="41"/>
      <c r="AJ74" s="1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M75" s="41"/>
      <c r="N75" s="41"/>
      <c r="AJ75" s="1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M76" s="41"/>
      <c r="N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B77" s="2"/>
      <c r="K77" s="41"/>
      <c r="L77" s="41"/>
      <c r="M77" s="41"/>
      <c r="N77" s="41"/>
      <c r="AJ77" s="16"/>
      <c r="AK77" s="43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M78" s="41"/>
      <c r="N78" s="41"/>
      <c r="AJ78" s="1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15">
      <c r="A79" s="10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8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70"/>
      <c r="BA79" s="39"/>
    </row>
    <row r="80" spans="1:53" ht="13.5" customHeight="1" x14ac:dyDescent="0.15">
      <c r="A80" s="1"/>
      <c r="B80" s="8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</row>
    <row r="81" spans="1:53" ht="13.5" customHeight="1" x14ac:dyDescent="0.15">
      <c r="A81" s="1"/>
      <c r="B81" s="8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</row>
    <row r="82" spans="1:53" ht="13.5" customHeight="1" x14ac:dyDescent="0.15">
      <c r="A82" s="1"/>
      <c r="B82" s="8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</row>
    <row r="83" spans="1:53" ht="13.5" customHeight="1" x14ac:dyDescent="0.15">
      <c r="A83" s="1"/>
      <c r="B83" s="8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</row>
    <row r="84" spans="1:53" ht="13.5" customHeight="1" x14ac:dyDescent="0.15">
      <c r="A84" s="1"/>
      <c r="B84" s="8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spans="1:53" ht="13.5" customHeight="1" x14ac:dyDescent="0.15">
      <c r="A85" s="1"/>
      <c r="B85" s="8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spans="1:53" ht="13.5" customHeight="1" x14ac:dyDescent="0.15">
      <c r="A86" s="1"/>
      <c r="B86" s="8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spans="1:53" ht="13.5" customHeight="1" x14ac:dyDescent="0.15"/>
    <row r="88" spans="1:53" ht="13.5" customHeight="1" x14ac:dyDescent="0.15"/>
    <row r="89" spans="1:53" ht="13.5" customHeight="1" x14ac:dyDescent="0.15"/>
    <row r="90" spans="1:53" ht="13.5" customHeight="1" x14ac:dyDescent="0.15"/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40"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  <mergeCell ref="A18:AJ18"/>
    <mergeCell ref="AK18:AZ1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W17:AZ17"/>
    <mergeCell ref="AW15:AZ15"/>
    <mergeCell ref="AW16:AZ16"/>
    <mergeCell ref="A13:AZ13"/>
    <mergeCell ref="B14:K14"/>
    <mergeCell ref="AW14:AZ14"/>
    <mergeCell ref="L14:Z14"/>
    <mergeCell ref="AA14:AV1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8</v>
      </c>
      <c r="C1" s="3" t="s">
        <v>0</v>
      </c>
    </row>
    <row r="3" spans="1:3" x14ac:dyDescent="0.15">
      <c r="A3" t="s">
        <v>9</v>
      </c>
      <c r="C3" t="s">
        <v>7</v>
      </c>
    </row>
    <row r="4" spans="1:3" x14ac:dyDescent="0.15">
      <c r="A4" t="s">
        <v>10</v>
      </c>
      <c r="C4" t="s">
        <v>3</v>
      </c>
    </row>
    <row r="5" spans="1:3" x14ac:dyDescent="0.15">
      <c r="C5" t="s">
        <v>4</v>
      </c>
    </row>
    <row r="6" spans="1:3" x14ac:dyDescent="0.15">
      <c r="C6" t="s">
        <v>5</v>
      </c>
    </row>
    <row r="7" spans="1:3" x14ac:dyDescent="0.15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0AD349-3B4E-460E-B3D2-0111A3366D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C72110-D015-40AC-ACE2-B7541EEED7BE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69cb980d-ece2-4836-b1eb-1194e87de84b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2066667e-7ddf-48ee-81f6-fe1825af740a"/>
    <ds:schemaRef ds:uri="http://www.w3.org/XML/1998/namespace"/>
    <ds:schemaRef ds:uri="http://purl.org/dc/dcmitype/"/>
    <ds:schemaRef ds:uri="220340fb-22b3-49c1-ad89-d4daf30c6cb7"/>
  </ds:schemaRefs>
</ds:datastoreItem>
</file>

<file path=customXml/itemProps3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Mat Zaid, Mohammad Faiz Shahiran Bin</cp:lastModifiedBy>
  <cp:lastPrinted>2016-07-11T09:45:07Z</cp:lastPrinted>
  <dcterms:created xsi:type="dcterms:W3CDTF">2003-10-15T05:19:34Z</dcterms:created>
  <dcterms:modified xsi:type="dcterms:W3CDTF">2025-06-19T05:24:49Z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