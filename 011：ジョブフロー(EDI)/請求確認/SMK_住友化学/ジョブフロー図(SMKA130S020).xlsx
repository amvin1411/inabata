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請求確認/SMK_住友化学/"/>
    </mc:Choice>
  </mc:AlternateContent>
  <xr:revisionPtr revIDLastSave="23" documentId="13_ncr:1_{D0D5328B-D23A-4915-AD33-4C9A444131F2}" xr6:coauthVersionLast="47" xr6:coauthVersionMax="47" xr10:uidLastSave="{85174480-E16E-4E2A-97B1-53B628727C74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<sst xmlns="http://schemas.openxmlformats.org/spreadsheetml/2006/main" count="115" uniqueCount="92">
  <si>
    <t>稲畑産業株式会社様</t>
    <rPh sb="8" eb="9">
      <t>サマ</t>
    </rPh>
    <phoneticPr fontId="2"/>
  </si>
  <si>
    <t>EDIシステム</t>
    <phoneticPr fontId="2"/>
  </si>
  <si>
    <t>ジョブフロー図(SMKA130S020)</t>
    <rPh sb="6" eb="7">
      <t>ズ</t>
    </rPh>
    <phoneticPr fontId="2"/>
  </si>
  <si>
    <t>機能名称：住友化学_請求確認データ編集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</si>
  <si>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</si>
  <si>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</si>
  <si>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</si>
  <si>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</si>
  <si>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</si>
  <si>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</si>
  <si>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</si>
  <si>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</si>
  <si>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</si>
  <si>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</si>
  <si>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</si>
  <si>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</si>
  <si>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</si>
  <si>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</si>
  <si>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住友化学</t>
  </si>
  <si>
    <t>SMK</t>
  </si>
  <si>
    <t>請求確認</t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</si>
  <si>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</si>
  <si>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</si>
  <si>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</si>
  <si>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</si>
  <si>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</si>
  <si>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</si>
  <si>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</si>
  <si>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</si>
  <si>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</si>
  <si>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</si>
  <si>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</si>
  <si>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</si>
  <si>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</si>
  <si>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</si>
  <si>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</si>
  <si>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SMKA130S020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</si>
  <si>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</si>
  <si>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</si>
  <si>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</si>
  <si>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時刻起動</t>
    <rPh sb="0" eb="2">
      <t>ジコク</t>
    </rPh>
    <rPh sb="2" eb="4">
      <t>キドウ</t>
    </rPh>
    <phoneticPr fontId="2"/>
  </si>
  <si>
    <t>ジョブ名</t>
    <rPh sb="3" eb="4">
      <t>メイ</t>
    </rPh>
    <phoneticPr fontId="2"/>
  </si>
  <si>
    <t>住友化学_請求確認データ編集</t>
    <rPh sb="12" eb="14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</si>
  <si>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</si>
  <si>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</si>
  <si>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連携ファイルを基に、住友化学向け送信ファイルを作成する。</t>
    <rPh sb="7" eb="8">
      <t>モト</t>
    </rPh>
    <rPh sb="14" eb="16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</si>
  <si>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</si>
  <si>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</si>
  <si>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</si>
  <si>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</si>
  <si>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</si>
  <si>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</si>
  <si>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</si>
  <si>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</si>
  <si>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</si>
  <si>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</si>
  <si>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</si>
  <si>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</si>
  <si>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p_t_SMK_請求確認_030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</si>
  <si>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</si>
  <si>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</si>
  <si>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</si>
  <si>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</si>
  <si>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</si>
  <si>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</si>
  <si>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</si>
  <si>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</si>
  <si>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</si>
  <si>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</si>
  <si>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</si>
  <si>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</si>
  <si>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</si>
  <si>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</si>
  <si>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</si>
  <si>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</si>
  <si>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</si>
  <si>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</si>
  <si>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</si>
  <si>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2.wf_SMK_A130_030</t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</si>
  <si>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</si>
  <si>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</si>
  <si>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</si>
  <si>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</si>
  <si>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</si>
  <si>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</si>
  <si>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</si>
  <si>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随時</t>
    <rPh sb="0" eb="2">
      <t>ズイジ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</si>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</sst>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5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6" fontId="8" fillId="3" borderId="28" xfId="0" applyNumberFormat="1" applyFont="1" applyFill="1" applyBorder="1" applyAlignment="1">
      <alignment horizontal="center" vertical="center"/>
    </xf>
    <xf numFmtId="166" fontId="8" fillId="3" borderId="2" xfId="0" applyNumberFormat="1" applyFont="1" applyFill="1" applyBorder="1" applyAlignment="1">
      <alignment horizontal="center" vertical="center"/>
    </xf>
    <xf numFmtId="166" fontId="8" fillId="3" borderId="29" xfId="0" applyNumberFormat="1" applyFont="1" applyFill="1" applyBorder="1" applyAlignment="1">
      <alignment horizontal="center" vertical="center"/>
    </xf>
    <xf numFmtId="166" fontId="8" fillId="3" borderId="30" xfId="0" applyNumberFormat="1" applyFont="1" applyFill="1" applyBorder="1" applyAlignment="1">
      <alignment horizontal="center" vertical="center"/>
    </xf>
    <xf numFmtId="166" fontId="8" fillId="3" borderId="31" xfId="0" applyNumberFormat="1" applyFont="1" applyFill="1" applyBorder="1" applyAlignment="1">
      <alignment horizontal="center" vertical="center"/>
    </xf>
    <xf numFmtId="166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3429000" y="7096125"/>
          <a:ext cx="1009650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400300" y="7362825"/>
          <a:ext cx="102870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wf_SMK_A130_030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286250" y="4457700"/>
          <a:ext cx="102870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(p_t_SMK_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186868</xdr:colOff>
      <xdr:row>47</xdr:row>
      <xdr:rowOff>64986</xdr:rowOff>
    </xdr:from>
    <xdr:to>
      <xdr:col>31</xdr:col>
      <xdr:colOff>17329</xdr:colOff>
      <xdr:row>50</xdr:row>
      <xdr:rowOff>82571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3662AD9-9385-4F48-BB12-5F0B00F6585F}"/>
            </a:ext>
          </a:extLst>
        </xdr:cNvPr>
        <xdr:cNvSpPr>
          <a:spLocks noChangeArrowheads="1"/>
        </xdr:cNvSpPr>
      </xdr:nvSpPr>
      <xdr:spPr bwMode="auto">
        <a:xfrm>
          <a:off x="4934714" y="9333544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20</xdr:col>
      <xdr:colOff>9525</xdr:colOff>
      <xdr:row>44</xdr:row>
      <xdr:rowOff>123825</xdr:rowOff>
    </xdr:from>
    <xdr:to>
      <xdr:col>24</xdr:col>
      <xdr:colOff>195151</xdr:colOff>
      <xdr:row>54</xdr:row>
      <xdr:rowOff>31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FC1B333-F607-4BB8-A9A5-3CC9A856C9EF}"/>
            </a:ext>
          </a:extLst>
        </xdr:cNvPr>
        <xdr:cNvCxnSpPr>
          <a:endCxn id="4" idx="2"/>
        </xdr:cNvCxnSpPr>
      </xdr:nvCxnSpPr>
      <xdr:spPr bwMode="auto">
        <a:xfrm>
          <a:off x="4010025" y="7667625"/>
          <a:ext cx="985726" cy="159070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24</xdr:col>
      <xdr:colOff>195151</xdr:colOff>
      <xdr:row>52</xdr:row>
      <xdr:rowOff>76963</xdr:rowOff>
    </xdr:from>
    <xdr:to>
      <xdr:col>31</xdr:col>
      <xdr:colOff>25612</xdr:colOff>
      <xdr:row>55</xdr:row>
      <xdr:rowOff>94548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7CBE40D9-F6CA-4B7F-99A9-19EABB547003}"/>
            </a:ext>
          </a:extLst>
        </xdr:cNvPr>
        <xdr:cNvSpPr>
          <a:spLocks noChangeArrowheads="1"/>
        </xdr:cNvSpPr>
      </xdr:nvSpPr>
      <xdr:spPr bwMode="auto">
        <a:xfrm>
          <a:off x="4942997" y="10188117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  <a:endParaRPr lang="en-US" altLang="ja-JP" sz="750"/>
        </a:p>
      </xdr:txBody>
    </xdr:sp>
    <xdr:clientData/>
  </xdr:twoCellAnchor>
  <xdr:twoCellAnchor>
    <xdr:from>
      <xdr:col>20</xdr:col>
      <xdr:colOff>0</xdr:colOff>
      <xdr:row>43</xdr:row>
      <xdr:rowOff>150494</xdr:rowOff>
    </xdr:from>
    <xdr:to>
      <xdr:col>24</xdr:col>
      <xdr:colOff>186868</xdr:colOff>
      <xdr:row>48</xdr:row>
      <xdr:rowOff>159504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76726A0D-7675-4049-AF70-1B34384AC001}"/>
            </a:ext>
          </a:extLst>
        </xdr:cNvPr>
        <xdr:cNvCxnSpPr>
          <a:cxnSpLocks noChangeShapeType="1"/>
          <a:stCxn id="28" idx="3"/>
          <a:endCxn id="2" idx="2"/>
        </xdr:cNvCxnSpPr>
      </xdr:nvCxnSpPr>
      <xdr:spPr bwMode="auto">
        <a:xfrm>
          <a:off x="4000500" y="7522844"/>
          <a:ext cx="986968" cy="8662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</row>
    <row r="9" spans="1:52" s="59" customForma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s="59" customFormat="1">
      <c r="A10" s="70" t="s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s="59" customForma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s="59" customForma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59" customFormat="1">
      <c r="A13" s="70" t="s">
        <v>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s="59" customForma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s="59" customForma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s="59" customFormat="1"/>
    <row r="17" spans="1:52" s="59" customFormat="1" ht="18.75">
      <c r="A17" s="71" t="s">
        <v>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 ht="13.5" customHeight="1">
      <c r="A22" s="87">
        <v>45793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s="59" customFormat="1" ht="13.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s="59" customFormat="1" ht="13.5" customHeight="1">
      <c r="A24" s="88" t="s">
        <v>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s="59" customFormat="1" ht="13.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s="59" customFormat="1"/>
    <row r="27" spans="1:52" s="59" customFormat="1"/>
    <row r="28" spans="1:52" s="59" customFormat="1">
      <c r="V28" s="89" t="s">
        <v>6</v>
      </c>
      <c r="W28" s="90"/>
      <c r="X28" s="90"/>
      <c r="Y28" s="90"/>
      <c r="Z28" s="91"/>
      <c r="AA28" s="89" t="s">
        <v>7</v>
      </c>
      <c r="AB28" s="90"/>
      <c r="AC28" s="90"/>
      <c r="AD28" s="90"/>
      <c r="AE28" s="91"/>
    </row>
    <row r="29" spans="1:52" s="59" customFormat="1">
      <c r="V29" s="72"/>
      <c r="W29" s="73"/>
      <c r="X29" s="73"/>
      <c r="Y29" s="73"/>
      <c r="Z29" s="74"/>
      <c r="AA29" s="72">
        <v>45793</v>
      </c>
      <c r="AB29" s="73"/>
      <c r="AC29" s="73"/>
      <c r="AD29" s="73"/>
      <c r="AE29" s="74"/>
    </row>
    <row r="30" spans="1:52" s="59" customFormat="1">
      <c r="V30" s="75"/>
      <c r="W30" s="76"/>
      <c r="X30" s="76"/>
      <c r="Y30" s="76"/>
      <c r="Z30" s="77"/>
      <c r="AA30" s="81" t="s">
        <v>8</v>
      </c>
      <c r="AB30" s="82"/>
      <c r="AC30" s="82"/>
      <c r="AD30" s="82"/>
      <c r="AE30" s="83"/>
    </row>
    <row r="31" spans="1:52" s="59" customFormat="1">
      <c r="V31" s="75"/>
      <c r="W31" s="76"/>
      <c r="X31" s="76"/>
      <c r="Y31" s="76"/>
      <c r="Z31" s="77"/>
      <c r="AA31" s="81"/>
      <c r="AB31" s="82"/>
      <c r="AC31" s="82"/>
      <c r="AD31" s="82"/>
      <c r="AE31" s="83"/>
    </row>
    <row r="32" spans="1:52" s="59" customFormat="1">
      <c r="V32" s="75"/>
      <c r="W32" s="76"/>
      <c r="X32" s="76"/>
      <c r="Y32" s="76"/>
      <c r="Z32" s="77"/>
      <c r="AA32" s="81"/>
      <c r="AB32" s="82"/>
      <c r="AC32" s="82"/>
      <c r="AD32" s="82"/>
      <c r="AE32" s="83"/>
    </row>
    <row r="33" spans="22:31" s="59" customFormat="1">
      <c r="V33" s="75"/>
      <c r="W33" s="76"/>
      <c r="X33" s="76"/>
      <c r="Y33" s="76"/>
      <c r="Z33" s="77"/>
      <c r="AA33" s="81"/>
      <c r="AB33" s="82"/>
      <c r="AC33" s="82"/>
      <c r="AD33" s="82"/>
      <c r="AE33" s="83"/>
    </row>
    <row r="34" spans="22:31" s="59" customFormat="1">
      <c r="V34" s="78"/>
      <c r="W34" s="79"/>
      <c r="X34" s="79"/>
      <c r="Y34" s="79"/>
      <c r="Z34" s="80"/>
      <c r="AA34" s="84"/>
      <c r="AB34" s="85"/>
      <c r="AC34" s="85"/>
      <c r="AD34" s="85"/>
      <c r="AE34" s="86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Q15" sqref="Q15:T15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98" t="s">
        <v>9</v>
      </c>
      <c r="B1" s="99"/>
      <c r="C1" s="99"/>
      <c r="D1" s="99"/>
      <c r="E1" s="99"/>
      <c r="F1" s="104" t="s">
        <v>10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13" t="s">
        <v>11</v>
      </c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3" t="s">
        <v>12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7"/>
      <c r="AS1" s="113" t="s">
        <v>13</v>
      </c>
      <c r="AT1" s="114"/>
      <c r="AU1" s="114"/>
      <c r="AV1" s="114"/>
      <c r="AW1" s="114"/>
      <c r="AX1" s="114"/>
      <c r="AY1" s="114"/>
      <c r="AZ1" s="114"/>
      <c r="BA1" s="117"/>
      <c r="BB1" s="113" t="s">
        <v>14</v>
      </c>
      <c r="BC1" s="114"/>
      <c r="BD1" s="114"/>
      <c r="BE1" s="117"/>
      <c r="BF1" s="113" t="s">
        <v>15</v>
      </c>
      <c r="BG1" s="114"/>
      <c r="BH1" s="114"/>
      <c r="BI1" s="117"/>
      <c r="BJ1" s="113" t="s">
        <v>16</v>
      </c>
      <c r="BK1" s="114"/>
      <c r="BL1" s="114"/>
      <c r="BM1" s="117"/>
      <c r="BN1" s="113" t="s">
        <v>17</v>
      </c>
      <c r="BO1" s="114"/>
      <c r="BP1" s="114"/>
      <c r="BQ1" s="117"/>
    </row>
    <row r="2" spans="1:69" ht="13.5" customHeight="1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15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5"/>
      <c r="AI2" s="116"/>
      <c r="AJ2" s="116"/>
      <c r="AK2" s="116"/>
      <c r="AL2" s="116"/>
      <c r="AM2" s="116"/>
      <c r="AN2" s="116"/>
      <c r="AO2" s="116"/>
      <c r="AP2" s="116"/>
      <c r="AQ2" s="116"/>
      <c r="AR2" s="118"/>
      <c r="AS2" s="115"/>
      <c r="AT2" s="116"/>
      <c r="AU2" s="116"/>
      <c r="AV2" s="116"/>
      <c r="AW2" s="116"/>
      <c r="AX2" s="116"/>
      <c r="AY2" s="116"/>
      <c r="AZ2" s="116"/>
      <c r="BA2" s="118"/>
      <c r="BB2" s="115"/>
      <c r="BC2" s="116"/>
      <c r="BD2" s="116"/>
      <c r="BE2" s="118"/>
      <c r="BF2" s="115"/>
      <c r="BG2" s="116"/>
      <c r="BH2" s="116"/>
      <c r="BI2" s="118"/>
      <c r="BJ2" s="115"/>
      <c r="BK2" s="116"/>
      <c r="BL2" s="116"/>
      <c r="BM2" s="118"/>
      <c r="BN2" s="115"/>
      <c r="BO2" s="116"/>
      <c r="BP2" s="116"/>
      <c r="BQ2" s="118"/>
    </row>
    <row r="3" spans="1:69" ht="13.5" customHeight="1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119" t="s">
        <v>18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3"/>
      <c r="AS3" s="119" t="s">
        <v>20</v>
      </c>
      <c r="AT3" s="120"/>
      <c r="AU3" s="120"/>
      <c r="AV3" s="120"/>
      <c r="AW3" s="120"/>
      <c r="AX3" s="120"/>
      <c r="AY3" s="120"/>
      <c r="AZ3" s="120"/>
      <c r="BA3" s="123"/>
      <c r="BB3" s="119" t="s">
        <v>8</v>
      </c>
      <c r="BC3" s="120"/>
      <c r="BD3" s="120"/>
      <c r="BE3" s="123"/>
      <c r="BF3" s="125">
        <v>45793</v>
      </c>
      <c r="BG3" s="126"/>
      <c r="BH3" s="126"/>
      <c r="BI3" s="127"/>
      <c r="BJ3" s="119"/>
      <c r="BK3" s="120"/>
      <c r="BL3" s="120"/>
      <c r="BM3" s="123"/>
      <c r="BN3" s="125"/>
      <c r="BO3" s="126"/>
      <c r="BP3" s="126"/>
      <c r="BQ3" s="127"/>
    </row>
    <row r="4" spans="1:69" ht="13.5" customHeight="1" thickBot="1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21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1"/>
      <c r="AI4" s="122"/>
      <c r="AJ4" s="122"/>
      <c r="AK4" s="122"/>
      <c r="AL4" s="122"/>
      <c r="AM4" s="122"/>
      <c r="AN4" s="122"/>
      <c r="AO4" s="122"/>
      <c r="AP4" s="122"/>
      <c r="AQ4" s="122"/>
      <c r="AR4" s="124"/>
      <c r="AS4" s="121"/>
      <c r="AT4" s="122"/>
      <c r="AU4" s="122"/>
      <c r="AV4" s="122"/>
      <c r="AW4" s="122"/>
      <c r="AX4" s="122"/>
      <c r="AY4" s="122"/>
      <c r="AZ4" s="122"/>
      <c r="BA4" s="124"/>
      <c r="BB4" s="121"/>
      <c r="BC4" s="122"/>
      <c r="BD4" s="122"/>
      <c r="BE4" s="124"/>
      <c r="BF4" s="128"/>
      <c r="BG4" s="129"/>
      <c r="BH4" s="129"/>
      <c r="BI4" s="130"/>
      <c r="BJ4" s="121"/>
      <c r="BK4" s="122"/>
      <c r="BL4" s="122"/>
      <c r="BM4" s="124"/>
      <c r="BN4" s="128"/>
      <c r="BO4" s="129"/>
      <c r="BP4" s="129"/>
      <c r="BQ4" s="130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37" t="s">
        <v>21</v>
      </c>
      <c r="C7" s="137"/>
      <c r="D7" s="134" t="s">
        <v>22</v>
      </c>
      <c r="E7" s="135"/>
      <c r="F7" s="135"/>
      <c r="G7" s="136"/>
      <c r="H7" s="137" t="s">
        <v>23</v>
      </c>
      <c r="I7" s="137"/>
      <c r="J7" s="137"/>
      <c r="K7" s="137"/>
      <c r="L7" s="137" t="s">
        <v>24</v>
      </c>
      <c r="M7" s="137"/>
      <c r="N7" s="137"/>
      <c r="O7" s="134" t="s">
        <v>25</v>
      </c>
      <c r="P7" s="136"/>
      <c r="Q7" s="131" t="s">
        <v>26</v>
      </c>
      <c r="R7" s="132"/>
      <c r="S7" s="132"/>
      <c r="T7" s="133"/>
      <c r="U7" s="134" t="s">
        <v>27</v>
      </c>
      <c r="V7" s="135"/>
      <c r="W7" s="135"/>
      <c r="X7" s="135"/>
      <c r="Y7" s="135"/>
      <c r="Z7" s="135"/>
      <c r="AA7" s="135"/>
      <c r="AB7" s="135"/>
      <c r="AC7" s="135"/>
      <c r="AD7" s="135"/>
      <c r="AE7" s="136"/>
      <c r="AF7" s="134" t="s">
        <v>28</v>
      </c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6"/>
      <c r="AY7" s="134" t="s">
        <v>29</v>
      </c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6"/>
      <c r="BQ7" s="24"/>
    </row>
    <row r="8" spans="1:69" ht="13.5" customHeight="1">
      <c r="A8" s="23"/>
      <c r="B8" s="95">
        <f t="shared" ref="B8" si="0">ROW()-7</f>
        <v>1</v>
      </c>
      <c r="C8" s="96"/>
      <c r="D8" s="138" t="s">
        <v>30</v>
      </c>
      <c r="E8" s="93"/>
      <c r="F8" s="93"/>
      <c r="G8" s="94"/>
      <c r="H8" s="97">
        <v>45793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95">
        <f t="shared" ref="B9:B51" si="1">ROW()-7</f>
        <v>2</v>
      </c>
      <c r="C9" s="96"/>
      <c r="D9" s="92"/>
      <c r="E9" s="93"/>
      <c r="F9" s="93"/>
      <c r="G9" s="94"/>
      <c r="H9" s="97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95">
        <f t="shared" si="1"/>
        <v>3</v>
      </c>
      <c r="C10" s="96"/>
      <c r="D10" s="92"/>
      <c r="E10" s="93"/>
      <c r="F10" s="93"/>
      <c r="G10" s="94"/>
      <c r="H10" s="97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95">
        <f t="shared" si="1"/>
        <v>4</v>
      </c>
      <c r="C11" s="96"/>
      <c r="D11" s="92"/>
      <c r="E11" s="93"/>
      <c r="F11" s="93"/>
      <c r="G11" s="94"/>
      <c r="H11" s="97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95">
        <f t="shared" si="1"/>
        <v>5</v>
      </c>
      <c r="C12" s="96"/>
      <c r="D12" s="92"/>
      <c r="E12" s="93"/>
      <c r="F12" s="93"/>
      <c r="G12" s="94"/>
      <c r="H12" s="97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95">
        <f t="shared" si="1"/>
        <v>6</v>
      </c>
      <c r="C13" s="96"/>
      <c r="D13" s="92"/>
      <c r="E13" s="93"/>
      <c r="F13" s="93"/>
      <c r="G13" s="94"/>
      <c r="H13" s="97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95">
        <f t="shared" si="1"/>
        <v>7</v>
      </c>
      <c r="C14" s="96"/>
      <c r="D14" s="92"/>
      <c r="E14" s="93"/>
      <c r="F14" s="93"/>
      <c r="G14" s="94"/>
      <c r="H14" s="97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95">
        <f t="shared" si="1"/>
        <v>8</v>
      </c>
      <c r="C15" s="96"/>
      <c r="D15" s="92"/>
      <c r="E15" s="93"/>
      <c r="F15" s="93"/>
      <c r="G15" s="94"/>
      <c r="H15" s="97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95">
        <f t="shared" si="1"/>
        <v>9</v>
      </c>
      <c r="C16" s="96"/>
      <c r="D16" s="92"/>
      <c r="E16" s="93"/>
      <c r="F16" s="93"/>
      <c r="G16" s="94"/>
      <c r="H16" s="97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95">
        <f t="shared" si="1"/>
        <v>10</v>
      </c>
      <c r="C17" s="96"/>
      <c r="D17" s="92"/>
      <c r="E17" s="93"/>
      <c r="F17" s="93"/>
      <c r="G17" s="94"/>
      <c r="H17" s="97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95">
        <f t="shared" si="1"/>
        <v>11</v>
      </c>
      <c r="C18" s="96"/>
      <c r="D18" s="92"/>
      <c r="E18" s="93"/>
      <c r="F18" s="93"/>
      <c r="G18" s="94"/>
      <c r="H18" s="97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95">
        <f t="shared" si="1"/>
        <v>12</v>
      </c>
      <c r="C19" s="96"/>
      <c r="D19" s="92"/>
      <c r="E19" s="93"/>
      <c r="F19" s="93"/>
      <c r="G19" s="94"/>
      <c r="H19" s="97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95">
        <f t="shared" si="1"/>
        <v>13</v>
      </c>
      <c r="C20" s="96"/>
      <c r="D20" s="92"/>
      <c r="E20" s="93"/>
      <c r="F20" s="93"/>
      <c r="G20" s="94"/>
      <c r="H20" s="97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95">
        <f t="shared" si="1"/>
        <v>14</v>
      </c>
      <c r="C21" s="96"/>
      <c r="D21" s="92"/>
      <c r="E21" s="93"/>
      <c r="F21" s="93"/>
      <c r="G21" s="94"/>
      <c r="H21" s="97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95">
        <f t="shared" si="1"/>
        <v>15</v>
      </c>
      <c r="C22" s="96"/>
      <c r="D22" s="92"/>
      <c r="E22" s="93"/>
      <c r="F22" s="93"/>
      <c r="G22" s="94"/>
      <c r="H22" s="97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95">
        <f t="shared" si="1"/>
        <v>16</v>
      </c>
      <c r="C23" s="96"/>
      <c r="D23" s="92"/>
      <c r="E23" s="93"/>
      <c r="F23" s="93"/>
      <c r="G23" s="94"/>
      <c r="H23" s="97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95">
        <f t="shared" si="1"/>
        <v>17</v>
      </c>
      <c r="C24" s="96"/>
      <c r="D24" s="92"/>
      <c r="E24" s="93"/>
      <c r="F24" s="93"/>
      <c r="G24" s="94"/>
      <c r="H24" s="97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95">
        <f t="shared" si="1"/>
        <v>18</v>
      </c>
      <c r="C25" s="96"/>
      <c r="D25" s="92"/>
      <c r="E25" s="93"/>
      <c r="F25" s="93"/>
      <c r="G25" s="94"/>
      <c r="H25" s="97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95">
        <f t="shared" si="1"/>
        <v>19</v>
      </c>
      <c r="C26" s="96"/>
      <c r="D26" s="92"/>
      <c r="E26" s="93"/>
      <c r="F26" s="93"/>
      <c r="G26" s="94"/>
      <c r="H26" s="97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95">
        <f t="shared" si="1"/>
        <v>20</v>
      </c>
      <c r="C27" s="96"/>
      <c r="D27" s="92"/>
      <c r="E27" s="93"/>
      <c r="F27" s="93"/>
      <c r="G27" s="94"/>
      <c r="H27" s="97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95">
        <f t="shared" si="1"/>
        <v>21</v>
      </c>
      <c r="C28" s="96"/>
      <c r="D28" s="92"/>
      <c r="E28" s="93"/>
      <c r="F28" s="93"/>
      <c r="G28" s="94"/>
      <c r="H28" s="97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95">
        <f t="shared" si="1"/>
        <v>22</v>
      </c>
      <c r="C29" s="96"/>
      <c r="D29" s="92"/>
      <c r="E29" s="93"/>
      <c r="F29" s="93"/>
      <c r="G29" s="94"/>
      <c r="H29" s="97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95">
        <f t="shared" si="1"/>
        <v>23</v>
      </c>
      <c r="C30" s="96"/>
      <c r="D30" s="92"/>
      <c r="E30" s="93"/>
      <c r="F30" s="93"/>
      <c r="G30" s="94"/>
      <c r="H30" s="97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95">
        <f t="shared" si="1"/>
        <v>24</v>
      </c>
      <c r="C31" s="96"/>
      <c r="D31" s="92"/>
      <c r="E31" s="93"/>
      <c r="F31" s="93"/>
      <c r="G31" s="94"/>
      <c r="H31" s="97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95">
        <f t="shared" si="1"/>
        <v>25</v>
      </c>
      <c r="C32" s="96"/>
      <c r="D32" s="92"/>
      <c r="E32" s="93"/>
      <c r="F32" s="93"/>
      <c r="G32" s="94"/>
      <c r="H32" s="97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95">
        <f t="shared" si="1"/>
        <v>26</v>
      </c>
      <c r="C33" s="96"/>
      <c r="D33" s="92"/>
      <c r="E33" s="93"/>
      <c r="F33" s="93"/>
      <c r="G33" s="94"/>
      <c r="H33" s="97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95">
        <f t="shared" si="1"/>
        <v>27</v>
      </c>
      <c r="C34" s="96"/>
      <c r="D34" s="92"/>
      <c r="E34" s="93"/>
      <c r="F34" s="93"/>
      <c r="G34" s="94"/>
      <c r="H34" s="97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95">
        <f t="shared" si="1"/>
        <v>28</v>
      </c>
      <c r="C35" s="96"/>
      <c r="D35" s="92"/>
      <c r="E35" s="93"/>
      <c r="F35" s="93"/>
      <c r="G35" s="94"/>
      <c r="H35" s="97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95">
        <f t="shared" si="1"/>
        <v>29</v>
      </c>
      <c r="C36" s="96"/>
      <c r="D36" s="92"/>
      <c r="E36" s="93"/>
      <c r="F36" s="93"/>
      <c r="G36" s="94"/>
      <c r="H36" s="97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95">
        <f t="shared" si="1"/>
        <v>30</v>
      </c>
      <c r="C37" s="96"/>
      <c r="D37" s="92"/>
      <c r="E37" s="93"/>
      <c r="F37" s="93"/>
      <c r="G37" s="94"/>
      <c r="H37" s="97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95">
        <f t="shared" si="1"/>
        <v>31</v>
      </c>
      <c r="C38" s="96"/>
      <c r="D38" s="92"/>
      <c r="E38" s="93"/>
      <c r="F38" s="93"/>
      <c r="G38" s="94"/>
      <c r="H38" s="97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95">
        <f t="shared" si="1"/>
        <v>32</v>
      </c>
      <c r="C39" s="96"/>
      <c r="D39" s="92"/>
      <c r="E39" s="93"/>
      <c r="F39" s="93"/>
      <c r="G39" s="94"/>
      <c r="H39" s="97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95">
        <f t="shared" si="1"/>
        <v>33</v>
      </c>
      <c r="C40" s="96"/>
      <c r="D40" s="92"/>
      <c r="E40" s="93"/>
      <c r="F40" s="93"/>
      <c r="G40" s="94"/>
      <c r="H40" s="97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95">
        <f t="shared" si="1"/>
        <v>34</v>
      </c>
      <c r="C41" s="96"/>
      <c r="D41" s="92"/>
      <c r="E41" s="93"/>
      <c r="F41" s="93"/>
      <c r="G41" s="94"/>
      <c r="H41" s="97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95">
        <f t="shared" si="1"/>
        <v>35</v>
      </c>
      <c r="C42" s="96"/>
      <c r="D42" s="92"/>
      <c r="E42" s="93"/>
      <c r="F42" s="93"/>
      <c r="G42" s="94"/>
      <c r="H42" s="97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95">
        <f t="shared" si="1"/>
        <v>36</v>
      </c>
      <c r="C43" s="96"/>
      <c r="D43" s="92"/>
      <c r="E43" s="93"/>
      <c r="F43" s="93"/>
      <c r="G43" s="94"/>
      <c r="H43" s="97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95">
        <f t="shared" si="1"/>
        <v>37</v>
      </c>
      <c r="C44" s="96"/>
      <c r="D44" s="92"/>
      <c r="E44" s="93"/>
      <c r="F44" s="93"/>
      <c r="G44" s="94"/>
      <c r="H44" s="97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95">
        <f t="shared" si="1"/>
        <v>38</v>
      </c>
      <c r="C45" s="96"/>
      <c r="D45" s="92"/>
      <c r="E45" s="93"/>
      <c r="F45" s="93"/>
      <c r="G45" s="94"/>
      <c r="H45" s="97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95">
        <f t="shared" si="1"/>
        <v>39</v>
      </c>
      <c r="C46" s="96"/>
      <c r="D46" s="92"/>
      <c r="E46" s="93"/>
      <c r="F46" s="93"/>
      <c r="G46" s="94"/>
      <c r="H46" s="97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95">
        <f t="shared" si="1"/>
        <v>40</v>
      </c>
      <c r="C47" s="96"/>
      <c r="D47" s="92"/>
      <c r="E47" s="93"/>
      <c r="F47" s="93"/>
      <c r="G47" s="94"/>
      <c r="H47" s="97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95">
        <f t="shared" si="1"/>
        <v>41</v>
      </c>
      <c r="C48" s="96"/>
      <c r="D48" s="92"/>
      <c r="E48" s="93"/>
      <c r="F48" s="93"/>
      <c r="G48" s="94"/>
      <c r="H48" s="97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95">
        <f t="shared" si="1"/>
        <v>42</v>
      </c>
      <c r="C49" s="96"/>
      <c r="D49" s="92"/>
      <c r="E49" s="93"/>
      <c r="F49" s="93"/>
      <c r="G49" s="94"/>
      <c r="H49" s="97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95">
        <f t="shared" si="1"/>
        <v>43</v>
      </c>
      <c r="C50" s="96"/>
      <c r="D50" s="92"/>
      <c r="E50" s="93"/>
      <c r="F50" s="93"/>
      <c r="G50" s="94"/>
      <c r="H50" s="97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95">
        <f t="shared" si="1"/>
        <v>44</v>
      </c>
      <c r="C51" s="96"/>
      <c r="D51" s="92"/>
      <c r="E51" s="93"/>
      <c r="F51" s="93"/>
      <c r="G51" s="94"/>
      <c r="H51" s="97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98" t="s">
        <v>9</v>
      </c>
      <c r="B1" s="99"/>
      <c r="C1" s="99"/>
      <c r="D1" s="99"/>
      <c r="E1" s="99"/>
      <c r="F1" s="99"/>
      <c r="G1" s="104" t="s">
        <v>10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13" t="s">
        <v>11</v>
      </c>
      <c r="S1" s="114"/>
      <c r="T1" s="114"/>
      <c r="U1" s="114"/>
      <c r="V1" s="114"/>
      <c r="W1" s="114"/>
      <c r="X1" s="114"/>
      <c r="Y1" s="114"/>
      <c r="Z1" s="117"/>
      <c r="AA1" s="113" t="s">
        <v>12</v>
      </c>
      <c r="AB1" s="114"/>
      <c r="AC1" s="114"/>
      <c r="AD1" s="114"/>
      <c r="AE1" s="117"/>
      <c r="AF1" s="113" t="s">
        <v>13</v>
      </c>
      <c r="AG1" s="114"/>
      <c r="AH1" s="114"/>
      <c r="AI1" s="114"/>
      <c r="AJ1" s="114"/>
      <c r="AK1" s="113" t="s">
        <v>14</v>
      </c>
      <c r="AL1" s="114"/>
      <c r="AM1" s="114"/>
      <c r="AN1" s="114"/>
      <c r="AO1" s="113" t="s">
        <v>15</v>
      </c>
      <c r="AP1" s="114"/>
      <c r="AQ1" s="114"/>
      <c r="AR1" s="114"/>
      <c r="AS1" s="113" t="s">
        <v>16</v>
      </c>
      <c r="AT1" s="114"/>
      <c r="AU1" s="114"/>
      <c r="AV1" s="117"/>
      <c r="AW1" s="113" t="s">
        <v>17</v>
      </c>
      <c r="AX1" s="114"/>
      <c r="AY1" s="114"/>
      <c r="AZ1" s="117"/>
    </row>
    <row r="2" spans="1:53" ht="13.5" customHeight="1">
      <c r="A2" s="100"/>
      <c r="B2" s="101"/>
      <c r="C2" s="101"/>
      <c r="D2" s="101"/>
      <c r="E2" s="101"/>
      <c r="F2" s="101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5"/>
      <c r="S2" s="116"/>
      <c r="T2" s="116"/>
      <c r="U2" s="116"/>
      <c r="V2" s="116"/>
      <c r="W2" s="116"/>
      <c r="X2" s="116"/>
      <c r="Y2" s="116"/>
      <c r="Z2" s="118"/>
      <c r="AA2" s="115"/>
      <c r="AB2" s="116"/>
      <c r="AC2" s="116"/>
      <c r="AD2" s="116"/>
      <c r="AE2" s="118"/>
      <c r="AF2" s="115"/>
      <c r="AG2" s="116"/>
      <c r="AH2" s="116"/>
      <c r="AI2" s="116"/>
      <c r="AJ2" s="116"/>
      <c r="AK2" s="115"/>
      <c r="AL2" s="116"/>
      <c r="AM2" s="116"/>
      <c r="AN2" s="116"/>
      <c r="AO2" s="115"/>
      <c r="AP2" s="116"/>
      <c r="AQ2" s="116"/>
      <c r="AR2" s="116"/>
      <c r="AS2" s="115"/>
      <c r="AT2" s="116"/>
      <c r="AU2" s="116"/>
      <c r="AV2" s="118"/>
      <c r="AW2" s="115"/>
      <c r="AX2" s="116"/>
      <c r="AY2" s="116"/>
      <c r="AZ2" s="118"/>
    </row>
    <row r="3" spans="1:53" ht="13.5" customHeight="1">
      <c r="A3" s="100"/>
      <c r="B3" s="101"/>
      <c r="C3" s="101"/>
      <c r="D3" s="101"/>
      <c r="E3" s="101"/>
      <c r="F3" s="101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19" t="str">
        <f>変更履歴!T3</f>
        <v>住友化学</v>
      </c>
      <c r="S3" s="120"/>
      <c r="T3" s="120"/>
      <c r="U3" s="120"/>
      <c r="V3" s="120"/>
      <c r="W3" s="120"/>
      <c r="X3" s="120"/>
      <c r="Y3" s="120"/>
      <c r="Z3" s="123"/>
      <c r="AA3" s="119" t="str">
        <f>変更履歴!AH3</f>
        <v>SMK</v>
      </c>
      <c r="AB3" s="120"/>
      <c r="AC3" s="120"/>
      <c r="AD3" s="120"/>
      <c r="AE3" s="123"/>
      <c r="AF3" s="119" t="str">
        <f>変更履歴!AS3</f>
        <v>請求確認</v>
      </c>
      <c r="AG3" s="120"/>
      <c r="AH3" s="120"/>
      <c r="AI3" s="120"/>
      <c r="AJ3" s="120"/>
      <c r="AK3" s="119" t="str">
        <f>変更履歴!BB3</f>
        <v>FJ)カーマン</v>
      </c>
      <c r="AL3" s="120"/>
      <c r="AM3" s="120"/>
      <c r="AN3" s="120"/>
      <c r="AO3" s="125">
        <f>変更履歴!BF3</f>
        <v>45793</v>
      </c>
      <c r="AP3" s="126"/>
      <c r="AQ3" s="126"/>
      <c r="AR3" s="126"/>
      <c r="AS3" s="119"/>
      <c r="AT3" s="120"/>
      <c r="AU3" s="120"/>
      <c r="AV3" s="120"/>
      <c r="AW3" s="125"/>
      <c r="AX3" s="126"/>
      <c r="AY3" s="126"/>
      <c r="AZ3" s="127"/>
    </row>
    <row r="4" spans="1:53" ht="13.5" customHeight="1" thickBot="1">
      <c r="A4" s="102"/>
      <c r="B4" s="103"/>
      <c r="C4" s="103"/>
      <c r="D4" s="103"/>
      <c r="E4" s="103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21"/>
      <c r="S4" s="122"/>
      <c r="T4" s="122"/>
      <c r="U4" s="122"/>
      <c r="V4" s="122"/>
      <c r="W4" s="122"/>
      <c r="X4" s="122"/>
      <c r="Y4" s="122"/>
      <c r="Z4" s="124"/>
      <c r="AA4" s="121"/>
      <c r="AB4" s="122"/>
      <c r="AC4" s="122"/>
      <c r="AD4" s="122"/>
      <c r="AE4" s="124"/>
      <c r="AF4" s="121"/>
      <c r="AG4" s="122"/>
      <c r="AH4" s="122"/>
      <c r="AI4" s="122"/>
      <c r="AJ4" s="122"/>
      <c r="AK4" s="121"/>
      <c r="AL4" s="122"/>
      <c r="AM4" s="122"/>
      <c r="AN4" s="122"/>
      <c r="AO4" s="128"/>
      <c r="AP4" s="129"/>
      <c r="AQ4" s="129"/>
      <c r="AR4" s="129"/>
      <c r="AS4" s="121"/>
      <c r="AT4" s="122"/>
      <c r="AU4" s="122"/>
      <c r="AV4" s="122"/>
      <c r="AW4" s="128"/>
      <c r="AX4" s="129"/>
      <c r="AY4" s="129"/>
      <c r="AZ4" s="130"/>
    </row>
    <row r="5" spans="1:53" ht="13.5" customHeight="1"/>
    <row r="6" spans="1:53" s="2" customFormat="1" ht="13.5" customHeight="1">
      <c r="A6" s="139" t="s">
        <v>35</v>
      </c>
      <c r="B6" s="151"/>
      <c r="C6" s="151"/>
      <c r="D6" s="151"/>
      <c r="E6" s="151"/>
      <c r="F6" s="152"/>
      <c r="G6" s="164" t="s">
        <v>36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6"/>
      <c r="AB6" s="139" t="s">
        <v>37</v>
      </c>
      <c r="AC6" s="151"/>
      <c r="AD6" s="151"/>
      <c r="AE6" s="151"/>
      <c r="AF6" s="151"/>
      <c r="AG6" s="152"/>
      <c r="AH6" s="164" t="s">
        <v>38</v>
      </c>
      <c r="AI6" s="165"/>
      <c r="AJ6" s="165"/>
      <c r="AK6" s="165"/>
      <c r="AL6" s="165"/>
      <c r="AM6" s="165"/>
      <c r="AN6" s="165"/>
      <c r="AO6" s="166"/>
      <c r="AP6" s="139" t="s">
        <v>39</v>
      </c>
      <c r="AQ6" s="151"/>
      <c r="AR6" s="151"/>
      <c r="AS6" s="151"/>
      <c r="AT6" s="151"/>
      <c r="AU6" s="152"/>
      <c r="AV6" s="161" t="s">
        <v>40</v>
      </c>
      <c r="AW6" s="162"/>
      <c r="AX6" s="162"/>
      <c r="AY6" s="162"/>
      <c r="AZ6" s="163"/>
    </row>
    <row r="7" spans="1:53" ht="13.5" customHeight="1">
      <c r="A7" s="139" t="s">
        <v>41</v>
      </c>
      <c r="B7" s="151"/>
      <c r="C7" s="151"/>
      <c r="D7" s="151"/>
      <c r="E7" s="151"/>
      <c r="F7" s="152"/>
      <c r="G7" s="164" t="s">
        <v>42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6"/>
      <c r="AB7" s="139" t="s">
        <v>43</v>
      </c>
      <c r="AC7" s="140"/>
      <c r="AD7" s="140"/>
      <c r="AE7" s="140"/>
      <c r="AF7" s="140"/>
      <c r="AG7" s="141"/>
      <c r="AH7" s="164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6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2" t="s">
        <v>44</v>
      </c>
      <c r="B9" s="153"/>
      <c r="C9" s="153"/>
      <c r="D9" s="154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2" t="s">
        <v>46</v>
      </c>
      <c r="AJ9" s="143"/>
      <c r="AK9" s="144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55"/>
      <c r="B10" s="156"/>
      <c r="C10" s="156"/>
      <c r="D10" s="157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5"/>
      <c r="AJ10" s="146"/>
      <c r="AK10" s="147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58"/>
      <c r="B11" s="159"/>
      <c r="C11" s="159"/>
      <c r="D11" s="160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8"/>
      <c r="AJ11" s="149"/>
      <c r="AK11" s="150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67" t="s">
        <v>50</v>
      </c>
      <c r="B12" s="168"/>
      <c r="C12" s="168"/>
      <c r="D12" s="169"/>
      <c r="E12" s="170" t="s">
        <v>51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2"/>
    </row>
    <row r="13" spans="1:53" ht="13.5" customHeight="1">
      <c r="A13" s="176" t="s">
        <v>52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8"/>
      <c r="BA13" s="37"/>
    </row>
    <row r="14" spans="1:53" ht="13.5" customHeight="1">
      <c r="A14" s="66" t="s">
        <v>53</v>
      </c>
      <c r="B14" s="179" t="s">
        <v>54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 t="s">
        <v>55</v>
      </c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 t="s">
        <v>56</v>
      </c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 t="s">
        <v>57</v>
      </c>
      <c r="AX14" s="179"/>
      <c r="AY14" s="179"/>
      <c r="AZ14" s="179"/>
      <c r="BA14" s="37"/>
    </row>
    <row r="15" spans="1:53" ht="13.5" customHeight="1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3" t="s">
        <v>61</v>
      </c>
      <c r="AX15" s="174"/>
      <c r="AY15" s="174"/>
      <c r="AZ15" s="175"/>
      <c r="BA15" s="37"/>
    </row>
    <row r="16" spans="1:53" ht="13.5" customHeight="1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3" t="s">
        <v>61</v>
      </c>
      <c r="AX16" s="174"/>
      <c r="AY16" s="174"/>
      <c r="AZ16" s="175"/>
      <c r="BA16" s="9"/>
    </row>
    <row r="17" spans="1:54" ht="13.5" customHeight="1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3" t="s">
        <v>61</v>
      </c>
      <c r="AX17" s="174"/>
      <c r="AY17" s="174"/>
      <c r="AZ17" s="175"/>
      <c r="BA17" s="37"/>
    </row>
    <row r="18" spans="1:54" ht="13.5" customHeight="1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3" t="s">
        <v>68</v>
      </c>
      <c r="AX18" s="174"/>
      <c r="AY18" s="174"/>
      <c r="AZ18" s="175"/>
      <c r="BA18" s="37"/>
    </row>
    <row r="19" spans="1:54" ht="13.5" customHeight="1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3" t="s">
        <v>68</v>
      </c>
      <c r="AX19" s="174"/>
      <c r="AY19" s="174"/>
      <c r="AZ19" s="175"/>
      <c r="BA19" s="9"/>
    </row>
    <row r="20" spans="1:54" ht="13.5" customHeight="1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3" t="s">
        <v>68</v>
      </c>
      <c r="AX20" s="174"/>
      <c r="AY20" s="174"/>
      <c r="AZ20" s="175"/>
      <c r="BA20" s="37"/>
    </row>
    <row r="21" spans="1:54" ht="13.5" customHeight="1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3"/>
      <c r="AX21" s="174"/>
      <c r="AY21" s="174"/>
      <c r="AZ21" s="175"/>
      <c r="BA21" s="37"/>
    </row>
    <row r="22" spans="1:54" ht="13.5" customHeight="1">
      <c r="A22" s="139" t="s">
        <v>10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1"/>
      <c r="AK22" s="139" t="s">
        <v>73</v>
      </c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1"/>
    </row>
    <row r="23" spans="1:54" s="2" customFormat="1" ht="13.5" customHeight="1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>
      <c r="A28" s="7"/>
      <c r="AJ28" s="13"/>
      <c r="AK28" s="54" t="s">
        <v>78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>
      <c r="A29" s="7"/>
      <c r="AJ29" s="14"/>
      <c r="AK29" s="54" t="s">
        <v>79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>
      <c r="A30" s="40"/>
      <c r="AJ30" s="14"/>
      <c r="AK30" s="54"/>
      <c r="AL30" s="1" t="s">
        <v>80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>
      <c r="A31" s="41"/>
      <c r="AJ31" s="13"/>
      <c r="AK31" s="54"/>
      <c r="AL31" s="1" t="s">
        <v>81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>
      <c r="A32" s="41"/>
      <c r="AJ32" s="14"/>
      <c r="AK32" s="54"/>
      <c r="AL32" s="1" t="s">
        <v>82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>
      <c r="A41" s="41"/>
      <c r="W41" s="1" t="s">
        <v>83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>
      <c r="A43" s="41"/>
      <c r="O43" s="1" t="s">
        <v>84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>
      <c r="A84" s="1"/>
      <c r="B84" s="180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>
      <c r="A85" s="1"/>
      <c r="B85" s="180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>
      <c r="A86" s="1"/>
      <c r="B86" s="180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>
      <c r="A87" s="1"/>
      <c r="B87" s="180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>
      <c r="A88" s="1"/>
      <c r="B88" s="180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>
      <c r="A89" s="1"/>
      <c r="B89" s="180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>
      <c r="A90" s="1"/>
      <c r="B90" s="180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/>
    <row r="92" spans="1:53" ht="13.5" customHeight="1"/>
    <row r="93" spans="1:53" ht="13.5" customHeight="1"/>
    <row r="94" spans="1:53" ht="13.5" customHeight="1"/>
    <row r="95" spans="1:53" ht="13.5" customHeight="1"/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85</v>
      </c>
      <c r="C3" t="s">
        <v>86</v>
      </c>
    </row>
    <row r="4" spans="1:3">
      <c r="A4" t="s">
        <v>87</v>
      </c>
      <c r="C4" t="s">
        <v>88</v>
      </c>
    </row>
    <row r="5" spans="1:3">
      <c r="C5" t="s">
        <v>89</v>
      </c>
    </row>
    <row r="6" spans="1:3">
      <c r="C6" t="s">
        <v>90</v>
      </c>
    </row>
    <row r="7" spans="1:3">
      <c r="C7" t="s">
        <v>91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/>
</file>

<file path=customXml/itemProps2.xml><?xml version="1.0" encoding="utf-8"?>
<ds:datastoreItem xmlns:ds="http://schemas.openxmlformats.org/officeDocument/2006/customXml" ds:itemID="{96C72110-D015-40AC-ACE2-B7541EEED7BE}"/>
</file>

<file path=customXml/itemProps3.xml><?xml version="1.0" encoding="utf-8"?>
<ds:datastoreItem xmlns:ds="http://schemas.openxmlformats.org/officeDocument/2006/customXml" ds:itemID="{FC9950CA-6B6C-450A-AF89-57C30B19E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Hasni, Hani Safinaz Binti</cp:lastModifiedBy>
  <cp:revision/>
  <dcterms:created xsi:type="dcterms:W3CDTF">2003-10-15T05:19:34Z</dcterms:created>
  <dcterms:modified xsi:type="dcterms:W3CDTF">2025-06-24T07:33:37Z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