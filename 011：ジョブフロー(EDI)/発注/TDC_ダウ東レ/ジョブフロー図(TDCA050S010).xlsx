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TDC_ダウ東レ\"/>
    </mc:Choice>
  </mc:AlternateContent>
  <xr:revisionPtr revIDLastSave="0" documentId="13_ncr:1_{E299BBC9-AB03-417A-80C2-A51A9E89EC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<sst xmlns="http://schemas.openxmlformats.org/spreadsheetml/2006/main" count="155" uniqueCount="108">
  <si>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</si>
  <si>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</si>
  <si>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</si>
  <si>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</si>
  <si>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</si>
  <si>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</si>
  <si>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</si>
  <si>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</si>
  <si>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</si>
  <si>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</si>
  <si>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</si>
  <si>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</si>
  <si>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</si>
  <si>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</si>
  <si>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</si>
  <si>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</si>
  <si>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</si>
  <si>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</si>
  <si>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</si>
  <si>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</si>
  <si>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</si>
  <si>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</si>
  <si>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</si>
  <si>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</si>
  <si>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</si>
  <si>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</si>
  <si>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</si>
  <si>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</si>
  <si>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</si>
  <si>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</si>
  <si>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</si>
  <si>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</si>
  <si>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</si>
  <si>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</si>
  <si>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</si>
  <si>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</si>
  <si>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</si>
  <si>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</si>
  <si>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</si>
  <si>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</si>
  <si>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</si>
  <si>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</si>
  <si>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</si>
  <si>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</si>
  <si>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</si>
  <si>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</si>
  <si>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</si>
  <si>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</si>
  <si>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</si>
  <si>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</si>
  <si>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</si>
  <si>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</si>
  <si>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</si>
  <si>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</si>
  <si>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</si>
  <si>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</si>
  <si>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</si>
  <si>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</si>
  <si>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</si>
  <si>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</si>
  <si>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</si>
  <si>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</si>
  <si>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</si>
  <si>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</si>
  <si>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</si>
  <si>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</si>
  <si>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</si>
  <si>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</si>
  <si>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</si>
  <si>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</si>
  <si>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</si>
  <si>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</si>
  <si>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</si>
  <si>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</si>
  <si>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</si>
  <si>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</si>
  <si>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</si>
  <si>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</si>
  <si>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</si>
  <si>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</si>
  <si>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</si>
  <si>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</si>
  <si>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</si>
  <si>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</si>
  <si>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</si>
  <si>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</si>
  <si>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</si>
  <si>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</si>
  <si>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</si>
  <si>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</si>
  <si>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</si>
  <si>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</si>
  <si>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</si>
  <si>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</si>
  <si>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</si>
  <si>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</si>
  <si>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</si>
  <si>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ジョブフロー図(TDCA050S010)</t>
    <rPh sb="6" eb="7">
      <t>ズ</t>
    </rPh>
    <phoneticPr fontId="2"/>
  </si>
  <si>
    <t>機能名称：ダウ東レ_発注データ抽出</t>
    <rPh sb="0" eb="2">
      <t>キノウ</t>
    </rPh>
    <rPh sb="2" eb="4">
      <t>メイショウ</t>
    </rPh>
    <phoneticPr fontId="2"/>
  </si>
  <si>
    <t>FJ)カーマン</t>
    <phoneticPr fontId="2"/>
  </si>
  <si>
    <t>ダウ東レ</t>
    <phoneticPr fontId="2"/>
  </si>
  <si>
    <t>TDC</t>
  </si>
  <si>
    <t>TDCA050S010</t>
  </si>
  <si>
    <t>p_t_TDC_発注_010</t>
  </si>
  <si>
    <t>p_t_TDC_発注_020</t>
  </si>
  <si>
    <t>ダウ東レ_発注データ抽出</t>
  </si>
  <si>
    <t>3.wf_TDC_A050_210</t>
    <phoneticPr fontId="2"/>
  </si>
  <si>
    <t>5.wf_TDC_A050_220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</si>
</sst>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(p_t_TDC_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wf_TDC_A050_220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(TDCA050S02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TDCA050S020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ダウ東レ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89856</xdr:colOff>
      <xdr:row>65</xdr:row>
      <xdr:rowOff>159203</xdr:rowOff>
    </xdr:from>
    <xdr:to>
      <xdr:col>27</xdr:col>
      <xdr:colOff>104956</xdr:colOff>
      <xdr:row>68</xdr:row>
      <xdr:rowOff>167995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4290381" y="11303453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31417</xdr:colOff>
      <xdr:row>69</xdr:row>
      <xdr:rowOff>103167</xdr:rowOff>
    </xdr:from>
    <xdr:to>
      <xdr:col>13</xdr:col>
      <xdr:colOff>31961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</xdr:cNvCxnSpPr>
      </xdr:nvCxnSpPr>
      <xdr:spPr bwMode="auto">
        <a:xfrm>
          <a:off x="2631742" y="11933217"/>
          <a:ext cx="544" cy="71643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123825</xdr:colOff>
      <xdr:row>67</xdr:row>
      <xdr:rowOff>152400</xdr:rowOff>
    </xdr:from>
    <xdr:to>
      <xdr:col>20</xdr:col>
      <xdr:colOff>171450</xdr:colOff>
      <xdr:row>69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3324225" y="11639550"/>
          <a:ext cx="847725" cy="19050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21</xdr:col>
      <xdr:colOff>88614</xdr:colOff>
      <xdr:row>69</xdr:row>
      <xdr:rowOff>65819</xdr:rowOff>
    </xdr:from>
    <xdr:to>
      <xdr:col>27</xdr:col>
      <xdr:colOff>103714</xdr:colOff>
      <xdr:row>72</xdr:row>
      <xdr:rowOff>74612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4289139" y="11895869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wf_TDC_A050_210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(p_t_TDC_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(TDCA050S01001)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="85" zoomScaleNormal="100" zoomScaleSheetLayoutView="85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55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97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98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3">
        <v>45783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ht="13.5" customHeigh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ht="13.5" customHeigh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ht="13.5" customHeigh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45783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99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="85" zoomScaleNormal="80" zoomScaleSheetLayoutView="85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100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101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67</v>
      </c>
      <c r="AT3" s="130"/>
      <c r="AU3" s="130"/>
      <c r="AV3" s="130"/>
      <c r="AW3" s="130"/>
      <c r="AX3" s="130"/>
      <c r="AY3" s="130"/>
      <c r="AZ3" s="130"/>
      <c r="BA3" s="133"/>
      <c r="BB3" s="129" t="s">
        <v>99</v>
      </c>
      <c r="BC3" s="130"/>
      <c r="BD3" s="130"/>
      <c r="BE3" s="133"/>
      <c r="BF3" s="135">
        <v>45783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56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57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60</v>
      </c>
      <c r="E8" s="95"/>
      <c r="F8" s="95"/>
      <c r="G8" s="96"/>
      <c r="H8" s="106">
        <v>45783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ダウ東レ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TDC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45783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102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105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43</v>
      </c>
      <c r="B12" s="177"/>
      <c r="C12" s="177"/>
      <c r="D12" s="178"/>
      <c r="E12" s="179" t="s">
        <v>44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52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49</v>
      </c>
      <c r="B14" s="147" t="s">
        <v>45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46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47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48</v>
      </c>
      <c r="AX14" s="147"/>
      <c r="AY14" s="147"/>
      <c r="AZ14" s="147"/>
      <c r="BA14" s="39"/>
    </row>
    <row r="15" spans="1:53" ht="13.5" customHeight="1" x14ac:dyDescent="0.15">
      <c r="A15" s="69">
        <f t="shared" ref="A15:A27" si="0">ROW()-14</f>
        <v>1</v>
      </c>
      <c r="B15" s="65" t="s">
        <v>103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51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103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51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103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50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103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50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103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50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104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51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 t="s">
        <v>104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 t="s">
        <v>51</v>
      </c>
      <c r="AX21" s="142"/>
      <c r="AY21" s="142"/>
      <c r="AZ21" s="143"/>
      <c r="BA21" s="39"/>
    </row>
    <row r="22" spans="1:54" ht="13.5" customHeight="1" x14ac:dyDescent="0.15">
      <c r="A22" s="69">
        <f t="shared" si="0"/>
        <v>8</v>
      </c>
      <c r="B22" s="65" t="s">
        <v>104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41" t="s">
        <v>51</v>
      </c>
      <c r="AX22" s="142"/>
      <c r="AY22" s="142"/>
      <c r="AZ22" s="143"/>
      <c r="BA22" s="11"/>
    </row>
    <row r="23" spans="1:54" ht="13.5" customHeight="1" x14ac:dyDescent="0.15">
      <c r="A23" s="69">
        <f t="shared" si="0"/>
        <v>9</v>
      </c>
      <c r="B23" s="65" t="s">
        <v>104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41" t="s">
        <v>51</v>
      </c>
      <c r="AX23" s="142"/>
      <c r="AY23" s="142"/>
      <c r="AZ23" s="143"/>
      <c r="BA23" s="11"/>
    </row>
    <row r="24" spans="1:54" ht="13.5" customHeight="1" x14ac:dyDescent="0.15">
      <c r="A24" s="69">
        <f t="shared" si="0"/>
        <v>10</v>
      </c>
      <c r="B24" s="65" t="s">
        <v>104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41" t="s">
        <v>50</v>
      </c>
      <c r="AX24" s="142"/>
      <c r="AY24" s="142"/>
      <c r="AZ24" s="143"/>
      <c r="BA24" s="39"/>
    </row>
    <row r="25" spans="1:54" ht="13.5" customHeight="1" x14ac:dyDescent="0.15">
      <c r="A25" s="69">
        <f t="shared" si="0"/>
        <v>11</v>
      </c>
      <c r="B25" s="65" t="s">
        <v>104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41" t="s">
        <v>50</v>
      </c>
      <c r="AX25" s="142"/>
      <c r="AY25" s="142"/>
      <c r="AZ25" s="143"/>
      <c r="BA25" s="39"/>
    </row>
    <row r="26" spans="1:54" ht="13.5" customHeight="1" x14ac:dyDescent="0.15">
      <c r="A26" s="69">
        <f t="shared" si="0"/>
        <v>12</v>
      </c>
      <c r="B26" s="65" t="s">
        <v>104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41" t="s">
        <v>50</v>
      </c>
      <c r="AX26" s="142"/>
      <c r="AY26" s="142"/>
      <c r="AZ26" s="143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41"/>
      <c r="AX27" s="142"/>
      <c r="AY27" s="142"/>
      <c r="AZ27" s="143"/>
      <c r="BA27" s="39"/>
    </row>
    <row r="28" spans="1:54" ht="13.5" customHeight="1" x14ac:dyDescent="0.15">
      <c r="A28" s="148" t="s">
        <v>2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50"/>
      <c r="AK28" s="148" t="s">
        <v>1</v>
      </c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50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106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107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EC6F4C-24E1-4BEF-9C87-1FAAAB5E8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2025-06-19T10:24:23Z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