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SCI_三洋化成\"/>
    </mc:Choice>
  </mc:AlternateContent>
  <xr:revisionPtr revIDLastSave="0" documentId="13_ncr:1_{2DB5AB2E-8C7C-4DEC-BBE3-AB00FB66C6AD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20" i="12"/>
  <c r="A22" i="12" l="1"/>
  <c r="A26" i="12"/>
  <c r="A25" i="12"/>
  <c r="A24" i="12"/>
  <c r="A23" i="12"/>
  <c r="A21" i="12"/>
  <c r="AF3" i="12" l="1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<sst xmlns="http://schemas.openxmlformats.org/spreadsheetml/2006/main" count="155" uniqueCount="108">
  <si>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</si>
  <si>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</si>
  <si>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</si>
  <si>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</si>
  <si>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</si>
  <si>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</si>
  <si>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</si>
  <si>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</si>
  <si>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</si>
  <si>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</si>
  <si>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</si>
  <si>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</si>
  <si>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</si>
  <si>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</si>
  <si>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</si>
  <si>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</si>
  <si>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</si>
  <si>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</si>
  <si>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</si>
  <si>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</si>
  <si>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</si>
  <si>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</si>
  <si>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</si>
  <si>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</si>
  <si>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</si>
  <si>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</si>
  <si>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</si>
  <si>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</si>
  <si>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</si>
  <si>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</si>
  <si>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</si>
  <si>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</si>
  <si>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</si>
  <si>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</si>
  <si>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</si>
  <si>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</si>
  <si>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</si>
  <si>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</si>
  <si>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</si>
  <si>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</si>
  <si>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</si>
  <si>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</si>
  <si>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</si>
  <si>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</si>
  <si>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</si>
  <si>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</si>
  <si>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</si>
  <si>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</si>
  <si>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</si>
  <si>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</si>
  <si>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</si>
  <si>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</si>
  <si>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</si>
  <si>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</si>
  <si>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</si>
  <si>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</si>
  <si>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</si>
  <si>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</si>
  <si>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</si>
  <si>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</si>
  <si>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</si>
  <si>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</si>
  <si>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</si>
  <si>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</si>
  <si>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</si>
  <si>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</si>
  <si>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</si>
  <si>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</si>
  <si>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</si>
  <si>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</si>
  <si>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</si>
  <si>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各取引先向けの連携ファイルを作成する。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</si>
  <si>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</si>
  <si>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</si>
  <si>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</si>
  <si>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</si>
  <si>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</si>
  <si>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</si>
  <si>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</si>
  <si>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</si>
  <si>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</si>
  <si>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</si>
  <si>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</si>
  <si>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</si>
  <si>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</si>
  <si>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</si>
  <si>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</si>
  <si>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件数確認結果ファイルのサイズを確認し、</t>
    <rPh sb="15" eb="17">
      <t>カクニン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</si>
  <si>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</si>
  <si>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</si>
  <si>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</si>
  <si>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</si>
  <si>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EDI採番種別</t>
    <rPh sb="3" eb="7">
      <t>サイバンシュベツ</t>
    </rPh>
    <phoneticPr fontId="2"/>
  </si>
  <si>
    <t>$InputFile_MAP_FILE</t>
    <phoneticPr fontId="2"/>
  </si>
  <si>
    <t>インプットファイルのパス</t>
    <phoneticPr fontId="2"/>
  </si>
  <si>
    <t>$$m_DATA_KOKAN_ID</t>
    <phoneticPr fontId="2"/>
  </si>
  <si>
    <t>$$m_EDI_SAIBAN_SBT</t>
    <phoneticPr fontId="2"/>
  </si>
  <si>
    <t>ジョブフロー図(SCIA050S010)</t>
    <rPh sb="6" eb="7">
      <t>ズ</t>
    </rPh>
    <phoneticPr fontId="2"/>
  </si>
  <si>
    <t>機能名称：三洋化成_発注データ抽出</t>
    <rPh sb="0" eb="2">
      <t>キノウ</t>
    </rPh>
    <rPh sb="2" eb="4">
      <t>メイショウ</t>
    </rPh>
    <phoneticPr fontId="2"/>
  </si>
  <si>
    <t>FJ)カーマン</t>
    <phoneticPr fontId="2"/>
  </si>
  <si>
    <t>三洋化成</t>
    <phoneticPr fontId="2"/>
  </si>
  <si>
    <t>SCI</t>
  </si>
  <si>
    <t>SCIA050S010</t>
  </si>
  <si>
    <t>p_t_SCI_発注_010</t>
  </si>
  <si>
    <t>p_t_SCI_発注_020</t>
  </si>
  <si>
    <t>三洋化成_発注データ抽出</t>
  </si>
  <si>
    <t>3.wf_SCI_A050_210</t>
    <phoneticPr fontId="2"/>
  </si>
  <si>
    <t>5.wf_SCI_A050_220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</si>
</sst>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(p_t_SCI_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wf_SCI_A050_220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(SCIA050S02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SCIA050S020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三洋化成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13656</xdr:colOff>
      <xdr:row>67</xdr:row>
      <xdr:rowOff>54428</xdr:rowOff>
    </xdr:from>
    <xdr:to>
      <xdr:col>28</xdr:col>
      <xdr:colOff>28756</xdr:colOff>
      <xdr:row>70</xdr:row>
      <xdr:rowOff>63220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4414206" y="1154157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21</xdr:col>
      <xdr:colOff>152400</xdr:colOff>
      <xdr:row>70</xdr:row>
      <xdr:rowOff>133350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3253740" y="11780520"/>
          <a:ext cx="1099185" cy="35433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22</xdr:col>
      <xdr:colOff>12414</xdr:colOff>
      <xdr:row>70</xdr:row>
      <xdr:rowOff>122969</xdr:rowOff>
    </xdr:from>
    <xdr:to>
      <xdr:col>28</xdr:col>
      <xdr:colOff>27514</xdr:colOff>
      <xdr:row>73</xdr:row>
      <xdr:rowOff>131762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4412964" y="12124469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wf_SCI_A050_210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(p_t_SCI_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(SCIA050S01001)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55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97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98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9">
        <v>45782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45782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99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33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34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35</v>
      </c>
      <c r="AT1" s="116"/>
      <c r="AU1" s="116"/>
      <c r="AV1" s="116"/>
      <c r="AW1" s="116"/>
      <c r="AX1" s="116"/>
      <c r="AY1" s="116"/>
      <c r="AZ1" s="116"/>
      <c r="BA1" s="119"/>
      <c r="BB1" s="115" t="s">
        <v>36</v>
      </c>
      <c r="BC1" s="116"/>
      <c r="BD1" s="116"/>
      <c r="BE1" s="119"/>
      <c r="BF1" s="115" t="s">
        <v>37</v>
      </c>
      <c r="BG1" s="116"/>
      <c r="BH1" s="116"/>
      <c r="BI1" s="119"/>
      <c r="BJ1" s="115" t="s">
        <v>38</v>
      </c>
      <c r="BK1" s="116"/>
      <c r="BL1" s="116"/>
      <c r="BM1" s="119"/>
      <c r="BN1" s="115" t="s">
        <v>39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100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101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67</v>
      </c>
      <c r="AT3" s="122"/>
      <c r="AU3" s="122"/>
      <c r="AV3" s="122"/>
      <c r="AW3" s="122"/>
      <c r="AX3" s="122"/>
      <c r="AY3" s="122"/>
      <c r="AZ3" s="122"/>
      <c r="BA3" s="125"/>
      <c r="BB3" s="121" t="s">
        <v>99</v>
      </c>
      <c r="BC3" s="122"/>
      <c r="BD3" s="122"/>
      <c r="BE3" s="125"/>
      <c r="BF3" s="127">
        <v>45782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56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57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60</v>
      </c>
      <c r="E8" s="95"/>
      <c r="F8" s="95"/>
      <c r="G8" s="96"/>
      <c r="H8" s="99">
        <v>45782</v>
      </c>
      <c r="I8" s="95"/>
      <c r="J8" s="95"/>
      <c r="K8" s="96"/>
      <c r="L8" s="94" t="s">
        <v>99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33</v>
      </c>
      <c r="S1" s="116"/>
      <c r="T1" s="116"/>
      <c r="U1" s="116"/>
      <c r="V1" s="116"/>
      <c r="W1" s="116"/>
      <c r="X1" s="116"/>
      <c r="Y1" s="116"/>
      <c r="Z1" s="119"/>
      <c r="AA1" s="115" t="s">
        <v>34</v>
      </c>
      <c r="AB1" s="116"/>
      <c r="AC1" s="116"/>
      <c r="AD1" s="116"/>
      <c r="AE1" s="119"/>
      <c r="AF1" s="115" t="s">
        <v>35</v>
      </c>
      <c r="AG1" s="116"/>
      <c r="AH1" s="116"/>
      <c r="AI1" s="116"/>
      <c r="AJ1" s="116"/>
      <c r="AK1" s="115" t="s">
        <v>36</v>
      </c>
      <c r="AL1" s="116"/>
      <c r="AM1" s="116"/>
      <c r="AN1" s="116"/>
      <c r="AO1" s="115" t="s">
        <v>37</v>
      </c>
      <c r="AP1" s="116"/>
      <c r="AQ1" s="116"/>
      <c r="AR1" s="116"/>
      <c r="AS1" s="115" t="s">
        <v>38</v>
      </c>
      <c r="AT1" s="116"/>
      <c r="AU1" s="116"/>
      <c r="AV1" s="119"/>
      <c r="AW1" s="115" t="s">
        <v>39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三洋化成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SCI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45782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102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105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71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75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43</v>
      </c>
      <c r="B12" s="170"/>
      <c r="C12" s="170"/>
      <c r="D12" s="171"/>
      <c r="E12" s="172" t="s">
        <v>44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5" t="s">
        <v>52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7"/>
      <c r="BA13" s="39"/>
    </row>
    <row r="14" spans="1:53" ht="13.5" customHeight="1" x14ac:dyDescent="0.15">
      <c r="A14" s="68" t="s">
        <v>49</v>
      </c>
      <c r="B14" s="178" t="s">
        <v>45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 t="s">
        <v>46</v>
      </c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 t="s">
        <v>47</v>
      </c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 t="s">
        <v>48</v>
      </c>
      <c r="AX14" s="178"/>
      <c r="AY14" s="178"/>
      <c r="AZ14" s="178"/>
      <c r="BA14" s="39"/>
    </row>
    <row r="15" spans="1:53" ht="13.5" customHeight="1" x14ac:dyDescent="0.15">
      <c r="A15" s="69">
        <f t="shared" ref="A15:A27" si="0">ROW()-14</f>
        <v>1</v>
      </c>
      <c r="B15" s="65" t="s">
        <v>103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9" t="s">
        <v>51</v>
      </c>
      <c r="AX15" s="180"/>
      <c r="AY15" s="180"/>
      <c r="AZ15" s="181"/>
      <c r="BA15" s="39"/>
    </row>
    <row r="16" spans="1:53" ht="13.5" customHeight="1" x14ac:dyDescent="0.15">
      <c r="A16" s="69">
        <f t="shared" si="0"/>
        <v>2</v>
      </c>
      <c r="B16" s="65" t="s">
        <v>103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68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9" t="s">
        <v>51</v>
      </c>
      <c r="AX16" s="180"/>
      <c r="AY16" s="180"/>
      <c r="AZ16" s="181"/>
      <c r="BA16" s="11"/>
    </row>
    <row r="17" spans="1:54" ht="13.5" customHeight="1" x14ac:dyDescent="0.15">
      <c r="A17" s="69">
        <f t="shared" si="0"/>
        <v>3</v>
      </c>
      <c r="B17" s="65" t="s">
        <v>103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9" t="s">
        <v>50</v>
      </c>
      <c r="AX17" s="180"/>
      <c r="AY17" s="180"/>
      <c r="AZ17" s="181"/>
      <c r="BA17" s="39"/>
    </row>
    <row r="18" spans="1:54" ht="13.5" customHeight="1" x14ac:dyDescent="0.15">
      <c r="A18" s="69">
        <f t="shared" si="0"/>
        <v>4</v>
      </c>
      <c r="B18" s="65" t="s">
        <v>103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79" t="s">
        <v>50</v>
      </c>
      <c r="AX18" s="180"/>
      <c r="AY18" s="180"/>
      <c r="AZ18" s="181"/>
      <c r="BA18" s="39"/>
    </row>
    <row r="19" spans="1:54" ht="13.5" customHeight="1" x14ac:dyDescent="0.15">
      <c r="A19" s="69">
        <f t="shared" si="0"/>
        <v>5</v>
      </c>
      <c r="B19" s="65" t="s">
        <v>103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79" t="s">
        <v>50</v>
      </c>
      <c r="AX19" s="180"/>
      <c r="AY19" s="180"/>
      <c r="AZ19" s="181"/>
      <c r="BA19" s="11"/>
    </row>
    <row r="20" spans="1:54" ht="13.5" customHeight="1" x14ac:dyDescent="0.15">
      <c r="A20" s="69">
        <f t="shared" si="0"/>
        <v>6</v>
      </c>
      <c r="B20" s="65" t="s">
        <v>104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93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94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79" t="s">
        <v>51</v>
      </c>
      <c r="AX20" s="180"/>
      <c r="AY20" s="180"/>
      <c r="AZ20" s="181"/>
      <c r="BA20" s="39"/>
    </row>
    <row r="21" spans="1:54" ht="13.5" customHeight="1" x14ac:dyDescent="0.15">
      <c r="A21" s="69">
        <f t="shared" si="0"/>
        <v>7</v>
      </c>
      <c r="B21" s="65" t="s">
        <v>104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79" t="s">
        <v>51</v>
      </c>
      <c r="AX21" s="180"/>
      <c r="AY21" s="180"/>
      <c r="AZ21" s="181"/>
      <c r="BA21" s="39"/>
    </row>
    <row r="22" spans="1:54" ht="13.5" customHeight="1" x14ac:dyDescent="0.15">
      <c r="A22" s="69">
        <f t="shared" si="0"/>
        <v>8</v>
      </c>
      <c r="B22" s="65" t="s">
        <v>104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79" t="s">
        <v>51</v>
      </c>
      <c r="AX22" s="180"/>
      <c r="AY22" s="180"/>
      <c r="AZ22" s="181"/>
      <c r="BA22" s="11"/>
    </row>
    <row r="23" spans="1:54" ht="13.5" customHeight="1" x14ac:dyDescent="0.15">
      <c r="A23" s="69">
        <f t="shared" si="0"/>
        <v>9</v>
      </c>
      <c r="B23" s="65" t="s">
        <v>104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96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92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79" t="s">
        <v>51</v>
      </c>
      <c r="AX23" s="180"/>
      <c r="AY23" s="180"/>
      <c r="AZ23" s="181"/>
      <c r="BA23" s="11"/>
    </row>
    <row r="24" spans="1:54" ht="13.5" customHeight="1" x14ac:dyDescent="0.15">
      <c r="A24" s="69">
        <f t="shared" si="0"/>
        <v>10</v>
      </c>
      <c r="B24" s="65" t="s">
        <v>104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70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79" t="s">
        <v>50</v>
      </c>
      <c r="AX24" s="180"/>
      <c r="AY24" s="180"/>
      <c r="AZ24" s="181"/>
      <c r="BA24" s="39"/>
    </row>
    <row r="25" spans="1:54" ht="13.5" customHeight="1" x14ac:dyDescent="0.15">
      <c r="A25" s="69">
        <f t="shared" si="0"/>
        <v>11</v>
      </c>
      <c r="B25" s="65" t="s">
        <v>104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79" t="s">
        <v>50</v>
      </c>
      <c r="AX25" s="180"/>
      <c r="AY25" s="180"/>
      <c r="AZ25" s="181"/>
      <c r="BA25" s="39"/>
    </row>
    <row r="26" spans="1:54" ht="13.5" customHeight="1" x14ac:dyDescent="0.15">
      <c r="A26" s="69">
        <f t="shared" si="0"/>
        <v>12</v>
      </c>
      <c r="B26" s="65" t="s">
        <v>104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79" t="s">
        <v>50</v>
      </c>
      <c r="AX26" s="180"/>
      <c r="AY26" s="180"/>
      <c r="AZ26" s="181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79"/>
      <c r="AX27" s="180"/>
      <c r="AY27" s="180"/>
      <c r="AZ27" s="181"/>
      <c r="BA27" s="39"/>
    </row>
    <row r="28" spans="1:54" ht="13.5" customHeight="1" x14ac:dyDescent="0.15">
      <c r="A28" s="141" t="s">
        <v>2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3"/>
      <c r="AK28" s="141" t="s">
        <v>1</v>
      </c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3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77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80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78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74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106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82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83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76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N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79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87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85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86</v>
      </c>
      <c r="AM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M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107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72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73</v>
      </c>
      <c r="AM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81</v>
      </c>
      <c r="AM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90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76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91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43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9"/>
      <c r="M88" s="41"/>
      <c r="N88" s="41"/>
      <c r="AJ88" s="1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8"/>
      <c r="BA88" s="39"/>
    </row>
    <row r="89" spans="1:53" ht="13.5" customHeight="1" x14ac:dyDescent="0.15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70"/>
      <c r="BA89" s="39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9"/>
      <c r="M91" s="41"/>
      <c r="N91" s="41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9"/>
      <c r="B92" s="2"/>
      <c r="K92" s="41"/>
      <c r="L92" s="41"/>
      <c r="M92" s="41"/>
      <c r="N92" s="41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9"/>
      <c r="M93" s="41"/>
      <c r="N93" s="41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>
      <c r="A96" s="1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35" ht="13.5" customHeight="1" x14ac:dyDescent="0.15">
      <c r="A97" s="1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3.5" customHeight="1" x14ac:dyDescent="0.15">
      <c r="A98" s="1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3.5" customHeight="1" x14ac:dyDescent="0.15">
      <c r="A99" s="1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3.5" customHeight="1" x14ac:dyDescent="0.15">
      <c r="A100" s="1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3.5" customHeight="1" x14ac:dyDescent="0.15">
      <c r="A101" s="1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  <mergeCell ref="A13:AZ13"/>
    <mergeCell ref="B14:K14"/>
    <mergeCell ref="AW14:AZ14"/>
    <mergeCell ref="L14:Z14"/>
    <mergeCell ref="AA14:AV1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04C042-19CA-4C8C-83CC-51DFB6141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69cb980d-ece2-4836-b1eb-1194e87de84b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66667e-7ddf-48ee-81f6-fe1825af740a"/>
    <ds:schemaRef ds:uri="http://schemas.microsoft.com/office/2006/metadata/properties"/>
    <ds:schemaRef ds:uri="http://www.w3.org/XML/1998/namespace"/>
    <ds:schemaRef ds:uri="http://purl.org/dc/terms/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2025-06-19T10:20:36Z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