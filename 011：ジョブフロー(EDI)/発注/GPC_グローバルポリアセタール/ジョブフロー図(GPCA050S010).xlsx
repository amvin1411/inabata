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mohdsof\Downloads\GPC\"/>
    </mc:Choice>
  </mc:AlternateContent>
  <xr:revisionPtr revIDLastSave="0" documentId="13_ncr:1_{4CADA510-74A7-4C08-8EAB-8AEE2A49081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2" l="1"/>
  <c r="A22" i="12" l="1"/>
  <c r="A26" i="12"/>
  <c r="A25" i="12"/>
  <c r="A24" i="12"/>
  <c r="A23" i="12"/>
  <c r="A21" i="12"/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7" i="12"/>
  <c r="A18" i="12"/>
  <c r="A17" i="12"/>
  <c r="A16" i="12"/>
  <c r="A15" i="12"/>
</calcChain>
</file>

<file path=xl/sharedStrings.xml><?xml version="1.0" encoding="utf-8"?>
<sst xmlns="http://schemas.openxmlformats.org/spreadsheetml/2006/main" count="155" uniqueCount="108">
  <si>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</si>
  <si>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</si>
  <si>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</si>
  <si>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</si>
  <si>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</si>
  <si>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</si>
  <si>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</si>
  <si>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</si>
  <si>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</si>
  <si>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</si>
  <si>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</si>
  <si>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</si>
  <si>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</si>
  <si>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</si>
  <si>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</si>
  <si>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</si>
  <si>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</si>
  <si>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</si>
  <si>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</si>
  <si>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</si>
  <si>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</si>
  <si>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</si>
  <si>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</si>
  <si>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</si>
  <si>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</si>
  <si>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</si>
  <si>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</si>
  <si>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</si>
  <si>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</si>
  <si>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</si>
  <si>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</si>
  <si>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</si>
  <si>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</si>
  <si>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</si>
  <si>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</si>
  <si>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</si>
  <si>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</si>
  <si>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</si>
  <si>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</si>
  <si>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</si>
  <si>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</si>
  <si>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パラメタファイルを作成する。</t>
    <rPh sb="9" eb="11">
      <t>サクセイ</t>
    </rPh>
    <phoneticPr fontId="2"/>
  </si>
  <si>
    <t>2.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</si>
  <si>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</si>
  <si>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</si>
  <si>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</si>
  <si>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</si>
  <si>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</si>
  <si>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</si>
  <si>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</si>
  <si>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共通</t>
    <rPh sb="0" eb="2">
      <t>キョウツウ</t>
    </rPh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</si>
  <si>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</si>
  <si>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</si>
  <si>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</si>
  <si>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</si>
  <si>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</si>
  <si>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</si>
  <si>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</si>
  <si>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</si>
  <si>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</si>
  <si>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</si>
  <si>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</si>
  <si>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</si>
  <si>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</si>
  <si>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$PMSessionLogFile</t>
  </si>
  <si>
    <t>$PMSessionName_error</t>
  </si>
  <si>
    <t>R60795</t>
    <phoneticPr fontId="2"/>
  </si>
  <si>
    <t>発注</t>
    <rPh sb="0" eb="2">
      <t>ハッチュウ</t>
    </rPh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</si>
  <si>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</si>
  <si>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</si>
  <si>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</si>
  <si>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各取引先向けの連携ファイルを作成する。</t>
    <phoneticPr fontId="2"/>
  </si>
  <si>
    <t>EDI送信DB_発注から対象データを抽出する。</t>
    <rPh sb="3" eb="5">
      <t>ソウシン</t>
    </rPh>
    <rPh sb="8" eb="10">
      <t>ハッチュウ</t>
    </rPh>
    <rPh sb="12" eb="14">
      <t>タイショウ</t>
    </rPh>
    <rPh sb="18" eb="20">
      <t>チュウシュツ</t>
    </rPh>
    <phoneticPr fontId="2"/>
  </si>
  <si>
    <t>INPUTファイルレイアウトに整形し、</t>
    <rPh sb="15" eb="17">
      <t>セイケイ</t>
    </rPh>
    <phoneticPr fontId="2"/>
  </si>
  <si>
    <t>タスクフローで使用する。</t>
    <rPh sb="7" eb="9">
      <t>シヨウ</t>
    </rPh>
    <phoneticPr fontId="2"/>
  </si>
  <si>
    <t>「連携ファイル0件時：10」</t>
    <rPh sb="1" eb="3">
      <t>レンケイ</t>
    </rPh>
    <rPh sb="8" eb="9">
      <t>ケン</t>
    </rPh>
    <phoneticPr fontId="2"/>
  </si>
  <si>
    <t>パラメタファイル</t>
    <phoneticPr fontId="2"/>
  </si>
  <si>
    <t>1.ファイル削除処理</t>
    <phoneticPr fontId="2"/>
  </si>
  <si>
    <t>2.パラメタファイル作成処理</t>
    <phoneticPr fontId="2"/>
  </si>
  <si>
    <t>3.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</si>
  <si>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</si>
  <si>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</si>
  <si>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EDI送信DB_発注から対象データの件数を</t>
    <rPh sb="3" eb="5">
      <t>ソウシン</t>
    </rPh>
    <rPh sb="8" eb="10">
      <t>ハッチュウ</t>
    </rPh>
    <rPh sb="12" eb="14">
      <t>タイショウ</t>
    </rPh>
    <rPh sb="18" eb="20">
      <t>ケンスウ</t>
    </rPh>
    <phoneticPr fontId="2"/>
  </si>
  <si>
    <t>取得し、件数ファイルを出力する。</t>
    <rPh sb="0" eb="2">
      <t>シュトク</t>
    </rPh>
    <rPh sb="4" eb="6">
      <t>ケンスウ</t>
    </rPh>
    <rPh sb="11" eb="13">
      <t>シュツリョク</t>
    </rPh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</si>
  <si>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</si>
  <si>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</si>
  <si>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</si>
  <si>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件数確認結果ファイルのサイズを確認し、</t>
    <rPh sb="15" eb="17">
      <t>カクニン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</si>
  <si>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</si>
  <si>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</si>
  <si>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4.</t>
    <phoneticPr fontId="2"/>
  </si>
  <si>
    <t>5.</t>
    <phoneticPr fontId="2"/>
  </si>
  <si>
    <t>EDI採番種別</t>
    <rPh sb="3" eb="7">
      <t>サイバンシュベツ</t>
    </rPh>
    <phoneticPr fontId="2"/>
  </si>
  <si>
    <t>$InputFile_MAP_FILE</t>
    <phoneticPr fontId="2"/>
  </si>
  <si>
    <t>インプットファイルのパス</t>
    <phoneticPr fontId="2"/>
  </si>
  <si>
    <t>$$m_DATA_KOKAN_ID</t>
    <phoneticPr fontId="2"/>
  </si>
  <si>
    <t>$$m_EDI_SAIBAN_SBT</t>
    <phoneticPr fontId="2"/>
  </si>
  <si>
    <t>ジョブフロー図(GPCA050S010)</t>
    <rPh sb="6" eb="7">
      <t>ズ</t>
    </rPh>
    <phoneticPr fontId="2"/>
  </si>
  <si>
    <t>機能名称：グローバルポリアセタール_発注データ抽出</t>
    <rPh sb="0" eb="2">
      <t>キノウ</t>
    </rPh>
    <rPh sb="2" eb="4">
      <t>メイショウ</t>
    </rPh>
    <phoneticPr fontId="2"/>
  </si>
  <si>
    <t>FJ)カーマン</t>
    <phoneticPr fontId="2"/>
  </si>
  <si>
    <t>グローバルポリアセタール</t>
    <phoneticPr fontId="2"/>
  </si>
  <si>
    <t>GPC</t>
  </si>
  <si>
    <t>GPCA050S010</t>
  </si>
  <si>
    <t>p_t_GPC_発注_010</t>
  </si>
  <si>
    <t>p_t_GPC_発注_020</t>
  </si>
  <si>
    <t>グローバルポリアセタール_発注データ抽出</t>
  </si>
  <si>
    <t>5.wf_GPC_A050_220</t>
  </si>
  <si>
    <t>3.wf_GPC_A050_210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</si>
</sst>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年&quot;m&quot;月&quot;d&quot;日&quot;;@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,##0;\-#,##0;&quot;-&quot;"/>
    <numFmt numFmtId="170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69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4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70" fontId="9" fillId="3" borderId="28" xfId="0" applyNumberFormat="1" applyFont="1" applyFill="1" applyBorder="1" applyAlignment="1">
      <alignment horizontal="center" vertical="center"/>
    </xf>
    <xf numFmtId="170" fontId="9" fillId="3" borderId="2" xfId="0" applyNumberFormat="1" applyFont="1" applyFill="1" applyBorder="1" applyAlignment="1">
      <alignment horizontal="center" vertical="center"/>
    </xf>
    <xf numFmtId="170" fontId="9" fillId="3" borderId="29" xfId="0" applyNumberFormat="1" applyFont="1" applyFill="1" applyBorder="1" applyAlignment="1">
      <alignment horizontal="center" vertical="center"/>
    </xf>
    <xf numFmtId="170" fontId="9" fillId="3" borderId="30" xfId="0" applyNumberFormat="1" applyFont="1" applyFill="1" applyBorder="1" applyAlignment="1">
      <alignment horizontal="center" vertical="center"/>
    </xf>
    <xf numFmtId="170" fontId="9" fillId="3" borderId="31" xfId="0" applyNumberFormat="1" applyFont="1" applyFill="1" applyBorder="1" applyAlignment="1">
      <alignment horizontal="center" vertical="center"/>
    </xf>
    <xf numFmtId="170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19483</xdr:colOff>
      <xdr:row>41</xdr:row>
      <xdr:rowOff>83820</xdr:rowOff>
    </xdr:from>
    <xdr:to>
      <xdr:col>9</xdr:col>
      <xdr:colOff>171946</xdr:colOff>
      <xdr:row>43</xdr:row>
      <xdr:rowOff>71893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 flipH="1">
          <a:off x="1219633" y="7113270"/>
          <a:ext cx="752538" cy="330973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133643</xdr:colOff>
      <xdr:row>32</xdr:row>
      <xdr:rowOff>23892</xdr:rowOff>
    </xdr:from>
    <xdr:to>
      <xdr:col>29</xdr:col>
      <xdr:colOff>133643</xdr:colOff>
      <xdr:row>35</xdr:row>
      <xdr:rowOff>125737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734218" y="5510292"/>
          <a:ext cx="1200150" cy="616195"/>
          <a:chOff x="2200275" y="4448175"/>
          <a:chExt cx="1200151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3242603" y="5183499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(p_t_GPC_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4" name="AutoShape 513">
          <a:extLst>
            <a:ext uri="{FF2B5EF4-FFF2-40B4-BE49-F238E27FC236}">
              <a16:creationId xmlns:a16="http://schemas.microsoft.com/office/drawing/2014/main" id="{2016CF9E-43D7-440D-A07F-87B2AA0076C0}"/>
            </a:ext>
          </a:extLst>
        </xdr:cNvPr>
        <xdr:cNvCxnSpPr>
          <a:cxnSpLocks noChangeShapeType="1"/>
          <a:stCxn id="60" idx="2"/>
          <a:endCxn id="27" idx="0"/>
        </xdr:cNvCxnSpPr>
      </xdr:nvCxnSpPr>
      <xdr:spPr bwMode="auto">
        <a:xfrm rot="5400000">
          <a:off x="2973461" y="5093242"/>
          <a:ext cx="407487" cy="159384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88465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1006C1F3-7B22-47F9-9CAC-48F5FECE07A9}"/>
            </a:ext>
          </a:extLst>
        </xdr:cNvPr>
        <xdr:cNvGrpSpPr/>
      </xdr:nvGrpSpPr>
      <xdr:grpSpPr>
        <a:xfrm>
          <a:off x="2000250" y="5489267"/>
          <a:ext cx="1202992" cy="599948"/>
          <a:chOff x="2200275" y="4448175"/>
          <a:chExt cx="1200150" cy="619126"/>
        </a:xfrm>
      </xdr:grpSpPr>
      <xdr:sp macro="" textlink="">
        <xdr:nvSpPr>
          <xdr:cNvPr id="10" name="Text Box 93">
            <a:extLst>
              <a:ext uri="{FF2B5EF4-FFF2-40B4-BE49-F238E27FC236}">
                <a16:creationId xmlns:a16="http://schemas.microsoft.com/office/drawing/2014/main" id="{A4BF7B33-BF61-D1DE-C54C-A3D8AE0A3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12" name="Rectangle 95">
            <a:extLst>
              <a:ext uri="{FF2B5EF4-FFF2-40B4-BE49-F238E27FC236}">
                <a16:creationId xmlns:a16="http://schemas.microsoft.com/office/drawing/2014/main" id="{D29D1EDE-8F27-1E8D-232D-53AED251C69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93">
            <a:extLst>
              <a:ext uri="{FF2B5EF4-FFF2-40B4-BE49-F238E27FC236}">
                <a16:creationId xmlns:a16="http://schemas.microsoft.com/office/drawing/2014/main" id="{639B13D1-C0D2-B586-8BC4-6562BF39C9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17" name="AutoShape 108">
          <a:extLst>
            <a:ext uri="{FF2B5EF4-FFF2-40B4-BE49-F238E27FC236}">
              <a16:creationId xmlns:a16="http://schemas.microsoft.com/office/drawing/2014/main" id="{1295865F-DE66-43E8-9414-29CD74DA02AD}"/>
            </a:ext>
          </a:extLst>
        </xdr:cNvPr>
        <xdr:cNvCxnSpPr>
          <a:cxnSpLocks noChangeShapeType="1"/>
          <a:stCxn id="12" idx="2"/>
          <a:endCxn id="27" idx="0"/>
        </xdr:cNvCxnSpPr>
      </xdr:nvCxnSpPr>
      <xdr:spPr bwMode="auto">
        <a:xfrm>
          <a:off x="2378861" y="4782385"/>
          <a:ext cx="1422" cy="13115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7620</xdr:rowOff>
    </xdr:from>
    <xdr:to>
      <xdr:col>16</xdr:col>
      <xdr:colOff>2842</xdr:colOff>
      <xdr:row>69</xdr:row>
      <xdr:rowOff>103169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0AED6D2-C49A-4CE0-96B7-282A4B925CB8}"/>
            </a:ext>
          </a:extLst>
        </xdr:cNvPr>
        <xdr:cNvGrpSpPr/>
      </xdr:nvGrpSpPr>
      <xdr:grpSpPr>
        <a:xfrm>
          <a:off x="2003092" y="11323320"/>
          <a:ext cx="1200150" cy="609899"/>
          <a:chOff x="2200275" y="4448175"/>
          <a:chExt cx="1200151" cy="619126"/>
        </a:xfrm>
      </xdr:grpSpPr>
      <xdr:sp macro="" textlink="">
        <xdr:nvSpPr>
          <xdr:cNvPr id="5" name="Text Box 93">
            <a:extLst>
              <a:ext uri="{FF2B5EF4-FFF2-40B4-BE49-F238E27FC236}">
                <a16:creationId xmlns:a16="http://schemas.microsoft.com/office/drawing/2014/main" id="{FE549B26-914D-EABD-9346-D21D5AB2E0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wf_GPC_A050_220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95">
            <a:extLst>
              <a:ext uri="{FF2B5EF4-FFF2-40B4-BE49-F238E27FC236}">
                <a16:creationId xmlns:a16="http://schemas.microsoft.com/office/drawing/2014/main" id="{F9183739-112D-C441-D8E6-7180C240175C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Text Box 93">
            <a:extLst>
              <a:ext uri="{FF2B5EF4-FFF2-40B4-BE49-F238E27FC236}">
                <a16:creationId xmlns:a16="http://schemas.microsoft.com/office/drawing/2014/main" id="{F120A90A-99C0-AC88-7E7B-757B94376F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14" name="AutoShape 90">
          <a:extLst>
            <a:ext uri="{FF2B5EF4-FFF2-40B4-BE49-F238E27FC236}">
              <a16:creationId xmlns:a16="http://schemas.microsoft.com/office/drawing/2014/main" id="{C74E8B3C-62D5-4478-95E0-DC055EA45A35}"/>
            </a:ext>
          </a:extLst>
        </xdr:cNvPr>
        <xdr:cNvSpPr>
          <a:spLocks noChangeArrowheads="1"/>
        </xdr:cNvSpPr>
      </xdr:nvSpPr>
      <xdr:spPr bwMode="auto">
        <a:xfrm>
          <a:off x="1750826" y="12203886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(GPCA050S02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7620</xdr:colOff>
      <xdr:row>80</xdr:row>
      <xdr:rowOff>110896</xdr:rowOff>
    </xdr:from>
    <xdr:to>
      <xdr:col>18</xdr:col>
      <xdr:colOff>7620</xdr:colOff>
      <xdr:row>84</xdr:row>
      <xdr:rowOff>91846</xdr:rowOff>
    </xdr:to>
    <xdr:sp macro="" textlink="">
      <xdr:nvSpPr>
        <xdr:cNvPr id="15" name="フレーム 52">
          <a:extLst>
            <a:ext uri="{FF2B5EF4-FFF2-40B4-BE49-F238E27FC236}">
              <a16:creationId xmlns:a16="http://schemas.microsoft.com/office/drawing/2014/main" id="{A648279B-7550-4C7F-9D62-676E5871EFE7}"/>
            </a:ext>
          </a:extLst>
        </xdr:cNvPr>
        <xdr:cNvSpPr>
          <a:spLocks noChangeArrowheads="1"/>
        </xdr:cNvSpPr>
      </xdr:nvSpPr>
      <xdr:spPr bwMode="auto">
        <a:xfrm>
          <a:off x="1470660" y="11510416"/>
          <a:ext cx="1828800" cy="65151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GPCA050S020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グローバルポリアセタール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13</xdr:col>
      <xdr:colOff>3386</xdr:colOff>
      <xdr:row>76</xdr:row>
      <xdr:rowOff>133806</xdr:rowOff>
    </xdr:from>
    <xdr:to>
      <xdr:col>13</xdr:col>
      <xdr:colOff>7620</xdr:colOff>
      <xdr:row>80</xdr:row>
      <xdr:rowOff>110896</xdr:rowOff>
    </xdr:to>
    <xdr:cxnSp macro="">
      <xdr:nvCxnSpPr>
        <xdr:cNvPr id="18" name="AutoShape 108">
          <a:extLst>
            <a:ext uri="{FF2B5EF4-FFF2-40B4-BE49-F238E27FC236}">
              <a16:creationId xmlns:a16="http://schemas.microsoft.com/office/drawing/2014/main" id="{BAF96E89-C9CB-4F1C-B43B-20CA409EFC4B}"/>
            </a:ext>
          </a:extLst>
        </xdr:cNvPr>
        <xdr:cNvCxnSpPr>
          <a:cxnSpLocks noChangeShapeType="1"/>
          <a:stCxn id="14" idx="2"/>
          <a:endCxn id="15" idx="0"/>
        </xdr:cNvCxnSpPr>
      </xdr:nvCxnSpPr>
      <xdr:spPr bwMode="auto">
        <a:xfrm>
          <a:off x="2380826" y="12706806"/>
          <a:ext cx="4234" cy="647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147006</xdr:colOff>
      <xdr:row>73</xdr:row>
      <xdr:rowOff>111578</xdr:rowOff>
    </xdr:from>
    <xdr:to>
      <xdr:col>25</xdr:col>
      <xdr:colOff>162106</xdr:colOff>
      <xdr:row>76</xdr:row>
      <xdr:rowOff>120370</xdr:rowOff>
    </xdr:to>
    <xdr:sp macro="" textlink="">
      <xdr:nvSpPr>
        <xdr:cNvPr id="19" name="AutoShape 176">
          <a:extLst>
            <a:ext uri="{FF2B5EF4-FFF2-40B4-BE49-F238E27FC236}">
              <a16:creationId xmlns:a16="http://schemas.microsoft.com/office/drawing/2014/main" id="{7B90A3E0-D92E-47EB-B061-2EECD6E698B6}"/>
            </a:ext>
          </a:extLst>
        </xdr:cNvPr>
        <xdr:cNvSpPr>
          <a:spLocks noChangeArrowheads="1"/>
        </xdr:cNvSpPr>
      </xdr:nvSpPr>
      <xdr:spPr bwMode="auto">
        <a:xfrm>
          <a:off x="3621726" y="10337618"/>
          <a:ext cx="1112380" cy="51171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13</xdr:col>
      <xdr:colOff>2842</xdr:colOff>
      <xdr:row>69</xdr:row>
      <xdr:rowOff>103167</xdr:rowOff>
    </xdr:from>
    <xdr:to>
      <xdr:col>13</xdr:col>
      <xdr:colOff>3386</xdr:colOff>
      <xdr:row>73</xdr:row>
      <xdr:rowOff>133806</xdr:rowOff>
    </xdr:to>
    <xdr:cxnSp macro="">
      <xdr:nvCxnSpPr>
        <xdr:cNvPr id="20" name="AutoShape 108">
          <a:extLst>
            <a:ext uri="{FF2B5EF4-FFF2-40B4-BE49-F238E27FC236}">
              <a16:creationId xmlns:a16="http://schemas.microsoft.com/office/drawing/2014/main" id="{37135AC6-F3F7-4A9E-BA38-1BC8AA4D6AAE}"/>
            </a:ext>
          </a:extLst>
        </xdr:cNvPr>
        <xdr:cNvCxnSpPr>
          <a:cxnSpLocks noChangeShapeType="1"/>
          <a:stCxn id="5" idx="2"/>
          <a:endCxn id="14" idx="0"/>
        </xdr:cNvCxnSpPr>
      </xdr:nvCxnSpPr>
      <xdr:spPr bwMode="auto">
        <a:xfrm>
          <a:off x="2380282" y="11502687"/>
          <a:ext cx="544" cy="70119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53340</xdr:colOff>
      <xdr:row>68</xdr:row>
      <xdr:rowOff>121920</xdr:rowOff>
    </xdr:from>
    <xdr:to>
      <xdr:col>19</xdr:col>
      <xdr:colOff>131717</xdr:colOff>
      <xdr:row>77</xdr:row>
      <xdr:rowOff>6058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6FA97FE7-BDFC-4937-83FB-362D9741AE77}"/>
            </a:ext>
          </a:extLst>
        </xdr:cNvPr>
        <xdr:cNvCxnSpPr/>
      </xdr:nvCxnSpPr>
      <xdr:spPr bwMode="auto">
        <a:xfrm>
          <a:off x="2979420" y="9509760"/>
          <a:ext cx="627017" cy="139289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19</xdr:col>
      <xdr:colOff>155289</xdr:colOff>
      <xdr:row>77</xdr:row>
      <xdr:rowOff>27719</xdr:rowOff>
    </xdr:from>
    <xdr:to>
      <xdr:col>25</xdr:col>
      <xdr:colOff>170389</xdr:colOff>
      <xdr:row>80</xdr:row>
      <xdr:rowOff>36512</xdr:rowOff>
    </xdr:to>
    <xdr:sp macro="" textlink="">
      <xdr:nvSpPr>
        <xdr:cNvPr id="22" name="AutoShape 176">
          <a:extLst>
            <a:ext uri="{FF2B5EF4-FFF2-40B4-BE49-F238E27FC236}">
              <a16:creationId xmlns:a16="http://schemas.microsoft.com/office/drawing/2014/main" id="{D7DF24BE-2DE3-49F8-905B-3942956E485D}"/>
            </a:ext>
          </a:extLst>
        </xdr:cNvPr>
        <xdr:cNvSpPr>
          <a:spLocks noChangeArrowheads="1"/>
        </xdr:cNvSpPr>
      </xdr:nvSpPr>
      <xdr:spPr bwMode="auto">
        <a:xfrm>
          <a:off x="3630009" y="10924319"/>
          <a:ext cx="1112380" cy="51171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  <xdr:twoCellAnchor>
    <xdr:from>
      <xdr:col>10</xdr:col>
      <xdr:colOff>2842</xdr:colOff>
      <xdr:row>43</xdr:row>
      <xdr:rowOff>53340</xdr:rowOff>
    </xdr:from>
    <xdr:to>
      <xdr:col>16</xdr:col>
      <xdr:colOff>2842</xdr:colOff>
      <xdr:row>46</xdr:row>
      <xdr:rowOff>148889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80D9867D-085D-4EE3-8216-47ED2B1C843C}"/>
            </a:ext>
          </a:extLst>
        </xdr:cNvPr>
        <xdr:cNvGrpSpPr/>
      </xdr:nvGrpSpPr>
      <xdr:grpSpPr>
        <a:xfrm>
          <a:off x="2003092" y="7425690"/>
          <a:ext cx="1200150" cy="609899"/>
          <a:chOff x="2200275" y="4448175"/>
          <a:chExt cx="1200151" cy="619126"/>
        </a:xfrm>
      </xdr:grpSpPr>
      <xdr:sp macro="" textlink="">
        <xdr:nvSpPr>
          <xdr:cNvPr id="25" name="Text Box 93">
            <a:extLst>
              <a:ext uri="{FF2B5EF4-FFF2-40B4-BE49-F238E27FC236}">
                <a16:creationId xmlns:a16="http://schemas.microsoft.com/office/drawing/2014/main" id="{D02D8E9C-BECE-853A-9AE9-C2D855E7F7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wf_GPC_A050_210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6" name="Rectangle 95">
            <a:extLst>
              <a:ext uri="{FF2B5EF4-FFF2-40B4-BE49-F238E27FC236}">
                <a16:creationId xmlns:a16="http://schemas.microsoft.com/office/drawing/2014/main" id="{0315E230-FD7D-B03C-20E4-1D70A8746817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Text Box 93">
            <a:extLst>
              <a:ext uri="{FF2B5EF4-FFF2-40B4-BE49-F238E27FC236}">
                <a16:creationId xmlns:a16="http://schemas.microsoft.com/office/drawing/2014/main" id="{078FB4B4-CE8D-F7F8-901C-0138AA6BA8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137" name="AutoShape 108">
          <a:extLst>
            <a:ext uri="{FF2B5EF4-FFF2-40B4-BE49-F238E27FC236}">
              <a16:creationId xmlns:a16="http://schemas.microsoft.com/office/drawing/2014/main" id="{013E05E0-E490-46F2-857A-5EF94C42CB8E}"/>
            </a:ext>
          </a:extLst>
        </xdr:cNvPr>
        <xdr:cNvCxnSpPr>
          <a:cxnSpLocks noChangeShapeType="1"/>
          <a:stCxn id="25" idx="2"/>
          <a:endCxn id="2" idx="0"/>
        </xdr:cNvCxnSpPr>
      </xdr:nvCxnSpPr>
      <xdr:spPr bwMode="auto">
        <a:xfrm>
          <a:off x="2380282" y="7692687"/>
          <a:ext cx="2318" cy="48357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147" name="AutoShape 90">
          <a:extLst>
            <a:ext uri="{FF2B5EF4-FFF2-40B4-BE49-F238E27FC236}">
              <a16:creationId xmlns:a16="http://schemas.microsoft.com/office/drawing/2014/main" id="{7C66A807-F4FC-46D1-A5B8-160A70A690D9}"/>
            </a:ext>
          </a:extLst>
        </xdr:cNvPr>
        <xdr:cNvSpPr>
          <a:spLocks noChangeArrowheads="1"/>
        </xdr:cNvSpPr>
      </xdr:nvSpPr>
      <xdr:spPr bwMode="auto">
        <a:xfrm>
          <a:off x="4979963" y="5181581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(p_t_GPC_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149" name="AutoShape 513">
          <a:extLst>
            <a:ext uri="{FF2B5EF4-FFF2-40B4-BE49-F238E27FC236}">
              <a16:creationId xmlns:a16="http://schemas.microsoft.com/office/drawing/2014/main" id="{EBAA8F5B-8B5A-4E26-9DF8-19A0521AF926}"/>
            </a:ext>
          </a:extLst>
        </xdr:cNvPr>
        <xdr:cNvCxnSpPr>
          <a:cxnSpLocks noChangeShapeType="1"/>
          <a:stCxn id="49" idx="2"/>
          <a:endCxn id="3147" idx="0"/>
        </xdr:cNvCxnSpPr>
      </xdr:nvCxnSpPr>
      <xdr:spPr bwMode="auto">
        <a:xfrm rot="16200000" flipH="1">
          <a:off x="5119040" y="4589137"/>
          <a:ext cx="361926" cy="82296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164" name="AutoShape 513">
          <a:extLst>
            <a:ext uri="{FF2B5EF4-FFF2-40B4-BE49-F238E27FC236}">
              <a16:creationId xmlns:a16="http://schemas.microsoft.com/office/drawing/2014/main" id="{06D89C2E-C0DA-41B1-A998-93D23A108EA1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 rot="5400000">
          <a:off x="4249403" y="4544379"/>
          <a:ext cx="363842" cy="91439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3" name="AutoShape 513">
          <a:extLst>
            <a:ext uri="{FF2B5EF4-FFF2-40B4-BE49-F238E27FC236}">
              <a16:creationId xmlns:a16="http://schemas.microsoft.com/office/drawing/2014/main" id="{11E2EFC9-79A1-4F2B-B0E5-CDE21C02C82B}"/>
            </a:ext>
          </a:extLst>
        </xdr:cNvPr>
        <xdr:cNvCxnSpPr>
          <a:cxnSpLocks noChangeShapeType="1"/>
          <a:stCxn id="3147" idx="2"/>
          <a:endCxn id="6" idx="0"/>
        </xdr:cNvCxnSpPr>
      </xdr:nvCxnSpPr>
      <xdr:spPr bwMode="auto">
        <a:xfrm rot="5400000">
          <a:off x="2358044" y="5706739"/>
          <a:ext cx="3375679" cy="3331202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30480</xdr:colOff>
      <xdr:row>64</xdr:row>
      <xdr:rowOff>30480</xdr:rowOff>
    </xdr:from>
    <xdr:to>
      <xdr:col>10</xdr:col>
      <xdr:colOff>63</xdr:colOff>
      <xdr:row>66</xdr:row>
      <xdr:rowOff>18553</xdr:rowOff>
    </xdr:to>
    <xdr:grpSp>
      <xdr:nvGrpSpPr>
        <xdr:cNvPr id="45" name="Group 195">
          <a:extLst>
            <a:ext uri="{FF2B5EF4-FFF2-40B4-BE49-F238E27FC236}">
              <a16:creationId xmlns:a16="http://schemas.microsoft.com/office/drawing/2014/main" id="{229DF58E-AA59-4F87-8108-AFD2E5A9CA7D}"/>
            </a:ext>
          </a:extLst>
        </xdr:cNvPr>
        <xdr:cNvGrpSpPr>
          <a:grpSpLocks/>
        </xdr:cNvGrpSpPr>
      </xdr:nvGrpSpPr>
      <xdr:grpSpPr bwMode="auto">
        <a:xfrm flipH="1">
          <a:off x="1230630" y="11003280"/>
          <a:ext cx="769683" cy="330973"/>
          <a:chOff x="357" y="331"/>
          <a:chExt cx="121" cy="29"/>
        </a:xfrm>
      </xdr:grpSpPr>
      <xdr:sp macro="" textlink="">
        <xdr:nvSpPr>
          <xdr:cNvPr id="46" name="Line 196">
            <a:extLst>
              <a:ext uri="{FF2B5EF4-FFF2-40B4-BE49-F238E27FC236}">
                <a16:creationId xmlns:a16="http://schemas.microsoft.com/office/drawing/2014/main" id="{E623FDDF-8F08-485E-AD3C-74D3294A0A38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97">
            <a:extLst>
              <a:ext uri="{FF2B5EF4-FFF2-40B4-BE49-F238E27FC236}">
                <a16:creationId xmlns:a16="http://schemas.microsoft.com/office/drawing/2014/main" id="{8D259DD9-6307-751E-2182-9661CCDA069B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7620</xdr:rowOff>
    </xdr:from>
    <xdr:to>
      <xdr:col>16</xdr:col>
      <xdr:colOff>2842</xdr:colOff>
      <xdr:row>59</xdr:row>
      <xdr:rowOff>109465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A00328E2-CBA1-4BF5-8D1C-C2F21384C881}"/>
            </a:ext>
          </a:extLst>
        </xdr:cNvPr>
        <xdr:cNvGrpSpPr/>
      </xdr:nvGrpSpPr>
      <xdr:grpSpPr>
        <a:xfrm>
          <a:off x="2003092" y="9608820"/>
          <a:ext cx="1200150" cy="616195"/>
          <a:chOff x="2200275" y="4448175"/>
          <a:chExt cx="1200151" cy="619126"/>
        </a:xfrm>
      </xdr:grpSpPr>
      <xdr:sp macro="" textlink="">
        <xdr:nvSpPr>
          <xdr:cNvPr id="56" name="Text Box 93">
            <a:extLst>
              <a:ext uri="{FF2B5EF4-FFF2-40B4-BE49-F238E27FC236}">
                <a16:creationId xmlns:a16="http://schemas.microsoft.com/office/drawing/2014/main" id="{F9AF13CA-0714-CD59-7F64-188E0B79AC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57" name="Rectangle 95">
            <a:extLst>
              <a:ext uri="{FF2B5EF4-FFF2-40B4-BE49-F238E27FC236}">
                <a16:creationId xmlns:a16="http://schemas.microsoft.com/office/drawing/2014/main" id="{02071CEE-B747-D1D1-A218-FA593C01A48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Text Box 93">
            <a:extLst>
              <a:ext uri="{FF2B5EF4-FFF2-40B4-BE49-F238E27FC236}">
                <a16:creationId xmlns:a16="http://schemas.microsoft.com/office/drawing/2014/main" id="{2AF225C9-8334-66B0-E894-BC52802438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62" name="AutoShape 576">
          <a:extLst>
            <a:ext uri="{FF2B5EF4-FFF2-40B4-BE49-F238E27FC236}">
              <a16:creationId xmlns:a16="http://schemas.microsoft.com/office/drawing/2014/main" id="{6F2EE588-FF39-4245-B843-18B8DE9EBD2D}"/>
            </a:ext>
          </a:extLst>
        </xdr:cNvPr>
        <xdr:cNvSpPr>
          <a:spLocks noChangeArrowheads="1"/>
        </xdr:cNvSpPr>
      </xdr:nvSpPr>
      <xdr:spPr bwMode="auto">
        <a:xfrm>
          <a:off x="3558540" y="8343900"/>
          <a:ext cx="723900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処理終了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63" name="AutoShape 513">
          <a:extLst>
            <a:ext uri="{FF2B5EF4-FFF2-40B4-BE49-F238E27FC236}">
              <a16:creationId xmlns:a16="http://schemas.microsoft.com/office/drawing/2014/main" id="{35B22A78-7051-48B0-9CCC-CC3E8BDB5EE5}"/>
            </a:ext>
          </a:extLst>
        </xdr:cNvPr>
        <xdr:cNvCxnSpPr>
          <a:cxnSpLocks noChangeShapeType="1"/>
          <a:stCxn id="57" idx="2"/>
          <a:endCxn id="62" idx="0"/>
        </xdr:cNvCxnSpPr>
      </xdr:nvCxnSpPr>
      <xdr:spPr bwMode="auto">
        <a:xfrm rot="16200000" flipH="1">
          <a:off x="2972709" y="7396118"/>
          <a:ext cx="355355" cy="154020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3426" name="Rectangle 530">
          <a:extLst>
            <a:ext uri="{FF2B5EF4-FFF2-40B4-BE49-F238E27FC236}">
              <a16:creationId xmlns:a16="http://schemas.microsoft.com/office/drawing/2014/main" id="{45E9D6D6-E157-475C-BBCB-9E311A4273B7}"/>
            </a:ext>
          </a:extLst>
        </xdr:cNvPr>
        <xdr:cNvSpPr>
          <a:spLocks noChangeArrowheads="1"/>
        </xdr:cNvSpPr>
      </xdr:nvSpPr>
      <xdr:spPr bwMode="auto">
        <a:xfrm>
          <a:off x="3230880" y="794766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30480</xdr:colOff>
      <xdr:row>62</xdr:row>
      <xdr:rowOff>83820</xdr:rowOff>
    </xdr:from>
    <xdr:to>
      <xdr:col>18</xdr:col>
      <xdr:colOff>16080</xdr:colOff>
      <xdr:row>63</xdr:row>
      <xdr:rowOff>87631</xdr:rowOff>
    </xdr:to>
    <xdr:sp macro="" textlink="">
      <xdr:nvSpPr>
        <xdr:cNvPr id="3427" name="Rectangle 530">
          <a:extLst>
            <a:ext uri="{FF2B5EF4-FFF2-40B4-BE49-F238E27FC236}">
              <a16:creationId xmlns:a16="http://schemas.microsoft.com/office/drawing/2014/main" id="{A875885A-CF23-48F1-B1CA-74D908576E7A}"/>
            </a:ext>
          </a:extLst>
        </xdr:cNvPr>
        <xdr:cNvSpPr>
          <a:spLocks noChangeArrowheads="1"/>
        </xdr:cNvSpPr>
      </xdr:nvSpPr>
      <xdr:spPr bwMode="auto">
        <a:xfrm>
          <a:off x="2407920" y="846582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3429" name="AutoShape 108">
          <a:extLst>
            <a:ext uri="{FF2B5EF4-FFF2-40B4-BE49-F238E27FC236}">
              <a16:creationId xmlns:a16="http://schemas.microsoft.com/office/drawing/2014/main" id="{071E35FC-0072-410C-938F-039E247E501B}"/>
            </a:ext>
          </a:extLst>
        </xdr:cNvPr>
        <xdr:cNvCxnSpPr>
          <a:cxnSpLocks noChangeShapeType="1"/>
          <a:stCxn id="56" idx="2"/>
          <a:endCxn id="7" idx="0"/>
        </xdr:cNvCxnSpPr>
      </xdr:nvCxnSpPr>
      <xdr:spPr bwMode="auto">
        <a:xfrm>
          <a:off x="2380282" y="7988543"/>
          <a:ext cx="1" cy="107716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9E4D932A-ADAB-4B06-B4CA-613ECCF9C3ED}"/>
            </a:ext>
          </a:extLst>
        </xdr:cNvPr>
        <xdr:cNvSpPr>
          <a:spLocks noChangeArrowheads="1"/>
        </xdr:cNvSpPr>
      </xdr:nvSpPr>
      <xdr:spPr bwMode="auto">
        <a:xfrm>
          <a:off x="1752600" y="8176260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(GPCA050S01001)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11" name="AutoShape 108">
          <a:extLst>
            <a:ext uri="{FF2B5EF4-FFF2-40B4-BE49-F238E27FC236}">
              <a16:creationId xmlns:a16="http://schemas.microsoft.com/office/drawing/2014/main" id="{1BBEA884-A9A9-487D-A575-DFB4EBB120FB}"/>
            </a:ext>
          </a:extLst>
        </xdr:cNvPr>
        <xdr:cNvCxnSpPr>
          <a:cxnSpLocks noChangeShapeType="1"/>
          <a:stCxn id="2" idx="2"/>
          <a:endCxn id="58" idx="0"/>
        </xdr:cNvCxnSpPr>
      </xdr:nvCxnSpPr>
      <xdr:spPr bwMode="auto">
        <a:xfrm flipH="1">
          <a:off x="2380283" y="8679180"/>
          <a:ext cx="2317" cy="5542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71" t="s">
        <v>55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1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15">
      <c r="A10" s="72" t="s">
        <v>97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1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1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15">
      <c r="A13" s="72" t="s">
        <v>98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1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15"/>
    <row r="17" spans="1:52" s="61" customFormat="1" ht="18.75" x14ac:dyDescent="0.15">
      <c r="A17" s="73" t="s">
        <v>59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ht="13.5" customHeight="1" x14ac:dyDescent="0.15">
      <c r="A22" s="89">
        <v>45790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ht="13.5" customHeight="1" x14ac:dyDescent="0.1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ht="13.5" customHeight="1" x14ac:dyDescent="0.15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ht="13.5" customHeight="1" x14ac:dyDescent="0.1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15"/>
    <row r="27" spans="1:52" s="61" customFormat="1" x14ac:dyDescent="0.15"/>
    <row r="28" spans="1:52" s="61" customFormat="1" x14ac:dyDescent="0.15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15">
      <c r="V29" s="74"/>
      <c r="W29" s="75"/>
      <c r="X29" s="75"/>
      <c r="Y29" s="75"/>
      <c r="Z29" s="76"/>
      <c r="AA29" s="74">
        <v>45790</v>
      </c>
      <c r="AB29" s="75"/>
      <c r="AC29" s="75"/>
      <c r="AD29" s="75"/>
      <c r="AE29" s="76"/>
    </row>
    <row r="30" spans="1:52" s="61" customFormat="1" x14ac:dyDescent="0.15">
      <c r="V30" s="77"/>
      <c r="W30" s="78"/>
      <c r="X30" s="78"/>
      <c r="Y30" s="78"/>
      <c r="Z30" s="79"/>
      <c r="AA30" s="83" t="s">
        <v>99</v>
      </c>
      <c r="AB30" s="84"/>
      <c r="AC30" s="84"/>
      <c r="AD30" s="84"/>
      <c r="AE30" s="85"/>
    </row>
    <row r="31" spans="1:52" s="61" customFormat="1" x14ac:dyDescent="0.15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15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15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15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33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34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35</v>
      </c>
      <c r="AT1" s="116"/>
      <c r="AU1" s="116"/>
      <c r="AV1" s="116"/>
      <c r="AW1" s="116"/>
      <c r="AX1" s="116"/>
      <c r="AY1" s="116"/>
      <c r="AZ1" s="116"/>
      <c r="BA1" s="119"/>
      <c r="BB1" s="115" t="s">
        <v>36</v>
      </c>
      <c r="BC1" s="116"/>
      <c r="BD1" s="116"/>
      <c r="BE1" s="119"/>
      <c r="BF1" s="115" t="s">
        <v>37</v>
      </c>
      <c r="BG1" s="116"/>
      <c r="BH1" s="116"/>
      <c r="BI1" s="119"/>
      <c r="BJ1" s="115" t="s">
        <v>38</v>
      </c>
      <c r="BK1" s="116"/>
      <c r="BL1" s="116"/>
      <c r="BM1" s="119"/>
      <c r="BN1" s="115" t="s">
        <v>39</v>
      </c>
      <c r="BO1" s="116"/>
      <c r="BP1" s="116"/>
      <c r="BQ1" s="119"/>
    </row>
    <row r="2" spans="1:69" ht="13.5" customHeight="1" x14ac:dyDescent="0.15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15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100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101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67</v>
      </c>
      <c r="AT3" s="122"/>
      <c r="AU3" s="122"/>
      <c r="AV3" s="122"/>
      <c r="AW3" s="122"/>
      <c r="AX3" s="122"/>
      <c r="AY3" s="122"/>
      <c r="AZ3" s="122"/>
      <c r="BA3" s="125"/>
      <c r="BB3" s="121" t="s">
        <v>99</v>
      </c>
      <c r="BC3" s="122"/>
      <c r="BD3" s="122"/>
      <c r="BE3" s="125"/>
      <c r="BF3" s="127">
        <v>45790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39" t="s">
        <v>26</v>
      </c>
      <c r="C7" s="139"/>
      <c r="D7" s="136" t="s">
        <v>56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57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15">
      <c r="A8" s="25"/>
      <c r="B8" s="97">
        <f t="shared" ref="B8" si="0">ROW()-7</f>
        <v>1</v>
      </c>
      <c r="C8" s="98"/>
      <c r="D8" s="140" t="s">
        <v>60</v>
      </c>
      <c r="E8" s="95"/>
      <c r="F8" s="95"/>
      <c r="G8" s="96"/>
      <c r="H8" s="99">
        <v>45790</v>
      </c>
      <c r="I8" s="95"/>
      <c r="J8" s="95"/>
      <c r="K8" s="96"/>
      <c r="L8" s="94" t="s">
        <v>99</v>
      </c>
      <c r="M8" s="95"/>
      <c r="N8" s="96"/>
      <c r="O8" s="94" t="s">
        <v>27</v>
      </c>
      <c r="P8" s="96"/>
      <c r="Q8" s="94" t="s">
        <v>66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61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23"/>
  <sheetViews>
    <sheetView showGridLines="0" tabSelected="1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33</v>
      </c>
      <c r="S1" s="116"/>
      <c r="T1" s="116"/>
      <c r="U1" s="116"/>
      <c r="V1" s="116"/>
      <c r="W1" s="116"/>
      <c r="X1" s="116"/>
      <c r="Y1" s="116"/>
      <c r="Z1" s="119"/>
      <c r="AA1" s="115" t="s">
        <v>34</v>
      </c>
      <c r="AB1" s="116"/>
      <c r="AC1" s="116"/>
      <c r="AD1" s="116"/>
      <c r="AE1" s="119"/>
      <c r="AF1" s="115" t="s">
        <v>35</v>
      </c>
      <c r="AG1" s="116"/>
      <c r="AH1" s="116"/>
      <c r="AI1" s="116"/>
      <c r="AJ1" s="116"/>
      <c r="AK1" s="115" t="s">
        <v>36</v>
      </c>
      <c r="AL1" s="116"/>
      <c r="AM1" s="116"/>
      <c r="AN1" s="116"/>
      <c r="AO1" s="115" t="s">
        <v>37</v>
      </c>
      <c r="AP1" s="116"/>
      <c r="AQ1" s="116"/>
      <c r="AR1" s="116"/>
      <c r="AS1" s="115" t="s">
        <v>38</v>
      </c>
      <c r="AT1" s="116"/>
      <c r="AU1" s="116"/>
      <c r="AV1" s="119"/>
      <c r="AW1" s="115" t="s">
        <v>39</v>
      </c>
      <c r="AX1" s="116"/>
      <c r="AY1" s="116"/>
      <c r="AZ1" s="119"/>
    </row>
    <row r="2" spans="1:53" ht="13.5" customHeight="1" x14ac:dyDescent="0.15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15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グローバルポリアセタール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GPC</v>
      </c>
      <c r="AB3" s="122"/>
      <c r="AC3" s="122"/>
      <c r="AD3" s="122"/>
      <c r="AE3" s="125"/>
      <c r="AF3" s="121" t="str">
        <f>変更履歴!AS3</f>
        <v>発注</v>
      </c>
      <c r="AG3" s="122"/>
      <c r="AH3" s="122"/>
      <c r="AI3" s="122"/>
      <c r="AJ3" s="122"/>
      <c r="AK3" s="121" t="str">
        <f>変更履歴!BB3</f>
        <v>FJ)カーマン</v>
      </c>
      <c r="AL3" s="122"/>
      <c r="AM3" s="122"/>
      <c r="AN3" s="122"/>
      <c r="AO3" s="127">
        <f>変更履歴!BF3</f>
        <v>45790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23"/>
      <c r="AG4" s="124"/>
      <c r="AH4" s="124"/>
      <c r="AI4" s="124"/>
      <c r="AJ4" s="12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15"/>
    <row r="6" spans="1:53" s="2" customFormat="1" ht="13.5" customHeight="1" x14ac:dyDescent="0.15">
      <c r="A6" s="141" t="s">
        <v>29</v>
      </c>
      <c r="B6" s="153"/>
      <c r="C6" s="153"/>
      <c r="D6" s="153"/>
      <c r="E6" s="153"/>
      <c r="F6" s="154"/>
      <c r="G6" s="166" t="s">
        <v>102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8"/>
      <c r="AB6" s="141" t="s">
        <v>8</v>
      </c>
      <c r="AC6" s="153"/>
      <c r="AD6" s="153"/>
      <c r="AE6" s="153"/>
      <c r="AF6" s="153"/>
      <c r="AG6" s="154"/>
      <c r="AH6" s="166" t="s">
        <v>31</v>
      </c>
      <c r="AI6" s="167"/>
      <c r="AJ6" s="167"/>
      <c r="AK6" s="167"/>
      <c r="AL6" s="167"/>
      <c r="AM6" s="167"/>
      <c r="AN6" s="167"/>
      <c r="AO6" s="168"/>
      <c r="AP6" s="141" t="s">
        <v>0</v>
      </c>
      <c r="AQ6" s="153"/>
      <c r="AR6" s="153"/>
      <c r="AS6" s="153"/>
      <c r="AT6" s="153"/>
      <c r="AU6" s="154"/>
      <c r="AV6" s="163" t="s">
        <v>7</v>
      </c>
      <c r="AW6" s="164"/>
      <c r="AX6" s="164"/>
      <c r="AY6" s="164"/>
      <c r="AZ6" s="165"/>
    </row>
    <row r="7" spans="1:53" ht="13.5" customHeight="1" x14ac:dyDescent="0.15">
      <c r="A7" s="141" t="s">
        <v>12</v>
      </c>
      <c r="B7" s="153"/>
      <c r="C7" s="153"/>
      <c r="D7" s="153"/>
      <c r="E7" s="153"/>
      <c r="F7" s="154"/>
      <c r="G7" s="166" t="s">
        <v>105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8"/>
      <c r="AB7" s="141" t="s">
        <v>13</v>
      </c>
      <c r="AC7" s="142"/>
      <c r="AD7" s="142"/>
      <c r="AE7" s="142"/>
      <c r="AF7" s="142"/>
      <c r="AG7" s="143"/>
      <c r="AH7" s="166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8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4" t="s">
        <v>21</v>
      </c>
      <c r="B9" s="155"/>
      <c r="C9" s="155"/>
      <c r="D9" s="156"/>
      <c r="E9" s="44" t="s">
        <v>71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4" t="s">
        <v>20</v>
      </c>
      <c r="AJ9" s="145"/>
      <c r="AK9" s="146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57"/>
      <c r="B10" s="158"/>
      <c r="C10" s="158"/>
      <c r="D10" s="159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47"/>
      <c r="AJ10" s="148"/>
      <c r="AK10" s="149"/>
      <c r="AL10" s="41" t="s">
        <v>75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0"/>
      <c r="B11" s="161"/>
      <c r="C11" s="161"/>
      <c r="D11" s="162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0"/>
      <c r="AJ11" s="151"/>
      <c r="AK11" s="152"/>
      <c r="AL11" s="41" t="s">
        <v>58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69" t="s">
        <v>43</v>
      </c>
      <c r="B12" s="170"/>
      <c r="C12" s="170"/>
      <c r="D12" s="171"/>
      <c r="E12" s="172" t="s">
        <v>44</v>
      </c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4"/>
    </row>
    <row r="13" spans="1:53" ht="13.5" customHeight="1" x14ac:dyDescent="0.15">
      <c r="A13" s="175" t="s">
        <v>52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176"/>
      <c r="AT13" s="176"/>
      <c r="AU13" s="176"/>
      <c r="AV13" s="176"/>
      <c r="AW13" s="176"/>
      <c r="AX13" s="176"/>
      <c r="AY13" s="176"/>
      <c r="AZ13" s="177"/>
      <c r="BA13" s="39"/>
    </row>
    <row r="14" spans="1:53" ht="13.5" customHeight="1" x14ac:dyDescent="0.15">
      <c r="A14" s="68" t="s">
        <v>49</v>
      </c>
      <c r="B14" s="178" t="s">
        <v>45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 t="s">
        <v>46</v>
      </c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 t="s">
        <v>47</v>
      </c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 t="s">
        <v>48</v>
      </c>
      <c r="AX14" s="178"/>
      <c r="AY14" s="178"/>
      <c r="AZ14" s="178"/>
      <c r="BA14" s="39"/>
    </row>
    <row r="15" spans="1:53" ht="13.5" customHeight="1" x14ac:dyDescent="0.15">
      <c r="A15" s="69">
        <f t="shared" ref="A15:A27" si="0">ROW()-14</f>
        <v>1</v>
      </c>
      <c r="B15" s="65" t="s">
        <v>103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54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53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9" t="s">
        <v>51</v>
      </c>
      <c r="AX15" s="180"/>
      <c r="AY15" s="180"/>
      <c r="AZ15" s="181"/>
      <c r="BA15" s="39"/>
    </row>
    <row r="16" spans="1:53" ht="13.5" customHeight="1" x14ac:dyDescent="0.15">
      <c r="A16" s="69">
        <f t="shared" si="0"/>
        <v>2</v>
      </c>
      <c r="B16" s="65" t="s">
        <v>103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95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68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9" t="s">
        <v>51</v>
      </c>
      <c r="AX16" s="180"/>
      <c r="AY16" s="180"/>
      <c r="AZ16" s="181"/>
      <c r="BA16" s="11"/>
    </row>
    <row r="17" spans="1:54" ht="13.5" customHeight="1" x14ac:dyDescent="0.15">
      <c r="A17" s="69">
        <f t="shared" si="0"/>
        <v>3</v>
      </c>
      <c r="B17" s="65" t="s">
        <v>103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70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69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9" t="s">
        <v>50</v>
      </c>
      <c r="AX17" s="180"/>
      <c r="AY17" s="180"/>
      <c r="AZ17" s="181"/>
      <c r="BA17" s="39"/>
    </row>
    <row r="18" spans="1:54" ht="13.5" customHeight="1" x14ac:dyDescent="0.15">
      <c r="A18" s="69">
        <f t="shared" si="0"/>
        <v>4</v>
      </c>
      <c r="B18" s="65" t="s">
        <v>103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64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62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79" t="s">
        <v>50</v>
      </c>
      <c r="AX18" s="180"/>
      <c r="AY18" s="180"/>
      <c r="AZ18" s="181"/>
      <c r="BA18" s="39"/>
    </row>
    <row r="19" spans="1:54" ht="13.5" customHeight="1" x14ac:dyDescent="0.15">
      <c r="A19" s="69">
        <f t="shared" si="0"/>
        <v>5</v>
      </c>
      <c r="B19" s="65" t="s">
        <v>103</v>
      </c>
      <c r="C19" s="66"/>
      <c r="D19" s="66"/>
      <c r="E19" s="66"/>
      <c r="F19" s="66"/>
      <c r="G19" s="66"/>
      <c r="H19" s="66"/>
      <c r="I19" s="66"/>
      <c r="J19" s="66"/>
      <c r="K19" s="67"/>
      <c r="L19" s="10" t="s">
        <v>65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79" t="s">
        <v>50</v>
      </c>
      <c r="AX19" s="180"/>
      <c r="AY19" s="180"/>
      <c r="AZ19" s="181"/>
      <c r="BA19" s="11"/>
    </row>
    <row r="20" spans="1:54" ht="13.5" customHeight="1" x14ac:dyDescent="0.15">
      <c r="A20" s="69">
        <f t="shared" si="0"/>
        <v>6</v>
      </c>
      <c r="B20" s="65" t="s">
        <v>104</v>
      </c>
      <c r="C20" s="66"/>
      <c r="D20" s="66"/>
      <c r="E20" s="66"/>
      <c r="F20" s="66"/>
      <c r="G20" s="66"/>
      <c r="H20" s="66"/>
      <c r="I20" s="66"/>
      <c r="J20" s="66"/>
      <c r="K20" s="67"/>
      <c r="L20" s="65" t="s">
        <v>93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94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79" t="s">
        <v>51</v>
      </c>
      <c r="AX20" s="180"/>
      <c r="AY20" s="180"/>
      <c r="AZ20" s="181"/>
      <c r="BA20" s="39"/>
    </row>
    <row r="21" spans="1:54" ht="13.5" customHeight="1" x14ac:dyDescent="0.15">
      <c r="A21" s="69">
        <f t="shared" si="0"/>
        <v>7</v>
      </c>
      <c r="B21" s="65" t="s">
        <v>104</v>
      </c>
      <c r="C21" s="66"/>
      <c r="D21" s="66"/>
      <c r="E21" s="66"/>
      <c r="F21" s="66"/>
      <c r="G21" s="66"/>
      <c r="H21" s="66"/>
      <c r="I21" s="66"/>
      <c r="J21" s="66"/>
      <c r="K21" s="67"/>
      <c r="L21" s="65" t="s">
        <v>54</v>
      </c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 t="s">
        <v>53</v>
      </c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79" t="s">
        <v>51</v>
      </c>
      <c r="AX21" s="180"/>
      <c r="AY21" s="180"/>
      <c r="AZ21" s="181"/>
      <c r="BA21" s="39"/>
    </row>
    <row r="22" spans="1:54" ht="13.5" customHeight="1" x14ac:dyDescent="0.15">
      <c r="A22" s="69">
        <f t="shared" si="0"/>
        <v>8</v>
      </c>
      <c r="B22" s="65" t="s">
        <v>104</v>
      </c>
      <c r="C22" s="66"/>
      <c r="D22" s="66"/>
      <c r="E22" s="66"/>
      <c r="F22" s="66"/>
      <c r="G22" s="66"/>
      <c r="H22" s="66"/>
      <c r="I22" s="66"/>
      <c r="J22" s="66"/>
      <c r="K22" s="67"/>
      <c r="L22" s="65" t="s">
        <v>95</v>
      </c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7"/>
      <c r="AA22" s="65" t="s">
        <v>68</v>
      </c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179" t="s">
        <v>51</v>
      </c>
      <c r="AX22" s="180"/>
      <c r="AY22" s="180"/>
      <c r="AZ22" s="181"/>
      <c r="BA22" s="11"/>
    </row>
    <row r="23" spans="1:54" ht="13.5" customHeight="1" x14ac:dyDescent="0.15">
      <c r="A23" s="69">
        <f t="shared" si="0"/>
        <v>9</v>
      </c>
      <c r="B23" s="65" t="s">
        <v>104</v>
      </c>
      <c r="C23" s="66"/>
      <c r="D23" s="66"/>
      <c r="E23" s="66"/>
      <c r="F23" s="66"/>
      <c r="G23" s="66"/>
      <c r="H23" s="66"/>
      <c r="I23" s="66"/>
      <c r="J23" s="66"/>
      <c r="K23" s="67"/>
      <c r="L23" s="65" t="s">
        <v>96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7"/>
      <c r="AA23" s="65" t="s">
        <v>92</v>
      </c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179" t="s">
        <v>51</v>
      </c>
      <c r="AX23" s="180"/>
      <c r="AY23" s="180"/>
      <c r="AZ23" s="181"/>
      <c r="BA23" s="11"/>
    </row>
    <row r="24" spans="1:54" ht="13.5" customHeight="1" x14ac:dyDescent="0.15">
      <c r="A24" s="69">
        <f t="shared" si="0"/>
        <v>10</v>
      </c>
      <c r="B24" s="65" t="s">
        <v>104</v>
      </c>
      <c r="C24" s="66"/>
      <c r="D24" s="66"/>
      <c r="E24" s="66"/>
      <c r="F24" s="66"/>
      <c r="G24" s="66"/>
      <c r="H24" s="66"/>
      <c r="I24" s="66"/>
      <c r="J24" s="66"/>
      <c r="K24" s="67"/>
      <c r="L24" s="65" t="s">
        <v>70</v>
      </c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7"/>
      <c r="AA24" s="65" t="s">
        <v>69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179" t="s">
        <v>50</v>
      </c>
      <c r="AX24" s="180"/>
      <c r="AY24" s="180"/>
      <c r="AZ24" s="181"/>
      <c r="BA24" s="39"/>
    </row>
    <row r="25" spans="1:54" ht="13.5" customHeight="1" x14ac:dyDescent="0.15">
      <c r="A25" s="69">
        <f t="shared" si="0"/>
        <v>11</v>
      </c>
      <c r="B25" s="65" t="s">
        <v>104</v>
      </c>
      <c r="C25" s="66"/>
      <c r="D25" s="66"/>
      <c r="E25" s="66"/>
      <c r="F25" s="66"/>
      <c r="G25" s="66"/>
      <c r="H25" s="66"/>
      <c r="I25" s="66"/>
      <c r="J25" s="66"/>
      <c r="K25" s="67"/>
      <c r="L25" s="65" t="s">
        <v>64</v>
      </c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7"/>
      <c r="AA25" s="65" t="s">
        <v>62</v>
      </c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179" t="s">
        <v>50</v>
      </c>
      <c r="AX25" s="180"/>
      <c r="AY25" s="180"/>
      <c r="AZ25" s="181"/>
      <c r="BA25" s="39"/>
    </row>
    <row r="26" spans="1:54" ht="13.5" customHeight="1" x14ac:dyDescent="0.15">
      <c r="A26" s="69">
        <f t="shared" si="0"/>
        <v>12</v>
      </c>
      <c r="B26" s="65" t="s">
        <v>104</v>
      </c>
      <c r="C26" s="66"/>
      <c r="D26" s="66"/>
      <c r="E26" s="66"/>
      <c r="F26" s="66"/>
      <c r="G26" s="66"/>
      <c r="H26" s="66"/>
      <c r="I26" s="66"/>
      <c r="J26" s="66"/>
      <c r="K26" s="67"/>
      <c r="L26" s="10" t="s">
        <v>65</v>
      </c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7"/>
      <c r="AA26" s="65" t="s">
        <v>63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179" t="s">
        <v>50</v>
      </c>
      <c r="AX26" s="180"/>
      <c r="AY26" s="180"/>
      <c r="AZ26" s="181"/>
      <c r="BA26" s="11"/>
    </row>
    <row r="27" spans="1:54" ht="13.5" customHeight="1" x14ac:dyDescent="0.15">
      <c r="A27" s="69">
        <f t="shared" si="0"/>
        <v>13</v>
      </c>
      <c r="B27" s="65"/>
      <c r="C27" s="66"/>
      <c r="D27" s="66"/>
      <c r="E27" s="66"/>
      <c r="F27" s="66"/>
      <c r="G27" s="66"/>
      <c r="H27" s="66"/>
      <c r="I27" s="66"/>
      <c r="J27" s="66"/>
      <c r="K27" s="67"/>
      <c r="L27" s="65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7"/>
      <c r="AA27" s="65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179"/>
      <c r="AX27" s="180"/>
      <c r="AY27" s="180"/>
      <c r="AZ27" s="181"/>
      <c r="BA27" s="39"/>
    </row>
    <row r="28" spans="1:54" ht="13.5" customHeight="1" x14ac:dyDescent="0.15">
      <c r="A28" s="141" t="s">
        <v>2</v>
      </c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3"/>
      <c r="AK28" s="141" t="s">
        <v>1</v>
      </c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3"/>
    </row>
    <row r="29" spans="1:54" s="2" customFormat="1" ht="13.5" customHeight="1" x14ac:dyDescent="0.15">
      <c r="A29" s="7"/>
      <c r="B29" s="12"/>
      <c r="C29" s="12"/>
      <c r="D29" s="12"/>
      <c r="E29" s="12"/>
      <c r="F29" s="1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40"/>
      <c r="AE29" s="40"/>
      <c r="AF29" s="40"/>
      <c r="AG29" s="6"/>
      <c r="AH29" s="12"/>
      <c r="AI29" s="12"/>
      <c r="AJ29" s="13"/>
      <c r="AK29" s="5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7"/>
      <c r="BA29" s="38"/>
    </row>
    <row r="30" spans="1:54" s="2" customFormat="1" ht="13.5" customHeight="1" x14ac:dyDescent="0.15">
      <c r="A30" s="19"/>
      <c r="V30" s="1"/>
      <c r="W30" s="1"/>
      <c r="X30" s="1"/>
      <c r="Y30" s="1"/>
      <c r="Z30" s="1"/>
      <c r="AB30" s="41"/>
      <c r="AC30" s="41"/>
      <c r="AD30" s="41"/>
      <c r="AE30" s="1"/>
      <c r="AF30" s="1"/>
      <c r="AG30" s="1"/>
      <c r="AH30" s="1"/>
      <c r="AI30" s="1"/>
      <c r="AJ30" s="15"/>
      <c r="AK30" s="43" t="s">
        <v>77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7"/>
      <c r="AZ30" s="50"/>
      <c r="BA30" s="39"/>
      <c r="BB30" s="1"/>
    </row>
    <row r="31" spans="1:54" ht="13.5" customHeight="1" x14ac:dyDescent="0.15">
      <c r="A31" s="9"/>
      <c r="D31" s="2"/>
      <c r="E31" s="2"/>
      <c r="F31" s="2"/>
      <c r="G31" s="2"/>
      <c r="H31" s="2"/>
      <c r="AJ31" s="16"/>
      <c r="AK31" s="43"/>
      <c r="AL31" s="56" t="s">
        <v>80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</row>
    <row r="32" spans="1:54" ht="13.5" customHeight="1" x14ac:dyDescent="0.15">
      <c r="A32" s="9"/>
      <c r="K32" s="1" t="s">
        <v>32</v>
      </c>
      <c r="Y32" s="1" t="s">
        <v>42</v>
      </c>
      <c r="AJ32" s="15"/>
      <c r="AK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</row>
    <row r="33" spans="1:54" ht="13.5" customHeight="1" x14ac:dyDescent="0.15">
      <c r="A33" s="9"/>
      <c r="AJ33" s="16"/>
      <c r="AK33" s="56" t="s">
        <v>78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0"/>
      <c r="BA33" s="39"/>
    </row>
    <row r="34" spans="1:54" ht="13.5" customHeight="1" x14ac:dyDescent="0.15">
      <c r="A34" s="9"/>
      <c r="AJ34" s="15"/>
      <c r="AK34" s="56"/>
      <c r="AL34" s="56" t="s">
        <v>74</v>
      </c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0"/>
      <c r="BA34" s="39"/>
    </row>
    <row r="35" spans="1:54" ht="13.5" customHeight="1" x14ac:dyDescent="0.15">
      <c r="A35" s="9"/>
      <c r="AJ35" s="16"/>
      <c r="AK35" s="56"/>
      <c r="AL35" s="56" t="s">
        <v>41</v>
      </c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0"/>
      <c r="BA35" s="39"/>
      <c r="BB35" s="56"/>
    </row>
    <row r="36" spans="1:54" ht="13.5" customHeight="1" x14ac:dyDescent="0.15">
      <c r="A36" s="42"/>
      <c r="AJ36" s="1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0"/>
      <c r="BA36" s="39"/>
      <c r="BB36" s="56"/>
    </row>
    <row r="37" spans="1:54" ht="13.5" customHeight="1" x14ac:dyDescent="0.15">
      <c r="A37" s="43"/>
      <c r="AJ37" s="15"/>
      <c r="AK37" s="56" t="s">
        <v>107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0"/>
      <c r="BA37" s="39"/>
      <c r="BB37" s="56"/>
    </row>
    <row r="38" spans="1:54" ht="13.5" customHeight="1" x14ac:dyDescent="0.15">
      <c r="A38" s="43"/>
      <c r="AJ38" s="16"/>
      <c r="AK38" s="56" t="s">
        <v>40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  <c r="BB38" s="56"/>
    </row>
    <row r="39" spans="1:54" ht="13.5" customHeight="1" x14ac:dyDescent="0.15">
      <c r="A39" s="43"/>
      <c r="AG39" s="41"/>
      <c r="AJ39" s="16"/>
      <c r="AK39" s="56"/>
      <c r="AL39" s="1" t="s">
        <v>82</v>
      </c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  <c r="BB39" s="56"/>
    </row>
    <row r="40" spans="1:54" ht="13.5" customHeight="1" x14ac:dyDescent="0.15">
      <c r="A40" s="43"/>
      <c r="AA40" s="41"/>
      <c r="AB40" s="41"/>
      <c r="AJ40" s="16"/>
      <c r="AK40" s="56"/>
      <c r="AL40" s="1" t="s">
        <v>83</v>
      </c>
      <c r="AM40" s="56"/>
      <c r="AO40" s="56"/>
      <c r="AP40" s="56"/>
      <c r="AQ40" s="56"/>
      <c r="AR40" s="56"/>
      <c r="AS40" s="56"/>
      <c r="AT40" s="56"/>
      <c r="AY40" s="56"/>
      <c r="AZ40" s="58"/>
      <c r="BA40" s="11"/>
      <c r="BB40" s="56"/>
    </row>
    <row r="41" spans="1:54" ht="13.5" customHeight="1" x14ac:dyDescent="0.15">
      <c r="A41" s="43"/>
      <c r="E41" s="1" t="s">
        <v>76</v>
      </c>
      <c r="AJ41" s="16"/>
      <c r="AK41" s="56"/>
      <c r="AM41" s="56"/>
      <c r="AO41" s="56"/>
      <c r="AP41" s="56"/>
      <c r="AQ41" s="56"/>
      <c r="AR41" s="56"/>
      <c r="AS41" s="56"/>
      <c r="AT41" s="56"/>
      <c r="AY41" s="56"/>
      <c r="AZ41" s="58"/>
      <c r="BA41" s="11"/>
      <c r="BB41" s="56"/>
    </row>
    <row r="42" spans="1:54" ht="13.5" customHeight="1" x14ac:dyDescent="0.15">
      <c r="A42" s="43"/>
      <c r="AF42" s="41"/>
      <c r="AJ42" s="16"/>
      <c r="AK42" s="56" t="s">
        <v>84</v>
      </c>
      <c r="AL42" s="56"/>
      <c r="AM42" s="56"/>
      <c r="AN42" s="56"/>
      <c r="AO42" s="56"/>
      <c r="AP42" s="56"/>
      <c r="AQ42" s="56"/>
      <c r="AR42" s="56"/>
      <c r="AS42" s="56"/>
      <c r="AT42" s="56"/>
      <c r="AY42" s="56"/>
      <c r="AZ42" s="58"/>
      <c r="BA42" s="11"/>
      <c r="BB42" s="56"/>
    </row>
    <row r="43" spans="1:54" ht="13.5" customHeight="1" x14ac:dyDescent="0.15">
      <c r="A43" s="43"/>
      <c r="K43" s="1" t="s">
        <v>79</v>
      </c>
      <c r="M43" s="41"/>
      <c r="N43" s="41"/>
      <c r="O43" s="41"/>
      <c r="P43" s="41"/>
      <c r="Q43" s="41"/>
      <c r="R43" s="41"/>
      <c r="S43" s="41"/>
      <c r="AC43" s="41"/>
      <c r="AD43" s="41"/>
      <c r="AE43" s="41"/>
      <c r="AJ43" s="16"/>
      <c r="AK43" s="56"/>
      <c r="AL43" s="1" t="s">
        <v>87</v>
      </c>
      <c r="AM43" s="56"/>
      <c r="AN43" s="56"/>
      <c r="AO43" s="56"/>
      <c r="AP43" s="56"/>
      <c r="AQ43" s="56"/>
      <c r="AR43" s="56"/>
      <c r="AS43" s="56"/>
      <c r="AT43" s="56"/>
      <c r="AY43" s="56"/>
      <c r="AZ43" s="58"/>
      <c r="BA43" s="11"/>
    </row>
    <row r="44" spans="1:54" ht="13.5" customHeight="1" x14ac:dyDescent="0.15">
      <c r="A44" s="43"/>
      <c r="M44" s="41"/>
      <c r="O44" s="41"/>
      <c r="P44" s="41"/>
      <c r="AJ44" s="16"/>
      <c r="AK44" s="56"/>
      <c r="AL44" s="1" t="s">
        <v>85</v>
      </c>
      <c r="AM44" s="56"/>
      <c r="AN44" s="56"/>
      <c r="AO44" s="56"/>
      <c r="AP44" s="56"/>
      <c r="AQ44" s="56"/>
      <c r="AR44" s="56"/>
      <c r="AS44" s="56"/>
      <c r="AT44" s="56"/>
      <c r="AY44" s="56"/>
      <c r="AZ44" s="58"/>
      <c r="BA44" s="39"/>
    </row>
    <row r="45" spans="1:54" ht="13.5" customHeight="1" x14ac:dyDescent="0.15">
      <c r="A45" s="43"/>
      <c r="M45" s="41"/>
      <c r="N45" s="41"/>
      <c r="O45" s="41"/>
      <c r="P45" s="41"/>
      <c r="AB45" s="41"/>
      <c r="AC45" s="41"/>
      <c r="AD45" s="41"/>
      <c r="AJ45" s="16"/>
      <c r="AK45" s="56"/>
      <c r="AL45" s="1" t="s">
        <v>86</v>
      </c>
      <c r="AM45" s="56"/>
      <c r="AO45" s="56"/>
      <c r="AP45" s="56"/>
      <c r="AQ45" s="56"/>
      <c r="AR45" s="56"/>
      <c r="AS45" s="56"/>
      <c r="AT45" s="56"/>
      <c r="AY45" s="56"/>
      <c r="AZ45" s="58"/>
      <c r="BA45" s="39"/>
    </row>
    <row r="46" spans="1:54" ht="13.5" customHeight="1" x14ac:dyDescent="0.15">
      <c r="A46" s="43"/>
      <c r="AA46" s="41"/>
      <c r="AB46" s="41"/>
      <c r="AC46" s="41"/>
      <c r="AD46" s="41"/>
      <c r="AJ46" s="16"/>
      <c r="AK46" s="56"/>
      <c r="AL46" s="56" t="s">
        <v>88</v>
      </c>
      <c r="AM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43"/>
      <c r="AA47" s="41"/>
      <c r="AB47" s="41"/>
      <c r="AC47" s="41"/>
      <c r="AD47" s="41"/>
      <c r="AJ47" s="16"/>
      <c r="AK47" s="56"/>
      <c r="AL47" s="1" t="s">
        <v>89</v>
      </c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43"/>
      <c r="AA48" s="41"/>
      <c r="AB48" s="41"/>
      <c r="AC48" s="41"/>
      <c r="AD48" s="41"/>
      <c r="AJ48" s="16"/>
      <c r="AK48" s="56"/>
      <c r="AM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0"/>
      <c r="BA48" s="39"/>
    </row>
    <row r="49" spans="1:53" ht="13.5" customHeight="1" x14ac:dyDescent="0.15">
      <c r="A49" s="43"/>
      <c r="AA49" s="41"/>
      <c r="AB49" s="41"/>
      <c r="AC49" s="41"/>
      <c r="AD49" s="41"/>
      <c r="AJ49" s="16"/>
      <c r="AK49" s="56" t="s">
        <v>106</v>
      </c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49"/>
      <c r="AZ49" s="58"/>
      <c r="BA49" s="11"/>
    </row>
    <row r="50" spans="1:53" ht="13.5" customHeight="1" x14ac:dyDescent="0.15">
      <c r="A50" s="43"/>
      <c r="AA50" s="41"/>
      <c r="AB50" s="41"/>
      <c r="AC50" s="41"/>
      <c r="AD50" s="41"/>
      <c r="AJ50" s="16"/>
      <c r="AK50" s="56" t="s">
        <v>40</v>
      </c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11"/>
    </row>
    <row r="51" spans="1:53" ht="13.5" customHeight="1" x14ac:dyDescent="0.15">
      <c r="A51" s="43"/>
      <c r="AA51" s="41"/>
      <c r="AB51" s="41"/>
      <c r="AC51" s="41"/>
      <c r="AD51" s="41"/>
      <c r="AJ51" s="16"/>
      <c r="AK51" s="56"/>
      <c r="AL51" s="1" t="s">
        <v>72</v>
      </c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43"/>
      <c r="AA52" s="41"/>
      <c r="AB52" s="41"/>
      <c r="AC52" s="41"/>
      <c r="AD52" s="41"/>
      <c r="AJ52" s="16"/>
      <c r="AK52" s="56"/>
      <c r="AL52" s="1" t="s">
        <v>73</v>
      </c>
      <c r="AM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43"/>
      <c r="AA53" s="41"/>
      <c r="AB53" s="41"/>
      <c r="AC53" s="41"/>
      <c r="AD53" s="41"/>
      <c r="AJ53" s="16"/>
      <c r="AK53" s="56"/>
      <c r="AL53" s="1" t="s">
        <v>81</v>
      </c>
      <c r="AM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43"/>
      <c r="AA54" s="41"/>
      <c r="AB54" s="41"/>
      <c r="AC54" s="41"/>
      <c r="AD54" s="41"/>
      <c r="AJ54" s="16"/>
      <c r="AK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43"/>
      <c r="AJ55" s="1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J56" s="41"/>
      <c r="K56" s="1" t="s">
        <v>90</v>
      </c>
      <c r="M56" s="41"/>
      <c r="N56" s="41"/>
      <c r="O56" s="41"/>
      <c r="P56" s="41"/>
      <c r="Q56" s="41"/>
      <c r="R56" s="41"/>
      <c r="S56" s="41"/>
      <c r="AJ56" s="16"/>
      <c r="AK56" s="56"/>
      <c r="AL56" s="56"/>
      <c r="AQ56" s="56"/>
      <c r="AR56" s="56"/>
      <c r="AS56" s="56"/>
      <c r="AT56" s="5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D57" s="41"/>
      <c r="E57" s="41"/>
      <c r="J57" s="41"/>
      <c r="K57" s="41"/>
      <c r="M57" s="41"/>
      <c r="O57" s="41"/>
      <c r="P57" s="41"/>
      <c r="Q57" s="41"/>
      <c r="R57" s="41"/>
      <c r="S57" s="41"/>
      <c r="AJ57" s="16"/>
      <c r="AK57" s="56"/>
      <c r="AL57" s="56"/>
      <c r="AQ57" s="56"/>
      <c r="AR57" s="56"/>
      <c r="AS57" s="56"/>
      <c r="AT57" s="56"/>
      <c r="AU57" s="56"/>
      <c r="AV57" s="56"/>
      <c r="AW57" s="56"/>
      <c r="AX57" s="49"/>
      <c r="AY57" s="56"/>
      <c r="AZ57" s="58"/>
      <c r="BA57" s="39"/>
    </row>
    <row r="58" spans="1:53" ht="13.5" customHeight="1" x14ac:dyDescent="0.15">
      <c r="A58" s="9"/>
      <c r="D58" s="41"/>
      <c r="E58" s="41"/>
      <c r="J58" s="41"/>
      <c r="K58" s="41"/>
      <c r="M58" s="41"/>
      <c r="N58" s="41"/>
      <c r="O58" s="41"/>
      <c r="P58" s="41"/>
      <c r="Q58" s="41"/>
      <c r="R58" s="41"/>
      <c r="S58" s="41"/>
      <c r="AJ58" s="16"/>
      <c r="AU58" s="56"/>
      <c r="AV58" s="56"/>
      <c r="AW58" s="56"/>
      <c r="AX58" s="56"/>
      <c r="AY58" s="56"/>
      <c r="AZ58" s="58"/>
      <c r="BA58" s="11"/>
    </row>
    <row r="59" spans="1:53" ht="13.5" customHeight="1" x14ac:dyDescent="0.15">
      <c r="A59" s="19"/>
      <c r="D59" s="41"/>
      <c r="E59" s="41"/>
      <c r="I59" s="41"/>
      <c r="K59" s="41"/>
      <c r="M59" s="41"/>
      <c r="N59" s="41"/>
      <c r="O59" s="41"/>
      <c r="P59" s="41"/>
      <c r="Q59" s="41"/>
      <c r="R59" s="41"/>
      <c r="S59" s="41"/>
      <c r="AE59" s="41"/>
      <c r="AJ59" s="16"/>
      <c r="AK59" s="56"/>
      <c r="AL59" s="5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19"/>
      <c r="D60" s="2"/>
      <c r="F60" s="41"/>
      <c r="G60" s="41"/>
      <c r="H60" s="41"/>
      <c r="I60" s="41"/>
      <c r="M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19"/>
      <c r="D61" s="2"/>
      <c r="F61" s="41"/>
      <c r="G61" s="41"/>
      <c r="H61" s="41"/>
      <c r="I61" s="41"/>
      <c r="M61" s="41"/>
      <c r="N61" s="41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19"/>
      <c r="D62" s="2"/>
      <c r="F62" s="41"/>
      <c r="G62" s="41"/>
      <c r="H62" s="41"/>
      <c r="J62" s="41"/>
      <c r="M62" s="41"/>
      <c r="N62" s="41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19"/>
      <c r="D63" s="41"/>
      <c r="E63" s="41"/>
      <c r="J63" s="41"/>
      <c r="K63" s="41"/>
      <c r="M63" s="41"/>
      <c r="N63" s="41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19"/>
      <c r="E64" s="1" t="s">
        <v>76</v>
      </c>
      <c r="K64" s="41"/>
      <c r="M64" s="41"/>
      <c r="N64" s="41"/>
      <c r="AJ64" s="1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19"/>
      <c r="AJ65" s="1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19"/>
      <c r="F66" s="41"/>
      <c r="K66" s="1" t="s">
        <v>91</v>
      </c>
      <c r="AJ66" s="1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19"/>
      <c r="AJ67" s="1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19"/>
      <c r="I68" s="41"/>
      <c r="J68" s="41"/>
      <c r="K68" s="41"/>
      <c r="L68" s="41"/>
      <c r="AJ68" s="1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19"/>
      <c r="H69" s="41"/>
      <c r="I69" s="41"/>
      <c r="J69" s="41"/>
      <c r="K69" s="14"/>
      <c r="L69" s="41"/>
      <c r="O69" s="41"/>
      <c r="AJ69" s="1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H70" s="41"/>
      <c r="I70" s="41"/>
      <c r="AJ70" s="16"/>
      <c r="AK70" s="59"/>
      <c r="AL70" s="59"/>
      <c r="AM70" s="59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H71" s="41"/>
      <c r="I71" s="41"/>
      <c r="AJ71" s="16"/>
      <c r="AK71" s="59"/>
      <c r="AL71" s="59"/>
      <c r="AM71" s="59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H72" s="41"/>
      <c r="I72" s="41"/>
      <c r="K72" s="14"/>
      <c r="AJ72" s="16"/>
      <c r="AK72" s="59"/>
      <c r="AL72" s="59"/>
      <c r="AM72" s="59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AJ73" s="16"/>
      <c r="AK73" s="59"/>
      <c r="AL73" s="59"/>
      <c r="AM73" s="59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AJ74" s="16"/>
      <c r="AK74" s="59"/>
      <c r="AL74" s="59"/>
      <c r="AM74" s="59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D75" s="41"/>
      <c r="E75" s="41"/>
      <c r="AJ75" s="16"/>
      <c r="AK75" s="59"/>
      <c r="AL75" s="59"/>
      <c r="AM75" s="59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D76" s="41"/>
      <c r="E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D77" s="41"/>
      <c r="E77" s="41"/>
      <c r="G77" s="41"/>
      <c r="P77" s="41"/>
      <c r="Q77" s="41"/>
      <c r="R77" s="41"/>
      <c r="S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D78" s="41"/>
      <c r="E78" s="41"/>
      <c r="F78" s="41"/>
      <c r="H78" s="41"/>
      <c r="I78" s="41"/>
      <c r="O78" s="41"/>
      <c r="P78" s="41"/>
      <c r="Q78" s="41"/>
      <c r="R78" s="14"/>
      <c r="S78" s="41"/>
      <c r="AJ78" s="16"/>
      <c r="AK78" s="43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D79" s="41"/>
      <c r="E79" s="41"/>
      <c r="F79" s="41"/>
      <c r="G79" s="41"/>
      <c r="H79" s="41"/>
      <c r="I79" s="41"/>
      <c r="O79" s="41"/>
      <c r="P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8"/>
    </row>
    <row r="80" spans="1:53" ht="13.5" customHeight="1" x14ac:dyDescent="0.15">
      <c r="A80" s="9"/>
      <c r="D80" s="41"/>
      <c r="E80" s="41"/>
      <c r="F80" s="41"/>
      <c r="G80" s="41"/>
      <c r="H80" s="41"/>
      <c r="O80" s="41"/>
      <c r="P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D81" s="41"/>
      <c r="E81" s="41"/>
      <c r="F81" s="41"/>
      <c r="G81" s="41"/>
      <c r="H81" s="41"/>
      <c r="I81" s="41"/>
      <c r="J81" s="41"/>
      <c r="K81" s="41"/>
      <c r="L81" s="41"/>
      <c r="O81" s="41"/>
      <c r="P81" s="41"/>
      <c r="R81" s="14"/>
      <c r="AJ81" s="1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D82" s="2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9"/>
      <c r="D83" s="2"/>
      <c r="M83" s="41"/>
      <c r="N83" s="41"/>
      <c r="O83" s="41"/>
      <c r="P83" s="41"/>
      <c r="Q83" s="41"/>
      <c r="R83" s="14"/>
      <c r="S83" s="41"/>
      <c r="AA83" s="41"/>
      <c r="AC83" s="41"/>
      <c r="AD83" s="41"/>
      <c r="AJ83" s="1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8"/>
      <c r="BA83" s="39"/>
    </row>
    <row r="84" spans="1:53" ht="13.5" customHeight="1" x14ac:dyDescent="0.15">
      <c r="A84" s="9"/>
      <c r="D84" s="2"/>
      <c r="M84" s="41"/>
      <c r="N84" s="41"/>
      <c r="O84" s="41"/>
      <c r="P84" s="41"/>
      <c r="AJ84" s="1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8"/>
      <c r="BA84" s="39"/>
    </row>
    <row r="85" spans="1:53" ht="13.5" customHeight="1" x14ac:dyDescent="0.15">
      <c r="A85" s="9"/>
      <c r="M85" s="41"/>
      <c r="N85" s="41"/>
      <c r="O85" s="41"/>
      <c r="P85" s="41"/>
      <c r="AJ85" s="1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8"/>
      <c r="BA85" s="39"/>
    </row>
    <row r="86" spans="1:53" ht="13.5" customHeight="1" x14ac:dyDescent="0.15">
      <c r="A86" s="9"/>
      <c r="M86" s="41"/>
      <c r="N86" s="41"/>
      <c r="O86" s="41"/>
      <c r="P86" s="41"/>
      <c r="R86" s="14"/>
      <c r="AJ86" s="1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8"/>
      <c r="BA86" s="39"/>
    </row>
    <row r="87" spans="1:53" ht="13.5" customHeight="1" x14ac:dyDescent="0.15">
      <c r="A87" s="9"/>
      <c r="M87" s="41"/>
      <c r="N87" s="41"/>
      <c r="AJ87" s="16"/>
      <c r="AK87" s="43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8"/>
      <c r="BA87" s="39"/>
    </row>
    <row r="88" spans="1:53" ht="13.5" customHeight="1" x14ac:dyDescent="0.15">
      <c r="A88" s="9"/>
      <c r="M88" s="41"/>
      <c r="N88" s="41"/>
      <c r="AJ88" s="1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8"/>
      <c r="BA88" s="39"/>
    </row>
    <row r="89" spans="1:53" ht="13.5" customHeight="1" x14ac:dyDescent="0.15">
      <c r="A89" s="10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8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70"/>
      <c r="BA89" s="39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>
      <c r="A91" s="9"/>
      <c r="M91" s="41"/>
      <c r="N91" s="41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spans="1:53" ht="13.5" customHeight="1" x14ac:dyDescent="0.15">
      <c r="A92" s="9"/>
      <c r="B92" s="2"/>
      <c r="K92" s="41"/>
      <c r="L92" s="41"/>
      <c r="M92" s="41"/>
      <c r="N92" s="41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spans="1:53" ht="13.5" customHeight="1" x14ac:dyDescent="0.15">
      <c r="A93" s="9"/>
      <c r="M93" s="41"/>
      <c r="N93" s="41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spans="1:53" ht="13.5" customHeight="1" x14ac:dyDescent="0.15"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 spans="1:53" ht="13.5" customHeight="1" x14ac:dyDescent="0.15"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 spans="1:53" ht="13.5" customHeight="1" x14ac:dyDescent="0.15">
      <c r="A96" s="1"/>
      <c r="B96" s="8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 spans="1:35" ht="13.5" customHeight="1" x14ac:dyDescent="0.15">
      <c r="A97" s="1"/>
      <c r="B97" s="8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 ht="13.5" customHeight="1" x14ac:dyDescent="0.15">
      <c r="A98" s="1"/>
      <c r="B98" s="8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ht="13.5" customHeight="1" x14ac:dyDescent="0.15">
      <c r="A99" s="1"/>
      <c r="B99" s="8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 ht="13.5" customHeight="1" x14ac:dyDescent="0.15">
      <c r="A100" s="1"/>
      <c r="B100" s="8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ht="13.5" customHeight="1" x14ac:dyDescent="0.15">
      <c r="A101" s="1"/>
      <c r="B101" s="8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 ht="13.5" customHeight="1" x14ac:dyDescent="0.15"/>
    <row r="103" spans="1:35" ht="13.5" customHeight="1" x14ac:dyDescent="0.15"/>
    <row r="104" spans="1:35" ht="13.5" customHeight="1" x14ac:dyDescent="0.15"/>
    <row r="105" spans="1:35" ht="13.5" customHeight="1" x14ac:dyDescent="0.15"/>
    <row r="106" spans="1:35" ht="13.5" customHeight="1" x14ac:dyDescent="0.15"/>
    <row r="107" spans="1:35" ht="13.5" customHeight="1" x14ac:dyDescent="0.15"/>
    <row r="108" spans="1:35" ht="13.5" customHeight="1" x14ac:dyDescent="0.15"/>
    <row r="109" spans="1:35" ht="13.5" customHeight="1" x14ac:dyDescent="0.15"/>
    <row r="110" spans="1:35" ht="13.5" customHeight="1" x14ac:dyDescent="0.15"/>
    <row r="111" spans="1:35" ht="13.5" customHeight="1" x14ac:dyDescent="0.15"/>
    <row r="112" spans="1:35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</sheetData>
  <mergeCells count="50">
    <mergeCell ref="AW17:AZ17"/>
    <mergeCell ref="AW18:AZ18"/>
    <mergeCell ref="AW27:AZ27"/>
    <mergeCell ref="AW19:AZ19"/>
    <mergeCell ref="AW15:AZ15"/>
    <mergeCell ref="AW16:AZ16"/>
    <mergeCell ref="AW21:AZ21"/>
    <mergeCell ref="AW23:AZ23"/>
    <mergeCell ref="AW24:AZ24"/>
    <mergeCell ref="AW25:AZ25"/>
    <mergeCell ref="AW26:AZ26"/>
    <mergeCell ref="AW22:AZ22"/>
    <mergeCell ref="AW20:AZ20"/>
    <mergeCell ref="A13:AZ13"/>
    <mergeCell ref="B14:K14"/>
    <mergeCell ref="AW14:AZ14"/>
    <mergeCell ref="L14:Z14"/>
    <mergeCell ref="AA14:AV14"/>
    <mergeCell ref="A28:AJ28"/>
    <mergeCell ref="AK28:AZ2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C72110-D015-40AC-ACE2-B7541EEED7BE}">
  <ds:schemaRefs>
    <ds:schemaRef ds:uri="69cb980d-ece2-4836-b1eb-1194e87de84b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2066667e-7ddf-48ee-81f6-fe1825af740a"/>
    <ds:schemaRef ds:uri="http://schemas.microsoft.com/office/2006/metadata/properties"/>
    <ds:schemaRef ds:uri="http://www.w3.org/XML/1998/namespace"/>
    <ds:schemaRef ds:uri="http://purl.org/dc/terms/"/>
    <ds:schemaRef ds:uri="220340fb-22b3-49c1-ad89-d4daf30c6cb7"/>
  </ds:schemaRefs>
</ds:datastoreItem>
</file>

<file path=customXml/itemProps2.xml><?xml version="1.0" encoding="utf-8"?>
<ds:datastoreItem xmlns:ds="http://schemas.openxmlformats.org/officeDocument/2006/customXml" ds:itemID="{F6D9E879-C823-44F3-AAFA-F3A216F20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Wan Ahmad, Wan Mohd Sofwan Bin</cp:lastModifiedBy>
  <cp:lastPrinted>2016-07-11T09:45:07Z</cp:lastPrinted>
  <dcterms:created xsi:type="dcterms:W3CDTF">2003-10-15T05:19:34Z</dcterms:created>
  <dcterms:modified xsi:type="dcterms:W3CDTF">2025-06-20T01:01:01Z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